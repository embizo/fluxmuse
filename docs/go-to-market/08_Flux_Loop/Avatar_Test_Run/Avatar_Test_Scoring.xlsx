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s" sheetId="1" state="visible" r:id="rId1"/>
    <sheet xmlns:r="http://schemas.openxmlformats.org/officeDocument/2006/relationships" name="Videos" sheetId="2" state="visible" r:id="rId2"/>
    <sheet xmlns:r="http://schemas.openxmlformats.org/officeDocument/2006/relationships" name="Voice check" sheetId="3" state="visible" r:id="rId3"/>
    <sheet xmlns:r="http://schemas.openxmlformats.org/officeDocument/2006/relationships" name="Tracking" sheetId="4" state="visible" r:id="rId4"/>
    <sheet xmlns:r="http://schemas.openxmlformats.org/officeDocument/2006/relationships" name="G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Poppins"/>
      <b val="1"/>
      <color rgb="0020242B"/>
      <sz val="14"/>
    </font>
    <font>
      <name val="Inter"/>
      <i val="1"/>
      <color rgb="00555555"/>
      <sz val="9"/>
    </font>
    <font>
      <name val="Inter"/>
      <b val="1"/>
      <color rgb="00FFFFFF"/>
    </font>
    <font>
      <name val="Inter"/>
      <b val="1"/>
    </font>
  </fonts>
  <fills count="5">
    <fill>
      <patternFill/>
    </fill>
    <fill>
      <patternFill patternType="gray125"/>
    </fill>
    <fill>
      <patternFill patternType="solid">
        <fgColor rgb="0020242B"/>
      </patternFill>
    </fill>
    <fill>
      <patternFill patternType="solid">
        <fgColor rgb="00FFF4EB"/>
      </patternFill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6" customWidth="1" min="4" max="4"/>
    <col width="14" customWidth="1" min="5" max="5"/>
    <col width="12" customWidth="1" min="6" max="6"/>
    <col width="20" customWidth="1" min="7" max="7"/>
    <col width="13" customWidth="1" min="8" max="8"/>
    <col width="9" customWidth="1" min="9" max="9"/>
    <col width="16" customWidth="1" min="10" max="10"/>
    <col width="13" customWidth="1" min="11" max="11"/>
    <col width="18" customWidth="1" min="12" max="12"/>
    <col width="16" customWidth="1" min="13" max="13"/>
  </cols>
  <sheetData>
    <row r="1">
      <c r="A1" s="1" t="inlineStr">
        <is>
          <t>Businesses in the test</t>
        </is>
      </c>
    </row>
    <row r="2">
      <c r="A2" s="2" t="inlineStr">
        <is>
          <t>00 is FluxMuse (dry run, excluded from the gates). Orange cells are yours to fill in; grey cells are calculated.</t>
        </is>
      </c>
    </row>
    <row r="3" ht="32" customHeight="1">
      <c r="A3" s="3" t="inlineStr">
        <is>
          <t>Code</t>
        </is>
      </c>
      <c r="B3" s="3" t="inlineStr">
        <is>
          <t>Business</t>
        </is>
      </c>
      <c r="C3" s="3" t="inlineStr">
        <is>
          <t>Segment (Solo/SME)</t>
        </is>
      </c>
      <c r="D3" s="3" t="inlineStr">
        <is>
          <t>Category</t>
        </is>
      </c>
      <c r="E3" s="3" t="inlineStr">
        <is>
          <t>Main language</t>
        </is>
      </c>
      <c r="F3" s="3" t="inlineStr">
        <is>
          <t>Owner self-films? (Y/N)</t>
        </is>
      </c>
      <c r="G3" s="3" t="inlineStr">
        <is>
          <t>WhatsApp number (intl, digits only)</t>
        </is>
      </c>
      <c r="H3" s="3" t="inlineStr">
        <is>
          <t>Consent date</t>
        </is>
      </c>
      <c r="I3" s="3" t="inlineStr">
        <is>
          <t>Avatar #</t>
        </is>
      </c>
      <c r="J3" s="3" t="inlineStr">
        <is>
          <t>Review order (labels 1,2,3)</t>
        </is>
      </c>
      <c r="K3" s="3" t="inlineStr">
        <is>
          <t>Posting order</t>
        </is>
      </c>
      <c r="L3" s="3" t="inlineStr">
        <is>
          <t>Owner reports bad customer reaction? (Y/N)</t>
        </is>
      </c>
      <c r="M3" s="3" t="inlineStr">
        <is>
          <t>AI / fake / scam comments (total)</t>
        </is>
      </c>
    </row>
    <row r="4">
      <c r="A4" t="inlineStr">
        <is>
          <t>00</t>
        </is>
      </c>
      <c r="B4" s="4" t="inlineStr">
        <is>
          <t>FluxMuse (dry run)</t>
        </is>
      </c>
      <c r="C4" s="4" t="inlineStr">
        <is>
          <t>Own brand</t>
        </is>
      </c>
      <c r="D4" s="4" t="inlineStr">
        <is>
          <t>Software</t>
        </is>
      </c>
      <c r="E4" s="4" t="inlineStr">
        <is>
          <t>English</t>
        </is>
      </c>
      <c r="F4" s="4" t="inlineStr">
        <is>
          <t>Y</t>
        </is>
      </c>
      <c r="G4" s="4" t="inlineStr">
        <is>
          <t>27742426065</t>
        </is>
      </c>
      <c r="H4" s="4" t="n"/>
      <c r="I4" s="4" t="n">
        <v>1</v>
      </c>
      <c r="J4" s="5" t="inlineStr">
        <is>
          <t>B, A, C</t>
        </is>
      </c>
      <c r="K4" s="5" t="inlineStr">
        <is>
          <t>B first (6 Oct 2026); A, C not posted</t>
        </is>
      </c>
      <c r="L4" s="4" t="n"/>
      <c r="M4" s="5">
        <f>SUM(Videos!J4:J6)</f>
        <v/>
      </c>
    </row>
    <row r="5">
      <c r="A5" t="inlineStr">
        <is>
          <t>01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5" t="inlineStr">
        <is>
          <t>C, B, A</t>
        </is>
      </c>
      <c r="K5" s="5" t="inlineStr">
        <is>
          <t>A, B, C</t>
        </is>
      </c>
      <c r="L5" s="4" t="n"/>
      <c r="M5" s="5">
        <f>SUM(Videos!J7:J9)</f>
        <v/>
      </c>
    </row>
    <row r="6">
      <c r="A6" t="inlineStr">
        <is>
          <t>02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5" t="inlineStr">
        <is>
          <t>A, C, B</t>
        </is>
      </c>
      <c r="K6" s="5" t="inlineStr">
        <is>
          <t>B, C, A</t>
        </is>
      </c>
      <c r="L6" s="4" t="n"/>
      <c r="M6" s="5">
        <f>SUM(Videos!J10:J12)</f>
        <v/>
      </c>
    </row>
    <row r="7">
      <c r="A7" t="inlineStr">
        <is>
          <t>03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5" t="inlineStr">
        <is>
          <t>B, C, A</t>
        </is>
      </c>
      <c r="K7" s="5" t="inlineStr">
        <is>
          <t>C, A, B</t>
        </is>
      </c>
      <c r="L7" s="4" t="n"/>
      <c r="M7" s="5">
        <f>SUM(Videos!J13:J15)</f>
        <v/>
      </c>
    </row>
    <row r="8">
      <c r="A8" t="inlineStr">
        <is>
          <t>04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5" t="inlineStr">
        <is>
          <t>C, A, B</t>
        </is>
      </c>
      <c r="K8" s="5" t="inlineStr">
        <is>
          <t>A, B, C</t>
        </is>
      </c>
      <c r="L8" s="4" t="n"/>
      <c r="M8" s="5">
        <f>SUM(Videos!J16:J18)</f>
        <v/>
      </c>
    </row>
    <row r="9">
      <c r="A9" t="inlineStr">
        <is>
          <t>05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5" t="inlineStr">
        <is>
          <t>A, B, C</t>
        </is>
      </c>
      <c r="K9" s="5" t="inlineStr">
        <is>
          <t>B, C, A</t>
        </is>
      </c>
      <c r="L9" s="4" t="n"/>
      <c r="M9" s="5">
        <f>SUM(Videos!J19:J21)</f>
        <v/>
      </c>
    </row>
    <row r="10">
      <c r="A10" t="inlineStr">
        <is>
          <t>06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5" t="inlineStr">
        <is>
          <t>B, A, C</t>
        </is>
      </c>
      <c r="K10" s="5" t="inlineStr">
        <is>
          <t>C, A, B</t>
        </is>
      </c>
      <c r="L10" s="4" t="n"/>
      <c r="M10" s="5">
        <f>SUM(Videos!J22:J24)</f>
        <v/>
      </c>
    </row>
    <row r="11">
      <c r="A11" t="inlineStr">
        <is>
          <t>07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5" t="inlineStr">
        <is>
          <t>C, B, A</t>
        </is>
      </c>
      <c r="K11" s="5" t="inlineStr">
        <is>
          <t>A, B, C</t>
        </is>
      </c>
      <c r="L11" s="4" t="n"/>
      <c r="M11" s="5">
        <f>SUM(Videos!J25:J27)</f>
        <v/>
      </c>
    </row>
    <row r="12">
      <c r="A12" t="inlineStr">
        <is>
          <t>08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5" t="inlineStr">
        <is>
          <t>A, C, B</t>
        </is>
      </c>
      <c r="K12" s="5" t="inlineStr">
        <is>
          <t>B, C, A</t>
        </is>
      </c>
      <c r="L12" s="4" t="n"/>
      <c r="M12" s="5">
        <f>SUM(Videos!J28:J30)</f>
        <v/>
      </c>
    </row>
    <row r="13">
      <c r="A13" t="inlineStr">
        <is>
          <t>09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5" t="inlineStr">
        <is>
          <t>B, C, A</t>
        </is>
      </c>
      <c r="K13" s="5" t="inlineStr">
        <is>
          <t>C, A, B</t>
        </is>
      </c>
      <c r="L13" s="4" t="n"/>
      <c r="M13" s="5">
        <f>SUM(Videos!J31:J33)</f>
        <v/>
      </c>
    </row>
    <row r="14">
      <c r="A14" t="inlineStr">
        <is>
          <t>10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5" t="inlineStr">
        <is>
          <t>C, A, B</t>
        </is>
      </c>
      <c r="K14" s="5" t="inlineStr">
        <is>
          <t>A, B, C</t>
        </is>
      </c>
      <c r="L14" s="4" t="n"/>
      <c r="M14" s="5">
        <f>SUM(Videos!J34:J36)</f>
        <v/>
      </c>
    </row>
  </sheetData>
  <dataValidations count="2">
    <dataValidation sqref="F4:F14" showDropDown="0" showInputMessage="0" showErrorMessage="0" allowBlank="1" type="list">
      <formula1>"Y,N"</formula1>
    </dataValidation>
    <dataValidation sqref="L4:L14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12" customWidth="1" min="4" max="4"/>
    <col width="10" customWidth="1" min="5" max="5"/>
    <col width="16" customWidth="1" min="6" max="6"/>
    <col width="9" customWidth="1" min="7" max="7"/>
    <col width="13" customWidth="1" min="8" max="8"/>
    <col width="9" customWidth="1" min="9" max="9"/>
    <col width="13" customWidth="1" min="10" max="10"/>
    <col width="13" customWidth="1" min="11" max="11"/>
    <col width="9" customWidth="1" min="12" max="12"/>
    <col width="13" customWidth="1" min="13" max="13"/>
    <col width="10" customWidth="1" min="14" max="14"/>
    <col width="20" customWidth="1" min="15" max="15"/>
    <col width="40" customWidth="1" min="16" max="16"/>
    <col width="12" customWidth="1" min="17" max="17"/>
  </cols>
  <sheetData>
    <row r="1">
      <c r="A1" s="1" t="inlineStr">
        <is>
          <t>One row per video</t>
        </is>
      </c>
    </row>
    <row r="2">
      <c r="A2" s="2" t="inlineStr">
        <is>
          <t>Fill in after the owner review (D), then 72 hours after each post (E-J). Quality pass (K) is for format A only. Count every attempt in L and every rand in M, including failed ones.</t>
        </is>
      </c>
    </row>
    <row r="3" ht="32" customHeight="1">
      <c r="A3" s="3" t="inlineStr">
        <is>
          <t>Code</t>
        </is>
      </c>
      <c r="B3" s="3" t="inlineStr">
        <is>
          <t>Business</t>
        </is>
      </c>
      <c r="C3" s="3" t="inlineStr">
        <is>
          <t>Format</t>
        </is>
      </c>
      <c r="D3" s="3" t="inlineStr">
        <is>
          <t>Owner would post? (Y/N)</t>
        </is>
      </c>
      <c r="E3" s="3" t="inlineStr">
        <is>
          <t>Posted? (Y/N)</t>
        </is>
      </c>
      <c r="F3" s="3" t="inlineStr">
        <is>
          <t>Post date &amp; time</t>
        </is>
      </c>
      <c r="G3" s="3" t="inlineStr">
        <is>
          <t>Views</t>
        </is>
      </c>
      <c r="H3" s="3" t="inlineStr">
        <is>
          <t>Conversations (code)</t>
        </is>
      </c>
      <c r="I3" s="3" t="inlineStr">
        <is>
          <t>Orders</t>
        </is>
      </c>
      <c r="J3" s="3" t="inlineStr">
        <is>
          <t>AI / fake / scam comments</t>
        </is>
      </c>
      <c r="K3" s="3" t="inlineStr">
        <is>
          <t>Quality pass? (A only, Y/N)</t>
        </is>
      </c>
      <c r="L3" s="3" t="inlineStr">
        <is>
          <t>Attempts</t>
        </is>
      </c>
      <c r="M3" s="3" t="inlineStr">
        <is>
          <t>Cost (R, incl. failed)</t>
        </is>
      </c>
      <c r="N3" s="3" t="inlineStr">
        <is>
          <t>Staff minutes</t>
        </is>
      </c>
      <c r="O3" s="3" t="inlineStr">
        <is>
          <t>Tool / model</t>
        </is>
      </c>
      <c r="P3" s="3" t="inlineStr">
        <is>
          <t>Notes (owner's words, what went wrong)</t>
        </is>
      </c>
      <c r="Q3" s="3" t="inlineStr">
        <is>
          <t>In gates? (1 = test business, 0 = FluxMuse)</t>
        </is>
      </c>
    </row>
    <row r="4">
      <c r="A4" s="5">
        <f>"AV"&amp;B4&amp;C4</f>
        <v/>
      </c>
      <c r="B4" t="inlineStr">
        <is>
          <t>00</t>
        </is>
      </c>
      <c r="C4" t="inlineStr">
        <is>
          <t>A</t>
        </is>
      </c>
      <c r="D4" s="4" t="inlineStr">
        <is>
          <t>N</t>
        </is>
      </c>
      <c r="E4" s="4" t="inlineStr">
        <is>
          <t>N</t>
        </is>
      </c>
      <c r="F4" s="4" t="n"/>
      <c r="G4" s="4" t="n"/>
      <c r="H4" s="4" t="n"/>
      <c r="I4" s="4" t="n"/>
      <c r="J4" s="4" t="n"/>
      <c r="K4" s="4" t="inlineStr">
        <is>
          <t>N</t>
        </is>
      </c>
      <c r="L4" s="4" t="n">
        <v>2</v>
      </c>
      <c r="M4" s="4" t="n">
        <v>0</v>
      </c>
      <c r="N4" s="4" t="n">
        <v>150</v>
      </c>
      <c r="O4" s="4" t="inlineStr">
        <is>
          <t>Founder's animated avatar clip (Higgsfield) + Kokoro bf_emma + assemble_video.py; SadTalker/Wav2Lip re-sync failed on CPU</t>
        </is>
      </c>
      <c r="P4" s="4" t="inlineStr">
        <is>
          <t>Founder: 'better with no avatar'. Lips don't match the words. 1 Higgsfield credit for the Soul image (rand value not known); clip made on the founder's own account.</t>
        </is>
      </c>
      <c r="Q4" s="5" t="n">
        <v>0</v>
      </c>
    </row>
    <row r="5">
      <c r="A5" s="5">
        <f>"AV"&amp;B5&amp;C5</f>
        <v/>
      </c>
      <c r="B5" t="inlineStr">
        <is>
          <t>00</t>
        </is>
      </c>
      <c r="C5" t="inlineStr">
        <is>
          <t>B</t>
        </is>
      </c>
      <c r="D5" s="4" t="inlineStr">
        <is>
          <t>Y</t>
        </is>
      </c>
      <c r="E5" s="4" t="inlineStr">
        <is>
          <t>Y</t>
        </is>
      </c>
      <c r="F5" s="4" t="inlineStr">
        <is>
          <t>6 Oct 2026: TikTok 08:15, WhatsApp Status 08:20 (SAST)</t>
        </is>
      </c>
      <c r="G5" s="4" t="n"/>
      <c r="H5" s="4" t="n"/>
      <c r="I5" s="4" t="n"/>
      <c r="J5" s="4" t="n"/>
      <c r="K5" s="5" t="n"/>
      <c r="L5" s="4" t="n">
        <v>1</v>
      </c>
      <c r="M5" s="4" t="n">
        <v>0</v>
      </c>
      <c r="N5" s="4" t="n">
        <v>90</v>
      </c>
      <c r="O5" s="4" t="inlineStr">
        <is>
          <t>Kokoro-82M bf_emma (Apache 2.0) + assemble_video.py (ffmpeg)</t>
        </is>
      </c>
      <c r="P5" s="4" t="inlineStr">
        <is>
          <t>Posted first, against the planned C, A, B order. Views/conversations/orders due 72 h after post (9 Oct, ~08:20). TikTok posted via Higgsfield connector with 'Your brand' and AI-content labels.</t>
        </is>
      </c>
      <c r="Q5" s="5" t="n">
        <v>0</v>
      </c>
    </row>
    <row r="6">
      <c r="A6" s="5">
        <f>"AV"&amp;B6&amp;C6</f>
        <v/>
      </c>
      <c r="B6" t="inlineStr">
        <is>
          <t>00</t>
        </is>
      </c>
      <c r="C6" t="inlineStr">
        <is>
          <t>C</t>
        </is>
      </c>
      <c r="D6" s="4" t="inlineStr">
        <is>
          <t>N</t>
        </is>
      </c>
      <c r="E6" s="4" t="inlineStr">
        <is>
          <t>N</t>
        </is>
      </c>
      <c r="F6" s="4" t="n"/>
      <c r="G6" s="4" t="n"/>
      <c r="H6" s="4" t="n"/>
      <c r="I6" s="4" t="n"/>
      <c r="J6" s="4" t="n"/>
      <c r="K6" s="5" t="n"/>
      <c r="L6" s="4" t="n">
        <v>0</v>
      </c>
      <c r="M6" s="4" t="n">
        <v>0</v>
      </c>
      <c r="N6" s="4" t="n">
        <v>0</v>
      </c>
      <c r="O6" s="4" t="n"/>
      <c r="P6" s="4" t="inlineStr">
        <is>
          <t>Owner didn't film.</t>
        </is>
      </c>
      <c r="Q6" s="5" t="n">
        <v>0</v>
      </c>
    </row>
    <row r="7">
      <c r="A7" s="5">
        <f>"AV"&amp;B7&amp;C7</f>
        <v/>
      </c>
      <c r="B7" t="inlineStr">
        <is>
          <t>01</t>
        </is>
      </c>
      <c r="C7" t="inlineStr">
        <is>
          <t>A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5" t="n">
        <v>1</v>
      </c>
    </row>
    <row r="8">
      <c r="A8" s="5">
        <f>"AV"&amp;B8&amp;C8</f>
        <v/>
      </c>
      <c r="B8" t="inlineStr">
        <is>
          <t>01</t>
        </is>
      </c>
      <c r="C8" t="inlineStr">
        <is>
          <t>B</t>
        </is>
      </c>
      <c r="D8" s="4" t="n"/>
      <c r="E8" s="4" t="n"/>
      <c r="F8" s="4" t="n"/>
      <c r="G8" s="4" t="n"/>
      <c r="H8" s="4" t="n"/>
      <c r="I8" s="4" t="n"/>
      <c r="J8" s="4" t="n"/>
      <c r="K8" s="5" t="n"/>
      <c r="L8" s="4" t="n"/>
      <c r="M8" s="4" t="n"/>
      <c r="N8" s="4" t="n"/>
      <c r="O8" s="4" t="n"/>
      <c r="P8" s="4" t="n"/>
      <c r="Q8" s="5" t="n">
        <v>1</v>
      </c>
    </row>
    <row r="9">
      <c r="A9" s="5">
        <f>"AV"&amp;B9&amp;C9</f>
        <v/>
      </c>
      <c r="B9" t="inlineStr">
        <is>
          <t>01</t>
        </is>
      </c>
      <c r="C9" t="inlineStr">
        <is>
          <t>C</t>
        </is>
      </c>
      <c r="D9" s="4" t="n"/>
      <c r="E9" s="4" t="n"/>
      <c r="F9" s="4" t="n"/>
      <c r="G9" s="4" t="n"/>
      <c r="H9" s="4" t="n"/>
      <c r="I9" s="4" t="n"/>
      <c r="J9" s="4" t="n"/>
      <c r="K9" s="5" t="n"/>
      <c r="L9" s="4" t="n"/>
      <c r="M9" s="4" t="n"/>
      <c r="N9" s="4" t="n"/>
      <c r="O9" s="4" t="n"/>
      <c r="P9" s="4" t="n"/>
      <c r="Q9" s="5" t="n">
        <v>1</v>
      </c>
    </row>
    <row r="10">
      <c r="A10" s="5">
        <f>"AV"&amp;B10&amp;C10</f>
        <v/>
      </c>
      <c r="B10" t="inlineStr">
        <is>
          <t>02</t>
        </is>
      </c>
      <c r="C10" t="inlineStr">
        <is>
          <t>A</t>
        </is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5" t="n">
        <v>1</v>
      </c>
    </row>
    <row r="11">
      <c r="A11" s="5">
        <f>"AV"&amp;B11&amp;C11</f>
        <v/>
      </c>
      <c r="B11" t="inlineStr">
        <is>
          <t>02</t>
        </is>
      </c>
      <c r="C11" t="inlineStr">
        <is>
          <t>B</t>
        </is>
      </c>
      <c r="D11" s="4" t="n"/>
      <c r="E11" s="4" t="n"/>
      <c r="F11" s="4" t="n"/>
      <c r="G11" s="4" t="n"/>
      <c r="H11" s="4" t="n"/>
      <c r="I11" s="4" t="n"/>
      <c r="J11" s="4" t="n"/>
      <c r="K11" s="5" t="n"/>
      <c r="L11" s="4" t="n"/>
      <c r="M11" s="4" t="n"/>
      <c r="N11" s="4" t="n"/>
      <c r="O11" s="4" t="n"/>
      <c r="P11" s="4" t="n"/>
      <c r="Q11" s="5" t="n">
        <v>1</v>
      </c>
    </row>
    <row r="12">
      <c r="A12" s="5">
        <f>"AV"&amp;B12&amp;C12</f>
        <v/>
      </c>
      <c r="B12" t="inlineStr">
        <is>
          <t>02</t>
        </is>
      </c>
      <c r="C12" t="inlineStr">
        <is>
          <t>C</t>
        </is>
      </c>
      <c r="D12" s="4" t="n"/>
      <c r="E12" s="4" t="n"/>
      <c r="F12" s="4" t="n"/>
      <c r="G12" s="4" t="n"/>
      <c r="H12" s="4" t="n"/>
      <c r="I12" s="4" t="n"/>
      <c r="J12" s="4" t="n"/>
      <c r="K12" s="5" t="n"/>
      <c r="L12" s="4" t="n"/>
      <c r="M12" s="4" t="n"/>
      <c r="N12" s="4" t="n"/>
      <c r="O12" s="4" t="n"/>
      <c r="P12" s="4" t="n"/>
      <c r="Q12" s="5" t="n">
        <v>1</v>
      </c>
    </row>
    <row r="13">
      <c r="A13" s="5">
        <f>"AV"&amp;B13&amp;C13</f>
        <v/>
      </c>
      <c r="B13" t="inlineStr">
        <is>
          <t>03</t>
        </is>
      </c>
      <c r="C13" t="inlineStr">
        <is>
          <t>A</t>
        </is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5" t="n">
        <v>1</v>
      </c>
    </row>
    <row r="14">
      <c r="A14" s="5">
        <f>"AV"&amp;B14&amp;C14</f>
        <v/>
      </c>
      <c r="B14" t="inlineStr">
        <is>
          <t>03</t>
        </is>
      </c>
      <c r="C14" t="inlineStr">
        <is>
          <t>B</t>
        </is>
      </c>
      <c r="D14" s="4" t="n"/>
      <c r="E14" s="4" t="n"/>
      <c r="F14" s="4" t="n"/>
      <c r="G14" s="4" t="n"/>
      <c r="H14" s="4" t="n"/>
      <c r="I14" s="4" t="n"/>
      <c r="J14" s="4" t="n"/>
      <c r="K14" s="5" t="n"/>
      <c r="L14" s="4" t="n"/>
      <c r="M14" s="4" t="n"/>
      <c r="N14" s="4" t="n"/>
      <c r="O14" s="4" t="n"/>
      <c r="P14" s="4" t="n"/>
      <c r="Q14" s="5" t="n">
        <v>1</v>
      </c>
    </row>
    <row r="15">
      <c r="A15" s="5">
        <f>"AV"&amp;B15&amp;C15</f>
        <v/>
      </c>
      <c r="B15" t="inlineStr">
        <is>
          <t>03</t>
        </is>
      </c>
      <c r="C15" t="inlineStr">
        <is>
          <t>C</t>
        </is>
      </c>
      <c r="D15" s="4" t="n"/>
      <c r="E15" s="4" t="n"/>
      <c r="F15" s="4" t="n"/>
      <c r="G15" s="4" t="n"/>
      <c r="H15" s="4" t="n"/>
      <c r="I15" s="4" t="n"/>
      <c r="J15" s="4" t="n"/>
      <c r="K15" s="5" t="n"/>
      <c r="L15" s="4" t="n"/>
      <c r="M15" s="4" t="n"/>
      <c r="N15" s="4" t="n"/>
      <c r="O15" s="4" t="n"/>
      <c r="P15" s="4" t="n"/>
      <c r="Q15" s="5" t="n">
        <v>1</v>
      </c>
    </row>
    <row r="16">
      <c r="A16" s="5">
        <f>"AV"&amp;B16&amp;C16</f>
        <v/>
      </c>
      <c r="B16" t="inlineStr">
        <is>
          <t>04</t>
        </is>
      </c>
      <c r="C16" t="inlineStr">
        <is>
          <t>A</t>
        </is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5" t="n">
        <v>1</v>
      </c>
    </row>
    <row r="17">
      <c r="A17" s="5">
        <f>"AV"&amp;B17&amp;C17</f>
        <v/>
      </c>
      <c r="B17" t="inlineStr">
        <is>
          <t>04</t>
        </is>
      </c>
      <c r="C17" t="inlineStr">
        <is>
          <t>B</t>
        </is>
      </c>
      <c r="D17" s="4" t="n"/>
      <c r="E17" s="4" t="n"/>
      <c r="F17" s="4" t="n"/>
      <c r="G17" s="4" t="n"/>
      <c r="H17" s="4" t="n"/>
      <c r="I17" s="4" t="n"/>
      <c r="J17" s="4" t="n"/>
      <c r="K17" s="5" t="n"/>
      <c r="L17" s="4" t="n"/>
      <c r="M17" s="4" t="n"/>
      <c r="N17" s="4" t="n"/>
      <c r="O17" s="4" t="n"/>
      <c r="P17" s="4" t="n"/>
      <c r="Q17" s="5" t="n">
        <v>1</v>
      </c>
    </row>
    <row r="18">
      <c r="A18" s="5">
        <f>"AV"&amp;B18&amp;C18</f>
        <v/>
      </c>
      <c r="B18" t="inlineStr">
        <is>
          <t>04</t>
        </is>
      </c>
      <c r="C18" t="inlineStr">
        <is>
          <t>C</t>
        </is>
      </c>
      <c r="D18" s="4" t="n"/>
      <c r="E18" s="4" t="n"/>
      <c r="F18" s="4" t="n"/>
      <c r="G18" s="4" t="n"/>
      <c r="H18" s="4" t="n"/>
      <c r="I18" s="4" t="n"/>
      <c r="J18" s="4" t="n"/>
      <c r="K18" s="5" t="n"/>
      <c r="L18" s="4" t="n"/>
      <c r="M18" s="4" t="n"/>
      <c r="N18" s="4" t="n"/>
      <c r="O18" s="4" t="n"/>
      <c r="P18" s="4" t="n"/>
      <c r="Q18" s="5" t="n">
        <v>1</v>
      </c>
    </row>
    <row r="19">
      <c r="A19" s="5">
        <f>"AV"&amp;B19&amp;C19</f>
        <v/>
      </c>
      <c r="B19" t="inlineStr">
        <is>
          <t>05</t>
        </is>
      </c>
      <c r="C19" t="inlineStr">
        <is>
          <t>A</t>
        </is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5" t="n">
        <v>1</v>
      </c>
    </row>
    <row r="20">
      <c r="A20" s="5">
        <f>"AV"&amp;B20&amp;C20</f>
        <v/>
      </c>
      <c r="B20" t="inlineStr">
        <is>
          <t>05</t>
        </is>
      </c>
      <c r="C20" t="inlineStr">
        <is>
          <t>B</t>
        </is>
      </c>
      <c r="D20" s="4" t="n"/>
      <c r="E20" s="4" t="n"/>
      <c r="F20" s="4" t="n"/>
      <c r="G20" s="4" t="n"/>
      <c r="H20" s="4" t="n"/>
      <c r="I20" s="4" t="n"/>
      <c r="J20" s="4" t="n"/>
      <c r="K20" s="5" t="n"/>
      <c r="L20" s="4" t="n"/>
      <c r="M20" s="4" t="n"/>
      <c r="N20" s="4" t="n"/>
      <c r="O20" s="4" t="n"/>
      <c r="P20" s="4" t="n"/>
      <c r="Q20" s="5" t="n">
        <v>1</v>
      </c>
    </row>
    <row r="21">
      <c r="A21" s="5">
        <f>"AV"&amp;B21&amp;C21</f>
        <v/>
      </c>
      <c r="B21" t="inlineStr">
        <is>
          <t>05</t>
        </is>
      </c>
      <c r="C21" t="inlineStr">
        <is>
          <t>C</t>
        </is>
      </c>
      <c r="D21" s="4" t="n"/>
      <c r="E21" s="4" t="n"/>
      <c r="F21" s="4" t="n"/>
      <c r="G21" s="4" t="n"/>
      <c r="H21" s="4" t="n"/>
      <c r="I21" s="4" t="n"/>
      <c r="J21" s="4" t="n"/>
      <c r="K21" s="5" t="n"/>
      <c r="L21" s="4" t="n"/>
      <c r="M21" s="4" t="n"/>
      <c r="N21" s="4" t="n"/>
      <c r="O21" s="4" t="n"/>
      <c r="P21" s="4" t="n"/>
      <c r="Q21" s="5" t="n">
        <v>1</v>
      </c>
    </row>
    <row r="22">
      <c r="A22" s="5">
        <f>"AV"&amp;B22&amp;C22</f>
        <v/>
      </c>
      <c r="B22" t="inlineStr">
        <is>
          <t>06</t>
        </is>
      </c>
      <c r="C22" t="inlineStr">
        <is>
          <t>A</t>
        </is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5" t="n">
        <v>1</v>
      </c>
    </row>
    <row r="23">
      <c r="A23" s="5">
        <f>"AV"&amp;B23&amp;C23</f>
        <v/>
      </c>
      <c r="B23" t="inlineStr">
        <is>
          <t>06</t>
        </is>
      </c>
      <c r="C23" t="inlineStr">
        <is>
          <t>B</t>
        </is>
      </c>
      <c r="D23" s="4" t="n"/>
      <c r="E23" s="4" t="n"/>
      <c r="F23" s="4" t="n"/>
      <c r="G23" s="4" t="n"/>
      <c r="H23" s="4" t="n"/>
      <c r="I23" s="4" t="n"/>
      <c r="J23" s="4" t="n"/>
      <c r="K23" s="5" t="n"/>
      <c r="L23" s="4" t="n"/>
      <c r="M23" s="4" t="n"/>
      <c r="N23" s="4" t="n"/>
      <c r="O23" s="4" t="n"/>
      <c r="P23" s="4" t="n"/>
      <c r="Q23" s="5" t="n">
        <v>1</v>
      </c>
    </row>
    <row r="24">
      <c r="A24" s="5">
        <f>"AV"&amp;B24&amp;C24</f>
        <v/>
      </c>
      <c r="B24" t="inlineStr">
        <is>
          <t>06</t>
        </is>
      </c>
      <c r="C24" t="inlineStr">
        <is>
          <t>C</t>
        </is>
      </c>
      <c r="D24" s="4" t="n"/>
      <c r="E24" s="4" t="n"/>
      <c r="F24" s="4" t="n"/>
      <c r="G24" s="4" t="n"/>
      <c r="H24" s="4" t="n"/>
      <c r="I24" s="4" t="n"/>
      <c r="J24" s="4" t="n"/>
      <c r="K24" s="5" t="n"/>
      <c r="L24" s="4" t="n"/>
      <c r="M24" s="4" t="n"/>
      <c r="N24" s="4" t="n"/>
      <c r="O24" s="4" t="n"/>
      <c r="P24" s="4" t="n"/>
      <c r="Q24" s="5" t="n">
        <v>1</v>
      </c>
    </row>
    <row r="25">
      <c r="A25" s="5">
        <f>"AV"&amp;B25&amp;C25</f>
        <v/>
      </c>
      <c r="B25" t="inlineStr">
        <is>
          <t>07</t>
        </is>
      </c>
      <c r="C25" t="inlineStr">
        <is>
          <t>A</t>
        </is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5" t="n">
        <v>1</v>
      </c>
    </row>
    <row r="26">
      <c r="A26" s="5">
        <f>"AV"&amp;B26&amp;C26</f>
        <v/>
      </c>
      <c r="B26" t="inlineStr">
        <is>
          <t>07</t>
        </is>
      </c>
      <c r="C26" t="inlineStr">
        <is>
          <t>B</t>
        </is>
      </c>
      <c r="D26" s="4" t="n"/>
      <c r="E26" s="4" t="n"/>
      <c r="F26" s="4" t="n"/>
      <c r="G26" s="4" t="n"/>
      <c r="H26" s="4" t="n"/>
      <c r="I26" s="4" t="n"/>
      <c r="J26" s="4" t="n"/>
      <c r="K26" s="5" t="n"/>
      <c r="L26" s="4" t="n"/>
      <c r="M26" s="4" t="n"/>
      <c r="N26" s="4" t="n"/>
      <c r="O26" s="4" t="n"/>
      <c r="P26" s="4" t="n"/>
      <c r="Q26" s="5" t="n">
        <v>1</v>
      </c>
    </row>
    <row r="27">
      <c r="A27" s="5">
        <f>"AV"&amp;B27&amp;C27</f>
        <v/>
      </c>
      <c r="B27" t="inlineStr">
        <is>
          <t>07</t>
        </is>
      </c>
      <c r="C27" t="inlineStr">
        <is>
          <t>C</t>
        </is>
      </c>
      <c r="D27" s="4" t="n"/>
      <c r="E27" s="4" t="n"/>
      <c r="F27" s="4" t="n"/>
      <c r="G27" s="4" t="n"/>
      <c r="H27" s="4" t="n"/>
      <c r="I27" s="4" t="n"/>
      <c r="J27" s="4" t="n"/>
      <c r="K27" s="5" t="n"/>
      <c r="L27" s="4" t="n"/>
      <c r="M27" s="4" t="n"/>
      <c r="N27" s="4" t="n"/>
      <c r="O27" s="4" t="n"/>
      <c r="P27" s="4" t="n"/>
      <c r="Q27" s="5" t="n">
        <v>1</v>
      </c>
    </row>
    <row r="28">
      <c r="A28" s="5">
        <f>"AV"&amp;B28&amp;C28</f>
        <v/>
      </c>
      <c r="B28" t="inlineStr">
        <is>
          <t>08</t>
        </is>
      </c>
      <c r="C28" t="inlineStr">
        <is>
          <t>A</t>
        </is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5" t="n">
        <v>1</v>
      </c>
    </row>
    <row r="29">
      <c r="A29" s="5">
        <f>"AV"&amp;B29&amp;C29</f>
        <v/>
      </c>
      <c r="B29" t="inlineStr">
        <is>
          <t>08</t>
        </is>
      </c>
      <c r="C29" t="inlineStr">
        <is>
          <t>B</t>
        </is>
      </c>
      <c r="D29" s="4" t="n"/>
      <c r="E29" s="4" t="n"/>
      <c r="F29" s="4" t="n"/>
      <c r="G29" s="4" t="n"/>
      <c r="H29" s="4" t="n"/>
      <c r="I29" s="4" t="n"/>
      <c r="J29" s="4" t="n"/>
      <c r="K29" s="5" t="n"/>
      <c r="L29" s="4" t="n"/>
      <c r="M29" s="4" t="n"/>
      <c r="N29" s="4" t="n"/>
      <c r="O29" s="4" t="n"/>
      <c r="P29" s="4" t="n"/>
      <c r="Q29" s="5" t="n">
        <v>1</v>
      </c>
    </row>
    <row r="30">
      <c r="A30" s="5">
        <f>"AV"&amp;B30&amp;C30</f>
        <v/>
      </c>
      <c r="B30" t="inlineStr">
        <is>
          <t>08</t>
        </is>
      </c>
      <c r="C30" t="inlineStr">
        <is>
          <t>C</t>
        </is>
      </c>
      <c r="D30" s="4" t="n"/>
      <c r="E30" s="4" t="n"/>
      <c r="F30" s="4" t="n"/>
      <c r="G30" s="4" t="n"/>
      <c r="H30" s="4" t="n"/>
      <c r="I30" s="4" t="n"/>
      <c r="J30" s="4" t="n"/>
      <c r="K30" s="5" t="n"/>
      <c r="L30" s="4" t="n"/>
      <c r="M30" s="4" t="n"/>
      <c r="N30" s="4" t="n"/>
      <c r="O30" s="4" t="n"/>
      <c r="P30" s="4" t="n"/>
      <c r="Q30" s="5" t="n">
        <v>1</v>
      </c>
    </row>
    <row r="31">
      <c r="A31" s="5">
        <f>"AV"&amp;B31&amp;C31</f>
        <v/>
      </c>
      <c r="B31" t="inlineStr">
        <is>
          <t>09</t>
        </is>
      </c>
      <c r="C31" t="inlineStr">
        <is>
          <t>A</t>
        </is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5" t="n">
        <v>1</v>
      </c>
    </row>
    <row r="32">
      <c r="A32" s="5">
        <f>"AV"&amp;B32&amp;C32</f>
        <v/>
      </c>
      <c r="B32" t="inlineStr">
        <is>
          <t>09</t>
        </is>
      </c>
      <c r="C32" t="inlineStr">
        <is>
          <t>B</t>
        </is>
      </c>
      <c r="D32" s="4" t="n"/>
      <c r="E32" s="4" t="n"/>
      <c r="F32" s="4" t="n"/>
      <c r="G32" s="4" t="n"/>
      <c r="H32" s="4" t="n"/>
      <c r="I32" s="4" t="n"/>
      <c r="J32" s="4" t="n"/>
      <c r="K32" s="5" t="n"/>
      <c r="L32" s="4" t="n"/>
      <c r="M32" s="4" t="n"/>
      <c r="N32" s="4" t="n"/>
      <c r="O32" s="4" t="n"/>
      <c r="P32" s="4" t="n"/>
      <c r="Q32" s="5" t="n">
        <v>1</v>
      </c>
    </row>
    <row r="33">
      <c r="A33" s="5">
        <f>"AV"&amp;B33&amp;C33</f>
        <v/>
      </c>
      <c r="B33" t="inlineStr">
        <is>
          <t>09</t>
        </is>
      </c>
      <c r="C33" t="inlineStr">
        <is>
          <t>C</t>
        </is>
      </c>
      <c r="D33" s="4" t="n"/>
      <c r="E33" s="4" t="n"/>
      <c r="F33" s="4" t="n"/>
      <c r="G33" s="4" t="n"/>
      <c r="H33" s="4" t="n"/>
      <c r="I33" s="4" t="n"/>
      <c r="J33" s="4" t="n"/>
      <c r="K33" s="5" t="n"/>
      <c r="L33" s="4" t="n"/>
      <c r="M33" s="4" t="n"/>
      <c r="N33" s="4" t="n"/>
      <c r="O33" s="4" t="n"/>
      <c r="P33" s="4" t="n"/>
      <c r="Q33" s="5" t="n">
        <v>1</v>
      </c>
    </row>
    <row r="34">
      <c r="A34" s="5">
        <f>"AV"&amp;B34&amp;C34</f>
        <v/>
      </c>
      <c r="B34" t="inlineStr">
        <is>
          <t>10</t>
        </is>
      </c>
      <c r="C34" t="inlineStr">
        <is>
          <t>A</t>
        </is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5" t="n">
        <v>1</v>
      </c>
    </row>
    <row r="35">
      <c r="A35" s="5">
        <f>"AV"&amp;B35&amp;C35</f>
        <v/>
      </c>
      <c r="B35" t="inlineStr">
        <is>
          <t>10</t>
        </is>
      </c>
      <c r="C35" t="inlineStr">
        <is>
          <t>B</t>
        </is>
      </c>
      <c r="D35" s="4" t="n"/>
      <c r="E35" s="4" t="n"/>
      <c r="F35" s="4" t="n"/>
      <c r="G35" s="4" t="n"/>
      <c r="H35" s="4" t="n"/>
      <c r="I35" s="4" t="n"/>
      <c r="J35" s="4" t="n"/>
      <c r="K35" s="5" t="n"/>
      <c r="L35" s="4" t="n"/>
      <c r="M35" s="4" t="n"/>
      <c r="N35" s="4" t="n"/>
      <c r="O35" s="4" t="n"/>
      <c r="P35" s="4" t="n"/>
      <c r="Q35" s="5" t="n">
        <v>1</v>
      </c>
    </row>
    <row r="36">
      <c r="A36" s="5">
        <f>"AV"&amp;B36&amp;C36</f>
        <v/>
      </c>
      <c r="B36" t="inlineStr">
        <is>
          <t>10</t>
        </is>
      </c>
      <c r="C36" t="inlineStr">
        <is>
          <t>C</t>
        </is>
      </c>
      <c r="D36" s="4" t="n"/>
      <c r="E36" s="4" t="n"/>
      <c r="F36" s="4" t="n"/>
      <c r="G36" s="4" t="n"/>
      <c r="H36" s="4" t="n"/>
      <c r="I36" s="4" t="n"/>
      <c r="J36" s="4" t="n"/>
      <c r="K36" s="5" t="n"/>
      <c r="L36" s="4" t="n"/>
      <c r="M36" s="4" t="n"/>
      <c r="N36" s="4" t="n"/>
      <c r="O36" s="4" t="n"/>
      <c r="P36" s="4" t="n"/>
      <c r="Q36" s="5" t="n">
        <v>1</v>
      </c>
    </row>
  </sheetData>
  <dataValidations count="2">
    <dataValidation sqref="D4:E36" showDropDown="0" showInputMessage="0" showErrorMessage="0" allowBlank="1" type="list">
      <formula1>"Y,N"</formula1>
    </dataValidation>
    <dataValidation sqref="K4:K36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8" customWidth="1" min="2" max="2"/>
    <col width="14" customWidth="1" min="3" max="3"/>
    <col width="14" customWidth="1" min="4" max="4"/>
    <col width="44" customWidth="1" min="5" max="5"/>
  </cols>
  <sheetData>
    <row r="1">
      <c r="A1" s="1" t="inlineStr">
        <is>
          <t>Voice check (before any video)</t>
        </is>
      </c>
    </row>
    <row r="2">
      <c r="A2" s="2" t="inlineStr">
        <is>
          <t>South African English and Afrikaans, rated by a fluent speaker: natural / OK / poor / not available. Other languages are deferred to later sprints. Script: Production_Prompts.md §2.</t>
        </is>
      </c>
    </row>
    <row r="3" ht="32" customHeight="1">
      <c r="A3" s="3" t="inlineStr">
        <is>
          <t>Tool / model</t>
        </is>
      </c>
      <c r="B3" s="3" t="inlineStr">
        <is>
          <t>South African English</t>
        </is>
      </c>
      <c r="C3" s="3" t="inlineStr">
        <is>
          <t>Afrikaans</t>
        </is>
      </c>
      <c r="D3" s="3" t="inlineStr">
        <is>
          <t>Rated by (initials)</t>
        </is>
      </c>
      <c r="E3" s="3" t="inlineStr">
        <is>
          <t>Notes</t>
        </is>
      </c>
    </row>
    <row r="4">
      <c r="A4" t="inlineStr">
        <is>
          <t>Higgsfield: ElevenLabs v4 (supports Afrikaans)</t>
        </is>
      </c>
      <c r="B4" s="4" t="n"/>
      <c r="C4" s="4" t="n"/>
      <c r="D4" s="4" t="n"/>
      <c r="E4" s="4" t="n"/>
    </row>
    <row r="5">
      <c r="A5" t="inlineStr">
        <is>
          <t>Higgsfield: Text to Speech v2 (MiniMax)</t>
        </is>
      </c>
      <c r="B5" s="4" t="n"/>
      <c r="C5" s="4" t="n"/>
      <c r="D5" s="4" t="n"/>
      <c r="E5" s="4" t="n"/>
    </row>
    <row r="6">
      <c r="A6" t="inlineStr">
        <is>
          <t>Google Cloud Text-to-Speech (af-ZA voices)</t>
        </is>
      </c>
      <c r="B6" s="4" t="n"/>
      <c r="C6" s="4" t="n"/>
      <c r="D6" s="4" t="n"/>
      <c r="E6" s="4" t="n"/>
    </row>
    <row r="7">
      <c r="A7" t="inlineStr">
        <is>
          <t>Meta MMS-TTS afr (Colab; internal check only, non-commercial)</t>
        </is>
      </c>
      <c r="B7" s="4" t="n"/>
      <c r="C7" s="4" t="n"/>
      <c r="D7" s="4" t="n"/>
      <c r="E7" s="4" t="n"/>
    </row>
    <row r="8">
      <c r="A8" t="inlineStr">
        <is>
          <t>Kokoro-82M (Colab; English only)</t>
        </is>
      </c>
      <c r="B8" s="4" t="n"/>
      <c r="C8" s="4" t="inlineStr">
        <is>
          <t>not available</t>
        </is>
      </c>
      <c r="D8" s="4" t="n"/>
      <c r="E8" s="4" t="n"/>
    </row>
    <row r="9">
      <c r="A9" t="inlineStr">
        <is>
          <t>Other:</t>
        </is>
      </c>
      <c r="B9" s="4" t="n"/>
      <c r="C9" s="4" t="n"/>
      <c r="D9" s="4" t="n"/>
      <c r="E9" s="4" t="n"/>
    </row>
  </sheetData>
  <dataValidations count="1">
    <dataValidation sqref="B4:C9" showDropDown="0" showInputMessage="0" showErrorMessage="0" allowBlank="1" type="list">
      <formula1>"natural,OK,poor,not available"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70" customWidth="1" min="3" max="3"/>
    <col width="60" customWidth="1" min="4" max="4"/>
    <col width="34" customWidth="1" min="5" max="5"/>
  </cols>
  <sheetData>
    <row r="1">
      <c r="A1" s="1" t="inlineStr">
        <is>
          <t>Tracking links and captions</t>
        </is>
      </c>
    </row>
    <row r="2">
      <c r="A2" s="2" t="inlineStr">
        <is>
          <t>Built from the Brands tab. See Tracking_Codes.md for how to count conversations.</t>
        </is>
      </c>
    </row>
    <row r="3" ht="32" customHeight="1">
      <c r="A3" s="3" t="inlineStr">
        <is>
          <t>Code</t>
        </is>
      </c>
      <c r="B3" s="3" t="inlineStr">
        <is>
          <t>Business</t>
        </is>
      </c>
      <c r="C3" s="3" t="inlineStr">
        <is>
          <t>wa.me link</t>
        </is>
      </c>
      <c r="D3" s="3" t="inlineStr">
        <is>
          <t>Caption line</t>
        </is>
      </c>
      <c r="E3" s="3" t="inlineStr">
        <is>
          <t>Fallback (no tappable link)</t>
        </is>
      </c>
    </row>
    <row r="4">
      <c r="A4" s="5">
        <f>"AV"&amp;"00"&amp;"A"</f>
        <v/>
      </c>
      <c r="B4" s="5">
        <f>Brands!B4</f>
        <v/>
      </c>
      <c r="C4" s="5">
        <f>IF(OR(Brands!G4="",Brands!B4=""),"(fill in the business name and number on Brands)","https://wa.me/"&amp;Brands!G4&amp;"?text="&amp;ENCODEURL("Hi "&amp;Brands!B4&amp;"! I saw your video ("&amp;A4&amp;")"))</f>
        <v/>
      </c>
      <c r="D4" s="5">
        <f>IF(LEFT(C4,5)="https","Tap to chat: "&amp;C4,"")</f>
        <v/>
      </c>
      <c r="E4" s="5">
        <f>"WhatsApp us '"&amp;A4&amp;"' to order"</f>
        <v/>
      </c>
    </row>
    <row r="5">
      <c r="A5" s="5">
        <f>"AV"&amp;"00"&amp;"B"</f>
        <v/>
      </c>
      <c r="B5" s="5">
        <f>Brands!B4</f>
        <v/>
      </c>
      <c r="C5" s="5">
        <f>IF(OR(Brands!G4="",Brands!B4=""),"(fill in the business name and number on Brands)","https://wa.me/"&amp;Brands!G4&amp;"?text="&amp;ENCODEURL("Hi "&amp;Brands!B4&amp;"! I saw your video ("&amp;A5&amp;")"))</f>
        <v/>
      </c>
      <c r="D5" s="5">
        <f>IF(LEFT(C5,5)="https","Tap to chat: "&amp;C5,"")</f>
        <v/>
      </c>
      <c r="E5" s="5">
        <f>"WhatsApp us '"&amp;A5&amp;"' to order"</f>
        <v/>
      </c>
    </row>
    <row r="6">
      <c r="A6" s="5">
        <f>"AV"&amp;"00"&amp;"C"</f>
        <v/>
      </c>
      <c r="B6" s="5">
        <f>Brands!B4</f>
        <v/>
      </c>
      <c r="C6" s="5">
        <f>IF(OR(Brands!G4="",Brands!B4=""),"(fill in the business name and number on Brands)","https://wa.me/"&amp;Brands!G4&amp;"?text="&amp;ENCODEURL("Hi "&amp;Brands!B4&amp;"! I saw your video ("&amp;A6&amp;")"))</f>
        <v/>
      </c>
      <c r="D6" s="5">
        <f>IF(LEFT(C6,5)="https","Tap to chat: "&amp;C6,"")</f>
        <v/>
      </c>
      <c r="E6" s="5">
        <f>"WhatsApp us '"&amp;A6&amp;"' to order"</f>
        <v/>
      </c>
    </row>
    <row r="7">
      <c r="A7" s="5">
        <f>"AV"&amp;"01"&amp;"A"</f>
        <v/>
      </c>
      <c r="B7" s="5">
        <f>Brands!B5</f>
        <v/>
      </c>
      <c r="C7" s="5">
        <f>IF(OR(Brands!G5="",Brands!B5=""),"(fill in the business name and number on Brands)","https://wa.me/"&amp;Brands!G5&amp;"?text="&amp;ENCODEURL("Hi "&amp;Brands!B5&amp;"! I saw your video ("&amp;A7&amp;")"))</f>
        <v/>
      </c>
      <c r="D7" s="5">
        <f>IF(LEFT(C7,5)="https","Tap to chat: "&amp;C7,"")</f>
        <v/>
      </c>
      <c r="E7" s="5">
        <f>"WhatsApp us '"&amp;A7&amp;"' to order"</f>
        <v/>
      </c>
    </row>
    <row r="8">
      <c r="A8" s="5">
        <f>"AV"&amp;"01"&amp;"B"</f>
        <v/>
      </c>
      <c r="B8" s="5">
        <f>Brands!B5</f>
        <v/>
      </c>
      <c r="C8" s="5">
        <f>IF(OR(Brands!G5="",Brands!B5=""),"(fill in the business name and number on Brands)","https://wa.me/"&amp;Brands!G5&amp;"?text="&amp;ENCODEURL("Hi "&amp;Brands!B5&amp;"! I saw your video ("&amp;A8&amp;")"))</f>
        <v/>
      </c>
      <c r="D8" s="5">
        <f>IF(LEFT(C8,5)="https","Tap to chat: "&amp;C8,"")</f>
        <v/>
      </c>
      <c r="E8" s="5">
        <f>"WhatsApp us '"&amp;A8&amp;"' to order"</f>
        <v/>
      </c>
    </row>
    <row r="9">
      <c r="A9" s="5">
        <f>"AV"&amp;"01"&amp;"C"</f>
        <v/>
      </c>
      <c r="B9" s="5">
        <f>Brands!B5</f>
        <v/>
      </c>
      <c r="C9" s="5">
        <f>IF(OR(Brands!G5="",Brands!B5=""),"(fill in the business name and number on Brands)","https://wa.me/"&amp;Brands!G5&amp;"?text="&amp;ENCODEURL("Hi "&amp;Brands!B5&amp;"! I saw your video ("&amp;A9&amp;")"))</f>
        <v/>
      </c>
      <c r="D9" s="5">
        <f>IF(LEFT(C9,5)="https","Tap to chat: "&amp;C9,"")</f>
        <v/>
      </c>
      <c r="E9" s="5">
        <f>"WhatsApp us '"&amp;A9&amp;"' to order"</f>
        <v/>
      </c>
    </row>
    <row r="10">
      <c r="A10" s="5">
        <f>"AV"&amp;"02"&amp;"A"</f>
        <v/>
      </c>
      <c r="B10" s="5">
        <f>Brands!B6</f>
        <v/>
      </c>
      <c r="C10" s="5">
        <f>IF(OR(Brands!G6="",Brands!B6=""),"(fill in the business name and number on Brands)","https://wa.me/"&amp;Brands!G6&amp;"?text="&amp;ENCODEURL("Hi "&amp;Brands!B6&amp;"! I saw your video ("&amp;A10&amp;")"))</f>
        <v/>
      </c>
      <c r="D10" s="5">
        <f>IF(LEFT(C10,5)="https","Tap to chat: "&amp;C10,"")</f>
        <v/>
      </c>
      <c r="E10" s="5">
        <f>"WhatsApp us '"&amp;A10&amp;"' to order"</f>
        <v/>
      </c>
    </row>
    <row r="11">
      <c r="A11" s="5">
        <f>"AV"&amp;"02"&amp;"B"</f>
        <v/>
      </c>
      <c r="B11" s="5">
        <f>Brands!B6</f>
        <v/>
      </c>
      <c r="C11" s="5">
        <f>IF(OR(Brands!G6="",Brands!B6=""),"(fill in the business name and number on Brands)","https://wa.me/"&amp;Brands!G6&amp;"?text="&amp;ENCODEURL("Hi "&amp;Brands!B6&amp;"! I saw your video ("&amp;A11&amp;")"))</f>
        <v/>
      </c>
      <c r="D11" s="5">
        <f>IF(LEFT(C11,5)="https","Tap to chat: "&amp;C11,"")</f>
        <v/>
      </c>
      <c r="E11" s="5">
        <f>"WhatsApp us '"&amp;A11&amp;"' to order"</f>
        <v/>
      </c>
    </row>
    <row r="12">
      <c r="A12" s="5">
        <f>"AV"&amp;"02"&amp;"C"</f>
        <v/>
      </c>
      <c r="B12" s="5">
        <f>Brands!B6</f>
        <v/>
      </c>
      <c r="C12" s="5">
        <f>IF(OR(Brands!G6="",Brands!B6=""),"(fill in the business name and number on Brands)","https://wa.me/"&amp;Brands!G6&amp;"?text="&amp;ENCODEURL("Hi "&amp;Brands!B6&amp;"! I saw your video ("&amp;A12&amp;")"))</f>
        <v/>
      </c>
      <c r="D12" s="5">
        <f>IF(LEFT(C12,5)="https","Tap to chat: "&amp;C12,"")</f>
        <v/>
      </c>
      <c r="E12" s="5">
        <f>"WhatsApp us '"&amp;A12&amp;"' to order"</f>
        <v/>
      </c>
    </row>
    <row r="13">
      <c r="A13" s="5">
        <f>"AV"&amp;"03"&amp;"A"</f>
        <v/>
      </c>
      <c r="B13" s="5">
        <f>Brands!B7</f>
        <v/>
      </c>
      <c r="C13" s="5">
        <f>IF(OR(Brands!G7="",Brands!B7=""),"(fill in the business name and number on Brands)","https://wa.me/"&amp;Brands!G7&amp;"?text="&amp;ENCODEURL("Hi "&amp;Brands!B7&amp;"! I saw your video ("&amp;A13&amp;")"))</f>
        <v/>
      </c>
      <c r="D13" s="5">
        <f>IF(LEFT(C13,5)="https","Tap to chat: "&amp;C13,"")</f>
        <v/>
      </c>
      <c r="E13" s="5">
        <f>"WhatsApp us '"&amp;A13&amp;"' to order"</f>
        <v/>
      </c>
    </row>
    <row r="14">
      <c r="A14" s="5">
        <f>"AV"&amp;"03"&amp;"B"</f>
        <v/>
      </c>
      <c r="B14" s="5">
        <f>Brands!B7</f>
        <v/>
      </c>
      <c r="C14" s="5">
        <f>IF(OR(Brands!G7="",Brands!B7=""),"(fill in the business name and number on Brands)","https://wa.me/"&amp;Brands!G7&amp;"?text="&amp;ENCODEURL("Hi "&amp;Brands!B7&amp;"! I saw your video ("&amp;A14&amp;")"))</f>
        <v/>
      </c>
      <c r="D14" s="5">
        <f>IF(LEFT(C14,5)="https","Tap to chat: "&amp;C14,"")</f>
        <v/>
      </c>
      <c r="E14" s="5">
        <f>"WhatsApp us '"&amp;A14&amp;"' to order"</f>
        <v/>
      </c>
    </row>
    <row r="15">
      <c r="A15" s="5">
        <f>"AV"&amp;"03"&amp;"C"</f>
        <v/>
      </c>
      <c r="B15" s="5">
        <f>Brands!B7</f>
        <v/>
      </c>
      <c r="C15" s="5">
        <f>IF(OR(Brands!G7="",Brands!B7=""),"(fill in the business name and number on Brands)","https://wa.me/"&amp;Brands!G7&amp;"?text="&amp;ENCODEURL("Hi "&amp;Brands!B7&amp;"! I saw your video ("&amp;A15&amp;")"))</f>
        <v/>
      </c>
      <c r="D15" s="5">
        <f>IF(LEFT(C15,5)="https","Tap to chat: "&amp;C15,"")</f>
        <v/>
      </c>
      <c r="E15" s="5">
        <f>"WhatsApp us '"&amp;A15&amp;"' to order"</f>
        <v/>
      </c>
    </row>
    <row r="16">
      <c r="A16" s="5">
        <f>"AV"&amp;"04"&amp;"A"</f>
        <v/>
      </c>
      <c r="B16" s="5">
        <f>Brands!B8</f>
        <v/>
      </c>
      <c r="C16" s="5">
        <f>IF(OR(Brands!G8="",Brands!B8=""),"(fill in the business name and number on Brands)","https://wa.me/"&amp;Brands!G8&amp;"?text="&amp;ENCODEURL("Hi "&amp;Brands!B8&amp;"! I saw your video ("&amp;A16&amp;")"))</f>
        <v/>
      </c>
      <c r="D16" s="5">
        <f>IF(LEFT(C16,5)="https","Tap to chat: "&amp;C16,"")</f>
        <v/>
      </c>
      <c r="E16" s="5">
        <f>"WhatsApp us '"&amp;A16&amp;"' to order"</f>
        <v/>
      </c>
    </row>
    <row r="17">
      <c r="A17" s="5">
        <f>"AV"&amp;"04"&amp;"B"</f>
        <v/>
      </c>
      <c r="B17" s="5">
        <f>Brands!B8</f>
        <v/>
      </c>
      <c r="C17" s="5">
        <f>IF(OR(Brands!G8="",Brands!B8=""),"(fill in the business name and number on Brands)","https://wa.me/"&amp;Brands!G8&amp;"?text="&amp;ENCODEURL("Hi "&amp;Brands!B8&amp;"! I saw your video ("&amp;A17&amp;")"))</f>
        <v/>
      </c>
      <c r="D17" s="5">
        <f>IF(LEFT(C17,5)="https","Tap to chat: "&amp;C17,"")</f>
        <v/>
      </c>
      <c r="E17" s="5">
        <f>"WhatsApp us '"&amp;A17&amp;"' to order"</f>
        <v/>
      </c>
    </row>
    <row r="18">
      <c r="A18" s="5">
        <f>"AV"&amp;"04"&amp;"C"</f>
        <v/>
      </c>
      <c r="B18" s="5">
        <f>Brands!B8</f>
        <v/>
      </c>
      <c r="C18" s="5">
        <f>IF(OR(Brands!G8="",Brands!B8=""),"(fill in the business name and number on Brands)","https://wa.me/"&amp;Brands!G8&amp;"?text="&amp;ENCODEURL("Hi "&amp;Brands!B8&amp;"! I saw your video ("&amp;A18&amp;")"))</f>
        <v/>
      </c>
      <c r="D18" s="5">
        <f>IF(LEFT(C18,5)="https","Tap to chat: "&amp;C18,"")</f>
        <v/>
      </c>
      <c r="E18" s="5">
        <f>"WhatsApp us '"&amp;A18&amp;"' to order"</f>
        <v/>
      </c>
    </row>
    <row r="19">
      <c r="A19" s="5">
        <f>"AV"&amp;"05"&amp;"A"</f>
        <v/>
      </c>
      <c r="B19" s="5">
        <f>Brands!B9</f>
        <v/>
      </c>
      <c r="C19" s="5">
        <f>IF(OR(Brands!G9="",Brands!B9=""),"(fill in the business name and number on Brands)","https://wa.me/"&amp;Brands!G9&amp;"?text="&amp;ENCODEURL("Hi "&amp;Brands!B9&amp;"! I saw your video ("&amp;A19&amp;")"))</f>
        <v/>
      </c>
      <c r="D19" s="5">
        <f>IF(LEFT(C19,5)="https","Tap to chat: "&amp;C19,"")</f>
        <v/>
      </c>
      <c r="E19" s="5">
        <f>"WhatsApp us '"&amp;A19&amp;"' to order"</f>
        <v/>
      </c>
    </row>
    <row r="20">
      <c r="A20" s="5">
        <f>"AV"&amp;"05"&amp;"B"</f>
        <v/>
      </c>
      <c r="B20" s="5">
        <f>Brands!B9</f>
        <v/>
      </c>
      <c r="C20" s="5">
        <f>IF(OR(Brands!G9="",Brands!B9=""),"(fill in the business name and number on Brands)","https://wa.me/"&amp;Brands!G9&amp;"?text="&amp;ENCODEURL("Hi "&amp;Brands!B9&amp;"! I saw your video ("&amp;A20&amp;")"))</f>
        <v/>
      </c>
      <c r="D20" s="5">
        <f>IF(LEFT(C20,5)="https","Tap to chat: "&amp;C20,"")</f>
        <v/>
      </c>
      <c r="E20" s="5">
        <f>"WhatsApp us '"&amp;A20&amp;"' to order"</f>
        <v/>
      </c>
    </row>
    <row r="21">
      <c r="A21" s="5">
        <f>"AV"&amp;"05"&amp;"C"</f>
        <v/>
      </c>
      <c r="B21" s="5">
        <f>Brands!B9</f>
        <v/>
      </c>
      <c r="C21" s="5">
        <f>IF(OR(Brands!G9="",Brands!B9=""),"(fill in the business name and number on Brands)","https://wa.me/"&amp;Brands!G9&amp;"?text="&amp;ENCODEURL("Hi "&amp;Brands!B9&amp;"! I saw your video ("&amp;A21&amp;")"))</f>
        <v/>
      </c>
      <c r="D21" s="5">
        <f>IF(LEFT(C21,5)="https","Tap to chat: "&amp;C21,"")</f>
        <v/>
      </c>
      <c r="E21" s="5">
        <f>"WhatsApp us '"&amp;A21&amp;"' to order"</f>
        <v/>
      </c>
    </row>
    <row r="22">
      <c r="A22" s="5">
        <f>"AV"&amp;"06"&amp;"A"</f>
        <v/>
      </c>
      <c r="B22" s="5">
        <f>Brands!B10</f>
        <v/>
      </c>
      <c r="C22" s="5">
        <f>IF(OR(Brands!G10="",Brands!B10=""),"(fill in the business name and number on Brands)","https://wa.me/"&amp;Brands!G10&amp;"?text="&amp;ENCODEURL("Hi "&amp;Brands!B10&amp;"! I saw your video ("&amp;A22&amp;")"))</f>
        <v/>
      </c>
      <c r="D22" s="5">
        <f>IF(LEFT(C22,5)="https","Tap to chat: "&amp;C22,"")</f>
        <v/>
      </c>
      <c r="E22" s="5">
        <f>"WhatsApp us '"&amp;A22&amp;"' to order"</f>
        <v/>
      </c>
    </row>
    <row r="23">
      <c r="A23" s="5">
        <f>"AV"&amp;"06"&amp;"B"</f>
        <v/>
      </c>
      <c r="B23" s="5">
        <f>Brands!B10</f>
        <v/>
      </c>
      <c r="C23" s="5">
        <f>IF(OR(Brands!G10="",Brands!B10=""),"(fill in the business name and number on Brands)","https://wa.me/"&amp;Brands!G10&amp;"?text="&amp;ENCODEURL("Hi "&amp;Brands!B10&amp;"! I saw your video ("&amp;A23&amp;")"))</f>
        <v/>
      </c>
      <c r="D23" s="5">
        <f>IF(LEFT(C23,5)="https","Tap to chat: "&amp;C23,"")</f>
        <v/>
      </c>
      <c r="E23" s="5">
        <f>"WhatsApp us '"&amp;A23&amp;"' to order"</f>
        <v/>
      </c>
    </row>
    <row r="24">
      <c r="A24" s="5">
        <f>"AV"&amp;"06"&amp;"C"</f>
        <v/>
      </c>
      <c r="B24" s="5">
        <f>Brands!B10</f>
        <v/>
      </c>
      <c r="C24" s="5">
        <f>IF(OR(Brands!G10="",Brands!B10=""),"(fill in the business name and number on Brands)","https://wa.me/"&amp;Brands!G10&amp;"?text="&amp;ENCODEURL("Hi "&amp;Brands!B10&amp;"! I saw your video ("&amp;A24&amp;")"))</f>
        <v/>
      </c>
      <c r="D24" s="5">
        <f>IF(LEFT(C24,5)="https","Tap to chat: "&amp;C24,"")</f>
        <v/>
      </c>
      <c r="E24" s="5">
        <f>"WhatsApp us '"&amp;A24&amp;"' to order"</f>
        <v/>
      </c>
    </row>
    <row r="25">
      <c r="A25" s="5">
        <f>"AV"&amp;"07"&amp;"A"</f>
        <v/>
      </c>
      <c r="B25" s="5">
        <f>Brands!B11</f>
        <v/>
      </c>
      <c r="C25" s="5">
        <f>IF(OR(Brands!G11="",Brands!B11=""),"(fill in the business name and number on Brands)","https://wa.me/"&amp;Brands!G11&amp;"?text="&amp;ENCODEURL("Hi "&amp;Brands!B11&amp;"! I saw your video ("&amp;A25&amp;")"))</f>
        <v/>
      </c>
      <c r="D25" s="5">
        <f>IF(LEFT(C25,5)="https","Tap to chat: "&amp;C25,"")</f>
        <v/>
      </c>
      <c r="E25" s="5">
        <f>"WhatsApp us '"&amp;A25&amp;"' to order"</f>
        <v/>
      </c>
    </row>
    <row r="26">
      <c r="A26" s="5">
        <f>"AV"&amp;"07"&amp;"B"</f>
        <v/>
      </c>
      <c r="B26" s="5">
        <f>Brands!B11</f>
        <v/>
      </c>
      <c r="C26" s="5">
        <f>IF(OR(Brands!G11="",Brands!B11=""),"(fill in the business name and number on Brands)","https://wa.me/"&amp;Brands!G11&amp;"?text="&amp;ENCODEURL("Hi "&amp;Brands!B11&amp;"! I saw your video ("&amp;A26&amp;")"))</f>
        <v/>
      </c>
      <c r="D26" s="5">
        <f>IF(LEFT(C26,5)="https","Tap to chat: "&amp;C26,"")</f>
        <v/>
      </c>
      <c r="E26" s="5">
        <f>"WhatsApp us '"&amp;A26&amp;"' to order"</f>
        <v/>
      </c>
    </row>
    <row r="27">
      <c r="A27" s="5">
        <f>"AV"&amp;"07"&amp;"C"</f>
        <v/>
      </c>
      <c r="B27" s="5">
        <f>Brands!B11</f>
        <v/>
      </c>
      <c r="C27" s="5">
        <f>IF(OR(Brands!G11="",Brands!B11=""),"(fill in the business name and number on Brands)","https://wa.me/"&amp;Brands!G11&amp;"?text="&amp;ENCODEURL("Hi "&amp;Brands!B11&amp;"! I saw your video ("&amp;A27&amp;")"))</f>
        <v/>
      </c>
      <c r="D27" s="5">
        <f>IF(LEFT(C27,5)="https","Tap to chat: "&amp;C27,"")</f>
        <v/>
      </c>
      <c r="E27" s="5">
        <f>"WhatsApp us '"&amp;A27&amp;"' to order"</f>
        <v/>
      </c>
    </row>
    <row r="28">
      <c r="A28" s="5">
        <f>"AV"&amp;"08"&amp;"A"</f>
        <v/>
      </c>
      <c r="B28" s="5">
        <f>Brands!B12</f>
        <v/>
      </c>
      <c r="C28" s="5">
        <f>IF(OR(Brands!G12="",Brands!B12=""),"(fill in the business name and number on Brands)","https://wa.me/"&amp;Brands!G12&amp;"?text="&amp;ENCODEURL("Hi "&amp;Brands!B12&amp;"! I saw your video ("&amp;A28&amp;")"))</f>
        <v/>
      </c>
      <c r="D28" s="5">
        <f>IF(LEFT(C28,5)="https","Tap to chat: "&amp;C28,"")</f>
        <v/>
      </c>
      <c r="E28" s="5">
        <f>"WhatsApp us '"&amp;A28&amp;"' to order"</f>
        <v/>
      </c>
    </row>
    <row r="29">
      <c r="A29" s="5">
        <f>"AV"&amp;"08"&amp;"B"</f>
        <v/>
      </c>
      <c r="B29" s="5">
        <f>Brands!B12</f>
        <v/>
      </c>
      <c r="C29" s="5">
        <f>IF(OR(Brands!G12="",Brands!B12=""),"(fill in the business name and number on Brands)","https://wa.me/"&amp;Brands!G12&amp;"?text="&amp;ENCODEURL("Hi "&amp;Brands!B12&amp;"! I saw your video ("&amp;A29&amp;")"))</f>
        <v/>
      </c>
      <c r="D29" s="5">
        <f>IF(LEFT(C29,5)="https","Tap to chat: "&amp;C29,"")</f>
        <v/>
      </c>
      <c r="E29" s="5">
        <f>"WhatsApp us '"&amp;A29&amp;"' to order"</f>
        <v/>
      </c>
    </row>
    <row r="30">
      <c r="A30" s="5">
        <f>"AV"&amp;"08"&amp;"C"</f>
        <v/>
      </c>
      <c r="B30" s="5">
        <f>Brands!B12</f>
        <v/>
      </c>
      <c r="C30" s="5">
        <f>IF(OR(Brands!G12="",Brands!B12=""),"(fill in the business name and number on Brands)","https://wa.me/"&amp;Brands!G12&amp;"?text="&amp;ENCODEURL("Hi "&amp;Brands!B12&amp;"! I saw your video ("&amp;A30&amp;")"))</f>
        <v/>
      </c>
      <c r="D30" s="5">
        <f>IF(LEFT(C30,5)="https","Tap to chat: "&amp;C30,"")</f>
        <v/>
      </c>
      <c r="E30" s="5">
        <f>"WhatsApp us '"&amp;A30&amp;"' to order"</f>
        <v/>
      </c>
    </row>
    <row r="31">
      <c r="A31" s="5">
        <f>"AV"&amp;"09"&amp;"A"</f>
        <v/>
      </c>
      <c r="B31" s="5">
        <f>Brands!B13</f>
        <v/>
      </c>
      <c r="C31" s="5">
        <f>IF(OR(Brands!G13="",Brands!B13=""),"(fill in the business name and number on Brands)","https://wa.me/"&amp;Brands!G13&amp;"?text="&amp;ENCODEURL("Hi "&amp;Brands!B13&amp;"! I saw your video ("&amp;A31&amp;")"))</f>
        <v/>
      </c>
      <c r="D31" s="5">
        <f>IF(LEFT(C31,5)="https","Tap to chat: "&amp;C31,"")</f>
        <v/>
      </c>
      <c r="E31" s="5">
        <f>"WhatsApp us '"&amp;A31&amp;"' to order"</f>
        <v/>
      </c>
    </row>
    <row r="32">
      <c r="A32" s="5">
        <f>"AV"&amp;"09"&amp;"B"</f>
        <v/>
      </c>
      <c r="B32" s="5">
        <f>Brands!B13</f>
        <v/>
      </c>
      <c r="C32" s="5">
        <f>IF(OR(Brands!G13="",Brands!B13=""),"(fill in the business name and number on Brands)","https://wa.me/"&amp;Brands!G13&amp;"?text="&amp;ENCODEURL("Hi "&amp;Brands!B13&amp;"! I saw your video ("&amp;A32&amp;")"))</f>
        <v/>
      </c>
      <c r="D32" s="5">
        <f>IF(LEFT(C32,5)="https","Tap to chat: "&amp;C32,"")</f>
        <v/>
      </c>
      <c r="E32" s="5">
        <f>"WhatsApp us '"&amp;A32&amp;"' to order"</f>
        <v/>
      </c>
    </row>
    <row r="33">
      <c r="A33" s="5">
        <f>"AV"&amp;"09"&amp;"C"</f>
        <v/>
      </c>
      <c r="B33" s="5">
        <f>Brands!B13</f>
        <v/>
      </c>
      <c r="C33" s="5">
        <f>IF(OR(Brands!G13="",Brands!B13=""),"(fill in the business name and number on Brands)","https://wa.me/"&amp;Brands!G13&amp;"?text="&amp;ENCODEURL("Hi "&amp;Brands!B13&amp;"! I saw your video ("&amp;A33&amp;")"))</f>
        <v/>
      </c>
      <c r="D33" s="5">
        <f>IF(LEFT(C33,5)="https","Tap to chat: "&amp;C33,"")</f>
        <v/>
      </c>
      <c r="E33" s="5">
        <f>"WhatsApp us '"&amp;A33&amp;"' to order"</f>
        <v/>
      </c>
    </row>
    <row r="34">
      <c r="A34" s="5">
        <f>"AV"&amp;"10"&amp;"A"</f>
        <v/>
      </c>
      <c r="B34" s="5">
        <f>Brands!B14</f>
        <v/>
      </c>
      <c r="C34" s="5">
        <f>IF(OR(Brands!G14="",Brands!B14=""),"(fill in the business name and number on Brands)","https://wa.me/"&amp;Brands!G14&amp;"?text="&amp;ENCODEURL("Hi "&amp;Brands!B14&amp;"! I saw your video ("&amp;A34&amp;")"))</f>
        <v/>
      </c>
      <c r="D34" s="5">
        <f>IF(LEFT(C34,5)="https","Tap to chat: "&amp;C34,"")</f>
        <v/>
      </c>
      <c r="E34" s="5">
        <f>"WhatsApp us '"&amp;A34&amp;"' to order"</f>
        <v/>
      </c>
    </row>
    <row r="35">
      <c r="A35" s="5">
        <f>"AV"&amp;"10"&amp;"B"</f>
        <v/>
      </c>
      <c r="B35" s="5">
        <f>Brands!B14</f>
        <v/>
      </c>
      <c r="C35" s="5">
        <f>IF(OR(Brands!G14="",Brands!B14=""),"(fill in the business name and number on Brands)","https://wa.me/"&amp;Brands!G14&amp;"?text="&amp;ENCODEURL("Hi "&amp;Brands!B14&amp;"! I saw your video ("&amp;A35&amp;")"))</f>
        <v/>
      </c>
      <c r="D35" s="5">
        <f>IF(LEFT(C35,5)="https","Tap to chat: "&amp;C35,"")</f>
        <v/>
      </c>
      <c r="E35" s="5">
        <f>"WhatsApp us '"&amp;A35&amp;"' to order"</f>
        <v/>
      </c>
    </row>
    <row r="36">
      <c r="A36" s="5">
        <f>"AV"&amp;"10"&amp;"C"</f>
        <v/>
      </c>
      <c r="B36" s="5">
        <f>Brands!B14</f>
        <v/>
      </c>
      <c r="C36" s="5">
        <f>IF(OR(Brands!G14="",Brands!B14=""),"(fill in the business name and number on Brands)","https://wa.me/"&amp;Brands!G14&amp;"?text="&amp;ENCODEURL("Hi "&amp;Brands!B14&amp;"! I saw your video ("&amp;A36&amp;")"))</f>
        <v/>
      </c>
      <c r="D36" s="5">
        <f>IF(LEFT(C36,5)="https","Tap to chat: "&amp;C36,"")</f>
        <v/>
      </c>
      <c r="E36" s="5">
        <f>"WhatsApp us '"&amp;A36&amp;"' to order"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26" customWidth="1" min="3" max="3"/>
    <col width="14" customWidth="1" min="4" max="4"/>
  </cols>
  <sheetData>
    <row r="1">
      <c r="A1" s="1" t="inlineStr">
        <is>
          <t>Decision gates (Avatar_Video_Test_Kit.md §7)</t>
        </is>
      </c>
    </row>
    <row r="2">
      <c r="A2" s="2" t="inlineStr">
        <is>
          <t>Calculated from the other tabs, excluding 00 (FluxMuse). NEED DATA means not enough rows are filled in yet.</t>
        </is>
      </c>
    </row>
    <row r="4">
      <c r="A4" s="6" t="inlineStr">
        <is>
          <t>Cost limit per finished format A video (R)</t>
        </is>
      </c>
      <c r="B4" s="4" t="n"/>
      <c r="C4" s="2" t="inlineStr">
        <is>
          <t>Set this before day 1 (the dry run tells you a realistic figure).</t>
        </is>
      </c>
    </row>
    <row r="6">
      <c r="A6" s="7" t="inlineStr">
        <is>
          <t>Gate</t>
        </is>
      </c>
      <c r="B6" s="7" t="inlineStr">
        <is>
          <t>Pass if</t>
        </is>
      </c>
      <c r="C6" s="7" t="inlineStr">
        <is>
          <t>Measured</t>
        </is>
      </c>
      <c r="D6" s="7" t="inlineStr">
        <is>
          <t>Result</t>
        </is>
      </c>
    </row>
    <row r="7" ht="30" customHeight="1">
      <c r="A7" s="6" t="inlineStr">
        <is>
          <t>Owners post it</t>
        </is>
      </c>
      <c r="B7" s="8" t="inlineStr">
        <is>
          <t>At least half of the owners who reviewed format A actually posted it (needs at least 6 businesses)</t>
        </is>
      </c>
      <c r="C7" s="5">
        <f>IF((COUNTIFS(Videos!$C$4:$C$36,"A",Videos!$Q$4:$Q$36,1,Videos!$D$4:$D$36,"Y")+COUNTIFS(Videos!$C$4:$C$36,"A",Videos!$Q$4:$Q$36,1,Videos!$D$4:$D$36,"N"))=0,"",TEXT(COUNTIFS(Videos!$C$4:$C$36,"A",Videos!$Q$4:$Q$36,1,Videos!$E$4:$E$36,"Y")/(COUNTIFS(Videos!$C$4:$C$36,"A",Videos!$Q$4:$Q$36,1,Videos!$D$4:$D$36,"Y")+COUNTIFS(Videos!$C$4:$C$36,"A",Videos!$Q$4:$Q$36,1,Videos!$D$4:$D$36,"N")),"0%")&amp;" of "&amp;(COUNTIFS(Videos!$C$4:$C$36,"A",Videos!$Q$4:$Q$36,1,Videos!$D$4:$D$36,"Y")+COUNTIFS(Videos!$C$4:$C$36,"A",Videos!$Q$4:$Q$36,1,Videos!$D$4:$D$36,"N")))</f>
        <v/>
      </c>
      <c r="D7" s="9">
        <f>IF((COUNTIFS(Videos!$C$4:$C$36,"A",Videos!$Q$4:$Q$36,1,Videos!$D$4:$D$36,"Y")+COUNTIFS(Videos!$C$4:$C$36,"A",Videos!$Q$4:$Q$36,1,Videos!$D$4:$D$36,"N"))&lt;6,"NEED DATA",IF(COUNTIFS(Videos!$C$4:$C$36,"A",Videos!$Q$4:$Q$36,1,Videos!$E$4:$E$36,"Y")/(COUNTIFS(Videos!$C$4:$C$36,"A",Videos!$Q$4:$Q$36,1,Videos!$D$4:$D$36,"Y")+COUNTIFS(Videos!$C$4:$C$36,"A",Videos!$Q$4:$Q$36,1,Videos!$D$4:$D$36,"N"))&gt;=0.5,"PASS","FAIL"))</f>
        <v/>
      </c>
    </row>
    <row r="8" ht="30" customHeight="1">
      <c r="A8" s="6" t="inlineStr">
        <is>
          <t>It works at least as well</t>
        </is>
      </c>
      <c r="B8" s="8" t="inlineStr">
        <is>
          <t>Across businesses, format A brings at least as many conversations per post as format B</t>
        </is>
      </c>
      <c r="C8" s="5">
        <f>IF(OR(COUNTIFS(Videos!$C$4:$C$36,"A",Videos!$Q$4:$Q$36,1,Videos!$E$4:$E$36,"Y")=0,COUNTIFS(Videos!$C$4:$C$36,"B",Videos!$Q$4:$Q$36,1,Videos!$E$4:$E$36,"Y")=0),"","A "&amp;TEXT(SUMIFS(Videos!$H$4:$H$36,Videos!$C$4:$C$36,"A",Videos!$Q$4:$Q$36,1,Videos!$E$4:$E$36,"Y")/COUNTIFS(Videos!$C$4:$C$36,"A",Videos!$Q$4:$Q$36,1,Videos!$E$4:$E$36,"Y"),"0.0")&amp;" vs B "&amp;TEXT(SUMIFS(Videos!$H$4:$H$36,Videos!$C$4:$C$36,"B",Videos!$Q$4:$Q$36,1,Videos!$E$4:$E$36,"Y")/COUNTIFS(Videos!$C$4:$C$36,"B",Videos!$Q$4:$Q$36,1,Videos!$E$4:$E$36,"Y"),"0.0")&amp;" per post")</f>
        <v/>
      </c>
      <c r="D8" s="9">
        <f>IF(OR(COUNTIFS(Videos!$C$4:$C$36,"A",Videos!$Q$4:$Q$36,1,Videos!$E$4:$E$36,"Y")=0,COUNTIFS(Videos!$C$4:$C$36,"B",Videos!$Q$4:$Q$36,1,Videos!$E$4:$E$36,"Y")=0),"NEED DATA",IF(SUMIFS(Videos!$H$4:$H$36,Videos!$C$4:$C$36,"A",Videos!$Q$4:$Q$36,1,Videos!$E$4:$E$36,"Y")/COUNTIFS(Videos!$C$4:$C$36,"A",Videos!$Q$4:$Q$36,1,Videos!$E$4:$E$36,"Y")&gt;=SUMIFS(Videos!$H$4:$H$36,Videos!$C$4:$C$36,"B",Videos!$Q$4:$Q$36,1,Videos!$E$4:$E$36,"Y")/COUNTIFS(Videos!$C$4:$C$36,"B",Videos!$Q$4:$Q$36,1,Videos!$E$4:$E$36,"Y"),"PASS","FAIL"))</f>
        <v/>
      </c>
    </row>
    <row r="9" ht="30" customHeight="1">
      <c r="A9" s="6" t="inlineStr">
        <is>
          <t>No trust damage</t>
        </is>
      </c>
      <c r="B9" s="8" t="inlineStr">
        <is>
          <t>No owner reports customers calling it fake or a scam, and no more than 1 such comment per business</t>
        </is>
      </c>
      <c r="C9" s="5">
        <f>"Owner reports: "&amp;COUNTIF(Brands!$L$5:$L$14,"Y")&amp;"; most comments for one business: "&amp;MAX(Brands!$M$5:$M$14)</f>
        <v/>
      </c>
      <c r="D9" s="9">
        <f>IF(AND(COUNTIF(Brands!$L$5:$L$14,"Y")=0,COUNTIFS(Videos!$E$4:$E$36,"Y",Videos!$Q$4:$Q$36,1)=0),"NEED DATA",IF(AND(COUNTIF(Brands!$L$5:$L$14,"Y")=0,MAX(Brands!$M$5:$M$14)&lt;=1),"PASS","FAIL"))</f>
        <v/>
      </c>
    </row>
    <row r="10" ht="30" customHeight="1">
      <c r="A10" s="6" t="inlineStr">
        <is>
          <t>Quality</t>
        </is>
      </c>
      <c r="B10" s="8" t="inlineStr">
        <is>
          <t>At least 80% of format A videos pass the quality bar within 2 attempts</t>
        </is>
      </c>
      <c r="C10" s="5">
        <f>IF((COUNTIFS(Videos!$C$4:$C$36,"A",Videos!$Q$4:$Q$36,1,Videos!$K$4:$K$36,"Y")+COUNTIFS(Videos!$C$4:$C$36,"A",Videos!$Q$4:$Q$36,1,Videos!$K$4:$K$36,"N"))=0,"",TEXT(COUNTIFS(Videos!$C$4:$C$36,"A",Videos!$Q$4:$Q$36,1,Videos!$K$4:$K$36,"Y",Videos!$L$4:$L$36,"&lt;=2")/(COUNTIFS(Videos!$C$4:$C$36,"A",Videos!$Q$4:$Q$36,1,Videos!$K$4:$K$36,"Y")+COUNTIFS(Videos!$C$4:$C$36,"A",Videos!$Q$4:$Q$36,1,Videos!$K$4:$K$36,"N")),"0%")&amp;" of "&amp;(COUNTIFS(Videos!$C$4:$C$36,"A",Videos!$Q$4:$Q$36,1,Videos!$K$4:$K$36,"Y")+COUNTIFS(Videos!$C$4:$C$36,"A",Videos!$Q$4:$Q$36,1,Videos!$K$4:$K$36,"N")))</f>
        <v/>
      </c>
      <c r="D10" s="9">
        <f>IF((COUNTIFS(Videos!$C$4:$C$36,"A",Videos!$Q$4:$Q$36,1,Videos!$K$4:$K$36,"Y")+COUNTIFS(Videos!$C$4:$C$36,"A",Videos!$Q$4:$Q$36,1,Videos!$K$4:$K$36,"N"))=0,"NEED DATA",IF(COUNTIFS(Videos!$C$4:$C$36,"A",Videos!$Q$4:$Q$36,1,Videos!$K$4:$K$36,"Y",Videos!$L$4:$L$36,"&lt;=2")/(COUNTIFS(Videos!$C$4:$C$36,"A",Videos!$Q$4:$Q$36,1,Videos!$K$4:$K$36,"Y")+COUNTIFS(Videos!$C$4:$C$36,"A",Videos!$Q$4:$Q$36,1,Videos!$K$4:$K$36,"N"))&gt;=0.8,"PASS","FAIL"))</f>
        <v/>
      </c>
    </row>
    <row r="11" ht="30" customHeight="1">
      <c r="A11" s="6" t="inlineStr">
        <is>
          <t>Local voice</t>
        </is>
      </c>
      <c r="B11" s="8" t="inlineStr">
        <is>
          <t>At least one tool rated natural in Afrikaans by a fluent speaker</t>
        </is>
      </c>
      <c r="C11" s="5">
        <f>COUNTIF('Voice check'!$C$4:$C$9,"natural")&amp;" natural rating(s)"</f>
        <v/>
      </c>
      <c r="D11" s="9">
        <f>IF(COUNTIF('Voice check'!$C$4:$C$9,"natural")&gt;0,"PASS",IF(COUNTA('Voice check'!$C$4:$C$9)=0,"NEED DATA","FAIL"))</f>
        <v/>
      </c>
    </row>
    <row r="12" ht="30" customHeight="1">
      <c r="A12" s="6" t="inlineStr">
        <is>
          <t>Cost</t>
        </is>
      </c>
      <c r="B12" s="8" t="inlineStr">
        <is>
          <t>Real cost per finished format A video (all attempts, incl. failed) is at or under the limit in B4</t>
        </is>
      </c>
      <c r="C12" s="5">
        <f>IF(COUNTIFS(Videos!$C$4:$C$36,"A",Videos!$Q$4:$Q$36,1,Videos!$K$4:$K$36,"Y")=0,IF(SUMIFS(Videos!$M$4:$M$36,Videos!$C$4:$C$36,"A",Videos!$Q$4:$Q$36,1)&gt;0,"R"&amp;TEXT(SUMIFS(Videos!$M$4:$M$36,Videos!$C$4:$C$36,"A",Videos!$Q$4:$Q$36,1),"0")&amp;" spent, 0 finished",""),"R"&amp;TEXT(SUMIFS(Videos!$M$4:$M$36,Videos!$C$4:$C$36,"A",Videos!$Q$4:$Q$36,1)/COUNTIFS(Videos!$C$4:$C$36,"A",Videos!$Q$4:$Q$36,1,Videos!$K$4:$K$36,"Y"),"0")&amp;" per finished video")</f>
        <v/>
      </c>
      <c r="D12" s="9">
        <f>IF($B$4="","NEED DATA",IF(COUNTIFS(Videos!$C$4:$C$36,"A",Videos!$Q$4:$Q$36,1,Videos!$K$4:$K$36,"Y")=0,IF(SUMIFS(Videos!$M$4:$M$36,Videos!$C$4:$C$36,"A",Videos!$Q$4:$Q$36,1)&gt;0,"FAIL","NEED DATA"),IF(SUMIFS(Videos!$M$4:$M$36,Videos!$C$4:$C$36,"A",Videos!$Q$4:$Q$36,1)/COUNTIFS(Videos!$C$4:$C$36,"A",Videos!$Q$4:$Q$36,1,Videos!$K$4:$K$36,"Y")&lt;=$B$4,"PASS","FAIL")))</f>
        <v/>
      </c>
    </row>
    <row r="14">
      <c r="A14" s="2" t="inlineStr">
        <is>
          <t>What to do with the result: Avatar_Video_Test_Kit.md §7.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2026-10-06T06:37:45Z</dcterms:created>
  <dcterms:modified xmlns:dcterms="http://purl.org/dc/terms/" xmlns:xsi="http://www.w3.org/2001/XMLSchema-instance" xsi:type="dcterms:W3CDTF">2026-10-06T06:37:45Z</dcterms:modified>
</cp:coreProperties>
</file>