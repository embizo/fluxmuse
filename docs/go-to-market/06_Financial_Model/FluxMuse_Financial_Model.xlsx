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Revenue_Build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Annual_Summary" sheetId="7" state="visible" r:id="rId7"/>
    <sheet xmlns:r="http://schemas.openxmlformats.org/officeDocument/2006/relationships" name="Cash_Flow" sheetId="8" state="visible" r:id="rId8"/>
    <sheet xmlns:r="http://schemas.openxmlformats.org/officeDocument/2006/relationships" name="Unit_Economics" sheetId="9" state="visible" r:id="rId9"/>
    <sheet xmlns:r="http://schemas.openxmlformats.org/officeDocument/2006/relationships" name="Use_of_Fund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Market_Siz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0.0%;(0.0%);&quot;-&quot;"/>
    <numFmt numFmtId="165" formatCode="&quot;R&quot;#,##0;(&quot;R&quot;#,##0);&quot;-&quot;"/>
    <numFmt numFmtId="166" formatCode="#,##0.0"/>
    <numFmt numFmtId="167" formatCode="0.00&quot;x&quot;"/>
    <numFmt numFmtId="168" formatCode="0.00%;(0.00%);&quot;-&quot;"/>
    <numFmt numFmtId="169" formatCode="#,##0;(#,##0);&quot;-&quot;"/>
    <numFmt numFmtId="170" formatCode="&quot;US$&quot;#,##0;(&quot;US$&quot;#,##0);&quot;-&quot;"/>
    <numFmt numFmtId="171" formatCode="&quot;₦&quot;#,##0"/>
    <numFmt numFmtId="172" formatCode="&quot;KSh &quot;#,##0"/>
    <numFmt numFmtId="173" formatCode="&quot;GH₵ &quot;#,##0"/>
    <numFmt numFmtId="174" formatCode="0.000&quot;x&quot;"/>
    <numFmt numFmtId="175" formatCode="#,##0.0;(#,##0.0);&quot;-&quot;"/>
    <numFmt numFmtId="176" formatCode="#,##0.00;(#,##0.00);&quot;-&quot;"/>
    <numFmt numFmtId="177" formatCode="0.0&quot;x&quot;;(0.0&quot;x&quot;);&quot;-&quot;"/>
  </numFmts>
  <fonts count="11">
    <font>
      <name val="Calibri"/>
      <family val="2"/>
      <color theme="1"/>
      <sz val="11"/>
      <scheme val="minor"/>
    </font>
    <font>
      <name val="Arial"/>
      <b val="1"/>
      <color rgb="000F1419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C62828"/>
      <sz val="10"/>
    </font>
    <font>
      <name val="Arial"/>
      <b val="1"/>
      <color rgb="000F1419"/>
      <sz val="10"/>
    </font>
    <font>
      <name val="Arial"/>
      <b val="1"/>
      <color rgb="00FF6A00"/>
      <sz val="22"/>
    </font>
    <font>
      <name val="Arial"/>
      <color rgb="0037474F"/>
      <sz val="11"/>
    </font>
  </fonts>
  <fills count="7">
    <fill>
      <patternFill/>
    </fill>
    <fill>
      <patternFill patternType="gray125"/>
    </fill>
    <fill>
      <patternFill patternType="solid">
        <fgColor rgb="00FF6A00"/>
      </patternFill>
    </fill>
    <fill>
      <patternFill patternType="solid">
        <fgColor rgb="00FFF9DB"/>
      </patternFill>
    </fill>
    <fill>
      <patternFill patternType="solid">
        <fgColor rgb="0037474F"/>
      </patternFill>
    </fill>
    <fill>
      <patternFill patternType="solid">
        <fgColor rgb="00FFF4EB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5" fontId="6" fillId="0" borderId="0" pivotButton="0" quotePrefix="0" xfId="0"/>
    <xf numFmtId="164" fontId="6" fillId="0" borderId="0" pivotButton="0" quotePrefix="0" xfId="0"/>
    <xf numFmtId="169" fontId="6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49" fontId="5" fillId="3" borderId="0" pivotButton="0" quotePrefix="0" xfId="0"/>
    <xf numFmtId="0" fontId="2" fillId="6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6" fillId="0" borderId="0" pivotButton="0" quotePrefix="0" xfId="0"/>
    <xf numFmtId="0" fontId="3" fillId="4" borderId="0" pivotButton="0" quotePrefix="0" xfId="0"/>
    <xf numFmtId="4" fontId="5" fillId="3" borderId="0" pivotButton="0" quotePrefix="0" xfId="0"/>
    <xf numFmtId="164" fontId="5" fillId="3" borderId="0" pivotButton="0" quotePrefix="0" xfId="0"/>
    <xf numFmtId="165" fontId="5" fillId="3" borderId="0" pivotButton="0" quotePrefix="0" xfId="0"/>
    <xf numFmtId="1" fontId="5" fillId="3" borderId="0" pivotButton="0" quotePrefix="0" xfId="0"/>
    <xf numFmtId="166" fontId="5" fillId="3" borderId="0" pivotButton="0" quotePrefix="0" xfId="0"/>
    <xf numFmtId="167" fontId="5" fillId="3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8" fontId="5" fillId="3" borderId="0" pivotButton="0" quotePrefix="0" xfId="0"/>
    <xf numFmtId="0" fontId="3" fillId="2" borderId="0" applyAlignment="1" pivotButton="0" quotePrefix="0" xfId="0">
      <alignment vertical="center" wrapText="1"/>
    </xf>
    <xf numFmtId="170" fontId="6" fillId="0" borderId="0" pivotButton="0" quotePrefix="0" xfId="0"/>
    <xf numFmtId="169" fontId="5" fillId="3" borderId="0" pivotButton="0" quotePrefix="0" xfId="0"/>
    <xf numFmtId="171" fontId="5" fillId="3" borderId="0" pivotButton="0" quotePrefix="0" xfId="0"/>
    <xf numFmtId="172" fontId="5" fillId="3" borderId="0" pivotButton="0" quotePrefix="0" xfId="0"/>
    <xf numFmtId="173" fontId="5" fillId="3" borderId="0" pivotButton="0" quotePrefix="0" xfId="0"/>
    <xf numFmtId="170" fontId="5" fillId="3" borderId="0" pivotButton="0" quotePrefix="0" xfId="0"/>
    <xf numFmtId="174" fontId="6" fillId="0" borderId="0" pivotButton="0" quotePrefix="0" xfId="0"/>
    <xf numFmtId="1" fontId="3" fillId="2" borderId="0" applyAlignment="1" pivotButton="0" quotePrefix="0" xfId="0">
      <alignment horizontal="center"/>
    </xf>
    <xf numFmtId="49" fontId="3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169" fontId="4" fillId="5" borderId="0" pivotButton="0" quotePrefix="0" xfId="0"/>
    <xf numFmtId="175" fontId="6" fillId="0" borderId="0" pivotButton="0" quotePrefix="0" xfId="0"/>
    <xf numFmtId="165" fontId="4" fillId="5" borderId="0" pivotButton="0" quotePrefix="0" xfId="0"/>
    <xf numFmtId="176" fontId="6" fillId="0" borderId="0" pivotButton="0" quotePrefix="0" xfId="0"/>
    <xf numFmtId="175" fontId="4" fillId="5" borderId="0" pivotButton="0" quotePrefix="0" xfId="0"/>
    <xf numFmtId="4" fontId="6" fillId="0" borderId="0" pivotButton="0" quotePrefix="0" xfId="0"/>
    <xf numFmtId="49" fontId="2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right"/>
    </xf>
    <xf numFmtId="165" fontId="4" fillId="5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169" fontId="4" fillId="5" borderId="0" applyAlignment="1" pivotButton="0" quotePrefix="0" xfId="0">
      <alignment horizontal="right"/>
    </xf>
    <xf numFmtId="49" fontId="4" fillId="5" borderId="0" applyAlignment="1" pivotButton="0" quotePrefix="0" xfId="0">
      <alignment horizontal="right"/>
    </xf>
    <xf numFmtId="175" fontId="4" fillId="5" borderId="0" applyAlignment="1" pivotButton="0" quotePrefix="0" xfId="0">
      <alignment horizontal="right"/>
    </xf>
    <xf numFmtId="177" fontId="6" fillId="0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7" fontId="4" fillId="5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0" fontId="4" fillId="5" borderId="0" pivotButton="0" quotePrefix="0" xfId="0"/>
    <xf numFmtId="164" fontId="4" fillId="5" borderId="0" pivotButton="0" quotePrefix="0" xfId="0"/>
    <xf numFmtId="170" fontId="4" fillId="5" borderId="0" pivotButton="0" quotePrefix="0" xfId="0"/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center" wrapText="1"/>
    </xf>
    <xf numFmtId="165" fontId="2" fillId="6" borderId="0" applyAlignment="1" pivotButton="0" quotePrefix="0" xfId="0">
      <alignment horizontal="right"/>
    </xf>
    <xf numFmtId="164" fontId="2" fillId="6" borderId="0" applyAlignment="1" pivotButton="0" quotePrefix="0" xfId="0">
      <alignment horizontal="right"/>
    </xf>
    <xf numFmtId="169" fontId="2" fillId="6" borderId="0" applyAlignment="1" pivotButton="0" quotePrefix="0" xfId="0">
      <alignment horizontal="right"/>
    </xf>
    <xf numFmtId="49" fontId="2" fillId="6" borderId="0" applyAlignment="1" pivotButton="0" quotePrefix="0" xfId="0">
      <alignment horizontal="right"/>
    </xf>
    <xf numFmtId="167" fontId="3" fillId="4" borderId="0" applyAlignment="1" pivotButton="0" quotePrefix="0" xfId="0">
      <alignment horizontal="center"/>
    </xf>
    <xf numFmtId="167" fontId="2" fillId="0" borderId="0" pivotButton="0" quotePrefix="0" xfId="0"/>
    <xf numFmtId="165" fontId="2" fillId="6" borderId="0" pivotButton="0" quotePrefix="0" xfId="0"/>
    <xf numFmtId="165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A00"/>
    <outlinePr summaryBelow="1" summaryRight="1"/>
    <pageSetUpPr/>
  </sheetPr>
  <dimension ref="A1:G6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FluxMuse Financial Model</t>
        </is>
      </c>
    </row>
    <row r="2">
      <c r="A2" s="2" t="inlineStr">
        <is>
          <t>AI marketing team &amp; WhatsApp commerce for African SMBs | Fluxmuse Pty Ltd</t>
        </is>
      </c>
    </row>
    <row r="3"/>
    <row r="4">
      <c r="A4" s="3" t="inlineStr">
        <is>
          <t>Version</t>
        </is>
      </c>
      <c r="B4" s="4" t="inlineStr">
        <is>
          <t>v3 (current offer: 9 tiers, no trials, R25M seed test)</t>
        </is>
      </c>
    </row>
    <row r="5">
      <c r="A5" s="3" t="inlineStr">
        <is>
          <t>Model date</t>
        </is>
      </c>
      <c r="B5" s="4" t="inlineStr">
        <is>
          <t>2026-10-05</t>
        </is>
      </c>
    </row>
    <row r="6">
      <c r="A6" s="3" t="inlineStr">
        <is>
          <t>Horizon</t>
        </is>
      </c>
      <c r="B6" s="4" t="inlineStr">
        <is>
          <t>60 months: Oct 2026 - Sep 2031 (FY1-FY5, fiscal year Oct-Sep). Month 1 = Oct 2026</t>
        </is>
      </c>
    </row>
    <row r="7">
      <c r="A7" s="3" t="inlineStr">
        <is>
          <t>Currency</t>
        </is>
      </c>
      <c r="B7" s="4" t="inlineStr">
        <is>
          <t>ZAR (R); US$ at R18.50 = US$1 (input on Assumptions)</t>
        </is>
      </c>
    </row>
    <row r="8">
      <c r="A8" s="3" t="inlineStr">
        <is>
          <t>Active scenario</t>
        </is>
      </c>
      <c r="B8" s="3">
        <f>Assumptions!$B$6</f>
        <v/>
      </c>
    </row>
    <row r="9">
      <c r="A9" s="3" t="inlineStr">
        <is>
          <t>Disclaimer</t>
        </is>
      </c>
      <c r="B9" s="5" t="inlineStr">
        <is>
          <t>Forward-looking projections. FluxMuse has no paying customers yet; every volume and rate is an assumption to replace with live data. Red-flagged inputs need founder confirmation.</t>
        </is>
      </c>
    </row>
    <row r="10"/>
    <row r="11">
      <c r="A11" s="6" t="inlineStr">
        <is>
          <t>Headline (live formulas, selected scenario)</t>
        </is>
      </c>
      <c r="B11" s="6" t="n"/>
      <c r="C11" s="7" t="inlineStr">
        <is>
          <t>FY1</t>
        </is>
      </c>
      <c r="D11" s="7" t="inlineStr">
        <is>
          <t>FY2</t>
        </is>
      </c>
      <c r="E11" s="7" t="inlineStr">
        <is>
          <t>FY3</t>
        </is>
      </c>
      <c r="F11" s="7" t="inlineStr">
        <is>
          <t>FY4</t>
        </is>
      </c>
      <c r="G11" s="7" t="inlineStr">
        <is>
          <t>FY5</t>
        </is>
      </c>
    </row>
    <row r="12">
      <c r="A12" s="4" t="inlineStr">
        <is>
          <t>Total revenue (net of launch discounts)</t>
        </is>
      </c>
      <c r="C12" s="8">
        <f>Annual_Summary!$C$16</f>
        <v/>
      </c>
      <c r="D12" s="8">
        <f>Annual_Summary!$D$16</f>
        <v/>
      </c>
      <c r="E12" s="8">
        <f>Annual_Summary!$E$16</f>
        <v/>
      </c>
      <c r="F12" s="8">
        <f>Annual_Summary!$F$16</f>
        <v/>
      </c>
      <c r="G12" s="8">
        <f>Annual_Summary!$G$16</f>
        <v/>
      </c>
    </row>
    <row r="13">
      <c r="A13" s="4" t="inlineStr">
        <is>
          <t>EBITDA</t>
        </is>
      </c>
      <c r="C13" s="8">
        <f>Annual_Summary!$C$51</f>
        <v/>
      </c>
      <c r="D13" s="8">
        <f>Annual_Summary!$D$51</f>
        <v/>
      </c>
      <c r="E13" s="8">
        <f>Annual_Summary!$E$51</f>
        <v/>
      </c>
      <c r="F13" s="8">
        <f>Annual_Summary!$F$51</f>
        <v/>
      </c>
      <c r="G13" s="8">
        <f>Annual_Summary!$G$51</f>
        <v/>
      </c>
    </row>
    <row r="14">
      <c r="A14" s="4" t="inlineStr">
        <is>
          <t>EBITDA margin</t>
        </is>
      </c>
      <c r="C14" s="9">
        <f>Annual_Summary!$C$52</f>
        <v/>
      </c>
      <c r="D14" s="9">
        <f>Annual_Summary!$D$52</f>
        <v/>
      </c>
      <c r="E14" s="9">
        <f>Annual_Summary!$E$52</f>
        <v/>
      </c>
      <c r="F14" s="9">
        <f>Annual_Summary!$F$52</f>
        <v/>
      </c>
      <c r="G14" s="9">
        <f>Annual_Summary!$G$52</f>
        <v/>
      </c>
    </row>
    <row r="15">
      <c r="A15" s="4" t="inlineStr">
        <is>
          <t>Paying workspaces (end of FY)</t>
        </is>
      </c>
      <c r="C15" s="10">
        <f>Annual_Summary!$C$87</f>
        <v/>
      </c>
      <c r="D15" s="10">
        <f>Annual_Summary!$D$87</f>
        <v/>
      </c>
      <c r="E15" s="10">
        <f>Annual_Summary!$E$87</f>
        <v/>
      </c>
      <c r="F15" s="10">
        <f>Annual_Summary!$F$87</f>
        <v/>
      </c>
      <c r="G15" s="10">
        <f>Annual_Summary!$G$87</f>
        <v/>
      </c>
    </row>
    <row r="16">
      <c r="A16" s="4" t="inlineStr">
        <is>
          <t>Subscription ARR</t>
        </is>
      </c>
      <c r="C16" s="8">
        <f>Annual_Summary!$C$106</f>
        <v/>
      </c>
      <c r="D16" s="8">
        <f>Annual_Summary!$D$106</f>
        <v/>
      </c>
      <c r="E16" s="8">
        <f>Annual_Summary!$E$106</f>
        <v/>
      </c>
      <c r="F16" s="8">
        <f>Annual_Summary!$F$106</f>
        <v/>
      </c>
      <c r="G16" s="8">
        <f>Annual_Summary!$G$106</f>
        <v/>
      </c>
    </row>
    <row r="17">
      <c r="A17" s="4" t="inlineStr">
        <is>
          <t>Closing cash</t>
        </is>
      </c>
      <c r="C17" s="8">
        <f>Annual_Summary!$C$60</f>
        <v/>
      </c>
      <c r="D17" s="8">
        <f>Annual_Summary!$D$60</f>
        <v/>
      </c>
      <c r="E17" s="8">
        <f>Annual_Summary!$E$60</f>
        <v/>
      </c>
      <c r="F17" s="8">
        <f>Annual_Summary!$F$60</f>
        <v/>
      </c>
      <c r="G17" s="8">
        <f>Annual_Summary!$G$60</f>
        <v/>
      </c>
    </row>
    <row r="18">
      <c r="A18" s="4" t="inlineStr">
        <is>
          <t>Headcount (end of FY)</t>
        </is>
      </c>
      <c r="C18" s="10">
        <f>Annual_Summary!$C$112</f>
        <v/>
      </c>
      <c r="D18" s="10">
        <f>Annual_Summary!$D$112</f>
        <v/>
      </c>
      <c r="E18" s="10">
        <f>Annual_Summary!$E$112</f>
        <v/>
      </c>
      <c r="F18" s="10">
        <f>Annual_Summary!$F$112</f>
        <v/>
      </c>
      <c r="G18" s="10">
        <f>Annual_Summary!$G$112</f>
        <v/>
      </c>
    </row>
    <row r="19">
      <c r="A19" s="4" t="inlineStr">
        <is>
          <t>Founding Member discount cost</t>
        </is>
      </c>
      <c r="C19" s="8">
        <f>Annual_Summary!$C$21</f>
        <v/>
      </c>
      <c r="D19" s="8">
        <f>Annual_Summary!$D$21</f>
        <v/>
      </c>
      <c r="E19" s="8">
        <f>Annual_Summary!$E$21</f>
        <v/>
      </c>
      <c r="F19" s="8">
        <f>Annual_Summary!$F$21</f>
        <v/>
      </c>
      <c r="G19" s="8">
        <f>Annual_Summary!$G$21</f>
        <v/>
      </c>
    </row>
    <row r="20">
      <c r="A20" s="4" t="inlineStr">
        <is>
          <t>Active Free users (end of FY)</t>
        </is>
      </c>
      <c r="C20" s="10">
        <f>Annual_Summary!$C$101</f>
        <v/>
      </c>
      <c r="D20" s="10">
        <f>Annual_Summary!$D$101</f>
        <v/>
      </c>
      <c r="E20" s="10">
        <f>Annual_Summary!$E$101</f>
        <v/>
      </c>
      <c r="F20" s="10">
        <f>Annual_Summary!$F$101</f>
        <v/>
      </c>
      <c r="G20" s="10">
        <f>Annual_Summary!$G$101</f>
        <v/>
      </c>
    </row>
    <row r="21"/>
    <row r="22">
      <c r="A22" s="6" t="inlineStr">
        <is>
          <t>Constraint check &amp; key outputs (live formulas, selected scenario)</t>
        </is>
      </c>
      <c r="B22" s="6" t="n"/>
      <c r="C22" s="6" t="n"/>
      <c r="D22" s="6" t="n"/>
      <c r="E22" s="6" t="n"/>
      <c r="F22" s="6" t="n"/>
      <c r="G22" s="6" t="n"/>
    </row>
    <row r="23">
      <c r="A23" s="4" t="inlineStr">
        <is>
          <t>Profitable on the R25M seed alone?</t>
        </is>
      </c>
      <c r="C23" s="3">
        <f>Cash_Flow!$B$68</f>
        <v/>
      </c>
    </row>
    <row r="24">
      <c r="A24" s="4" t="inlineStr">
        <is>
          <t>EBITDA break-even (first month)</t>
        </is>
      </c>
      <c r="C24" s="3">
        <f>Cash_Flow!$B$46</f>
        <v/>
      </c>
    </row>
    <row r="25">
      <c r="A25" s="4" t="inlineStr">
        <is>
          <t>EBITDA break-even (sustained)</t>
        </is>
      </c>
      <c r="C25" s="3">
        <f>Cash_Flow!$B$48</f>
        <v/>
      </c>
    </row>
    <row r="26">
      <c r="A26" s="4" t="inlineStr">
        <is>
          <t>Operating cash flow positive (first month)</t>
        </is>
      </c>
      <c r="C26" s="3">
        <f>Cash_Flow!$B$50</f>
        <v/>
      </c>
    </row>
    <row r="27">
      <c r="A27" s="4" t="inlineStr">
        <is>
          <t>Operating cash flow positive (sustained)</t>
        </is>
      </c>
      <c r="C27" s="3">
        <f>Cash_Flow!$B$52</f>
        <v/>
      </c>
    </row>
    <row r="28">
      <c r="A28" s="4" t="inlineStr">
        <is>
          <t>Minimum closing cash from the seed month on</t>
        </is>
      </c>
      <c r="C28" s="11">
        <f>Cash_Flow!$B$56</f>
        <v/>
      </c>
    </row>
    <row r="29">
      <c r="A29" s="4" t="inlineStr">
        <is>
          <t>Month of minimum post-seed cash</t>
        </is>
      </c>
      <c r="C29" s="3">
        <f>Cash_Flow!$B$58</f>
        <v/>
      </c>
    </row>
    <row r="30">
      <c r="A30" s="4" t="inlineStr">
        <is>
          <t>Minimum-cash buffer</t>
        </is>
      </c>
      <c r="C30" s="11">
        <f>Cash_Flow!$B$63</f>
        <v/>
      </c>
    </row>
    <row r="31">
      <c r="A31" s="4" t="inlineStr">
        <is>
          <t>Shortfall vs buffer</t>
        </is>
      </c>
      <c r="C31" s="11">
        <f>Cash_Flow!$B$65</f>
        <v/>
      </c>
    </row>
    <row r="32">
      <c r="A32" s="4" t="inlineStr">
        <is>
          <t>Pre-seed bridge required</t>
        </is>
      </c>
      <c r="C32" s="11">
        <f>Cash_Flow!$B$62</f>
        <v/>
      </c>
    </row>
    <row r="33">
      <c r="A33" s="4" t="inlineStr">
        <is>
          <t>Nigeria launch</t>
        </is>
      </c>
      <c r="C33" s="3">
        <f>Cash_Flow!$B$77</f>
        <v/>
      </c>
    </row>
    <row r="34">
      <c r="A34" s="4" t="inlineStr">
        <is>
          <t>Kenya launch</t>
        </is>
      </c>
      <c r="C34" s="3">
        <f>Cash_Flow!$B$79</f>
        <v/>
      </c>
    </row>
    <row r="35">
      <c r="A35" s="4" t="inlineStr">
        <is>
          <t>Ghana launch</t>
        </is>
      </c>
      <c r="C35" s="3">
        <f>Cash_Flow!$B$81</f>
        <v/>
      </c>
    </row>
    <row r="36">
      <c r="A36" s="4" t="inlineStr">
        <is>
          <t>Rest of Africa (USD) launch</t>
        </is>
      </c>
      <c r="C36" s="3">
        <f>Cash_Flow!$B$83</f>
        <v/>
      </c>
    </row>
    <row r="37"/>
    <row r="38">
      <c r="A38" s="6" t="inlineStr">
        <is>
          <t>Changes from v2 (11 Sep 2026 model) and why</t>
        </is>
      </c>
      <c r="B38" s="6" t="n"/>
      <c r="C38" s="6" t="n"/>
      <c r="D38" s="6" t="n"/>
      <c r="E38" s="6" t="n"/>
      <c r="F38" s="6" t="n"/>
      <c r="G38" s="6" t="n"/>
    </row>
    <row r="39" ht="44" customHeight="1">
      <c r="A39" s="12" t="inlineStr">
        <is>
          <t>Tiers</t>
        </is>
      </c>
      <c r="B39" s="13" t="inlineStr">
        <is>
          <t>5 tiers -&gt; the live 9: Free R0, Nano R149, Micro R289, Starter R499, Growth R1,999, Scale R4,999, Corporate R6,999, Agency R9,999, Custom (from R19,999). Local NGN/KES/GHS/USD prices from tier_regional_prices. Annual = 10x monthly.</t>
        </is>
      </c>
    </row>
    <row r="40" ht="44" customHeight="1">
      <c r="A40" s="12" t="inlineStr">
        <is>
          <t>No trials, no pilot</t>
        </is>
      </c>
      <c r="B40" s="13" t="inlineStr">
        <is>
          <t>14-day trial and the 12-brand pilot removed. Paid plans start with payment. A small first group is set up by hand from Oct 2026 (4 a month to Jan 2027) [[CONFIRM]]. South Africa sells from Oct 2026.</t>
        </is>
      </c>
    </row>
    <row r="41" ht="44" customHeight="1">
      <c r="A41" s="12" t="inlineStr">
        <is>
          <t>Free plan</t>
        </is>
      </c>
      <c r="B41" s="13" t="inlineStr">
        <is>
          <t>Sign-ups either pay at once (Solo 5%, SME 8%) or join Free. Active Free users upgrade at 0.5% a month or go dormant at 10% a month. Free AI cost at the live 60 credits a month [[CONFIRM]].</t>
        </is>
      </c>
    </row>
    <row r="42" ht="44" customHeight="1">
      <c r="A42" s="12" t="inlineStr">
        <is>
          <t>Segments</t>
        </is>
      </c>
      <c r="B42" s="13" t="inlineStr">
        <is>
          <t>Solo: Nano 45% / Micro 40% / Starter 15%. SMEs: Starter 40% / Growth 50% / Scale 10%. Corporate is a new inbound line. Agencies on partner wholesale R6,999. Upgrade chains Nano -&gt; Micro -&gt; Starter and Starter -&gt; Growth -&gt; Scale [[CONFIRM]].</t>
        </is>
      </c>
    </row>
    <row r="43" ht="44" customHeight="1">
      <c r="A43" s="12" t="inlineStr">
        <is>
          <t>Founding Member</t>
        </is>
      </c>
      <c r="B43" s="13" t="inlineStr">
        <is>
          <t>30% off the first 2 monthly bills, South Africa only, Oct 2026 to Mar 2027 (proposed end) [[CONFIRM]]. Old 1 Dec 2026 - 31 Jan 2027 window, NG/KE/GH windows, annual bonus months and pilot 50% pricing removed.</t>
        </is>
      </c>
    </row>
    <row r="44" ht="44" customHeight="1">
      <c r="A44" s="12" t="inlineStr">
        <is>
          <t>Markets</t>
        </is>
      </c>
      <c r="B44" s="13" t="inlineStr">
        <is>
          <t>South Africa only until NG/KE/GH checkout is live. Plan months moved later: Nigeria Apr 2028, Kenya Jul 2028, Ghana Oct 2028, Rest of Africa (USD) May 2029 [[CONFIRM]]. BW/NA still off.</t>
        </is>
      </c>
    </row>
    <row r="45" ht="44" customHeight="1">
      <c r="A45" s="12" t="inlineStr">
        <is>
          <t>AI cost</t>
        </is>
      </c>
      <c r="B45" s="13" t="inlineStr">
        <is>
          <t>1 credit = R0.15 of provider cost (ai-credit-math.ts, platform_billing_config). Allowances at live levels; Corporate, Agency and Custom run on their own keys (no AI cost). Packs R300 for 1,000 credits, no overage.</t>
        </is>
      </c>
    </row>
    <row r="46" ht="44" customHeight="1">
      <c r="A46" s="12" t="inlineStr">
        <is>
          <t>Commerce &amp; VAT</t>
        </is>
      </c>
      <c r="B46" s="13" t="inlineStr">
        <is>
          <t>No FluxMuse fee on checkout: Paystack fees pass through to the merchant (0% in every scenario). Not VAT-registered: no VAT in revenue. Agency setup fee removed (not in the live price list).</t>
        </is>
      </c>
    </row>
    <row r="47" ht="44" customHeight="1">
      <c r="A47" s="12" t="inlineStr">
        <is>
          <t>Unchanged</t>
        </is>
      </c>
      <c r="B47" s="13" t="inlineStr">
        <is>
          <t>R25M seed in Feb 2027, 40/30/15/15 use of funds, R3.0M buffer, MRR-gated hiring and launches, paid cap, scenario switch, FX drift and repricing.</t>
        </is>
      </c>
    </row>
    <row r="48"/>
    <row r="49">
      <c r="A49" s="6" t="inlineStr">
        <is>
          <t>Sheet guide</t>
        </is>
      </c>
      <c r="B49" s="6" t="n"/>
      <c r="C49" s="6" t="n"/>
      <c r="D49" s="6" t="n"/>
      <c r="E49" s="6" t="n"/>
      <c r="F49" s="6" t="n"/>
      <c r="G49" s="6" t="n"/>
    </row>
    <row r="50">
      <c r="A50" s="3" t="inlineStr">
        <is>
          <t>Assumptions</t>
        </is>
      </c>
      <c r="B50" s="4" t="inlineStr">
        <is>
          <t>All drivers with units and sources; scenario selector (B6); lean mode, first group, Founding Member, markets, Free funnel, segments; MRR-gated headcount plan.</t>
        </is>
      </c>
    </row>
    <row r="51">
      <c r="A51" s="3" t="inlineStr">
        <is>
          <t>Pricing</t>
        </is>
      </c>
      <c r="B51" s="4" t="inlineStr">
        <is>
          <t>Nine tiers: ZAR list, NGN/KES/GHS/USD price points, partner wholesale, Founding Member prices, FX depreciation &amp; repricing, ZAR-parity table.</t>
        </is>
      </c>
    </row>
    <row r="52">
      <c r="A52" s="3" t="inlineStr">
        <is>
          <t>Revenue_Build</t>
        </is>
      </c>
      <c r="B52" s="4" t="inlineStr">
        <is>
          <t>Monthly launch gates, FX value factors, sign-ups, Free plan funnel, marketing cap &amp; payback test, cohorts by market/segment/tier, discounts, revenue.</t>
        </is>
      </c>
    </row>
    <row r="53">
      <c r="A53" s="3" t="inlineStr">
        <is>
          <t>Costs</t>
        </is>
      </c>
      <c r="B53" s="4" t="inlineStr">
        <is>
          <t>MRR-gated headcount by role, payroll, COGS (AI, hosting, WhatsApp, processing, support, CS), opex.</t>
        </is>
      </c>
    </row>
    <row r="54">
      <c r="A54" s="3" t="inlineStr">
        <is>
          <t>P&amp;L</t>
        </is>
      </c>
      <c r="B54" s="4" t="inlineStr">
        <is>
          <t>Monthly P&amp;L: gross subscriptions -&gt; discounts -&gt; net, other revenue, gross margin, opex, EBITDA, tax, net income.</t>
        </is>
      </c>
    </row>
    <row r="55">
      <c r="A55" s="3" t="inlineStr">
        <is>
          <t>Annual_Summary</t>
        </is>
      </c>
      <c r="B55" s="4" t="inlineStr">
        <is>
          <t>FY1-FY5 roll-up: revenue, discounts, margins, EBITDA, cash, customers by segment/market/tier, ARR, ARPA, headcount.</t>
        </is>
      </c>
    </row>
    <row r="56">
      <c r="A56" s="3" t="inlineStr">
        <is>
          <t>Cash_Flow</t>
        </is>
      </c>
      <c r="B56" s="4" t="inlineStr">
        <is>
          <t>Working capital, funding (seed only), cash vs R3.0M buffer, runway, break-even, bridge, launch months and the constraint check.</t>
        </is>
      </c>
    </row>
    <row r="57">
      <c r="A57" s="3" t="inlineStr">
        <is>
          <t>Unit_Economics</t>
        </is>
      </c>
      <c r="B57" s="4" t="inlineStr">
        <is>
          <t>ARPA, churn, LTV, CAC, LTV:CAC and payback by segment (tier memo); magic number, burn multiple, Rule of 40.</t>
        </is>
      </c>
    </row>
    <row r="58">
      <c r="A58" s="3" t="inlineStr">
        <is>
          <t>Use_of_Funds</t>
        </is>
      </c>
      <c r="B58" s="4" t="inlineStr">
        <is>
          <t>R25M allocation and reconciliation against modelled spend in the 18 and 24 months after close.</t>
        </is>
      </c>
    </row>
    <row r="59">
      <c r="A59" s="3" t="inlineStr">
        <is>
          <t>Sensitivity</t>
        </is>
      </c>
      <c r="B59" s="4" t="inlineStr">
        <is>
          <t>Scenario comparison, FX shock, Founding Member vs none, Free-to-paid conversion, Conservative shortfall &amp; fix, churn x volume grids (build-time values).</t>
        </is>
      </c>
    </row>
    <row r="60">
      <c r="A60" s="3" t="inlineStr">
        <is>
          <t>Market_Sizing</t>
        </is>
      </c>
      <c r="B60" s="4" t="inlineStr">
        <is>
          <t>TAM / SAM / SOM (estimates) linked to modelled FY5 workspaces.</t>
        </is>
      </c>
    </row>
    <row r="61"/>
    <row r="62">
      <c r="A62" s="6" t="inlineStr">
        <is>
          <t>Colour legend</t>
        </is>
      </c>
      <c r="B62" s="6" t="n"/>
      <c r="C62" s="6" t="n"/>
      <c r="D62" s="6" t="n"/>
      <c r="E62" s="6" t="n"/>
      <c r="F62" s="6" t="n"/>
      <c r="G62" s="6" t="n"/>
    </row>
    <row r="63">
      <c r="A63" s="14" t="inlineStr">
        <is>
          <t>1,234</t>
        </is>
      </c>
      <c r="B63" s="4" t="inlineStr">
        <is>
          <t>Input: blue font on light yellow. Change these.</t>
        </is>
      </c>
    </row>
    <row r="64">
      <c r="A64" s="4">
        <f>1+1</f>
        <v/>
      </c>
      <c r="B64" s="4" t="inlineStr">
        <is>
          <t>Formula: black font. Do not overwrite.</t>
        </is>
      </c>
    </row>
    <row r="65">
      <c r="A65" s="15" t="inlineStr">
        <is>
          <t>5,678</t>
        </is>
      </c>
      <c r="B65" s="4" t="inlineStr">
        <is>
          <t>Value computed at build time by the Python mirror (Sensitivity sheet only).</t>
        </is>
      </c>
    </row>
    <row r="66">
      <c r="A66" s="5" t="inlineStr">
        <is>
          <t>[[CONFIRM]]</t>
        </is>
      </c>
      <c r="B66" s="4" t="inlineStr">
        <is>
          <t>Red source note: founder confirmation or decision needed.</t>
        </is>
      </c>
    </row>
    <row r="67"/>
    <row r="68">
      <c r="A68" s="3" t="inlineStr">
        <is>
          <t>Not in any scenario</t>
        </is>
      </c>
      <c r="B68" s="4" t="inlineStr">
        <is>
          <t>Campaign Financing (upside only). Partner referral commission (undecided). Series A (optional acceleration only; switched off). Any FluxMuse checkout fee (none in the current offer). VAT (not registered).</t>
        </is>
      </c>
    </row>
  </sheetData>
  <mergeCells count="9">
    <mergeCell ref="B47:G47"/>
    <mergeCell ref="B42:G42"/>
    <mergeCell ref="B46:G46"/>
    <mergeCell ref="B45:G45"/>
    <mergeCell ref="B41:G41"/>
    <mergeCell ref="B43:G43"/>
    <mergeCell ref="B40:G40"/>
    <mergeCell ref="B44:G44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A00"/>
    <outlinePr summaryBelow="1" summaryRight="1"/>
    <pageSetUpPr/>
  </sheetPr>
  <dimension ref="A1:G2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6" customWidth="1" min="2" max="2"/>
    <col width="24" customWidth="1" min="3" max="3"/>
    <col width="15" customWidth="1" min="4" max="4"/>
    <col width="15" customWidth="1" min="5" max="5"/>
    <col width="15" customWidth="1" min="6" max="6"/>
    <col width="95" customWidth="1" min="7" max="7"/>
  </cols>
  <sheetData>
    <row r="1">
      <c r="A1" s="16" t="inlineStr">
        <is>
          <t>Assumptions</t>
        </is>
      </c>
    </row>
    <row r="2">
      <c r="A2" s="17" t="inlineStr">
        <is>
          <t>Every driver of the model. Blue on yellow = input. Black = formula. Red source text = [[CONFIRM]] / founder decision pending.</t>
        </is>
      </c>
    </row>
    <row r="3"/>
    <row r="4">
      <c r="A4" s="6" t="inlineStr">
        <is>
          <t>Driver</t>
        </is>
      </c>
      <c r="B4" s="6" t="inlineStr">
        <is>
          <t>Live value</t>
        </is>
      </c>
      <c r="C4" s="6" t="inlineStr">
        <is>
          <t>Unit</t>
        </is>
      </c>
      <c r="D4" s="6" t="inlineStr">
        <is>
          <t>Conservative</t>
        </is>
      </c>
      <c r="E4" s="6" t="inlineStr">
        <is>
          <t>Base</t>
        </is>
      </c>
      <c r="F4" s="6" t="inlineStr">
        <is>
          <t>Upside</t>
        </is>
      </c>
      <c r="G4" s="6" t="inlineStr">
        <is>
          <t>Source / rationale</t>
        </is>
      </c>
    </row>
    <row r="5"/>
    <row r="6">
      <c r="A6" s="3" t="inlineStr">
        <is>
          <t>Active scenario (select)</t>
        </is>
      </c>
      <c r="B6" s="14" t="inlineStr">
        <is>
          <t>Base</t>
        </is>
      </c>
      <c r="C6" s="4" t="inlineStr">
        <is>
          <t>list</t>
        </is>
      </c>
      <c r="G6" s="17" t="inlineStr">
        <is>
          <t>Choose Conservative / Base / Upside. Every scenario driver below uses CHOOSE on this index.</t>
        </is>
      </c>
    </row>
    <row r="7">
      <c r="A7" s="4" t="inlineStr">
        <is>
          <t>Scenario index (1 = Conservative, 2 = Base, 3 = Upside)</t>
        </is>
      </c>
      <c r="B7" s="18">
        <f>MATCH($B$6,$D$4:$F$4,0)</f>
        <v/>
      </c>
    </row>
    <row r="8"/>
    <row r="9">
      <c r="A9" s="19" t="inlineStr">
        <is>
          <t>General, funding &amp; tax</t>
        </is>
      </c>
      <c r="B9" s="19" t="n"/>
      <c r="C9" s="19" t="n"/>
      <c r="D9" s="19" t="n"/>
      <c r="E9" s="19" t="n"/>
      <c r="F9" s="19" t="n"/>
      <c r="G9" s="19" t="n"/>
    </row>
    <row r="10">
      <c r="A10" s="4" t="inlineStr">
        <is>
          <t>FX rate</t>
        </is>
      </c>
      <c r="B10" s="20" t="n">
        <v>18.5</v>
      </c>
      <c r="C10" s="4" t="inlineStr">
        <is>
          <t>ZAR per US$</t>
        </is>
      </c>
      <c r="G10" s="17" t="inlineStr">
        <is>
          <t>Facts file §2: R18.50 = US$1 (planning rate; live cost rate was R16.43 on 25 Sep 2026)</t>
        </is>
      </c>
    </row>
    <row r="11">
      <c r="A11" s="4" t="inlineStr">
        <is>
          <t>SA corporate income tax rate</t>
        </is>
      </c>
      <c r="B11" s="21" t="n">
        <v>0.27</v>
      </c>
      <c r="C11" s="4" t="inlineStr">
        <is>
          <t>%</t>
        </is>
      </c>
      <c r="G11" s="17" t="inlineStr">
        <is>
          <t>SARS 27%. Applied only once cumulative EBITDA is positive (assessed-loss simplification).</t>
        </is>
      </c>
    </row>
    <row r="12">
      <c r="A12" s="4" t="inlineStr">
        <is>
          <t>Opening cash (1 Oct 2026)</t>
        </is>
      </c>
      <c r="B12" s="22" t="n">
        <v>500000</v>
      </c>
      <c r="C12" s="4" t="inlineStr">
        <is>
          <t>R</t>
        </is>
      </c>
      <c r="G12" s="5" t="inlineStr">
        <is>
          <t>[[CONFIRM]] founder to confirm cash in bank at 1 Oct 2026; default R500k</t>
        </is>
      </c>
    </row>
    <row r="13">
      <c r="A13" s="4" t="inlineStr">
        <is>
          <t>Seed raise</t>
        </is>
      </c>
      <c r="B13" s="22" t="n">
        <v>25000000</v>
      </c>
      <c r="C13" s="4" t="inlineStr">
        <is>
          <t>R</t>
        </is>
      </c>
      <c r="G13" s="17" t="inlineStr">
        <is>
          <t>Facts file §7: Seed R25M (≈US$1.35M). Must reach profitability alone (founder, 2026-09-11)</t>
        </is>
      </c>
    </row>
    <row r="14">
      <c r="A14" s="4" t="inlineStr">
        <is>
          <t>Seed lands in model month #</t>
        </is>
      </c>
      <c r="B14" s="23" t="n">
        <v>5</v>
      </c>
      <c r="C14" s="4" t="inlineStr">
        <is>
          <t>month #</t>
        </is>
      </c>
      <c r="G14" s="5" t="inlineStr">
        <is>
          <t>[[CONFIRM]] Month 5 = Feb 2027 (unchanged from v2; no pilot results now gate the close)</t>
        </is>
      </c>
    </row>
    <row r="15">
      <c r="A15" s="4" t="inlineStr">
        <is>
          <t>Minimum-cash buffer (closing cash must stay above this from the seed month on)</t>
        </is>
      </c>
      <c r="B15" s="22" t="n">
        <v>3000000</v>
      </c>
      <c r="C15" s="4" t="inlineStr">
        <is>
          <t>R</t>
        </is>
      </c>
      <c r="G15" s="17" t="inlineStr">
        <is>
          <t>Founder constraint: never below R3.0M after the seed lands</t>
        </is>
      </c>
    </row>
    <row r="16">
      <c r="A16" s="4" t="inlineStr">
        <is>
          <t>Include Series A? (1 = yes, 0 = no)</t>
        </is>
      </c>
      <c r="B16" s="23" t="n">
        <v>0</v>
      </c>
      <c r="C16" s="4" t="inlineStr">
        <is>
          <t>switch</t>
        </is>
      </c>
      <c r="G16" s="17" t="inlineStr">
        <is>
          <t>OFF in every scenario. Optional acceleration only, not needed for survival</t>
        </is>
      </c>
    </row>
    <row r="17">
      <c r="A17" s="4" t="inlineStr">
        <is>
          <t>Series A amount (optional acceleration, if switched on)</t>
        </is>
      </c>
      <c r="B17" s="22" t="n">
        <v>0</v>
      </c>
      <c r="C17" s="4" t="inlineStr">
        <is>
          <t>R</t>
        </is>
      </c>
      <c r="G17" s="17" t="inlineStr">
        <is>
          <t>Default 0 (founder: no Series A in Base or Conservative)</t>
        </is>
      </c>
    </row>
    <row r="18">
      <c r="A18" s="4" t="inlineStr">
        <is>
          <t>Series A lands in model month #</t>
        </is>
      </c>
      <c r="B18" s="23" t="n">
        <v>30</v>
      </c>
      <c r="C18" s="4" t="inlineStr">
        <is>
          <t>month #</t>
        </is>
      </c>
      <c r="G18" s="17" t="inlineStr">
        <is>
          <t>Month 30 = Mar 2029 (illustrative)</t>
        </is>
      </c>
    </row>
    <row r="19">
      <c r="A19" s="17" t="inlineStr">
        <is>
          <t>VAT: Fluxmuse (Pty) Ltd is not VAT-registered. List prices are the amounts charged; revenue is booked as charged with no VAT gross-up or deduction.</t>
        </is>
      </c>
    </row>
    <row r="20">
      <c r="A20" s="19" t="inlineStr">
        <is>
          <t>Launch, first group set up by hand &amp; lean pre-seed mode (no trials, no pilot)</t>
        </is>
      </c>
      <c r="B20" s="19" t="n"/>
      <c r="C20" s="19" t="n"/>
      <c r="D20" s="19" t="n"/>
      <c r="E20" s="19" t="n"/>
      <c r="F20" s="19" t="n"/>
      <c r="G20" s="19" t="n"/>
    </row>
    <row r="21">
      <c r="A21" s="4" t="inlineStr">
        <is>
          <t>First group: paying businesses set up by hand each month</t>
        </is>
      </c>
      <c r="B21" s="24" t="n">
        <v>4</v>
      </c>
      <c r="C21" s="4" t="inlineStr">
        <is>
          <t>workspaces / month</t>
        </is>
      </c>
      <c r="G21" s="5" t="inlineStr">
        <is>
          <t>[[CONFIRM]] Founders onboard a small first group by hand (CURRENT_OFFER §4); no pilot cohort exists</t>
        </is>
      </c>
    </row>
    <row r="22">
      <c r="A22" s="4" t="inlineStr">
        <is>
          <t>First group: last month # of hand set-up</t>
        </is>
      </c>
      <c r="B22" s="23" t="n">
        <v>4</v>
      </c>
      <c r="C22" s="4" t="inlineStr">
        <is>
          <t>month #</t>
        </is>
      </c>
      <c r="G22" s="5" t="inlineStr">
        <is>
          <t>[[CONFIRM]] Month 4 = Jan 2027 (Oct 2026 - Jan 2027, until the seed lands)</t>
        </is>
      </c>
    </row>
    <row r="23">
      <c r="A23" s="4" t="inlineStr">
        <is>
          <t>First group: share that are Solo entrepreneurs (rest SMEs)</t>
        </is>
      </c>
      <c r="B23" s="21" t="n">
        <v>0.5</v>
      </c>
      <c r="C23" s="4" t="inlineStr">
        <is>
          <t>%</t>
        </is>
      </c>
      <c r="G23" s="5" t="inlineStr">
        <is>
          <t>[[CONFIRM]] Each takes its segment's tier mix; agencies come through the partner channel</t>
        </is>
      </c>
    </row>
    <row r="24">
      <c r="A24" s="4" t="inlineStr">
        <is>
          <t>First group: hand set-up cost while it runs</t>
        </is>
      </c>
      <c r="B24" s="22" t="n">
        <v>10000</v>
      </c>
      <c r="C24" s="4" t="inlineStr">
        <is>
          <t>R / month</t>
        </is>
      </c>
      <c r="G24" s="5" t="inlineStr">
        <is>
          <t>[[CONFIRM]] Onboarding visits, set-up time, WhatsApp/AI usage (replaces the R15k pilot cost)</t>
        </is>
      </c>
    </row>
    <row r="25">
      <c r="A25" s="4" t="inlineStr">
        <is>
          <t>Hosting base before the seed (lean mode)</t>
        </is>
      </c>
      <c r="B25" s="22" t="n">
        <v>15000</v>
      </c>
      <c r="C25" s="4" t="inlineStr">
        <is>
          <t>R / month</t>
        </is>
      </c>
      <c r="G25" s="17" t="inlineStr">
        <is>
          <t>Supabase/Vercel at early scale (ASSUMPTION)</t>
        </is>
      </c>
    </row>
    <row r="26">
      <c r="A26" s="4" t="inlineStr">
        <is>
          <t>Overheads before the seed (accounting, banking, Meta/legal minimum)</t>
        </is>
      </c>
      <c r="B26" s="22" t="n">
        <v>15000</v>
      </c>
      <c r="C26" s="4" t="inlineStr">
        <is>
          <t>R / month</t>
        </is>
      </c>
      <c r="G26" s="17" t="inlineStr">
        <is>
          <t>Lean mode replaces fixed G&amp;A and the legal retainer until the seed lands</t>
        </is>
      </c>
    </row>
    <row r="27">
      <c r="A27" s="17" t="inlineStr">
        <is>
          <t>Lean mode (months before the seed): founders only, no paid marketing, no office/travel; hiring, brand, partner and legal budgets start in the seed month.</t>
        </is>
      </c>
    </row>
    <row r="28">
      <c r="A28" s="19" t="inlineStr">
        <is>
          <t>Sensitivity &amp; option levers (leave at defaults for the scenarios)</t>
        </is>
      </c>
      <c r="B28" s="19" t="n"/>
      <c r="C28" s="19" t="n"/>
      <c r="D28" s="19" t="n"/>
      <c r="E28" s="19" t="n"/>
      <c r="F28" s="19" t="n"/>
      <c r="G28" s="19" t="n"/>
    </row>
    <row r="29">
      <c r="A29" s="4" t="inlineStr">
        <is>
          <t>New sign-up volume multiplier</t>
        </is>
      </c>
      <c r="B29" s="25" t="n">
        <v>1</v>
      </c>
      <c r="C29" s="4" t="inlineStr">
        <is>
          <t>x</t>
        </is>
      </c>
      <c r="G29" s="17" t="inlineStr">
        <is>
          <t>Scales self-serve sign-ups in every market; Sensitivity sheet</t>
        </is>
      </c>
    </row>
    <row r="30">
      <c r="A30" s="4" t="inlineStr">
        <is>
          <t>Churn sensitivity multiplier</t>
        </is>
      </c>
      <c r="B30" s="25" t="n">
        <v>1</v>
      </c>
      <c r="C30" s="4" t="inlineStr">
        <is>
          <t>x</t>
        </is>
      </c>
      <c r="G30" s="17" t="inlineStr">
        <is>
          <t>Multiplies all churn; Sensitivity sheet</t>
        </is>
      </c>
    </row>
    <row r="31">
      <c r="A31" s="4" t="inlineStr">
        <is>
          <t>Launch discount option (1 = Founding Member, 2 = None)</t>
        </is>
      </c>
      <c r="B31" s="23" t="n">
        <v>1</v>
      </c>
      <c r="C31" s="4" t="inlineStr">
        <is>
          <t>option</t>
        </is>
      </c>
      <c r="G31" s="17" t="inlineStr">
        <is>
          <t>Founding Member live since 1 Oct 2026 (CURRENT_OFFER §1); None is a sensitivity only</t>
        </is>
      </c>
    </row>
    <row r="32">
      <c r="A32" s="4" t="inlineStr">
        <is>
          <t>Founding Member: discount on the first 2 monthly bills</t>
        </is>
      </c>
      <c r="B32" s="21" t="n">
        <v>0.3</v>
      </c>
      <c r="C32" s="4" t="inlineStr">
        <is>
          <t>% off</t>
        </is>
      </c>
      <c r="G32" s="17" t="inlineStr">
        <is>
          <t>CURRENT_OFFER §1: 30% off the first two monthly billing cycles, South African sign-ups. Not modelled on Agency, Corporate or Custom</t>
        </is>
      </c>
    </row>
    <row r="33">
      <c r="A33" s="4" t="inlineStr">
        <is>
          <t>Founding Member: first month # (South Africa)</t>
        </is>
      </c>
      <c r="B33" s="23" t="n">
        <v>1</v>
      </c>
      <c r="C33" s="4" t="inlineStr">
        <is>
          <t>month #</t>
        </is>
      </c>
      <c r="G33" s="17" t="inlineStr">
        <is>
          <t>Live from Oct 2026 (confirmed 1 Oct 2026)</t>
        </is>
      </c>
    </row>
    <row r="34">
      <c r="A34" s="4" t="inlineStr">
        <is>
          <t>Founding Member: last month # (South Africa)</t>
        </is>
      </c>
      <c r="B34" s="23" t="n">
        <v>6</v>
      </c>
      <c r="C34" s="4" t="inlineStr">
        <is>
          <t>month #</t>
        </is>
      </c>
      <c r="G34" s="5" t="inlineStr">
        <is>
          <t>[[CONFIRM]] No end date is set. Proposed: 31 Mar 2027 (6 months, ends a month after the seed lands)</t>
        </is>
      </c>
    </row>
    <row r="35">
      <c r="A35" s="4" t="inlineStr">
        <is>
          <t>New sign-up uplift while Founding Member runs</t>
        </is>
      </c>
      <c r="B35" s="21" t="n">
        <v>0.2</v>
      </c>
      <c r="C35" s="4" t="inlineStr">
        <is>
          <t>%</t>
        </is>
      </c>
      <c r="G35" s="5" t="inlineStr">
        <is>
          <t>[[CONFIRM]] +20% paying sign-ups while the offer runs (unchanged from v2; unproven)</t>
        </is>
      </c>
    </row>
    <row r="36">
      <c r="A36" s="4" t="inlineStr">
        <is>
          <t>Churn of new sign-ups between discounted bill 1 and 2</t>
        </is>
      </c>
      <c r="B36" s="21" t="n">
        <v>0.08</v>
      </c>
      <c r="C36" s="4" t="inlineStr">
        <is>
          <t>%</t>
        </is>
      </c>
      <c r="G36" s="17" t="inlineStr">
        <is>
          <t>Used only to size the second discounted bill (ASSUMPTION)</t>
        </is>
      </c>
    </row>
    <row r="37">
      <c r="A37" s="4" t="inlineStr">
        <is>
          <t>FX shock: ZAR stronger vs NGN/KES/GHS/USD</t>
        </is>
      </c>
      <c r="B37" s="21" t="n">
        <v>0</v>
      </c>
      <c r="C37" s="4" t="inlineStr">
        <is>
          <t>%</t>
        </is>
      </c>
      <c r="G37" s="17" t="inlineStr">
        <is>
          <t>Sensitivity sets 15%</t>
        </is>
      </c>
    </row>
    <row r="38">
      <c r="A38" s="4" t="inlineStr">
        <is>
          <t>FX shock starts in month #</t>
        </is>
      </c>
      <c r="B38" s="23" t="n">
        <v>31</v>
      </c>
      <c r="C38" s="4" t="inlineStr">
        <is>
          <t>month #</t>
        </is>
      </c>
      <c r="G38" s="5" t="inlineStr">
        <is>
          <t>[[CONFIRM]] Month 31 = Apr 2029, after the later NG/KE/GH plan months</t>
        </is>
      </c>
    </row>
    <row r="39">
      <c r="A39" s="19" t="inlineStr">
        <is>
          <t>Scenario drivers (switched by the selector above: CHOOSE on columns D:F)</t>
        </is>
      </c>
      <c r="B39" s="19" t="n"/>
      <c r="C39" s="19" t="n"/>
      <c r="D39" s="19" t="n"/>
      <c r="E39" s="19" t="n"/>
      <c r="F39" s="19" t="n"/>
      <c r="G39" s="19" t="n"/>
    </row>
    <row r="40">
      <c r="A40" s="4" t="inlineStr">
        <is>
          <t>Monthly growth in self-serve sign-ups (Free + paid): FY1</t>
        </is>
      </c>
      <c r="B40" s="9">
        <f>CHOOSE($B$7,D40,E40,F40)</f>
        <v/>
      </c>
      <c r="C40" s="4" t="inlineStr">
        <is>
          <t>% m/m</t>
        </is>
      </c>
      <c r="D40" s="21" t="n">
        <v>0.1</v>
      </c>
      <c r="E40" s="21" t="n">
        <v>0.12</v>
      </c>
      <c r="F40" s="21" t="n">
        <v>0.14</v>
      </c>
      <c r="G40" s="17" t="inlineStr">
        <is>
          <t>Per market from its launch month; decays as channels mature (unchanged from v2)</t>
        </is>
      </c>
    </row>
    <row r="41">
      <c r="A41" s="4" t="inlineStr">
        <is>
          <t>Monthly growth in self-serve sign-ups (Free + paid): FY2</t>
        </is>
      </c>
      <c r="B41" s="9">
        <f>CHOOSE($B$7,D41,E41,F41)</f>
        <v/>
      </c>
      <c r="C41" s="4" t="inlineStr">
        <is>
          <t>% m/m</t>
        </is>
      </c>
      <c r="D41" s="21" t="n">
        <v>0.035</v>
      </c>
      <c r="E41" s="21" t="n">
        <v>0.045</v>
      </c>
      <c r="F41" s="21" t="n">
        <v>0.06</v>
      </c>
      <c r="G41" s="17" t="inlineStr"/>
    </row>
    <row r="42">
      <c r="A42" s="4" t="inlineStr">
        <is>
          <t>Monthly growth in self-serve sign-ups (Free + paid): FY3</t>
        </is>
      </c>
      <c r="B42" s="9">
        <f>CHOOSE($B$7,D42,E42,F42)</f>
        <v/>
      </c>
      <c r="C42" s="4" t="inlineStr">
        <is>
          <t>% m/m</t>
        </is>
      </c>
      <c r="D42" s="21" t="n">
        <v>0.025</v>
      </c>
      <c r="E42" s="21" t="n">
        <v>0.035</v>
      </c>
      <c r="F42" s="21" t="n">
        <v>0.045</v>
      </c>
      <c r="G42" s="17" t="inlineStr"/>
    </row>
    <row r="43">
      <c r="A43" s="4" t="inlineStr">
        <is>
          <t>Monthly growth in self-serve sign-ups (Free + paid): FY4</t>
        </is>
      </c>
      <c r="B43" s="9">
        <f>CHOOSE($B$7,D43,E43,F43)</f>
        <v/>
      </c>
      <c r="C43" s="4" t="inlineStr">
        <is>
          <t>% m/m</t>
        </is>
      </c>
      <c r="D43" s="21" t="n">
        <v>0.015</v>
      </c>
      <c r="E43" s="21" t="n">
        <v>0.028</v>
      </c>
      <c r="F43" s="21" t="n">
        <v>0.032</v>
      </c>
      <c r="G43" s="17" t="inlineStr"/>
    </row>
    <row r="44">
      <c r="A44" s="4" t="inlineStr">
        <is>
          <t>Monthly growth in self-serve sign-ups (Free + paid): FY5</t>
        </is>
      </c>
      <c r="B44" s="9">
        <f>CHOOSE($B$7,D44,E44,F44)</f>
        <v/>
      </c>
      <c r="C44" s="4" t="inlineStr">
        <is>
          <t>% m/m</t>
        </is>
      </c>
      <c r="D44" s="21" t="n">
        <v>0.01</v>
      </c>
      <c r="E44" s="21" t="n">
        <v>0.015</v>
      </c>
      <c r="F44" s="21" t="n">
        <v>0.02</v>
      </c>
      <c r="G44" s="17" t="inlineStr"/>
    </row>
    <row r="45">
      <c r="A45" s="4" t="inlineStr">
        <is>
          <t>Conversion multiplier (on direct-paid and Free-to-paid conversion)</t>
        </is>
      </c>
      <c r="B45" s="26">
        <f>CHOOSE($B$7,D45,E45,F45)</f>
        <v/>
      </c>
      <c r="C45" s="4" t="inlineStr">
        <is>
          <t>x</t>
        </is>
      </c>
      <c r="D45" s="25" t="n">
        <v>0.85</v>
      </c>
      <c r="E45" s="25" t="n">
        <v>1</v>
      </c>
      <c r="F45" s="25" t="n">
        <v>1.2</v>
      </c>
      <c r="G45" s="17" t="inlineStr"/>
    </row>
    <row r="46">
      <c r="A46" s="4" t="inlineStr">
        <is>
          <t>Churn multiplier</t>
        </is>
      </c>
      <c r="B46" s="26">
        <f>CHOOSE($B$7,D46,E46,F46)</f>
        <v/>
      </c>
      <c r="C46" s="4" t="inlineStr">
        <is>
          <t>x</t>
        </is>
      </c>
      <c r="D46" s="25" t="n">
        <v>1.2</v>
      </c>
      <c r="E46" s="25" t="n">
        <v>1</v>
      </c>
      <c r="F46" s="25" t="n">
        <v>0.85</v>
      </c>
      <c r="G46" s="17" t="inlineStr"/>
    </row>
    <row r="47">
      <c r="A47" s="4" t="inlineStr">
        <is>
          <t>Paid CAC multiplier</t>
        </is>
      </c>
      <c r="B47" s="26">
        <f>CHOOSE($B$7,D47,E47,F47)</f>
        <v/>
      </c>
      <c r="C47" s="4" t="inlineStr">
        <is>
          <t>x</t>
        </is>
      </c>
      <c r="D47" s="25" t="n">
        <v>1.2</v>
      </c>
      <c r="E47" s="25" t="n">
        <v>1</v>
      </c>
      <c r="F47" s="25" t="n">
        <v>0.85</v>
      </c>
      <c r="G47" s="17" t="inlineStr">
        <is>
          <t>Ad-auction inflation vs creative &amp; referral efficiency</t>
        </is>
      </c>
    </row>
    <row r="48">
      <c r="A48" s="4" t="inlineStr">
        <is>
          <t>Expansion timing shift (months, + = later)</t>
        </is>
      </c>
      <c r="B48" s="18">
        <f>CHOOSE($B$7,D48,E48,F48)</f>
        <v/>
      </c>
      <c r="C48" s="4" t="inlineStr">
        <is>
          <t>months</t>
        </is>
      </c>
      <c r="D48" s="23" t="n">
        <v>3</v>
      </c>
      <c r="E48" s="23" t="n">
        <v>0</v>
      </c>
      <c r="F48" s="23" t="n">
        <v>-2</v>
      </c>
      <c r="G48" s="17" t="inlineStr">
        <is>
          <t>Shifts planned NG/KE/GH/Rest/BW-NA launches (MRR gates still apply)</t>
        </is>
      </c>
    </row>
    <row r="49">
      <c r="A49" s="4" t="inlineStr">
        <is>
          <t>Inbound Corporate &amp; Custom deal multiplier</t>
        </is>
      </c>
      <c r="B49" s="26">
        <f>CHOOSE($B$7,D49,E49,F49)</f>
        <v/>
      </c>
      <c r="C49" s="4" t="inlineStr">
        <is>
          <t>x</t>
        </is>
      </c>
      <c r="D49" s="25" t="n">
        <v>0.5</v>
      </c>
      <c r="E49" s="25" t="n">
        <v>1</v>
      </c>
      <c r="F49" s="25" t="n">
        <v>1.5</v>
      </c>
      <c r="G49" s="17" t="inlineStr"/>
    </row>
    <row r="50">
      <c r="A50" s="4" t="inlineStr">
        <is>
          <t>COST DISCIPLINE: paid acquisition cap, % of last month's net MRR</t>
        </is>
      </c>
      <c r="B50" s="9">
        <f>CHOOSE($B$7,D50,E50,F50)</f>
        <v/>
      </c>
      <c r="C50" s="4" t="inlineStr">
        <is>
          <t>% of MRR</t>
        </is>
      </c>
      <c r="D50" s="21" t="n">
        <v>0.3</v>
      </c>
      <c r="E50" s="21" t="n">
        <v>0.35</v>
      </c>
      <c r="F50" s="21" t="n">
        <v>0.5</v>
      </c>
      <c r="G50" s="17" t="inlineStr">
        <is>
          <t>Paid spend = MIN(desired, floor + cap x MRR); unfunded paid sign-ups are not acquired</t>
        </is>
      </c>
    </row>
    <row r="51">
      <c r="A51" s="4" t="inlineStr">
        <is>
          <t>COST DISCIPLINE: hiring &amp; launch MRR-gate multiplier</t>
        </is>
      </c>
      <c r="B51" s="26">
        <f>CHOOSE($B$7,D51,E51,F51)</f>
        <v/>
      </c>
      <c r="C51" s="4" t="inlineStr">
        <is>
          <t>x</t>
        </is>
      </c>
      <c r="D51" s="25" t="n">
        <v>1.4</v>
      </c>
      <c r="E51" s="25" t="n">
        <v>1</v>
      </c>
      <c r="F51" s="25" t="n">
        <v>0.8</v>
      </c>
      <c r="G51" s="17" t="inlineStr">
        <is>
          <t>Each hire/launch waits for its MRR milestone x this (unchanged from v2)</t>
        </is>
      </c>
    </row>
    <row r="52">
      <c r="A52" s="4" t="inlineStr">
        <is>
          <t>FluxMuse fee on checkout GMV (on top of pass-through Paystack fees)</t>
        </is>
      </c>
      <c r="B52" s="27">
        <f>CHOOSE($B$7,D52,E52,F52)</f>
        <v/>
      </c>
      <c r="C52" s="4" t="inlineStr">
        <is>
          <t>% of GMV</t>
        </is>
      </c>
      <c r="D52" s="28" t="n">
        <v>0</v>
      </c>
      <c r="E52" s="28" t="n">
        <v>0</v>
      </c>
      <c r="F52" s="28" t="n">
        <v>0</v>
      </c>
      <c r="G52" s="5" t="inlineStr">
        <is>
          <t>[[CONFIRM]] CURRENT_OFFER §2: checkout fees are pass-through (Paystack 2.9% + R1 card, 2% EFT); no FluxMuse service fee. 0% in every scenario</t>
        </is>
      </c>
    </row>
    <row r="53">
      <c r="A53" s="19" t="inlineStr">
        <is>
          <t>Launch discount parameters (formulas on the option switch)</t>
        </is>
      </c>
      <c r="B53" s="19" t="n"/>
      <c r="C53" s="19" t="n"/>
      <c r="D53" s="19" t="n"/>
      <c r="E53" s="19" t="n"/>
      <c r="F53" s="19" t="n"/>
      <c r="G53" s="19" t="n"/>
    </row>
    <row r="54">
      <c r="A54" s="4" t="inlineStr">
        <is>
          <t>Founding Member: discount applied to monthly plans</t>
        </is>
      </c>
      <c r="B54" s="9">
        <f>IF(Assumptions!$B$31=1,Assumptions!$B$32,0)</f>
        <v/>
      </c>
      <c r="C54" s="4" t="inlineStr">
        <is>
          <t>% off</t>
        </is>
      </c>
      <c r="G54" s="5" t="inlineStr">
        <is>
          <t>Solo &amp; SME sign-ups in South Africa inside the offer months. Annual plans: no Founding Member discount modelled [[CONFIRM]]</t>
        </is>
      </c>
    </row>
    <row r="55">
      <c r="A55" s="4" t="inlineStr">
        <is>
          <t>Sign-up uplift applied while the offer runs</t>
        </is>
      </c>
      <c r="B55" s="9">
        <f>IF(Assumptions!$B$31=1,Assumptions!$B$35,0)</f>
        <v/>
      </c>
      <c r="C55" s="4" t="inlineStr">
        <is>
          <t>%</t>
        </is>
      </c>
      <c r="G55" s="17" t="inlineStr"/>
    </row>
    <row r="56">
      <c r="A56" s="19" t="inlineStr">
        <is>
          <t>Markets &amp; sequence (ZA only until NG/KE/GH checkout is live; Rest of Africa self-serve later; BW/NA coming soon; gated countries = 0)</t>
        </is>
      </c>
      <c r="B56" s="19" t="n"/>
      <c r="C56" s="19" t="n"/>
      <c r="D56" s="19" t="n"/>
      <c r="E56" s="19" t="n"/>
      <c r="F56" s="19" t="n"/>
      <c r="G56" s="19" t="n"/>
    </row>
    <row r="57">
      <c r="A57" s="4" t="inlineStr">
        <is>
          <t>South Africa commercial launch month #</t>
        </is>
      </c>
      <c r="B57" s="23" t="n">
        <v>1</v>
      </c>
      <c r="C57" s="4" t="inlineStr">
        <is>
          <t>month #</t>
        </is>
      </c>
      <c r="G57" s="17" t="inlineStr">
        <is>
          <t>Oct 2026: paid plans and Founding Member live (CURRENT_OFFER §1)</t>
        </is>
      </c>
    </row>
    <row r="58">
      <c r="A58" s="4" t="inlineStr">
        <is>
          <t>Self-serve sign-ups (Free + paid) in launch month: South Africa</t>
        </is>
      </c>
      <c r="B58" s="23" t="n">
        <v>150</v>
      </c>
      <c r="C58" s="4" t="inlineStr">
        <is>
          <t>sign-ups / month</t>
        </is>
      </c>
      <c r="G58" s="5" t="inlineStr">
        <is>
          <t>[[CONFIRM]] Organic only until the seed (no paid marketing); founder-led outreach</t>
        </is>
      </c>
    </row>
    <row r="59">
      <c r="A59" s="4" t="inlineStr">
        <is>
          <t>Nigeria: switch (1 = on)</t>
        </is>
      </c>
      <c r="B59" s="23" t="n">
        <v>1</v>
      </c>
      <c r="C59" s="4" t="inlineStr">
        <is>
          <t>switch</t>
        </is>
      </c>
      <c r="G59" s="17" t="inlineStr"/>
    </row>
    <row r="60">
      <c r="A60" s="4" t="inlineStr">
        <is>
          <t>Nigeria: planned launch month # (earliest)</t>
        </is>
      </c>
      <c r="B60" s="23" t="n">
        <v>19</v>
      </c>
      <c r="C60" s="4" t="inlineStr">
        <is>
          <t>month #</t>
        </is>
      </c>
      <c r="G60" s="5" t="inlineStr">
        <is>
          <t>[[CONFIRM]] Apr 2028 (was Nov 2027): needs Fincra/pawaPay checkout live; largest MSME base</t>
        </is>
      </c>
    </row>
    <row r="61">
      <c r="A61" s="4" t="inlineStr">
        <is>
          <t>Nigeria: MRR gate for the launch decision</t>
        </is>
      </c>
      <c r="B61" s="22" t="n">
        <v>900000</v>
      </c>
      <c r="C61" s="4" t="inlineStr">
        <is>
          <t>R net MRR</t>
        </is>
      </c>
      <c r="G61" s="17" t="inlineStr">
        <is>
          <t>Decision (and country-lead hire) needs last month's net MRR &gt;= gate x gate multiplier; launch follows 2 months later</t>
        </is>
      </c>
    </row>
    <row r="62">
      <c r="A62" s="4" t="inlineStr">
        <is>
          <t>Nigeria: self-serve sign-ups (Free + paid) in launch month</t>
        </is>
      </c>
      <c r="B62" s="23" t="n">
        <v>220</v>
      </c>
      <c r="C62" s="4" t="inlineStr">
        <is>
          <t>sign-ups / month</t>
        </is>
      </c>
      <c r="G62" s="17" t="inlineStr"/>
    </row>
    <row r="63">
      <c r="A63" s="4" t="inlineStr">
        <is>
          <t>Nigeria: paid CAC index vs SA</t>
        </is>
      </c>
      <c r="B63" s="25" t="n">
        <v>0.75</v>
      </c>
      <c r="C63" s="4" t="inlineStr">
        <is>
          <t>x</t>
        </is>
      </c>
      <c r="G63" s="17" t="inlineStr">
        <is>
          <t>Cheaper media; lower price point</t>
        </is>
      </c>
    </row>
    <row r="64">
      <c r="A64" s="4" t="inlineStr">
        <is>
          <t>Nigeria: churn index vs SA</t>
        </is>
      </c>
      <c r="B64" s="25" t="n">
        <v>1.15</v>
      </c>
      <c r="C64" s="4" t="inlineStr">
        <is>
          <t>x</t>
        </is>
      </c>
      <c r="G64" s="17" t="inlineStr">
        <is>
          <t>FX affordability pressure (ASSUMPTION)</t>
        </is>
      </c>
    </row>
    <row r="65">
      <c r="A65" s="4" t="inlineStr">
        <is>
          <t>Nigeria: local compliance &amp; registration (one-off at launch)</t>
        </is>
      </c>
      <c r="B65" s="22" t="n">
        <v>300000</v>
      </c>
      <c r="C65" s="4" t="inlineStr">
        <is>
          <t>R</t>
        </is>
      </c>
      <c r="G65" s="17" t="inlineStr">
        <is>
          <t>NDPR registration, entity, local counsel</t>
        </is>
      </c>
    </row>
    <row r="66">
      <c r="A66" s="4" t="inlineStr">
        <is>
          <t>Nigeria: ongoing local compliance</t>
        </is>
      </c>
      <c r="B66" s="22" t="n">
        <v>12000</v>
      </c>
      <c r="C66" s="4" t="inlineStr">
        <is>
          <t>R / month</t>
        </is>
      </c>
      <c r="G66" s="17" t="inlineStr">
        <is>
          <t>Local accounting, DPO filings, tax returns</t>
        </is>
      </c>
    </row>
    <row r="67">
      <c r="A67" s="4" t="inlineStr">
        <is>
          <t>Nigeria: launch marketing budget (spread over first 3 months)</t>
        </is>
      </c>
      <c r="B67" s="22" t="n">
        <v>350000</v>
      </c>
      <c r="C67" s="4" t="inlineStr">
        <is>
          <t>R</t>
        </is>
      </c>
      <c r="G67" s="17" t="inlineStr">
        <is>
          <t>Launch campaign, local creators, events</t>
        </is>
      </c>
    </row>
    <row r="68">
      <c r="A68" s="4" t="inlineStr">
        <is>
          <t>Nigeria: inbound agency sign-ups after launch</t>
        </is>
      </c>
      <c r="B68" s="20" t="n">
        <v>0.25</v>
      </c>
      <c r="C68" s="4" t="inlineStr">
        <is>
          <t>agencies / month</t>
        </is>
      </c>
      <c r="G68" s="17" t="inlineStr"/>
    </row>
    <row r="69">
      <c r="A69" s="4" t="inlineStr">
        <is>
          <t>Kenya: switch (1 = on)</t>
        </is>
      </c>
      <c r="B69" s="23" t="n">
        <v>1</v>
      </c>
      <c r="C69" s="4" t="inlineStr">
        <is>
          <t>switch</t>
        </is>
      </c>
      <c r="G69" s="17" t="inlineStr"/>
    </row>
    <row r="70">
      <c r="A70" s="4" t="inlineStr">
        <is>
          <t>Kenya: planned launch month # (earliest)</t>
        </is>
      </c>
      <c r="B70" s="23" t="n">
        <v>22</v>
      </c>
      <c r="C70" s="4" t="inlineStr">
        <is>
          <t>month #</t>
        </is>
      </c>
      <c r="G70" s="5" t="inlineStr">
        <is>
          <t>[[CONFIRM]] Jul 2028 (was Feb 2028): M-Pesa via pawaPay once the account is live</t>
        </is>
      </c>
    </row>
    <row r="71">
      <c r="A71" s="4" t="inlineStr">
        <is>
          <t>Kenya: MRR gate for the launch decision</t>
        </is>
      </c>
      <c r="B71" s="22" t="n">
        <v>1200000</v>
      </c>
      <c r="C71" s="4" t="inlineStr">
        <is>
          <t>R net MRR</t>
        </is>
      </c>
      <c r="G71" s="17" t="inlineStr">
        <is>
          <t>Decision (and country-lead hire) needs last month's net MRR &gt;= gate x gate multiplier; launch follows 2 months later</t>
        </is>
      </c>
    </row>
    <row r="72">
      <c r="A72" s="4" t="inlineStr">
        <is>
          <t>Kenya: self-serve sign-ups (Free + paid) in launch month</t>
        </is>
      </c>
      <c r="B72" s="23" t="n">
        <v>150</v>
      </c>
      <c r="C72" s="4" t="inlineStr">
        <is>
          <t>sign-ups / month</t>
        </is>
      </c>
      <c r="G72" s="17" t="inlineStr"/>
    </row>
    <row r="73">
      <c r="A73" s="4" t="inlineStr">
        <is>
          <t>Kenya: paid CAC index vs SA</t>
        </is>
      </c>
      <c r="B73" s="25" t="n">
        <v>0.8</v>
      </c>
      <c r="C73" s="4" t="inlineStr">
        <is>
          <t>x</t>
        </is>
      </c>
      <c r="G73" s="17" t="inlineStr">
        <is>
          <t>Cheaper media; lower price point</t>
        </is>
      </c>
    </row>
    <row r="74">
      <c r="A74" s="4" t="inlineStr">
        <is>
          <t>Kenya: churn index vs SA</t>
        </is>
      </c>
      <c r="B74" s="25" t="n">
        <v>1.05</v>
      </c>
      <c r="C74" s="4" t="inlineStr">
        <is>
          <t>x</t>
        </is>
      </c>
      <c r="G74" s="17" t="inlineStr">
        <is>
          <t>FX affordability pressure (ASSUMPTION)</t>
        </is>
      </c>
    </row>
    <row r="75">
      <c r="A75" s="4" t="inlineStr">
        <is>
          <t>Kenya: local compliance &amp; registration (one-off at launch)</t>
        </is>
      </c>
      <c r="B75" s="22" t="n">
        <v>250000</v>
      </c>
      <c r="C75" s="4" t="inlineStr">
        <is>
          <t>R</t>
        </is>
      </c>
      <c r="G75" s="17" t="inlineStr">
        <is>
          <t>KDPA (ODPC) registration, local counsel</t>
        </is>
      </c>
    </row>
    <row r="76">
      <c r="A76" s="4" t="inlineStr">
        <is>
          <t>Kenya: ongoing local compliance</t>
        </is>
      </c>
      <c r="B76" s="22" t="n">
        <v>12000</v>
      </c>
      <c r="C76" s="4" t="inlineStr">
        <is>
          <t>R / month</t>
        </is>
      </c>
      <c r="G76" s="17" t="inlineStr">
        <is>
          <t>Local accounting, DPO filings, tax returns</t>
        </is>
      </c>
    </row>
    <row r="77">
      <c r="A77" s="4" t="inlineStr">
        <is>
          <t>Kenya: launch marketing budget (spread over first 3 months)</t>
        </is>
      </c>
      <c r="B77" s="22" t="n">
        <v>300000</v>
      </c>
      <c r="C77" s="4" t="inlineStr">
        <is>
          <t>R</t>
        </is>
      </c>
      <c r="G77" s="17" t="inlineStr">
        <is>
          <t>Launch campaign, local creators, events</t>
        </is>
      </c>
    </row>
    <row r="78">
      <c r="A78" s="4" t="inlineStr">
        <is>
          <t>Kenya: inbound agency sign-ups after launch</t>
        </is>
      </c>
      <c r="B78" s="20" t="n">
        <v>0.2</v>
      </c>
      <c r="C78" s="4" t="inlineStr">
        <is>
          <t>agencies / month</t>
        </is>
      </c>
      <c r="G78" s="17" t="inlineStr"/>
    </row>
    <row r="79">
      <c r="A79" s="4" t="inlineStr">
        <is>
          <t>Ghana: switch (1 = on)</t>
        </is>
      </c>
      <c r="B79" s="23" t="n">
        <v>1</v>
      </c>
      <c r="C79" s="4" t="inlineStr">
        <is>
          <t>switch</t>
        </is>
      </c>
      <c r="G79" s="17" t="inlineStr"/>
    </row>
    <row r="80">
      <c r="A80" s="4" t="inlineStr">
        <is>
          <t>Ghana: planned launch month # (earliest)</t>
        </is>
      </c>
      <c r="B80" s="23" t="n">
        <v>25</v>
      </c>
      <c r="C80" s="4" t="inlineStr">
        <is>
          <t>month #</t>
        </is>
      </c>
      <c r="G80" s="5" t="inlineStr">
        <is>
          <t>[[CONFIRM]] Oct 2028 (was May 2028): MoMo via pawaPay once the account is live</t>
        </is>
      </c>
    </row>
    <row r="81">
      <c r="A81" s="4" t="inlineStr">
        <is>
          <t>Ghana: MRR gate for the launch decision</t>
        </is>
      </c>
      <c r="B81" s="22" t="n">
        <v>1500000</v>
      </c>
      <c r="C81" s="4" t="inlineStr">
        <is>
          <t>R net MRR</t>
        </is>
      </c>
      <c r="G81" s="17" t="inlineStr">
        <is>
          <t>Decision (and country-lead hire) needs last month's net MRR &gt;= gate x gate multiplier; launch follows 2 months later</t>
        </is>
      </c>
    </row>
    <row r="82">
      <c r="A82" s="4" t="inlineStr">
        <is>
          <t>Ghana: self-serve sign-ups (Free + paid) in launch month</t>
        </is>
      </c>
      <c r="B82" s="23" t="n">
        <v>110</v>
      </c>
      <c r="C82" s="4" t="inlineStr">
        <is>
          <t>sign-ups / month</t>
        </is>
      </c>
      <c r="G82" s="17" t="inlineStr"/>
    </row>
    <row r="83">
      <c r="A83" s="4" t="inlineStr">
        <is>
          <t>Ghana: paid CAC index vs SA</t>
        </is>
      </c>
      <c r="B83" s="25" t="n">
        <v>0.8</v>
      </c>
      <c r="C83" s="4" t="inlineStr">
        <is>
          <t>x</t>
        </is>
      </c>
      <c r="G83" s="17" t="inlineStr">
        <is>
          <t>Cheaper media; lower price point</t>
        </is>
      </c>
    </row>
    <row r="84">
      <c r="A84" s="4" t="inlineStr">
        <is>
          <t>Ghana: churn index vs SA</t>
        </is>
      </c>
      <c r="B84" s="25" t="n">
        <v>1.1</v>
      </c>
      <c r="C84" s="4" t="inlineStr">
        <is>
          <t>x</t>
        </is>
      </c>
      <c r="G84" s="17" t="inlineStr">
        <is>
          <t>FX affordability pressure (ASSUMPTION)</t>
        </is>
      </c>
    </row>
    <row r="85">
      <c r="A85" s="4" t="inlineStr">
        <is>
          <t>Ghana: local compliance &amp; registration (one-off at launch)</t>
        </is>
      </c>
      <c r="B85" s="22" t="n">
        <v>200000</v>
      </c>
      <c r="C85" s="4" t="inlineStr">
        <is>
          <t>R</t>
        </is>
      </c>
      <c r="G85" s="17" t="inlineStr">
        <is>
          <t>Ghana DPC registration, local counsel</t>
        </is>
      </c>
    </row>
    <row r="86">
      <c r="A86" s="4" t="inlineStr">
        <is>
          <t>Ghana: ongoing local compliance</t>
        </is>
      </c>
      <c r="B86" s="22" t="n">
        <v>10000</v>
      </c>
      <c r="C86" s="4" t="inlineStr">
        <is>
          <t>R / month</t>
        </is>
      </c>
      <c r="G86" s="17" t="inlineStr">
        <is>
          <t>Local accounting, DPO filings, tax returns</t>
        </is>
      </c>
    </row>
    <row r="87">
      <c r="A87" s="4" t="inlineStr">
        <is>
          <t>Ghana: launch marketing budget (spread over first 3 months)</t>
        </is>
      </c>
      <c r="B87" s="22" t="n">
        <v>250000</v>
      </c>
      <c r="C87" s="4" t="inlineStr">
        <is>
          <t>R</t>
        </is>
      </c>
      <c r="G87" s="17" t="inlineStr">
        <is>
          <t>Launch campaign, local creators, events</t>
        </is>
      </c>
    </row>
    <row r="88">
      <c r="A88" s="4" t="inlineStr">
        <is>
          <t>Ghana: inbound agency sign-ups after launch</t>
        </is>
      </c>
      <c r="B88" s="20" t="n">
        <v>0.15</v>
      </c>
      <c r="C88" s="4" t="inlineStr">
        <is>
          <t>agencies / month</t>
        </is>
      </c>
      <c r="G88" s="17" t="inlineStr"/>
    </row>
    <row r="89">
      <c r="A89" s="4" t="inlineStr">
        <is>
          <t>Rest of Africa (USD): switch (1 = on)</t>
        </is>
      </c>
      <c r="B89" s="23" t="n">
        <v>1</v>
      </c>
      <c r="C89" s="4" t="inlineStr">
        <is>
          <t>switch</t>
        </is>
      </c>
      <c r="G89" s="17" t="inlineStr"/>
    </row>
    <row r="90">
      <c r="A90" s="4" t="inlineStr">
        <is>
          <t>Rest of Africa (USD): planned launch month # (earliest)</t>
        </is>
      </c>
      <c r="B90" s="23" t="n">
        <v>32</v>
      </c>
      <c r="C90" s="4" t="inlineStr">
        <is>
          <t>month #</t>
        </is>
      </c>
      <c r="G90" s="5" t="inlineStr">
        <is>
          <t>[[CONFIRM]] May 2029 (was Nov 2028): 19 countries, USD, self-serve only, no local team</t>
        </is>
      </c>
    </row>
    <row r="91">
      <c r="A91" s="4" t="inlineStr">
        <is>
          <t>Rest of Africa (USD): MRR gate for the launch decision</t>
        </is>
      </c>
      <c r="B91" s="22" t="n">
        <v>2500000</v>
      </c>
      <c r="C91" s="4" t="inlineStr">
        <is>
          <t>R net MRR</t>
        </is>
      </c>
      <c r="G91" s="17" t="inlineStr">
        <is>
          <t>Decision (and country-lead hire) needs last month's net MRR &gt;= gate x gate multiplier; launch follows 2 months later</t>
        </is>
      </c>
    </row>
    <row r="92">
      <c r="A92" s="4" t="inlineStr">
        <is>
          <t>Rest of Africa (USD): self-serve sign-ups (Free + paid) in launch month</t>
        </is>
      </c>
      <c r="B92" s="23" t="n">
        <v>120</v>
      </c>
      <c r="C92" s="4" t="inlineStr">
        <is>
          <t>sign-ups / month</t>
        </is>
      </c>
      <c r="G92" s="17" t="inlineStr"/>
    </row>
    <row r="93">
      <c r="A93" s="4" t="inlineStr">
        <is>
          <t>Rest of Africa (USD): paid CAC index vs SA</t>
        </is>
      </c>
      <c r="B93" s="25" t="n">
        <v>0.6</v>
      </c>
      <c r="C93" s="4" t="inlineStr">
        <is>
          <t>x</t>
        </is>
      </c>
      <c r="G93" s="17" t="inlineStr">
        <is>
          <t>Cheaper media; lower price point</t>
        </is>
      </c>
    </row>
    <row r="94">
      <c r="A94" s="4" t="inlineStr">
        <is>
          <t>Rest of Africa (USD): churn index vs SA</t>
        </is>
      </c>
      <c r="B94" s="25" t="n">
        <v>1.25</v>
      </c>
      <c r="C94" s="4" t="inlineStr">
        <is>
          <t>x</t>
        </is>
      </c>
      <c r="G94" s="17" t="inlineStr">
        <is>
          <t>FX affordability pressure (ASSUMPTION)</t>
        </is>
      </c>
    </row>
    <row r="95">
      <c r="A95" s="4" t="inlineStr">
        <is>
          <t>Rest of Africa (USD): local compliance &amp; registration (one-off at launch)</t>
        </is>
      </c>
      <c r="B95" s="22" t="n">
        <v>150000</v>
      </c>
      <c r="C95" s="4" t="inlineStr">
        <is>
          <t>R</t>
        </is>
      </c>
      <c r="G95" s="17" t="inlineStr">
        <is>
          <t>Digital-services tax registrations where required (hub approach)</t>
        </is>
      </c>
    </row>
    <row r="96">
      <c r="A96" s="4" t="inlineStr">
        <is>
          <t>Rest of Africa (USD): ongoing local compliance</t>
        </is>
      </c>
      <c r="B96" s="22" t="n">
        <v>20000</v>
      </c>
      <c r="C96" s="4" t="inlineStr">
        <is>
          <t>R / month</t>
        </is>
      </c>
      <c r="G96" s="17" t="inlineStr">
        <is>
          <t>Local accounting, DPO filings, tax returns</t>
        </is>
      </c>
    </row>
    <row r="97">
      <c r="A97" s="4" t="inlineStr">
        <is>
          <t>Botswana &amp; Namibia: switch (1 = on)</t>
        </is>
      </c>
      <c r="B97" s="23" t="n">
        <v>0</v>
      </c>
      <c r="C97" s="4" t="inlineStr">
        <is>
          <t>switch</t>
        </is>
      </c>
      <c r="G97" s="17" t="inlineStr">
        <is>
          <t>Default OFF: no secured rail yet</t>
        </is>
      </c>
    </row>
    <row r="98">
      <c r="A98" s="4" t="inlineStr">
        <is>
          <t>Botswana &amp; Namibia: planned launch month # (earliest)</t>
        </is>
      </c>
      <c r="B98" s="23" t="n">
        <v>34</v>
      </c>
      <c r="C98" s="4" t="inlineStr">
        <is>
          <t>month #</t>
        </is>
      </c>
      <c r="G98" s="17" t="inlineStr">
        <is>
          <t>Coming soon: switch on once a rail covers BW/NA</t>
        </is>
      </c>
    </row>
    <row r="99">
      <c r="A99" s="4" t="inlineStr">
        <is>
          <t>Botswana &amp; Namibia: MRR gate for the launch decision</t>
        </is>
      </c>
      <c r="B99" s="22" t="n">
        <v>3000000</v>
      </c>
      <c r="C99" s="4" t="inlineStr">
        <is>
          <t>R net MRR</t>
        </is>
      </c>
      <c r="G99" s="17" t="inlineStr">
        <is>
          <t>Decision (and country-lead hire) needs last month's net MRR &gt;= gate x gate multiplier; launch follows 2 months later</t>
        </is>
      </c>
    </row>
    <row r="100">
      <c r="A100" s="4" t="inlineStr">
        <is>
          <t>Botswana &amp; Namibia: self-serve sign-ups (Free + paid) in launch month</t>
        </is>
      </c>
      <c r="B100" s="23" t="n">
        <v>40</v>
      </c>
      <c r="C100" s="4" t="inlineStr">
        <is>
          <t>sign-ups / month</t>
        </is>
      </c>
      <c r="G100" s="17" t="inlineStr"/>
    </row>
    <row r="101">
      <c r="A101" s="4" t="inlineStr">
        <is>
          <t>Botswana &amp; Namibia: paid CAC index vs SA</t>
        </is>
      </c>
      <c r="B101" s="25" t="n">
        <v>0.9</v>
      </c>
      <c r="C101" s="4" t="inlineStr">
        <is>
          <t>x</t>
        </is>
      </c>
      <c r="G101" s="17" t="inlineStr">
        <is>
          <t>Cheaper media; lower price point</t>
        </is>
      </c>
    </row>
    <row r="102">
      <c r="A102" s="4" t="inlineStr">
        <is>
          <t>Botswana &amp; Namibia: churn index vs SA</t>
        </is>
      </c>
      <c r="B102" s="25" t="n">
        <v>1</v>
      </c>
      <c r="C102" s="4" t="inlineStr">
        <is>
          <t>x</t>
        </is>
      </c>
      <c r="G102" s="17" t="inlineStr">
        <is>
          <t>FX affordability pressure (ASSUMPTION)</t>
        </is>
      </c>
    </row>
    <row r="103">
      <c r="A103" s="4" t="inlineStr">
        <is>
          <t>Botswana &amp; Namibia: local compliance &amp; registration (one-off at launch)</t>
        </is>
      </c>
      <c r="B103" s="22" t="n">
        <v>100000</v>
      </c>
      <c r="C103" s="4" t="inlineStr">
        <is>
          <t>R</t>
        </is>
      </c>
      <c r="G103" s="17" t="inlineStr">
        <is>
          <t>BW/NA data-protection &amp; tax registration</t>
        </is>
      </c>
    </row>
    <row r="104">
      <c r="A104" s="4" t="inlineStr">
        <is>
          <t>Botswana &amp; Namibia: ongoing local compliance</t>
        </is>
      </c>
      <c r="B104" s="22" t="n">
        <v>6000</v>
      </c>
      <c r="C104" s="4" t="inlineStr">
        <is>
          <t>R / month</t>
        </is>
      </c>
      <c r="G104" s="17" t="inlineStr">
        <is>
          <t>Local accounting, DPO filings, tax returns</t>
        </is>
      </c>
    </row>
    <row r="105">
      <c r="A105" s="17" t="inlineStr">
        <is>
          <t>NG/KE/GH have no Founding Member window: the live promotion is South Africa only. A launch offer for them is undecided and not modelled.</t>
        </is>
      </c>
    </row>
    <row r="106">
      <c r="A106" s="4" t="inlineStr">
        <is>
          <t>Rest of Africa: always-on self-serve marketing budget</t>
        </is>
      </c>
      <c r="B106" s="22" t="n">
        <v>20000</v>
      </c>
      <c r="C106" s="4" t="inlineStr">
        <is>
          <t>R / month</t>
        </is>
      </c>
      <c r="G106" s="17" t="inlineStr">
        <is>
          <t>Low spend: SEO, WhatsApp short links, French/Portuguese content</t>
        </is>
      </c>
    </row>
    <row r="107">
      <c r="A107" s="4" t="inlineStr">
        <is>
          <t>Botswana &amp; Namibia: marketing budget (if on)</t>
        </is>
      </c>
      <c r="B107" s="22" t="n">
        <v>10000</v>
      </c>
      <c r="C107" s="4" t="inlineStr">
        <is>
          <t>R / month</t>
        </is>
      </c>
      <c r="G107" s="17" t="inlineStr"/>
    </row>
    <row r="108">
      <c r="A108" s="4" t="inlineStr">
        <is>
          <t>Agencies signed per country lead (NG/KE/GH)</t>
        </is>
      </c>
      <c r="B108" s="20" t="n">
        <v>0.4</v>
      </c>
      <c r="C108" s="4" t="inlineStr">
        <is>
          <t>agencies / month</t>
        </is>
      </c>
      <c r="G108" s="17" t="inlineStr">
        <is>
          <t>Country lead runs the local partner programme</t>
        </is>
      </c>
    </row>
    <row r="109">
      <c r="A109" s="4" t="inlineStr">
        <is>
          <t>Travel per live wave-1 country</t>
        </is>
      </c>
      <c r="B109" s="22" t="n">
        <v>10000</v>
      </c>
      <c r="C109" s="4" t="inlineStr">
        <is>
          <t>R / month</t>
        </is>
      </c>
      <c r="G109" s="17" t="inlineStr">
        <is>
          <t>Lagos/Nairobi/Accra</t>
        </is>
      </c>
    </row>
    <row r="110">
      <c r="A110" s="19" t="inlineStr">
        <is>
          <t>Self-serve funnel: sign-ups -&gt; pay at sign-up, or join the Free plan and upgrade later (no trials)</t>
        </is>
      </c>
      <c r="B110" s="19" t="n"/>
      <c r="C110" s="19" t="n"/>
      <c r="D110" s="19" t="n"/>
      <c r="E110" s="19" t="n"/>
      <c r="F110" s="19" t="n"/>
      <c r="G110" s="19" t="n"/>
    </row>
    <row r="111">
      <c r="A111" s="4" t="inlineStr">
        <is>
          <t>Share of direct paid sign-ups needing paid acquisition: FY1</t>
        </is>
      </c>
      <c r="B111" s="21" t="n">
        <v>0.65</v>
      </c>
      <c r="C111" s="4" t="inlineStr">
        <is>
          <t>%</t>
        </is>
      </c>
      <c r="G111" s="17" t="inlineStr">
        <is>
          <t>Organic/referral grows over time</t>
        </is>
      </c>
    </row>
    <row r="112">
      <c r="A112" s="4" t="inlineStr">
        <is>
          <t>Share of direct paid sign-ups needing paid acquisition: FY2</t>
        </is>
      </c>
      <c r="B112" s="21" t="n">
        <v>0.6</v>
      </c>
      <c r="C112" s="4" t="inlineStr">
        <is>
          <t>%</t>
        </is>
      </c>
      <c r="G112" s="17" t="inlineStr"/>
    </row>
    <row r="113">
      <c r="A113" s="4" t="inlineStr">
        <is>
          <t>Share of direct paid sign-ups needing paid acquisition: FY3</t>
        </is>
      </c>
      <c r="B113" s="21" t="n">
        <v>0.55</v>
      </c>
      <c r="C113" s="4" t="inlineStr">
        <is>
          <t>%</t>
        </is>
      </c>
      <c r="G113" s="17" t="inlineStr"/>
    </row>
    <row r="114">
      <c r="A114" s="4" t="inlineStr">
        <is>
          <t>Share of direct paid sign-ups needing paid acquisition: FY4</t>
        </is>
      </c>
      <c r="B114" s="21" t="n">
        <v>0.5</v>
      </c>
      <c r="C114" s="4" t="inlineStr">
        <is>
          <t>%</t>
        </is>
      </c>
      <c r="G114" s="17" t="inlineStr"/>
    </row>
    <row r="115">
      <c r="A115" s="4" t="inlineStr">
        <is>
          <t>Share of direct paid sign-ups needing paid acquisition: FY5</t>
        </is>
      </c>
      <c r="B115" s="21" t="n">
        <v>0.45</v>
      </c>
      <c r="C115" s="4" t="inlineStr">
        <is>
          <t>%</t>
        </is>
      </c>
      <c r="G115" s="17" t="inlineStr"/>
    </row>
    <row r="116">
      <c r="A116" s="4" t="inlineStr">
        <is>
          <t>Solo entrepreneurs' share of self-serve sign-ups</t>
        </is>
      </c>
      <c r="B116" s="21" t="n">
        <v>0.65</v>
      </c>
      <c r="C116" s="4" t="inlineStr">
        <is>
          <t>%</t>
        </is>
      </c>
      <c r="G116" s="17" t="inlineStr">
        <is>
          <t>Facts file §4b: solo = Meta/TikTok/WhatsApp self-serve; SMEs = content, networks, referrals</t>
        </is>
      </c>
    </row>
    <row r="117">
      <c r="A117" s="4" t="inlineStr">
        <is>
          <t>Pay at sign-up (direct paid): Solo</t>
        </is>
      </c>
      <c r="B117" s="21" t="n">
        <v>0.05</v>
      </c>
      <c r="C117" s="4" t="inlineStr">
        <is>
          <t>% of sign-ups</t>
        </is>
      </c>
      <c r="G117" s="5" t="inlineStr">
        <is>
          <t>[[CONFIRM]] No trial: paid plans start with payment. Was 11% trial-to-paid in v2</t>
        </is>
      </c>
    </row>
    <row r="118">
      <c r="A118" s="4" t="inlineStr">
        <is>
          <t>Pay at sign-up (direct paid): SME</t>
        </is>
      </c>
      <c r="B118" s="21" t="n">
        <v>0.08</v>
      </c>
      <c r="C118" s="4" t="inlineStr">
        <is>
          <t>% of sign-ups</t>
        </is>
      </c>
      <c r="G118" s="5" t="inlineStr">
        <is>
          <t>[[CONFIRM]] Guided onboarding call; was 14% trial-to-paid in v2</t>
        </is>
      </c>
    </row>
    <row r="119">
      <c r="A119" s="4" t="inlineStr">
        <is>
          <t>Blended direct paid share of sign-ups (base, before multipliers)</t>
        </is>
      </c>
      <c r="B119" s="9">
        <f>Assumptions!$B$116*Assumptions!$B$117+(1-Assumptions!$B$116)*Assumptions!$B$118</f>
        <v/>
      </c>
      <c r="C119" s="4" t="inlineStr">
        <is>
          <t>%</t>
        </is>
      </c>
      <c r="G119" s="17" t="inlineStr">
        <is>
          <t>The rest of the sign-ups join the Free plan</t>
        </is>
      </c>
    </row>
    <row r="120">
      <c r="A120" s="4" t="inlineStr">
        <is>
          <t>Free plan: monthly conversion of active Free users to a paid plan</t>
        </is>
      </c>
      <c r="B120" s="28" t="n">
        <v>0.005</v>
      </c>
      <c r="C120" s="4" t="inlineStr">
        <is>
          <t>% / month</t>
        </is>
      </c>
      <c r="G120" s="5" t="inlineStr">
        <is>
          <t>[[CONFIRM]] 0.5% a month of active Free users; with 10% dormancy that is ~5% lifetime (freemium norm 2-5%)</t>
        </is>
      </c>
    </row>
    <row r="121">
      <c r="A121" s="4" t="inlineStr">
        <is>
          <t>Free plan: monthly drop-off of active Free users (go dormant, no cost)</t>
        </is>
      </c>
      <c r="B121" s="21" t="n">
        <v>0.1</v>
      </c>
      <c r="C121" s="4" t="inlineStr">
        <is>
          <t>% / month</t>
        </is>
      </c>
      <c r="G121" s="5" t="inlineStr">
        <is>
          <t xml:space="preserve">[[CONFIRM]] </t>
        </is>
      </c>
    </row>
    <row r="122">
      <c r="A122" s="4" t="inlineStr">
        <is>
          <t>Free plan: AI credits per month (live allowance)</t>
        </is>
      </c>
      <c r="B122" s="23" t="n">
        <v>60</v>
      </c>
      <c r="C122" s="4" t="inlineStr">
        <is>
          <t>credits</t>
        </is>
      </c>
      <c r="G122" s="17" t="inlineStr">
        <is>
          <t>subscription_tiers.free = 60 since 26 Sep 2026 (was 100 on 18 Sep). Internal cost input, do not quote</t>
        </is>
      </c>
    </row>
    <row r="123">
      <c r="A123" s="4" t="inlineStr">
        <is>
          <t>Free plan: hosting &amp; messaging cost per active Free user</t>
        </is>
      </c>
      <c r="B123" s="22" t="n">
        <v>3</v>
      </c>
      <c r="C123" s="4" t="inlineStr">
        <is>
          <t>R / month</t>
        </is>
      </c>
      <c r="G123" s="5" t="inlineStr">
        <is>
          <t xml:space="preserve">[[CONFIRM]] </t>
        </is>
      </c>
    </row>
    <row r="124">
      <c r="A124" s="4" t="inlineStr">
        <is>
          <t>Solo new customers starting on Nano</t>
        </is>
      </c>
      <c r="B124" s="21" t="n">
        <v>0.45</v>
      </c>
      <c r="C124" s="4" t="inlineStr">
        <is>
          <t>%</t>
        </is>
      </c>
      <c r="G124" s="5" t="inlineStr">
        <is>
          <t>[[CONFIRM]] Solo mostly Nano/Micro, some Starter (was 90% Starter / 10% Growth)</t>
        </is>
      </c>
    </row>
    <row r="125">
      <c r="A125" s="4" t="inlineStr">
        <is>
          <t>Solo new customers starting on Micro</t>
        </is>
      </c>
      <c r="B125" s="21" t="n">
        <v>0.4</v>
      </c>
      <c r="C125" s="4" t="inlineStr">
        <is>
          <t>%</t>
        </is>
      </c>
      <c r="G125" s="5" t="inlineStr">
        <is>
          <t xml:space="preserve">[[CONFIRM]] </t>
        </is>
      </c>
    </row>
    <row r="126">
      <c r="A126" s="4" t="inlineStr">
        <is>
          <t>Solo new customers starting on Starter (remainder)</t>
        </is>
      </c>
      <c r="B126" s="9">
        <f>1-Assumptions!$B$124-Assumptions!$B$125</f>
        <v/>
      </c>
      <c r="C126" s="4" t="inlineStr">
        <is>
          <t>%</t>
        </is>
      </c>
      <c r="G126" s="17" t="inlineStr"/>
    </row>
    <row r="127">
      <c r="A127" s="4" t="inlineStr">
        <is>
          <t>SME new customers starting on Starter</t>
        </is>
      </c>
      <c r="B127" s="21" t="n">
        <v>0.4</v>
      </c>
      <c r="C127" s="4" t="inlineStr">
        <is>
          <t>%</t>
        </is>
      </c>
      <c r="G127" s="5" t="inlineStr">
        <is>
          <t>[[CONFIRM]] SMEs on Starter / Growth / Scale (was 85% Growth / 15% Scale)</t>
        </is>
      </c>
    </row>
    <row r="128">
      <c r="A128" s="4" t="inlineStr">
        <is>
          <t>SME new customers starting on Growth</t>
        </is>
      </c>
      <c r="B128" s="21" t="n">
        <v>0.5</v>
      </c>
      <c r="C128" s="4" t="inlineStr">
        <is>
          <t>%</t>
        </is>
      </c>
      <c r="G128" s="5" t="inlineStr">
        <is>
          <t xml:space="preserve">[[CONFIRM]] </t>
        </is>
      </c>
    </row>
    <row r="129">
      <c r="A129" s="4" t="inlineStr">
        <is>
          <t>SME new customers starting on Scale (remainder)</t>
        </is>
      </c>
      <c r="B129" s="9">
        <f>1-Assumptions!$B$127-Assumptions!$B$128</f>
        <v/>
      </c>
      <c r="C129" s="4" t="inlineStr">
        <is>
          <t>%</t>
        </is>
      </c>
      <c r="G129" s="17" t="inlineStr"/>
    </row>
    <row r="130">
      <c r="A130" s="4" t="inlineStr">
        <is>
          <t>Monthly upgrade rate: Solo Nano -&gt; Micro</t>
        </is>
      </c>
      <c r="B130" s="21" t="n">
        <v>0.015</v>
      </c>
      <c r="C130" s="4" t="inlineStr">
        <is>
          <t>% / month</t>
        </is>
      </c>
      <c r="G130" s="5" t="inlineStr">
        <is>
          <t xml:space="preserve">[[CONFIRM]] </t>
        </is>
      </c>
    </row>
    <row r="131">
      <c r="A131" s="4" t="inlineStr">
        <is>
          <t>Monthly upgrade rate: Solo Micro -&gt; Starter</t>
        </is>
      </c>
      <c r="B131" s="21" t="n">
        <v>0.008</v>
      </c>
      <c r="C131" s="4" t="inlineStr">
        <is>
          <t>% / month</t>
        </is>
      </c>
      <c r="G131" s="5" t="inlineStr">
        <is>
          <t xml:space="preserve">[[CONFIRM]] </t>
        </is>
      </c>
    </row>
    <row r="132">
      <c r="A132" s="4" t="inlineStr">
        <is>
          <t>Monthly upgrade rate: SME Starter -&gt; Growth</t>
        </is>
      </c>
      <c r="B132" s="21" t="n">
        <v>0.01</v>
      </c>
      <c r="C132" s="4" t="inlineStr">
        <is>
          <t>% / month</t>
        </is>
      </c>
      <c r="G132" s="5" t="inlineStr">
        <is>
          <t xml:space="preserve">[[CONFIRM]] </t>
        </is>
      </c>
    </row>
    <row r="133">
      <c r="A133" s="4" t="inlineStr">
        <is>
          <t>Monthly upgrade rate: SME Growth -&gt; Scale</t>
        </is>
      </c>
      <c r="B133" s="21" t="n">
        <v>0.006</v>
      </c>
      <c r="C133" s="4" t="inlineStr">
        <is>
          <t>% / month</t>
        </is>
      </c>
      <c r="G133" s="5" t="inlineStr">
        <is>
          <t xml:space="preserve">[[CONFIRM]] </t>
        </is>
      </c>
    </row>
    <row r="134">
      <c r="A134" s="4" t="inlineStr">
        <is>
          <t>COST DISCIPLINE: maximum CAC payback for paid acquisition</t>
        </is>
      </c>
      <c r="B134" s="23" t="n">
        <v>12</v>
      </c>
      <c r="C134" s="4" t="inlineStr">
        <is>
          <t>months</t>
        </is>
      </c>
      <c r="G134" s="5" t="inlineStr">
        <is>
          <t>Paid acquisition in a segment &amp; market is switched off if CAC / (ARPA x GM) exceeds this [[CONFIRM]]</t>
        </is>
      </c>
    </row>
    <row r="135">
      <c r="A135" s="4" t="inlineStr">
        <is>
          <t>Gross margin assumed in the payback test</t>
        </is>
      </c>
      <c r="B135" s="21" t="n">
        <v>0.7</v>
      </c>
      <c r="C135" s="4" t="inlineStr">
        <is>
          <t>%</t>
        </is>
      </c>
      <c r="G135" s="17" t="inlineStr">
        <is>
          <t>Conservative vs modelled software GM</t>
        </is>
      </c>
    </row>
    <row r="136">
      <c r="A136" s="19" t="inlineStr">
        <is>
          <t>Monthly logo churn by segment &amp; tier (before scenario, market and sensitivity multipliers)</t>
        </is>
      </c>
      <c r="B136" s="19" t="n"/>
      <c r="C136" s="19" t="n"/>
      <c r="D136" s="19" t="n"/>
      <c r="E136" s="19" t="n"/>
      <c r="F136" s="19" t="n"/>
      <c r="G136" s="19" t="n"/>
    </row>
    <row r="137">
      <c r="A137" s="4" t="inlineStr">
        <is>
          <t>Monthly churn: Solo: Nano</t>
        </is>
      </c>
      <c r="B137" s="21" t="n">
        <v>0.08</v>
      </c>
      <c r="C137" s="4" t="inlineStr">
        <is>
          <t>% / month</t>
        </is>
      </c>
      <c r="G137" s="5" t="inlineStr">
        <is>
          <t>[[CONFIRM]] Side-hustle plan: highest churn</t>
        </is>
      </c>
    </row>
    <row r="138">
      <c r="A138" s="4" t="inlineStr">
        <is>
          <t>Monthly churn: Solo: Micro (direct or upgraded)</t>
        </is>
      </c>
      <c r="B138" s="21" t="n">
        <v>0.07000000000000001</v>
      </c>
      <c r="C138" s="4" t="inlineStr">
        <is>
          <t>% / month</t>
        </is>
      </c>
      <c r="G138" s="5" t="inlineStr">
        <is>
          <t xml:space="preserve">[[CONFIRM]] </t>
        </is>
      </c>
    </row>
    <row r="139">
      <c r="A139" s="4" t="inlineStr">
        <is>
          <t>Monthly churn: Solo: Starter (direct or upgraded)</t>
        </is>
      </c>
      <c r="B139" s="21" t="n">
        <v>0.06</v>
      </c>
      <c r="C139" s="4" t="inlineStr">
        <is>
          <t>% / month</t>
        </is>
      </c>
      <c r="G139" s="5" t="inlineStr">
        <is>
          <t>[[CONFIRM]] Was 6.5% in v2</t>
        </is>
      </c>
    </row>
    <row r="140">
      <c r="A140" s="4" t="inlineStr">
        <is>
          <t>Monthly churn: SME: Starter</t>
        </is>
      </c>
      <c r="B140" s="21" t="n">
        <v>0.045</v>
      </c>
      <c r="C140" s="4" t="inlineStr">
        <is>
          <t>% / month</t>
        </is>
      </c>
      <c r="G140" s="5" t="inlineStr">
        <is>
          <t xml:space="preserve">[[CONFIRM]] </t>
        </is>
      </c>
    </row>
    <row r="141">
      <c r="A141" s="4" t="inlineStr">
        <is>
          <t>Monthly churn: SME: Growth (direct or upgraded)</t>
        </is>
      </c>
      <c r="B141" s="21" t="n">
        <v>0.03</v>
      </c>
      <c r="C141" s="4" t="inlineStr">
        <is>
          <t>% / month</t>
        </is>
      </c>
      <c r="G141" s="17" t="inlineStr">
        <is>
          <t>SME Growth 3-4%</t>
        </is>
      </c>
    </row>
    <row r="142">
      <c r="A142" s="4" t="inlineStr">
        <is>
          <t>Monthly churn: SME: Scale (direct or upgraded)</t>
        </is>
      </c>
      <c r="B142" s="21" t="n">
        <v>0.022</v>
      </c>
      <c r="C142" s="4" t="inlineStr">
        <is>
          <t>% / month</t>
        </is>
      </c>
      <c r="G142" s="17" t="inlineStr">
        <is>
          <t>Scale 2-3%</t>
        </is>
      </c>
    </row>
    <row r="143">
      <c r="A143" s="4" t="inlineStr">
        <is>
          <t>Monthly churn: Agency / partner: Agency tier</t>
        </is>
      </c>
      <c r="B143" s="21" t="n">
        <v>0.02</v>
      </c>
      <c r="C143" s="4" t="inlineStr">
        <is>
          <t>% / month</t>
        </is>
      </c>
      <c r="G143" s="17" t="inlineStr">
        <is>
          <t>Agency 2%</t>
        </is>
      </c>
    </row>
    <row r="144">
      <c r="A144" s="4" t="inlineStr">
        <is>
          <t>Monthly churn: Corporate (inbound)</t>
        </is>
      </c>
      <c r="B144" s="21" t="n">
        <v>0.015</v>
      </c>
      <c r="C144" s="4" t="inlineStr">
        <is>
          <t>% / month</t>
        </is>
      </c>
      <c r="G144" s="5" t="inlineStr">
        <is>
          <t>[[CONFIRM]] New Corporate tier</t>
        </is>
      </c>
    </row>
    <row r="145">
      <c r="A145" s="4" t="inlineStr">
        <is>
          <t>Monthly churn: Enterprise: Custom (inbound)</t>
        </is>
      </c>
      <c r="B145" s="21" t="n">
        <v>0.01</v>
      </c>
      <c r="C145" s="4" t="inlineStr">
        <is>
          <t>% / month</t>
        </is>
      </c>
      <c r="G145" s="17" t="inlineStr">
        <is>
          <t>Custom (Enterprise) 1%</t>
        </is>
      </c>
    </row>
    <row r="146">
      <c r="A146" s="19" t="inlineStr">
        <is>
          <t>Agency channel &amp; inbound Corporate / Custom</t>
        </is>
      </c>
      <c r="B146" s="19" t="n"/>
      <c r="C146" s="19" t="n"/>
      <c r="D146" s="19" t="n"/>
      <c r="E146" s="19" t="n"/>
      <c r="F146" s="19" t="n"/>
      <c r="G146" s="19" t="n"/>
    </row>
    <row r="147">
      <c r="A147" s="4" t="inlineStr">
        <is>
          <t>South Africa: inbound agency sign-ups</t>
        </is>
      </c>
      <c r="B147" s="20" t="n">
        <v>0.5</v>
      </c>
      <c r="C147" s="4" t="inlineStr">
        <is>
          <t>agencies / month</t>
        </is>
      </c>
      <c r="G147" s="17" t="inlineStr">
        <is>
          <t>/for-agencies page, from SA launch</t>
        </is>
      </c>
    </row>
    <row r="148">
      <c r="A148" s="4" t="inlineStr">
        <is>
          <t>Agencies signed per partnerships manager (SA)</t>
        </is>
      </c>
      <c r="B148" s="20" t="n">
        <v>1.5</v>
      </c>
      <c r="C148" s="4" t="inlineStr">
        <is>
          <t>agencies / month</t>
        </is>
      </c>
      <c r="G148" s="17" t="inlineStr">
        <is>
          <t>Flux_Partner programme</t>
        </is>
      </c>
    </row>
    <row r="149">
      <c r="A149" s="17" t="inlineStr">
        <is>
          <t>Partner wholesale price (Agency tier -30% = R6,999) and the share of agency customers on it live on the Pricing sheet. Partner referral commission: undecided, NOT modelled.</t>
        </is>
      </c>
    </row>
    <row r="150">
      <c r="A150" s="4" t="inlineStr">
        <is>
          <t>Inbound Corporate deals (SA): FY1</t>
        </is>
      </c>
      <c r="B150" s="24" t="n">
        <v>1</v>
      </c>
      <c r="C150" s="4" t="inlineStr">
        <is>
          <t>deals / year</t>
        </is>
      </c>
      <c r="G150" s="5" t="inlineStr">
        <is>
          <t>[[CONFIRM]] New Corporate tier (R6,999): multi-brand groups; inbound only, no enterprise sales team</t>
        </is>
      </c>
    </row>
    <row r="151">
      <c r="A151" s="4" t="inlineStr">
        <is>
          <t>Inbound Corporate deals (SA): FY2</t>
        </is>
      </c>
      <c r="B151" s="24" t="n">
        <v>3</v>
      </c>
      <c r="C151" s="4" t="inlineStr">
        <is>
          <t>deals / year</t>
        </is>
      </c>
      <c r="G151" s="17" t="inlineStr"/>
    </row>
    <row r="152">
      <c r="A152" s="4" t="inlineStr">
        <is>
          <t>Inbound Corporate deals (SA): FY3</t>
        </is>
      </c>
      <c r="B152" s="24" t="n">
        <v>6</v>
      </c>
      <c r="C152" s="4" t="inlineStr">
        <is>
          <t>deals / year</t>
        </is>
      </c>
      <c r="G152" s="17" t="inlineStr"/>
    </row>
    <row r="153">
      <c r="A153" s="4" t="inlineStr">
        <is>
          <t>Inbound Corporate deals (SA): FY4</t>
        </is>
      </c>
      <c r="B153" s="24" t="n">
        <v>9</v>
      </c>
      <c r="C153" s="4" t="inlineStr">
        <is>
          <t>deals / year</t>
        </is>
      </c>
      <c r="G153" s="17" t="inlineStr"/>
    </row>
    <row r="154">
      <c r="A154" s="4" t="inlineStr">
        <is>
          <t>Inbound Corporate deals (SA): FY5</t>
        </is>
      </c>
      <c r="B154" s="24" t="n">
        <v>12</v>
      </c>
      <c r="C154" s="4" t="inlineStr">
        <is>
          <t>deals / year</t>
        </is>
      </c>
      <c r="G154" s="17" t="inlineStr"/>
    </row>
    <row r="155">
      <c r="A155" s="4" t="inlineStr">
        <is>
          <t>Inbound Custom (Enterprise) deals (SA): FY1</t>
        </is>
      </c>
      <c r="B155" s="24" t="n">
        <v>0</v>
      </c>
      <c r="C155" s="4" t="inlineStr">
        <is>
          <t>deals / year</t>
        </is>
      </c>
      <c r="G155" s="5" t="inlineStr">
        <is>
          <t>[[CONFIRM]] Was 1/2/4/6/8 in v2; Corporate now takes the smaller enterprise deals</t>
        </is>
      </c>
    </row>
    <row r="156">
      <c r="A156" s="4" t="inlineStr">
        <is>
          <t>Inbound Custom (Enterprise) deals (SA): FY2</t>
        </is>
      </c>
      <c r="B156" s="24" t="n">
        <v>1</v>
      </c>
      <c r="C156" s="4" t="inlineStr">
        <is>
          <t>deals / year</t>
        </is>
      </c>
      <c r="G156" s="17" t="inlineStr"/>
    </row>
    <row r="157">
      <c r="A157" s="4" t="inlineStr">
        <is>
          <t>Inbound Custom (Enterprise) deals (SA): FY3</t>
        </is>
      </c>
      <c r="B157" s="24" t="n">
        <v>2</v>
      </c>
      <c r="C157" s="4" t="inlineStr">
        <is>
          <t>deals / year</t>
        </is>
      </c>
      <c r="G157" s="17" t="inlineStr"/>
    </row>
    <row r="158">
      <c r="A158" s="4" t="inlineStr">
        <is>
          <t>Inbound Custom (Enterprise) deals (SA): FY4</t>
        </is>
      </c>
      <c r="B158" s="24" t="n">
        <v>3</v>
      </c>
      <c r="C158" s="4" t="inlineStr">
        <is>
          <t>deals / year</t>
        </is>
      </c>
      <c r="G158" s="17" t="inlineStr"/>
    </row>
    <row r="159">
      <c r="A159" s="4" t="inlineStr">
        <is>
          <t>Inbound Custom (Enterprise) deals (SA): FY5</t>
        </is>
      </c>
      <c r="B159" s="24" t="n">
        <v>4</v>
      </c>
      <c r="C159" s="4" t="inlineStr">
        <is>
          <t>deals / year</t>
        </is>
      </c>
      <c r="G159" s="17" t="inlineStr"/>
    </row>
    <row r="160">
      <c r="A160" s="19" t="inlineStr">
        <is>
          <t>Other revenue streams</t>
        </is>
      </c>
      <c r="B160" s="19" t="n"/>
      <c r="C160" s="19" t="n"/>
      <c r="D160" s="19" t="n"/>
      <c r="E160" s="19" t="n"/>
      <c r="F160" s="19" t="n"/>
      <c r="G160" s="19" t="n"/>
    </row>
    <row r="161">
      <c r="A161" s="4" t="inlineStr">
        <is>
          <t>AI-credit pack attach rate (metered plans, Nano to Scale)</t>
        </is>
      </c>
      <c r="B161" s="21" t="n">
        <v>0.05</v>
      </c>
      <c r="C161" s="4" t="inlineStr">
        <is>
          <t>% of workspaces / month</t>
        </is>
      </c>
      <c r="G161" s="5" t="inlineStr">
        <is>
          <t>[[CONFIRM]] Prepaid packs; no overage on paid plans (decision 25 Sep 2026). Was 10% in v2</t>
        </is>
      </c>
    </row>
    <row r="162">
      <c r="A162" s="4" t="inlineStr">
        <is>
          <t>AI-credit pack price (FY1)</t>
        </is>
      </c>
      <c r="B162" s="22" t="n">
        <v>300</v>
      </c>
      <c r="C162" s="4" t="inlineStr">
        <is>
          <t>R</t>
        </is>
      </c>
      <c r="G162" s="17" t="inlineStr">
        <is>
          <t>platform_billing_config ai.pack.price_zar = R300 for 1,000 credits</t>
        </is>
      </c>
    </row>
    <row r="163">
      <c r="A163" s="4" t="inlineStr">
        <is>
          <t>AI credits per pack</t>
        </is>
      </c>
      <c r="B163" s="23" t="n">
        <v>1000</v>
      </c>
      <c r="C163" s="4" t="inlineStr">
        <is>
          <t>credits</t>
        </is>
      </c>
      <c r="G163" s="17" t="inlineStr">
        <is>
          <t>ai.pack.credits</t>
        </is>
      </c>
    </row>
    <row r="164">
      <c r="A164" s="4" t="inlineStr">
        <is>
          <t>Billable WhatsApp template messages per workspace: Nano</t>
        </is>
      </c>
      <c r="B164" s="23" t="n">
        <v>0</v>
      </c>
      <c r="C164" s="4" t="inlineStr">
        <is>
          <t>messages / month</t>
        </is>
      </c>
      <c r="G164" s="17" t="inlineStr">
        <is>
          <t>Meta per-message pricing</t>
        </is>
      </c>
    </row>
    <row r="165">
      <c r="A165" s="4" t="inlineStr">
        <is>
          <t>Billable WhatsApp template messages per workspace: Micro</t>
        </is>
      </c>
      <c r="B165" s="23" t="n">
        <v>50</v>
      </c>
      <c r="C165" s="4" t="inlineStr">
        <is>
          <t>messages / month</t>
        </is>
      </c>
      <c r="G165" s="5" t="inlineStr">
        <is>
          <t xml:space="preserve">[[CONFIRM]] </t>
        </is>
      </c>
    </row>
    <row r="166">
      <c r="A166" s="4" t="inlineStr">
        <is>
          <t>Billable WhatsApp template messages per workspace: Starter</t>
        </is>
      </c>
      <c r="B166" s="23" t="n">
        <v>0</v>
      </c>
      <c r="C166" s="4" t="inlineStr">
        <is>
          <t>messages / month</t>
        </is>
      </c>
      <c r="G166" s="17" t="inlineStr"/>
    </row>
    <row r="167">
      <c r="A167" s="4" t="inlineStr">
        <is>
          <t>Billable WhatsApp template messages per workspace: Growth</t>
        </is>
      </c>
      <c r="B167" s="23" t="n">
        <v>250</v>
      </c>
      <c r="C167" s="4" t="inlineStr">
        <is>
          <t>messages / month</t>
        </is>
      </c>
      <c r="G167" s="17" t="inlineStr"/>
    </row>
    <row r="168">
      <c r="A168" s="4" t="inlineStr">
        <is>
          <t>Billable WhatsApp template messages per workspace: Scale</t>
        </is>
      </c>
      <c r="B168" s="23" t="n">
        <v>800</v>
      </c>
      <c r="C168" s="4" t="inlineStr">
        <is>
          <t>messages / month</t>
        </is>
      </c>
      <c r="G168" s="17" t="inlineStr"/>
    </row>
    <row r="169">
      <c r="A169" s="4" t="inlineStr">
        <is>
          <t>Billable WhatsApp template messages per workspace: Corporate</t>
        </is>
      </c>
      <c r="B169" s="23" t="n">
        <v>1500</v>
      </c>
      <c r="C169" s="4" t="inlineStr">
        <is>
          <t>messages / month</t>
        </is>
      </c>
      <c r="G169" s="5" t="inlineStr">
        <is>
          <t xml:space="preserve">[[CONFIRM]] </t>
        </is>
      </c>
    </row>
    <row r="170">
      <c r="A170" s="4" t="inlineStr">
        <is>
          <t>Billable WhatsApp template messages per workspace: Agency</t>
        </is>
      </c>
      <c r="B170" s="23" t="n">
        <v>1500</v>
      </c>
      <c r="C170" s="4" t="inlineStr">
        <is>
          <t>messages / month</t>
        </is>
      </c>
      <c r="G170" s="17" t="inlineStr"/>
    </row>
    <row r="171">
      <c r="A171" s="4" t="inlineStr">
        <is>
          <t>Billable WhatsApp template messages per workspace: Custom</t>
        </is>
      </c>
      <c r="B171" s="23" t="n">
        <v>5000</v>
      </c>
      <c r="C171" s="4" t="inlineStr">
        <is>
          <t>messages / month</t>
        </is>
      </c>
      <c r="G171" s="17" t="inlineStr"/>
    </row>
    <row r="172">
      <c r="A172" s="4" t="inlineStr">
        <is>
          <t>Average Meta fee per billable message</t>
        </is>
      </c>
      <c r="B172" s="20" t="n">
        <v>0.6</v>
      </c>
      <c r="C172" s="4" t="inlineStr">
        <is>
          <t>R</t>
        </is>
      </c>
      <c r="G172" s="17" t="inlineStr">
        <is>
          <t>Blend of marketing and utility template rates (ASSUMPTION)</t>
        </is>
      </c>
    </row>
    <row r="173">
      <c r="A173" s="4" t="inlineStr">
        <is>
          <t>Markup on Meta messaging fees (pass-through resale)</t>
        </is>
      </c>
      <c r="B173" s="21" t="n">
        <v>0.25</v>
      </c>
      <c r="C173" s="4" t="inlineStr">
        <is>
          <t>%</t>
        </is>
      </c>
      <c r="G173" s="17" t="inlineStr">
        <is>
          <t>Revenue shown gross</t>
        </is>
      </c>
    </row>
    <row r="174">
      <c r="A174" s="4" t="inlineStr">
        <is>
          <t>Share of commerce-eligible workspaces with live checkout</t>
        </is>
      </c>
      <c r="B174" s="21" t="n">
        <v>0.3</v>
      </c>
      <c r="C174" s="4" t="inlineStr">
        <is>
          <t>%</t>
        </is>
      </c>
      <c r="G174" s="17" t="inlineStr">
        <is>
          <t>Memo only while the FluxMuse fee is 0%</t>
        </is>
      </c>
    </row>
    <row r="175">
      <c r="A175" s="4" t="inlineStr">
        <is>
          <t>Checkout GMV per active store (FY1)</t>
        </is>
      </c>
      <c r="B175" s="22" t="n">
        <v>20000</v>
      </c>
      <c r="C175" s="4" t="inlineStr">
        <is>
          <t>R / month</t>
        </is>
      </c>
      <c r="G175" s="17" t="inlineStr">
        <is>
          <t>Memo only; merchant's money, paid out by Paystack</t>
        </is>
      </c>
    </row>
    <row r="176">
      <c r="A176" s="4" t="inlineStr">
        <is>
          <t>Annual growth in GMV per active store</t>
        </is>
      </c>
      <c r="B176" s="21" t="n">
        <v>0.15</v>
      </c>
      <c r="C176" s="4" t="inlineStr">
        <is>
          <t>% / year</t>
        </is>
      </c>
      <c r="G176" s="17" t="inlineStr"/>
    </row>
    <row r="177">
      <c r="A177" s="4" t="inlineStr">
        <is>
          <t>Custom (Enterprise) onboarding / setup fee</t>
        </is>
      </c>
      <c r="B177" s="22" t="n">
        <v>25000</v>
      </c>
      <c r="C177" s="4" t="inlineStr">
        <is>
          <t>R per deal</t>
        </is>
      </c>
      <c r="G177" s="5" t="inlineStr">
        <is>
          <t>[[CONFIRM]] Custom is sold by consultation; setup fee not in the public price list</t>
        </is>
      </c>
    </row>
    <row r="178">
      <c r="A178" s="4" t="inlineStr">
        <is>
          <t>Agency white-label setup fee</t>
        </is>
      </c>
      <c r="B178" s="22" t="n">
        <v>0</v>
      </c>
      <c r="C178" s="4" t="inlineStr">
        <is>
          <t>R per new agency</t>
        </is>
      </c>
      <c r="G178" s="5" t="inlineStr">
        <is>
          <t>[[CONFIRM]] Not in the live price list, so 0 (was R4,999 in v2)</t>
        </is>
      </c>
    </row>
    <row r="179">
      <c r="A179" s="17" t="inlineStr">
        <is>
          <t>Campaign Financing (credit facilities / instalment plans) is an UPSIDE NOT included in any scenario.</t>
        </is>
      </c>
    </row>
    <row r="180">
      <c r="A180" s="19" t="inlineStr">
        <is>
          <t>Cost of revenue (COGS)</t>
        </is>
      </c>
      <c r="B180" s="19" t="n"/>
      <c r="C180" s="19" t="n"/>
      <c r="D180" s="19" t="n"/>
      <c r="E180" s="19" t="n"/>
      <c r="F180" s="19" t="n"/>
      <c r="G180" s="19" t="n"/>
    </row>
    <row r="181">
      <c r="A181" s="4" t="inlineStr">
        <is>
          <t>Utilisation of included AI credits</t>
        </is>
      </c>
      <c r="B181" s="21" t="n">
        <v>0.4</v>
      </c>
      <c r="C181" s="4" t="inlineStr">
        <is>
          <t>%</t>
        </is>
      </c>
      <c r="G181" s="17" t="inlineStr">
        <is>
          <t>Unchanged from v2</t>
        </is>
      </c>
    </row>
    <row r="182">
      <c r="A182" s="4" t="inlineStr">
        <is>
          <t>AI provider cost per 1,000 credits (FY1)</t>
        </is>
      </c>
      <c r="B182" s="20" t="n">
        <v>150</v>
      </c>
      <c r="C182" s="4" t="inlineStr">
        <is>
          <t>R</t>
        </is>
      </c>
      <c r="G182" s="17" t="inlineStr">
        <is>
          <t>1 credit = R0.15 of provider cost (ai-credit-math.ts DEFAULT_ZAR_PER_CREDIT; platform_billing_config ai.zar_per_credit). Was R12 in v2</t>
        </is>
      </c>
    </row>
    <row r="183">
      <c r="A183" s="4" t="inlineStr">
        <is>
          <t>Annual decline in provider cost per credit</t>
        </is>
      </c>
      <c r="B183" s="21" t="n">
        <v>0.1</v>
      </c>
      <c r="C183" s="4" t="inlineStr">
        <is>
          <t>% / year</t>
        </is>
      </c>
      <c r="G183" s="17" t="inlineStr"/>
    </row>
    <row r="184">
      <c r="A184" s="4" t="inlineStr">
        <is>
          <t>Hosting base from the seed month</t>
        </is>
      </c>
      <c r="B184" s="22" t="n">
        <v>30000</v>
      </c>
      <c r="C184" s="4" t="inlineStr">
        <is>
          <t>R / month</t>
        </is>
      </c>
      <c r="G184" s="17" t="inlineStr">
        <is>
          <t>Supabase + Edge Functions on Vercel</t>
        </is>
      </c>
    </row>
    <row r="185">
      <c r="A185" s="4" t="inlineStr">
        <is>
          <t>Hosting cost per paying workspace</t>
        </is>
      </c>
      <c r="B185" s="22" t="n">
        <v>35</v>
      </c>
      <c r="C185" s="4" t="inlineStr">
        <is>
          <t>R / month</t>
        </is>
      </c>
      <c r="G185" s="17" t="inlineStr"/>
    </row>
    <row r="186">
      <c r="A186" s="4" t="inlineStr">
        <is>
          <t>Blended payment processing fee on subscriptions</t>
        </is>
      </c>
      <c r="B186" s="21" t="n">
        <v>0.03</v>
      </c>
      <c r="C186" s="4" t="inlineStr">
        <is>
          <t>% of billed revenue</t>
        </is>
      </c>
      <c r="G186" s="5" t="inlineStr">
        <is>
          <t>[[CONFIRM]] Paystack 2.9% + R1 (≈3.0% at FluxMuse ARPA); Yoco/Ozow similar</t>
        </is>
      </c>
    </row>
    <row r="187">
      <c r="A187" s="4" t="inlineStr">
        <is>
          <t>Extra mobile-money / FX fee on non-SA revenue</t>
        </is>
      </c>
      <c r="B187" s="21" t="n">
        <v>0.015</v>
      </c>
      <c r="C187" s="4" t="inlineStr">
        <is>
          <t>% of non-SA revenue</t>
        </is>
      </c>
      <c r="G187" s="17" t="inlineStr">
        <is>
          <t>pawaPay/Fincra collections + FX spread</t>
        </is>
      </c>
    </row>
    <row r="188">
      <c r="A188" s="4" t="inlineStr">
        <is>
          <t>Variable support cost per workspace</t>
        </is>
      </c>
      <c r="B188" s="22" t="n">
        <v>50</v>
      </c>
      <c r="C188" s="4" t="inlineStr">
        <is>
          <t>R / month</t>
        </is>
      </c>
      <c r="G188" s="17" t="inlineStr"/>
    </row>
    <row r="189">
      <c r="A189" s="19" t="inlineStr">
        <is>
          <t>Operating expenses (budgets scale with MRR: cost discipline)</t>
        </is>
      </c>
      <c r="B189" s="19" t="n"/>
      <c r="C189" s="19" t="n"/>
      <c r="D189" s="19" t="n"/>
      <c r="E189" s="19" t="n"/>
      <c r="F189" s="19" t="n"/>
      <c r="G189" s="19" t="n"/>
    </row>
    <row r="190">
      <c r="A190" s="4" t="inlineStr">
        <is>
          <t>Annual salary escalation</t>
        </is>
      </c>
      <c r="B190" s="21" t="n">
        <v>0.06</v>
      </c>
      <c r="C190" s="4" t="inlineStr">
        <is>
          <t>% / year</t>
        </is>
      </c>
      <c r="G190" s="17" t="inlineStr"/>
    </row>
    <row r="191">
      <c r="A191" s="4" t="inlineStr">
        <is>
          <t>Employment on-costs</t>
        </is>
      </c>
      <c r="B191" s="21" t="n">
        <v>0.1</v>
      </c>
      <c r="C191" s="4" t="inlineStr">
        <is>
          <t>% of salary</t>
        </is>
      </c>
      <c r="G191" s="17" t="inlineStr">
        <is>
          <t>UIF, SDL, benefits</t>
        </is>
      </c>
    </row>
    <row r="192">
      <c r="A192" s="4" t="inlineStr">
        <is>
          <t>Paid CAC per paid-acquired customer: Solo</t>
        </is>
      </c>
      <c r="B192" s="22" t="n">
        <v>1500</v>
      </c>
      <c r="C192" s="4" t="inlineStr">
        <is>
          <t>R</t>
        </is>
      </c>
      <c r="G192" s="5" t="inlineStr">
        <is>
          <t>[[CONFIRM]] Lower than v2's R2,200: Nano/Micro buyers, cheaper Meta/TikTok/WhatsApp clicks</t>
        </is>
      </c>
    </row>
    <row r="193">
      <c r="A193" s="4" t="inlineStr">
        <is>
          <t>Paid CAC per paid-acquired customer: SME</t>
        </is>
      </c>
      <c r="B193" s="22" t="n">
        <v>6500</v>
      </c>
      <c r="C193" s="4" t="inlineStr">
        <is>
          <t>R</t>
        </is>
      </c>
      <c r="G193" s="17" t="inlineStr">
        <is>
          <t>Content, webinars, networks, paid search (ASSUMPTION)</t>
        </is>
      </c>
    </row>
    <row r="194">
      <c r="A194" s="4" t="inlineStr">
        <is>
          <t>Annual CAC inflation</t>
        </is>
      </c>
      <c r="B194" s="21" t="n">
        <v>0.05</v>
      </c>
      <c r="C194" s="4" t="inlineStr">
        <is>
          <t>% / year</t>
        </is>
      </c>
      <c r="G194" s="17" t="inlineStr"/>
    </row>
    <row r="195">
      <c r="A195" s="4" t="inlineStr">
        <is>
          <t>Paid acquisition floor budget from the seed month</t>
        </is>
      </c>
      <c r="B195" s="22" t="n">
        <v>40000</v>
      </c>
      <c r="C195" s="4" t="inlineStr">
        <is>
          <t>R / month</t>
        </is>
      </c>
      <c r="G195" s="17" t="inlineStr">
        <is>
          <t>Lets paid acquisition start before MRR is large</t>
        </is>
      </c>
    </row>
    <row r="196">
      <c r="A196" s="4" t="inlineStr">
        <is>
          <t>Brand, content &amp; community: ceiling FY1</t>
        </is>
      </c>
      <c r="B196" s="22" t="n">
        <v>50000</v>
      </c>
      <c r="C196" s="4" t="inlineStr">
        <is>
          <t>R / month</t>
        </is>
      </c>
      <c r="G196" s="17" t="inlineStr">
        <is>
          <t>Budget = MIN(ceiling, floor + % of MRR)</t>
        </is>
      </c>
    </row>
    <row r="197">
      <c r="A197" s="4" t="inlineStr">
        <is>
          <t>Brand, content &amp; community: ceiling FY2</t>
        </is>
      </c>
      <c r="B197" s="22" t="n">
        <v>120000</v>
      </c>
      <c r="C197" s="4" t="inlineStr">
        <is>
          <t>R / month</t>
        </is>
      </c>
      <c r="G197" s="17" t="inlineStr"/>
    </row>
    <row r="198">
      <c r="A198" s="4" t="inlineStr">
        <is>
          <t>Brand, content &amp; community: ceiling FY3</t>
        </is>
      </c>
      <c r="B198" s="22" t="n">
        <v>220000</v>
      </c>
      <c r="C198" s="4" t="inlineStr">
        <is>
          <t>R / month</t>
        </is>
      </c>
      <c r="G198" s="17" t="inlineStr"/>
    </row>
    <row r="199">
      <c r="A199" s="4" t="inlineStr">
        <is>
          <t>Brand, content &amp; community: ceiling FY4</t>
        </is>
      </c>
      <c r="B199" s="22" t="n">
        <v>320000</v>
      </c>
      <c r="C199" s="4" t="inlineStr">
        <is>
          <t>R / month</t>
        </is>
      </c>
      <c r="G199" s="17" t="inlineStr"/>
    </row>
    <row r="200">
      <c r="A200" s="4" t="inlineStr">
        <is>
          <t>Brand, content &amp; community: ceiling FY5</t>
        </is>
      </c>
      <c r="B200" s="22" t="n">
        <v>420000</v>
      </c>
      <c r="C200" s="4" t="inlineStr">
        <is>
          <t>R / month</t>
        </is>
      </c>
      <c r="G200" s="17" t="inlineStr"/>
    </row>
    <row r="201">
      <c r="A201" s="4" t="inlineStr">
        <is>
          <t>Brand budget floor from the seed month</t>
        </is>
      </c>
      <c r="B201" s="22" t="n">
        <v>25000</v>
      </c>
      <c r="C201" s="4" t="inlineStr">
        <is>
          <t>R / month</t>
        </is>
      </c>
      <c r="G201" s="17" t="inlineStr"/>
    </row>
    <row r="202">
      <c r="A202" s="4" t="inlineStr">
        <is>
          <t>Brand budget as % of last month's net MRR</t>
        </is>
      </c>
      <c r="B202" s="21" t="n">
        <v>0.04</v>
      </c>
      <c r="C202" s="4" t="inlineStr">
        <is>
          <t>% of MRR</t>
        </is>
      </c>
      <c r="G202" s="17" t="inlineStr"/>
    </row>
    <row r="203">
      <c r="A203" s="4" t="inlineStr">
        <is>
          <t>Partner programme cost per new agency</t>
        </is>
      </c>
      <c r="B203" s="22" t="n">
        <v>6000</v>
      </c>
      <c r="C203" s="4" t="inlineStr">
        <is>
          <t>R</t>
        </is>
      </c>
      <c r="G203" s="17" t="inlineStr"/>
    </row>
    <row r="204">
      <c r="A204" s="4" t="inlineStr">
        <is>
          <t>Partner programme events &amp; directory</t>
        </is>
      </c>
      <c r="B204" s="22" t="n">
        <v>15000</v>
      </c>
      <c r="C204" s="4" t="inlineStr">
        <is>
          <t>R / month</t>
        </is>
      </c>
      <c r="G204" s="17" t="inlineStr"/>
    </row>
    <row r="205">
      <c r="A205" s="4" t="inlineStr">
        <is>
          <t>Partner programme events start month #</t>
        </is>
      </c>
      <c r="B205" s="23" t="n">
        <v>8</v>
      </c>
      <c r="C205" s="4" t="inlineStr">
        <is>
          <t>month #</t>
        </is>
      </c>
      <c r="G205" s="17" t="inlineStr">
        <is>
          <t>May 2027</t>
        </is>
      </c>
    </row>
    <row r="206">
      <c r="A206" s="4" t="inlineStr">
        <is>
          <t>Inbound Custom (Enterprise) handling cost per deal</t>
        </is>
      </c>
      <c r="B206" s="22" t="n">
        <v>25000</v>
      </c>
      <c r="C206" s="4" t="inlineStr">
        <is>
          <t>R</t>
        </is>
      </c>
      <c r="G206" s="17" t="inlineStr">
        <is>
          <t>Solutioning, security reviews, travel</t>
        </is>
      </c>
    </row>
    <row r="207">
      <c r="A207" s="4" t="inlineStr">
        <is>
          <t>Inbound Corporate handling cost per deal</t>
        </is>
      </c>
      <c r="B207" s="22" t="n">
        <v>10000</v>
      </c>
      <c r="C207" s="4" t="inlineStr">
        <is>
          <t>R</t>
        </is>
      </c>
      <c r="G207" s="5" t="inlineStr">
        <is>
          <t>[[CONFIRM]] Demo, onboarding call, BYOC set-up help</t>
        </is>
      </c>
    </row>
    <row r="208">
      <c r="A208" s="4" t="inlineStr">
        <is>
          <t>Office / co-working per FTE (from seed)</t>
        </is>
      </c>
      <c r="B208" s="22" t="n">
        <v>4000</v>
      </c>
      <c r="C208" s="4" t="inlineStr">
        <is>
          <t>R / month</t>
        </is>
      </c>
      <c r="G208" s="17" t="inlineStr"/>
    </row>
    <row r="209">
      <c r="A209" s="4" t="inlineStr">
        <is>
          <t>Fixed G&amp;A (accounting, audit, insurance, banking): FY1</t>
        </is>
      </c>
      <c r="B209" s="22" t="n">
        <v>30000</v>
      </c>
      <c r="C209" s="4" t="inlineStr">
        <is>
          <t>R / month</t>
        </is>
      </c>
      <c r="G209" s="17" t="inlineStr"/>
    </row>
    <row r="210">
      <c r="A210" s="4" t="inlineStr">
        <is>
          <t>Fixed G&amp;A (accounting, audit, insurance, banking): FY2</t>
        </is>
      </c>
      <c r="B210" s="22" t="n">
        <v>55000</v>
      </c>
      <c r="C210" s="4" t="inlineStr">
        <is>
          <t>R / month</t>
        </is>
      </c>
      <c r="G210" s="17" t="inlineStr"/>
    </row>
    <row r="211">
      <c r="A211" s="4" t="inlineStr">
        <is>
          <t>Fixed G&amp;A (accounting, audit, insurance, banking): FY3</t>
        </is>
      </c>
      <c r="B211" s="22" t="n">
        <v>80000</v>
      </c>
      <c r="C211" s="4" t="inlineStr">
        <is>
          <t>R / month</t>
        </is>
      </c>
      <c r="G211" s="17" t="inlineStr"/>
    </row>
    <row r="212">
      <c r="A212" s="4" t="inlineStr">
        <is>
          <t>Fixed G&amp;A (accounting, audit, insurance, banking): FY4</t>
        </is>
      </c>
      <c r="B212" s="22" t="n">
        <v>105000</v>
      </c>
      <c r="C212" s="4" t="inlineStr">
        <is>
          <t>R / month</t>
        </is>
      </c>
      <c r="G212" s="17" t="inlineStr"/>
    </row>
    <row r="213">
      <c r="A213" s="4" t="inlineStr">
        <is>
          <t>Fixed G&amp;A (accounting, audit, insurance, banking): FY5</t>
        </is>
      </c>
      <c r="B213" s="22" t="n">
        <v>130000</v>
      </c>
      <c r="C213" s="4" t="inlineStr">
        <is>
          <t>R / month</t>
        </is>
      </c>
      <c r="G213" s="17" t="inlineStr"/>
    </row>
    <row r="214">
      <c r="A214" s="4" t="inlineStr">
        <is>
          <t>Equipment per new hire (expensed)</t>
        </is>
      </c>
      <c r="B214" s="22" t="n">
        <v>20000</v>
      </c>
      <c r="C214" s="4" t="inlineStr">
        <is>
          <t>R</t>
        </is>
      </c>
      <c r="G214" s="17" t="inlineStr"/>
    </row>
    <row r="215">
      <c r="A215" s="4" t="inlineStr">
        <is>
          <t>Meta, legal &amp; compliance base (from seed)</t>
        </is>
      </c>
      <c r="B215" s="22" t="n">
        <v>20000</v>
      </c>
      <c r="C215" s="4" t="inlineStr">
        <is>
          <t>R / month</t>
        </is>
      </c>
      <c r="G215" s="17" t="inlineStr">
        <is>
          <t>POPIA Information Officer, Meta Tech Provider, contracts</t>
        </is>
      </c>
    </row>
    <row r="216">
      <c r="A216" s="4" t="inlineStr">
        <is>
          <t>Software &amp; tools per FTE</t>
        </is>
      </c>
      <c r="B216" s="22" t="n">
        <v>3000</v>
      </c>
      <c r="C216" s="4" t="inlineStr">
        <is>
          <t>R / month</t>
        </is>
      </c>
      <c r="G216" s="17" t="inlineStr"/>
    </row>
    <row r="217">
      <c r="A217" s="4" t="inlineStr">
        <is>
          <t>Travel per FTE (from seed)</t>
        </is>
      </c>
      <c r="B217" s="22" t="n">
        <v>2000</v>
      </c>
      <c r="C217" s="4" t="inlineStr">
        <is>
          <t>R / month</t>
        </is>
      </c>
      <c r="G217" s="17" t="inlineStr"/>
    </row>
    <row r="218">
      <c r="A218" s="19" t="inlineStr">
        <is>
          <t>Working capital (simplified)</t>
        </is>
      </c>
      <c r="B218" s="19" t="n"/>
      <c r="C218" s="19" t="n"/>
      <c r="D218" s="19" t="n"/>
      <c r="E218" s="19" t="n"/>
      <c r="F218" s="19" t="n"/>
      <c r="G218" s="19" t="n"/>
    </row>
    <row r="219">
      <c r="A219" s="4" t="inlineStr">
        <is>
          <t>Deferred revenue held on annual self-serve plans</t>
        </is>
      </c>
      <c r="B219" s="24" t="n">
        <v>5.5</v>
      </c>
      <c r="C219" s="4" t="inlineStr">
        <is>
          <t>months of annual-plan revenue</t>
        </is>
      </c>
      <c r="G219" s="17" t="inlineStr"/>
    </row>
    <row r="220">
      <c r="A220" s="4" t="inlineStr">
        <is>
          <t>Receivables on agency, Corporate &amp; Custom invoices</t>
        </is>
      </c>
      <c r="B220" s="24" t="n">
        <v>1</v>
      </c>
      <c r="C220" s="4" t="inlineStr">
        <is>
          <t>months of revenue</t>
        </is>
      </c>
      <c r="G220" s="17" t="inlineStr"/>
    </row>
    <row r="221">
      <c r="A221" s="19" t="inlineStr">
        <is>
          <t>Headcount plan: monthly cost-to-company in 2026 rand (escalated). COST DISCIPLINE: a role is hired only once month # &gt;= earliest hire, the seed has landed, and last month's net MRR &gt;= MRR gate x scenario gate multiplier</t>
        </is>
      </c>
      <c r="B221" s="19" t="n"/>
      <c r="C221" s="19" t="n"/>
      <c r="D221" s="19" t="n"/>
      <c r="E221" s="19" t="n"/>
      <c r="F221" s="19" t="n"/>
      <c r="G221" s="19" t="n"/>
    </row>
    <row r="222">
      <c r="A222" s="6" t="inlineStr">
        <is>
          <t>Role</t>
        </is>
      </c>
      <c r="B222" s="6" t="inlineStr">
        <is>
          <t>Monthly CTC (R)</t>
        </is>
      </c>
      <c r="C222" s="6" t="inlineStr">
        <is>
          <t>Department</t>
        </is>
      </c>
      <c r="D222" s="6" t="inlineStr">
        <is>
          <t>FTE count</t>
        </is>
      </c>
      <c r="E222" s="6" t="inlineStr">
        <is>
          <t>Earliest hire month #</t>
        </is>
      </c>
      <c r="F222" s="6" t="inlineStr">
        <is>
          <t>MRR gate (R net MRR)</t>
        </is>
      </c>
      <c r="G222" s="6" t="inlineStr">
        <is>
          <t>Note</t>
        </is>
      </c>
    </row>
    <row r="223">
      <c r="A223" s="4" t="inlineStr">
        <is>
          <t>Founder &amp; CEO (reduced salary)</t>
        </is>
      </c>
      <c r="B223" s="22" t="n">
        <v>45000</v>
      </c>
      <c r="C223" s="4" t="inlineStr">
        <is>
          <t>Leadership</t>
        </is>
      </c>
      <c r="D223" s="23" t="n">
        <v>1</v>
      </c>
      <c r="E223" s="23" t="n">
        <v>1</v>
      </c>
      <c r="F223" s="22" t="n">
        <v>0</v>
      </c>
      <c r="G223" s="17" t="inlineStr">
        <is>
          <t>Founder: from month 1 (lean pre-seed mode)</t>
        </is>
      </c>
    </row>
    <row r="224">
      <c r="A224" s="4" t="inlineStr">
        <is>
          <t>CTO / founding engineer (reduced salary)</t>
        </is>
      </c>
      <c r="B224" s="22" t="n">
        <v>55000</v>
      </c>
      <c r="C224" s="4" t="inlineStr">
        <is>
          <t>Leadership</t>
        </is>
      </c>
      <c r="D224" s="23" t="n">
        <v>1</v>
      </c>
      <c r="E224" s="23" t="n">
        <v>1</v>
      </c>
      <c r="F224" s="22" t="n">
        <v>0</v>
      </c>
      <c r="G224" s="17" t="inlineStr">
        <is>
          <t>Founder: from month 1 (lean pre-seed mode)</t>
        </is>
      </c>
    </row>
    <row r="225">
      <c r="A225" s="4" t="inlineStr">
        <is>
          <t>Senior full-stack engineers</t>
        </is>
      </c>
      <c r="B225" s="22" t="n">
        <v>70000</v>
      </c>
      <c r="C225" s="4" t="inlineStr">
        <is>
          <t>Engineering &amp; product</t>
        </is>
      </c>
      <c r="D225" s="23" t="n">
        <v>2</v>
      </c>
      <c r="E225" s="23" t="n">
        <v>5</v>
      </c>
      <c r="F225" s="22" t="n">
        <v>0</v>
      </c>
      <c r="G225" s="17" t="inlineStr">
        <is>
          <t>Earliest Feb 2027</t>
        </is>
      </c>
    </row>
    <row r="226">
      <c r="A226" s="4" t="inlineStr">
        <is>
          <t>AI / ML engineer</t>
        </is>
      </c>
      <c r="B226" s="22" t="n">
        <v>80000</v>
      </c>
      <c r="C226" s="4" t="inlineStr">
        <is>
          <t>Engineering &amp; product</t>
        </is>
      </c>
      <c r="D226" s="23" t="n">
        <v>1</v>
      </c>
      <c r="E226" s="23" t="n">
        <v>6</v>
      </c>
      <c r="F226" s="22" t="n">
        <v>0</v>
      </c>
      <c r="G226" s="17" t="inlineStr">
        <is>
          <t>Earliest Mar 2027</t>
        </is>
      </c>
    </row>
    <row r="227">
      <c r="A227" s="4" t="inlineStr">
        <is>
          <t>Product designer (UX)</t>
        </is>
      </c>
      <c r="B227" s="22" t="n">
        <v>50000</v>
      </c>
      <c r="C227" s="4" t="inlineStr">
        <is>
          <t>Engineering &amp; product</t>
        </is>
      </c>
      <c r="D227" s="23" t="n">
        <v>1</v>
      </c>
      <c r="E227" s="23" t="n">
        <v>8</v>
      </c>
      <c r="F227" s="22" t="n">
        <v>150000</v>
      </c>
      <c r="G227" s="17" t="inlineStr">
        <is>
          <t>Earliest May 2027</t>
        </is>
      </c>
    </row>
    <row r="228">
      <c r="A228" s="4" t="inlineStr">
        <is>
          <t>Full-stack engineers</t>
        </is>
      </c>
      <c r="B228" s="22" t="n">
        <v>55000</v>
      </c>
      <c r="C228" s="4" t="inlineStr">
        <is>
          <t>Engineering &amp; product</t>
        </is>
      </c>
      <c r="D228" s="23" t="n">
        <v>2</v>
      </c>
      <c r="E228" s="23" t="n">
        <v>12</v>
      </c>
      <c r="F228" s="22" t="n">
        <v>400000</v>
      </c>
      <c r="G228" s="17" t="inlineStr">
        <is>
          <t>Earliest Sep 2027</t>
        </is>
      </c>
    </row>
    <row r="229">
      <c r="A229" s="4" t="inlineStr">
        <is>
          <t>DevOps / QA engineer</t>
        </is>
      </c>
      <c r="B229" s="22" t="n">
        <v>60000</v>
      </c>
      <c r="C229" s="4" t="inlineStr">
        <is>
          <t>Engineering &amp; product</t>
        </is>
      </c>
      <c r="D229" s="23" t="n">
        <v>1</v>
      </c>
      <c r="E229" s="23" t="n">
        <v>15</v>
      </c>
      <c r="F229" s="22" t="n">
        <v>800000</v>
      </c>
      <c r="G229" s="17" t="inlineStr">
        <is>
          <t>Earliest Dec 2027</t>
        </is>
      </c>
    </row>
    <row r="230">
      <c r="A230" s="4" t="inlineStr">
        <is>
          <t>Integrations engineers (social adapters, commerce, CRM)</t>
        </is>
      </c>
      <c r="B230" s="22" t="n">
        <v>60000</v>
      </c>
      <c r="C230" s="4" t="inlineStr">
        <is>
          <t>Engineering &amp; product</t>
        </is>
      </c>
      <c r="D230" s="23" t="n">
        <v>2</v>
      </c>
      <c r="E230" s="23" t="n">
        <v>16</v>
      </c>
      <c r="F230" s="22" t="n">
        <v>1000000</v>
      </c>
      <c r="G230" s="17" t="inlineStr">
        <is>
          <t>Earliest Jan 2028</t>
        </is>
      </c>
    </row>
    <row r="231">
      <c r="A231" s="4" t="inlineStr">
        <is>
          <t>Product manager</t>
        </is>
      </c>
      <c r="B231" s="22" t="n">
        <v>70000</v>
      </c>
      <c r="C231" s="4" t="inlineStr">
        <is>
          <t>Engineering &amp; product</t>
        </is>
      </c>
      <c r="D231" s="23" t="n">
        <v>1</v>
      </c>
      <c r="E231" s="23" t="n">
        <v>20</v>
      </c>
      <c r="F231" s="22" t="n">
        <v>1500000</v>
      </c>
      <c r="G231" s="17" t="inlineStr">
        <is>
          <t>Earliest May 2028</t>
        </is>
      </c>
    </row>
    <row r="232">
      <c r="A232" s="4" t="inlineStr">
        <is>
          <t>Security &amp; compliance engineer</t>
        </is>
      </c>
      <c r="B232" s="22" t="n">
        <v>80000</v>
      </c>
      <c r="C232" s="4" t="inlineStr">
        <is>
          <t>Engineering &amp; product</t>
        </is>
      </c>
      <c r="D232" s="23" t="n">
        <v>1</v>
      </c>
      <c r="E232" s="23" t="n">
        <v>24</v>
      </c>
      <c r="F232" s="22" t="n">
        <v>2500000</v>
      </c>
      <c r="G232" s="17" t="inlineStr">
        <is>
          <t>Earliest Sep 2028</t>
        </is>
      </c>
    </row>
    <row r="233">
      <c r="A233" s="4" t="inlineStr">
        <is>
          <t>Payments &amp; data engineers</t>
        </is>
      </c>
      <c r="B233" s="22" t="n">
        <v>65000</v>
      </c>
      <c r="C233" s="4" t="inlineStr">
        <is>
          <t>Engineering &amp; product</t>
        </is>
      </c>
      <c r="D233" s="23" t="n">
        <v>2</v>
      </c>
      <c r="E233" s="23" t="n">
        <v>28</v>
      </c>
      <c r="F233" s="22" t="n">
        <v>3500000</v>
      </c>
      <c r="G233" s="17" t="inlineStr">
        <is>
          <t>Earliest Jan 2029</t>
        </is>
      </c>
    </row>
    <row r="234">
      <c r="A234" s="4" t="inlineStr">
        <is>
          <t>Engineers (scale-up I)</t>
        </is>
      </c>
      <c r="B234" s="22" t="n">
        <v>65000</v>
      </c>
      <c r="C234" s="4" t="inlineStr">
        <is>
          <t>Engineering &amp; product</t>
        </is>
      </c>
      <c r="D234" s="23" t="n">
        <v>3</v>
      </c>
      <c r="E234" s="23" t="n">
        <v>30</v>
      </c>
      <c r="F234" s="22" t="n">
        <v>5000000</v>
      </c>
      <c r="G234" s="17" t="inlineStr">
        <is>
          <t>Earliest Mar 2029</t>
        </is>
      </c>
    </row>
    <row r="235">
      <c r="A235" s="4" t="inlineStr">
        <is>
          <t>VP Engineering</t>
        </is>
      </c>
      <c r="B235" s="22" t="n">
        <v>110000</v>
      </c>
      <c r="C235" s="4" t="inlineStr">
        <is>
          <t>Engineering &amp; product</t>
        </is>
      </c>
      <c r="D235" s="23" t="n">
        <v>1</v>
      </c>
      <c r="E235" s="23" t="n">
        <v>36</v>
      </c>
      <c r="F235" s="22" t="n">
        <v>7000000</v>
      </c>
      <c r="G235" s="17" t="inlineStr">
        <is>
          <t>Earliest Sep 2029</t>
        </is>
      </c>
    </row>
    <row r="236">
      <c r="A236" s="4" t="inlineStr">
        <is>
          <t>Product manager #2</t>
        </is>
      </c>
      <c r="B236" s="22" t="n">
        <v>75000</v>
      </c>
      <c r="C236" s="4" t="inlineStr">
        <is>
          <t>Engineering &amp; product</t>
        </is>
      </c>
      <c r="D236" s="23" t="n">
        <v>1</v>
      </c>
      <c r="E236" s="23" t="n">
        <v>36</v>
      </c>
      <c r="F236" s="22" t="n">
        <v>8000000</v>
      </c>
      <c r="G236" s="17" t="inlineStr">
        <is>
          <t>Earliest Sep 2029</t>
        </is>
      </c>
    </row>
    <row r="237">
      <c r="A237" s="4" t="inlineStr">
        <is>
          <t>Engineers (scale-up II)</t>
        </is>
      </c>
      <c r="B237" s="22" t="n">
        <v>70000</v>
      </c>
      <c r="C237" s="4" t="inlineStr">
        <is>
          <t>Engineering &amp; product</t>
        </is>
      </c>
      <c r="D237" s="23" t="n">
        <v>4</v>
      </c>
      <c r="E237" s="23" t="n">
        <v>40</v>
      </c>
      <c r="F237" s="22" t="n">
        <v>10000000</v>
      </c>
      <c r="G237" s="17" t="inlineStr">
        <is>
          <t>Earliest Jan 2030</t>
        </is>
      </c>
    </row>
    <row r="238">
      <c r="A238" s="4" t="inlineStr">
        <is>
          <t>Data / AI engineers</t>
        </is>
      </c>
      <c r="B238" s="22" t="n">
        <v>85000</v>
      </c>
      <c r="C238" s="4" t="inlineStr">
        <is>
          <t>Engineering &amp; product</t>
        </is>
      </c>
      <c r="D238" s="23" t="n">
        <v>2</v>
      </c>
      <c r="E238" s="23" t="n">
        <v>44</v>
      </c>
      <c r="F238" s="22" t="n">
        <v>13000000</v>
      </c>
      <c r="G238" s="17" t="inlineStr">
        <is>
          <t>Earliest May 2030</t>
        </is>
      </c>
    </row>
    <row r="239">
      <c r="A239" s="4" t="inlineStr">
        <is>
          <t>Engineers (scale-up III)</t>
        </is>
      </c>
      <c r="B239" s="22" t="n">
        <v>75000</v>
      </c>
      <c r="C239" s="4" t="inlineStr">
        <is>
          <t>Engineering &amp; product</t>
        </is>
      </c>
      <c r="D239" s="23" t="n">
        <v>4</v>
      </c>
      <c r="E239" s="23" t="n">
        <v>50</v>
      </c>
      <c r="F239" s="22" t="n">
        <v>17000000</v>
      </c>
      <c r="G239" s="17" t="inlineStr">
        <is>
          <t>Earliest Nov 2030</t>
        </is>
      </c>
    </row>
    <row r="240">
      <c r="A240" s="4" t="inlineStr">
        <is>
          <t>Engineers (scale-up IV: social adapters &amp; integrations at scale)</t>
        </is>
      </c>
      <c r="B240" s="22" t="n">
        <v>80000</v>
      </c>
      <c r="C240" s="4" t="inlineStr">
        <is>
          <t>Engineering &amp; product</t>
        </is>
      </c>
      <c r="D240" s="23" t="n">
        <v>5</v>
      </c>
      <c r="E240" s="23" t="n">
        <v>44</v>
      </c>
      <c r="F240" s="22" t="n">
        <v>14000000</v>
      </c>
      <c r="G240" s="17" t="inlineStr">
        <is>
          <t>Earliest May 2030</t>
        </is>
      </c>
    </row>
    <row r="241">
      <c r="A241" s="4" t="inlineStr">
        <is>
          <t>Data &amp; AI team II</t>
        </is>
      </c>
      <c r="B241" s="22" t="n">
        <v>90000</v>
      </c>
      <c r="C241" s="4" t="inlineStr">
        <is>
          <t>Engineering &amp; product</t>
        </is>
      </c>
      <c r="D241" s="23" t="n">
        <v>3</v>
      </c>
      <c r="E241" s="23" t="n">
        <v>50</v>
      </c>
      <c r="F241" s="22" t="n">
        <v>19000000</v>
      </c>
      <c r="G241" s="17" t="inlineStr">
        <is>
          <t>Earliest Nov 2030</t>
        </is>
      </c>
    </row>
    <row r="242">
      <c r="A242" s="4" t="inlineStr">
        <is>
          <t>Head of Growth</t>
        </is>
      </c>
      <c r="B242" s="22" t="n">
        <v>70000</v>
      </c>
      <c r="C242" s="4" t="inlineStr">
        <is>
          <t>Marketing</t>
        </is>
      </c>
      <c r="D242" s="23" t="n">
        <v>1</v>
      </c>
      <c r="E242" s="23" t="n">
        <v>5</v>
      </c>
      <c r="F242" s="22" t="n">
        <v>0</v>
      </c>
      <c r="G242" s="17" t="inlineStr">
        <is>
          <t>Earliest Feb 2027</t>
        </is>
      </c>
    </row>
    <row r="243">
      <c r="A243" s="4" t="inlineStr">
        <is>
          <t>Performance marketer</t>
        </is>
      </c>
      <c r="B243" s="22" t="n">
        <v>40000</v>
      </c>
      <c r="C243" s="4" t="inlineStr">
        <is>
          <t>Marketing</t>
        </is>
      </c>
      <c r="D243" s="23" t="n">
        <v>1</v>
      </c>
      <c r="E243" s="23" t="n">
        <v>7</v>
      </c>
      <c r="F243" s="22" t="n">
        <v>100000</v>
      </c>
      <c r="G243" s="17" t="inlineStr">
        <is>
          <t>Earliest Apr 2027</t>
        </is>
      </c>
    </row>
    <row r="244">
      <c r="A244" s="4" t="inlineStr">
        <is>
          <t>Multilingual content &amp; community</t>
        </is>
      </c>
      <c r="B244" s="22" t="n">
        <v>28000</v>
      </c>
      <c r="C244" s="4" t="inlineStr">
        <is>
          <t>Marketing</t>
        </is>
      </c>
      <c r="D244" s="23" t="n">
        <v>2</v>
      </c>
      <c r="E244" s="23" t="n">
        <v>9</v>
      </c>
      <c r="F244" s="22" t="n">
        <v>300000</v>
      </c>
      <c r="G244" s="17" t="inlineStr">
        <is>
          <t>Earliest Jun 2027</t>
        </is>
      </c>
    </row>
    <row r="245">
      <c r="A245" s="4" t="inlineStr">
        <is>
          <t>Lifecycle &amp; growth marketers</t>
        </is>
      </c>
      <c r="B245" s="22" t="n">
        <v>40000</v>
      </c>
      <c r="C245" s="4" t="inlineStr">
        <is>
          <t>Marketing</t>
        </is>
      </c>
      <c r="D245" s="23" t="n">
        <v>2</v>
      </c>
      <c r="E245" s="23" t="n">
        <v>20</v>
      </c>
      <c r="F245" s="22" t="n">
        <v>1500000</v>
      </c>
      <c r="G245" s="17" t="inlineStr">
        <is>
          <t>Earliest May 2028</t>
        </is>
      </c>
    </row>
    <row r="246">
      <c r="A246" s="4" t="inlineStr">
        <is>
          <t>Marketing team expansion I</t>
        </is>
      </c>
      <c r="B246" s="22" t="n">
        <v>42000</v>
      </c>
      <c r="C246" s="4" t="inlineStr">
        <is>
          <t>Marketing</t>
        </is>
      </c>
      <c r="D246" s="23" t="n">
        <v>3</v>
      </c>
      <c r="E246" s="23" t="n">
        <v>30</v>
      </c>
      <c r="F246" s="22" t="n">
        <v>5000000</v>
      </c>
      <c r="G246" s="17" t="inlineStr">
        <is>
          <t>Earliest Mar 2029</t>
        </is>
      </c>
    </row>
    <row r="247">
      <c r="A247" s="4" t="inlineStr">
        <is>
          <t>Marketing team expansion II</t>
        </is>
      </c>
      <c r="B247" s="22" t="n">
        <v>45000</v>
      </c>
      <c r="C247" s="4" t="inlineStr">
        <is>
          <t>Marketing</t>
        </is>
      </c>
      <c r="D247" s="23" t="n">
        <v>3</v>
      </c>
      <c r="E247" s="23" t="n">
        <v>44</v>
      </c>
      <c r="F247" s="22" t="n">
        <v>12000000</v>
      </c>
      <c r="G247" s="17" t="inlineStr">
        <is>
          <t>Earliest May 2030</t>
        </is>
      </c>
    </row>
    <row r="248">
      <c r="A248" s="4" t="inlineStr">
        <is>
          <t>Marketing team expansion III</t>
        </is>
      </c>
      <c r="B248" s="22" t="n">
        <v>48000</v>
      </c>
      <c r="C248" s="4" t="inlineStr">
        <is>
          <t>Marketing</t>
        </is>
      </c>
      <c r="D248" s="23" t="n">
        <v>4</v>
      </c>
      <c r="E248" s="23" t="n">
        <v>46</v>
      </c>
      <c r="F248" s="22" t="n">
        <v>15000000</v>
      </c>
      <c r="G248" s="17" t="inlineStr">
        <is>
          <t>Earliest Jul 2030</t>
        </is>
      </c>
    </row>
    <row r="249">
      <c r="A249" s="4" t="inlineStr">
        <is>
          <t>Partnerships manager #1 (agency programme)</t>
        </is>
      </c>
      <c r="B249" s="22" t="n">
        <v>50000</v>
      </c>
      <c r="C249" s="4" t="inlineStr">
        <is>
          <t>Sales &amp; partnerships</t>
        </is>
      </c>
      <c r="D249" s="23" t="n">
        <v>1</v>
      </c>
      <c r="E249" s="23" t="n">
        <v>5</v>
      </c>
      <c r="F249" s="22" t="n">
        <v>0</v>
      </c>
      <c r="G249" s="17" t="inlineStr">
        <is>
          <t>Earliest Feb 2027; partnerships manager (drives agency sign-ups)</t>
        </is>
      </c>
    </row>
    <row r="250">
      <c r="A250" s="4" t="inlineStr">
        <is>
          <t>Partnerships manager #2</t>
        </is>
      </c>
      <c r="B250" s="22" t="n">
        <v>50000</v>
      </c>
      <c r="C250" s="4" t="inlineStr">
        <is>
          <t>Sales &amp; partnerships</t>
        </is>
      </c>
      <c r="D250" s="23" t="n">
        <v>1</v>
      </c>
      <c r="E250" s="23" t="n">
        <v>14</v>
      </c>
      <c r="F250" s="22" t="n">
        <v>800000</v>
      </c>
      <c r="G250" s="17" t="inlineStr">
        <is>
          <t>Earliest Nov 2027; partnerships manager (drives agency sign-ups)</t>
        </is>
      </c>
    </row>
    <row r="251">
      <c r="A251" s="4" t="inlineStr">
        <is>
          <t>Partnerships managers (scale-up I)</t>
        </is>
      </c>
      <c r="B251" s="22" t="n">
        <v>50000</v>
      </c>
      <c r="C251" s="4" t="inlineStr">
        <is>
          <t>Sales &amp; partnerships</t>
        </is>
      </c>
      <c r="D251" s="23" t="n">
        <v>2</v>
      </c>
      <c r="E251" s="23" t="n">
        <v>27</v>
      </c>
      <c r="F251" s="22" t="n">
        <v>3500000</v>
      </c>
      <c r="G251" s="17" t="inlineStr">
        <is>
          <t>Earliest Dec 2028; partnerships manager (drives agency sign-ups)</t>
        </is>
      </c>
    </row>
    <row r="252">
      <c r="A252" s="4" t="inlineStr">
        <is>
          <t>Partnerships managers (scale-up II)</t>
        </is>
      </c>
      <c r="B252" s="22" t="n">
        <v>55000</v>
      </c>
      <c r="C252" s="4" t="inlineStr">
        <is>
          <t>Sales &amp; partnerships</t>
        </is>
      </c>
      <c r="D252" s="23" t="n">
        <v>2</v>
      </c>
      <c r="E252" s="23" t="n">
        <v>38</v>
      </c>
      <c r="F252" s="22" t="n">
        <v>9000000</v>
      </c>
      <c r="G252" s="17" t="inlineStr">
        <is>
          <t>Earliest Nov 2029; partnerships manager (drives agency sign-ups)</t>
        </is>
      </c>
    </row>
    <row r="253">
      <c r="A253" s="4" t="inlineStr">
        <is>
          <t>SME onboarding &amp; sales-assist</t>
        </is>
      </c>
      <c r="B253" s="22" t="n">
        <v>30000</v>
      </c>
      <c r="C253" s="4" t="inlineStr">
        <is>
          <t>Sales &amp; partnerships</t>
        </is>
      </c>
      <c r="D253" s="23" t="n">
        <v>2</v>
      </c>
      <c r="E253" s="23" t="n">
        <v>12</v>
      </c>
      <c r="F253" s="22" t="n">
        <v>600000</v>
      </c>
      <c r="G253" s="17" t="inlineStr">
        <is>
          <t>Earliest Sep 2027</t>
        </is>
      </c>
    </row>
    <row r="254">
      <c r="A254" s="4" t="inlineStr">
        <is>
          <t>Head of Sales &amp; Partnerships</t>
        </is>
      </c>
      <c r="B254" s="22" t="n">
        <v>95000</v>
      </c>
      <c r="C254" s="4" t="inlineStr">
        <is>
          <t>Sales &amp; partnerships</t>
        </is>
      </c>
      <c r="D254" s="23" t="n">
        <v>1</v>
      </c>
      <c r="E254" s="23" t="n">
        <v>30</v>
      </c>
      <c r="F254" s="22" t="n">
        <v>5000000</v>
      </c>
      <c r="G254" s="17" t="inlineStr">
        <is>
          <t>Earliest Mar 2029</t>
        </is>
      </c>
    </row>
    <row r="255">
      <c r="A255" s="4" t="inlineStr">
        <is>
          <t>SME account managers</t>
        </is>
      </c>
      <c r="B255" s="22" t="n">
        <v>45000</v>
      </c>
      <c r="C255" s="4" t="inlineStr">
        <is>
          <t>Sales &amp; partnerships</t>
        </is>
      </c>
      <c r="D255" s="23" t="n">
        <v>3</v>
      </c>
      <c r="E255" s="23" t="n">
        <v>40</v>
      </c>
      <c r="F255" s="22" t="n">
        <v>10000000</v>
      </c>
      <c r="G255" s="17" t="inlineStr">
        <is>
          <t>Earliest Jan 2030</t>
        </is>
      </c>
    </row>
    <row r="256">
      <c r="A256" s="4" t="inlineStr">
        <is>
          <t>Partnerships managers (scale-up III)</t>
        </is>
      </c>
      <c r="B256" s="22" t="n">
        <v>55000</v>
      </c>
      <c r="C256" s="4" t="inlineStr">
        <is>
          <t>Sales &amp; partnerships</t>
        </is>
      </c>
      <c r="D256" s="23" t="n">
        <v>2</v>
      </c>
      <c r="E256" s="23" t="n">
        <v>44</v>
      </c>
      <c r="F256" s="22" t="n">
        <v>14000000</v>
      </c>
      <c r="G256" s="17" t="inlineStr">
        <is>
          <t>Earliest May 2030; partnerships manager (drives agency sign-ups)</t>
        </is>
      </c>
    </row>
    <row r="257">
      <c r="A257" s="4" t="inlineStr">
        <is>
          <t>SME account managers II</t>
        </is>
      </c>
      <c r="B257" s="22" t="n">
        <v>45000</v>
      </c>
      <c r="C257" s="4" t="inlineStr">
        <is>
          <t>Sales &amp; partnerships</t>
        </is>
      </c>
      <c r="D257" s="23" t="n">
        <v>4</v>
      </c>
      <c r="E257" s="23" t="n">
        <v>48</v>
      </c>
      <c r="F257" s="22" t="n">
        <v>16000000</v>
      </c>
      <c r="G257" s="17" t="inlineStr">
        <is>
          <t>Earliest Sep 2030</t>
        </is>
      </c>
    </row>
    <row r="258">
      <c r="A258" s="4" t="inlineStr">
        <is>
          <t>Customer success lead</t>
        </is>
      </c>
      <c r="B258" s="22" t="n">
        <v>40000</v>
      </c>
      <c r="C258" s="4" t="inlineStr">
        <is>
          <t>Customer success</t>
        </is>
      </c>
      <c r="D258" s="23" t="n">
        <v>1</v>
      </c>
      <c r="E258" s="23" t="n">
        <v>5</v>
      </c>
      <c r="F258" s="22" t="n">
        <v>0</v>
      </c>
      <c r="G258" s="17" t="inlineStr">
        <is>
          <t>Earliest Feb 2027</t>
        </is>
      </c>
    </row>
    <row r="259">
      <c r="A259" s="4" t="inlineStr">
        <is>
          <t>CS &amp; onboarding agents</t>
        </is>
      </c>
      <c r="B259" s="22" t="n">
        <v>20000</v>
      </c>
      <c r="C259" s="4" t="inlineStr">
        <is>
          <t>Customer success</t>
        </is>
      </c>
      <c r="D259" s="23" t="n">
        <v>2</v>
      </c>
      <c r="E259" s="23" t="n">
        <v>8</v>
      </c>
      <c r="F259" s="22" t="n">
        <v>150000</v>
      </c>
      <c r="G259" s="17" t="inlineStr">
        <is>
          <t>Earliest May 2027</t>
        </is>
      </c>
    </row>
    <row r="260">
      <c r="A260" s="4" t="inlineStr">
        <is>
          <t>CS agents II</t>
        </is>
      </c>
      <c r="B260" s="22" t="n">
        <v>20000</v>
      </c>
      <c r="C260" s="4" t="inlineStr">
        <is>
          <t>Customer success</t>
        </is>
      </c>
      <c r="D260" s="23" t="n">
        <v>4</v>
      </c>
      <c r="E260" s="23" t="n">
        <v>17</v>
      </c>
      <c r="F260" s="22" t="n">
        <v>1200000</v>
      </c>
      <c r="G260" s="17" t="inlineStr">
        <is>
          <t>Earliest Feb 2028</t>
        </is>
      </c>
    </row>
    <row r="261">
      <c r="A261" s="4" t="inlineStr">
        <is>
          <t>CS agents III</t>
        </is>
      </c>
      <c r="B261" s="22" t="n">
        <v>22000</v>
      </c>
      <c r="C261" s="4" t="inlineStr">
        <is>
          <t>Customer success</t>
        </is>
      </c>
      <c r="D261" s="23" t="n">
        <v>6</v>
      </c>
      <c r="E261" s="23" t="n">
        <v>27</v>
      </c>
      <c r="F261" s="22" t="n">
        <v>3500000</v>
      </c>
      <c r="G261" s="17" t="inlineStr">
        <is>
          <t>Earliest Dec 2028</t>
        </is>
      </c>
    </row>
    <row r="262">
      <c r="A262" s="4" t="inlineStr">
        <is>
          <t>CS agents IV</t>
        </is>
      </c>
      <c r="B262" s="22" t="n">
        <v>22000</v>
      </c>
      <c r="C262" s="4" t="inlineStr">
        <is>
          <t>Customer success</t>
        </is>
      </c>
      <c r="D262" s="23" t="n">
        <v>8</v>
      </c>
      <c r="E262" s="23" t="n">
        <v>39</v>
      </c>
      <c r="F262" s="22" t="n">
        <v>9000000</v>
      </c>
      <c r="G262" s="17" t="inlineStr">
        <is>
          <t>Earliest Dec 2029</t>
        </is>
      </c>
    </row>
    <row r="263">
      <c r="A263" s="4" t="inlineStr">
        <is>
          <t>CS agents V</t>
        </is>
      </c>
      <c r="B263" s="22" t="n">
        <v>24000</v>
      </c>
      <c r="C263" s="4" t="inlineStr">
        <is>
          <t>Customer success</t>
        </is>
      </c>
      <c r="D263" s="23" t="n">
        <v>8</v>
      </c>
      <c r="E263" s="23" t="n">
        <v>50</v>
      </c>
      <c r="F263" s="22" t="n">
        <v>16000000</v>
      </c>
      <c r="G263" s="17" t="inlineStr">
        <is>
          <t>Earliest Nov 2030</t>
        </is>
      </c>
    </row>
    <row r="264">
      <c r="A264" s="4" t="inlineStr">
        <is>
          <t>Finance &amp; compliance manager</t>
        </is>
      </c>
      <c r="B264" s="22" t="n">
        <v>55000</v>
      </c>
      <c r="C264" s="4" t="inlineStr">
        <is>
          <t>G&amp;A &amp; compliance</t>
        </is>
      </c>
      <c r="D264" s="23" t="n">
        <v>1</v>
      </c>
      <c r="E264" s="23" t="n">
        <v>8</v>
      </c>
      <c r="F264" s="22" t="n">
        <v>150000</v>
      </c>
      <c r="G264" s="17" t="inlineStr">
        <is>
          <t>Earliest May 2027</t>
        </is>
      </c>
    </row>
    <row r="265">
      <c r="A265" s="4" t="inlineStr">
        <is>
          <t>Operations &amp; admin</t>
        </is>
      </c>
      <c r="B265" s="22" t="n">
        <v>22000</v>
      </c>
      <c r="C265" s="4" t="inlineStr">
        <is>
          <t>G&amp;A &amp; compliance</t>
        </is>
      </c>
      <c r="D265" s="23" t="n">
        <v>1</v>
      </c>
      <c r="E265" s="23" t="n">
        <v>12</v>
      </c>
      <c r="F265" s="22" t="n">
        <v>500000</v>
      </c>
      <c r="G265" s="17" t="inlineStr">
        <is>
          <t>Earliest Sep 2027</t>
        </is>
      </c>
    </row>
    <row r="266">
      <c r="A266" s="4" t="inlineStr">
        <is>
          <t>Legal &amp; data-protection counsel</t>
        </is>
      </c>
      <c r="B266" s="22" t="n">
        <v>70000</v>
      </c>
      <c r="C266" s="4" t="inlineStr">
        <is>
          <t>G&amp;A &amp; compliance</t>
        </is>
      </c>
      <c r="D266" s="23" t="n">
        <v>1</v>
      </c>
      <c r="E266" s="23" t="n">
        <v>22</v>
      </c>
      <c r="F266" s="22" t="n">
        <v>2000000</v>
      </c>
      <c r="G266" s="17" t="inlineStr">
        <is>
          <t>Earliest Jul 2028</t>
        </is>
      </c>
    </row>
    <row r="267">
      <c r="A267" s="4" t="inlineStr">
        <is>
          <t>People &amp; HR partner</t>
        </is>
      </c>
      <c r="B267" s="22" t="n">
        <v>45000</v>
      </c>
      <c r="C267" s="4" t="inlineStr">
        <is>
          <t>G&amp;A &amp; compliance</t>
        </is>
      </c>
      <c r="D267" s="23" t="n">
        <v>1</v>
      </c>
      <c r="E267" s="23" t="n">
        <v>28</v>
      </c>
      <c r="F267" s="22" t="n">
        <v>3500000</v>
      </c>
      <c r="G267" s="17" t="inlineStr">
        <is>
          <t>Earliest Jan 2029</t>
        </is>
      </c>
    </row>
    <row r="268">
      <c r="A268" s="4" t="inlineStr">
        <is>
          <t>Finance analyst</t>
        </is>
      </c>
      <c r="B268" s="22" t="n">
        <v>40000</v>
      </c>
      <c r="C268" s="4" t="inlineStr">
        <is>
          <t>G&amp;A &amp; compliance</t>
        </is>
      </c>
      <c r="D268" s="23" t="n">
        <v>1</v>
      </c>
      <c r="E268" s="23" t="n">
        <v>30</v>
      </c>
      <c r="F268" s="22" t="n">
        <v>5000000</v>
      </c>
      <c r="G268" s="17" t="inlineStr">
        <is>
          <t>Earliest Mar 2029</t>
        </is>
      </c>
    </row>
    <row r="269">
      <c r="A269" s="4" t="inlineStr">
        <is>
          <t>CFO</t>
        </is>
      </c>
      <c r="B269" s="22" t="n">
        <v>120000</v>
      </c>
      <c r="C269" s="4" t="inlineStr">
        <is>
          <t>G&amp;A &amp; compliance</t>
        </is>
      </c>
      <c r="D269" s="23" t="n">
        <v>1</v>
      </c>
      <c r="E269" s="23" t="n">
        <v>36</v>
      </c>
      <c r="F269" s="22" t="n">
        <v>8000000</v>
      </c>
      <c r="G269" s="17" t="inlineStr">
        <is>
          <t>Earliest Sep 2029</t>
        </is>
      </c>
    </row>
    <row r="270">
      <c r="A270" s="4" t="inlineStr">
        <is>
          <t>CS agents VI</t>
        </is>
      </c>
      <c r="B270" s="22" t="n">
        <v>24000</v>
      </c>
      <c r="C270" s="4" t="inlineStr">
        <is>
          <t>Customer success</t>
        </is>
      </c>
      <c r="D270" s="23" t="n">
        <v>10</v>
      </c>
      <c r="E270" s="23" t="n">
        <v>48</v>
      </c>
      <c r="F270" s="22" t="n">
        <v>18000000</v>
      </c>
      <c r="G270" s="17" t="inlineStr">
        <is>
          <t>Earliest Sep 2030</t>
        </is>
      </c>
    </row>
    <row r="271">
      <c r="A271" s="4" t="inlineStr">
        <is>
          <t>Finance, legal &amp; people team expansion</t>
        </is>
      </c>
      <c r="B271" s="22" t="n">
        <v>60000</v>
      </c>
      <c r="C271" s="4" t="inlineStr">
        <is>
          <t>G&amp;A &amp; compliance</t>
        </is>
      </c>
      <c r="D271" s="23" t="n">
        <v>3</v>
      </c>
      <c r="E271" s="23" t="n">
        <v>48</v>
      </c>
      <c r="F271" s="22" t="n">
        <v>16000000</v>
      </c>
      <c r="G271" s="17" t="inlineStr">
        <is>
          <t>Earliest Sep 2030</t>
        </is>
      </c>
    </row>
    <row r="272">
      <c r="A272" s="4" t="inlineStr">
        <is>
          <t>Country lead: Nigeria</t>
        </is>
      </c>
      <c r="B272" s="22" t="n">
        <v>60000</v>
      </c>
      <c r="C272" s="4" t="inlineStr">
        <is>
          <t>Country teams</t>
        </is>
      </c>
      <c r="D272" s="23" t="n">
        <v>1</v>
      </c>
      <c r="E272" s="23" t="n">
        <v>1</v>
      </c>
      <c r="F272" s="22" t="n">
        <v>0</v>
      </c>
      <c r="G272" s="17" t="inlineStr">
        <is>
          <t>Hired at the Nigeria launch decision (2 months before launch) (gate &amp; earliest-hire columns not used)</t>
        </is>
      </c>
    </row>
    <row r="273">
      <c r="A273" s="4" t="inlineStr">
        <is>
          <t>Nigeria sales &amp; CS</t>
        </is>
      </c>
      <c r="B273" s="22" t="n">
        <v>18000</v>
      </c>
      <c r="C273" s="4" t="inlineStr">
        <is>
          <t>Country teams</t>
        </is>
      </c>
      <c r="D273" s="23" t="n">
        <v>2</v>
      </c>
      <c r="E273" s="23" t="n">
        <v>1</v>
      </c>
      <c r="F273" s="22" t="n">
        <v>0</v>
      </c>
      <c r="G273" s="17" t="inlineStr">
        <is>
          <t>Hired in the Nigeria launch month (gate &amp; earliest-hire columns not used)</t>
        </is>
      </c>
    </row>
    <row r="274">
      <c r="A274" s="4" t="inlineStr">
        <is>
          <t>Nigeria team expansion</t>
        </is>
      </c>
      <c r="B274" s="22" t="n">
        <v>20000</v>
      </c>
      <c r="C274" s="4" t="inlineStr">
        <is>
          <t>Country teams</t>
        </is>
      </c>
      <c r="D274" s="23" t="n">
        <v>3</v>
      </c>
      <c r="E274" s="23" t="n">
        <v>1</v>
      </c>
      <c r="F274" s="22" t="n">
        <v>0</v>
      </c>
      <c r="G274" s="17" t="inlineStr">
        <is>
          <t>Hired 12 months after the Nigeria launch (gate &amp; earliest-hire columns not used)</t>
        </is>
      </c>
    </row>
    <row r="275">
      <c r="A275" s="4" t="inlineStr">
        <is>
          <t>Country lead: Kenya</t>
        </is>
      </c>
      <c r="B275" s="22" t="n">
        <v>55000</v>
      </c>
      <c r="C275" s="4" t="inlineStr">
        <is>
          <t>Country teams</t>
        </is>
      </c>
      <c r="D275" s="23" t="n">
        <v>1</v>
      </c>
      <c r="E275" s="23" t="n">
        <v>1</v>
      </c>
      <c r="F275" s="22" t="n">
        <v>0</v>
      </c>
      <c r="G275" s="17" t="inlineStr">
        <is>
          <t>Hired at the Kenya launch decision (2 months before launch) (gate &amp; earliest-hire columns not used)</t>
        </is>
      </c>
    </row>
    <row r="276">
      <c r="A276" s="4" t="inlineStr">
        <is>
          <t>Kenya sales &amp; CS</t>
        </is>
      </c>
      <c r="B276" s="22" t="n">
        <v>18000</v>
      </c>
      <c r="C276" s="4" t="inlineStr">
        <is>
          <t>Country teams</t>
        </is>
      </c>
      <c r="D276" s="23" t="n">
        <v>1</v>
      </c>
      <c r="E276" s="23" t="n">
        <v>1</v>
      </c>
      <c r="F276" s="22" t="n">
        <v>0</v>
      </c>
      <c r="G276" s="17" t="inlineStr">
        <is>
          <t>Hired in the Kenya launch month (gate &amp; earliest-hire columns not used)</t>
        </is>
      </c>
    </row>
    <row r="277">
      <c r="A277" s="4" t="inlineStr">
        <is>
          <t>Kenya team expansion</t>
        </is>
      </c>
      <c r="B277" s="22" t="n">
        <v>20000</v>
      </c>
      <c r="C277" s="4" t="inlineStr">
        <is>
          <t>Country teams</t>
        </is>
      </c>
      <c r="D277" s="23" t="n">
        <v>2</v>
      </c>
      <c r="E277" s="23" t="n">
        <v>1</v>
      </c>
      <c r="F277" s="22" t="n">
        <v>0</v>
      </c>
      <c r="G277" s="17" t="inlineStr">
        <is>
          <t>Hired 12 months after the Kenya launch (gate &amp; earliest-hire columns not used)</t>
        </is>
      </c>
    </row>
    <row r="278">
      <c r="A278" s="4" t="inlineStr">
        <is>
          <t>Country lead: Ghana</t>
        </is>
      </c>
      <c r="B278" s="22" t="n">
        <v>45000</v>
      </c>
      <c r="C278" s="4" t="inlineStr">
        <is>
          <t>Country teams</t>
        </is>
      </c>
      <c r="D278" s="23" t="n">
        <v>1</v>
      </c>
      <c r="E278" s="23" t="n">
        <v>1</v>
      </c>
      <c r="F278" s="22" t="n">
        <v>0</v>
      </c>
      <c r="G278" s="17" t="inlineStr">
        <is>
          <t>Hired at the Ghana launch decision (2 months before launch) (gate &amp; earliest-hire columns not used)</t>
        </is>
      </c>
    </row>
    <row r="279">
      <c r="A279" s="4" t="inlineStr">
        <is>
          <t>Ghana sales &amp; CS</t>
        </is>
      </c>
      <c r="B279" s="22" t="n">
        <v>18000</v>
      </c>
      <c r="C279" s="4" t="inlineStr">
        <is>
          <t>Country teams</t>
        </is>
      </c>
      <c r="D279" s="23" t="n">
        <v>2</v>
      </c>
      <c r="E279" s="23" t="n">
        <v>1</v>
      </c>
      <c r="F279" s="22" t="n">
        <v>0</v>
      </c>
      <c r="G279" s="17" t="inlineStr">
        <is>
          <t>Hired in the Ghana launch month (gate &amp; earliest-hire columns not used)</t>
        </is>
      </c>
    </row>
    <row r="280">
      <c r="A280" s="4" t="inlineStr">
        <is>
          <t>Ghana team expansion</t>
        </is>
      </c>
      <c r="B280" s="22" t="n">
        <v>20000</v>
      </c>
      <c r="C280" s="4" t="inlineStr">
        <is>
          <t>Country teams</t>
        </is>
      </c>
      <c r="D280" s="23" t="n">
        <v>2</v>
      </c>
      <c r="E280" s="23" t="n">
        <v>1</v>
      </c>
      <c r="F280" s="22" t="n">
        <v>0</v>
      </c>
      <c r="G280" s="17" t="inlineStr">
        <is>
          <t>Hired 12 months after the Ghana launch (gate &amp; earliest-hire columns not used)</t>
        </is>
      </c>
    </row>
  </sheetData>
  <dataValidations count="1">
    <dataValidation sqref="B6" showDropDown="0" showInputMessage="0" showErrorMessage="0" allowBlank="0" type="list">
      <formula1>"Conservative,Base,Upside"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A00"/>
    <outlinePr summaryBelow="1" summaryRight="1"/>
    <pageSetUpPr/>
  </sheetPr>
  <dimension ref="A1:L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80" customWidth="1" min="12" max="12"/>
  </cols>
  <sheetData>
    <row r="1">
      <c r="A1" s="16" t="inlineStr">
        <is>
          <t>Pricing</t>
        </is>
      </c>
    </row>
    <row r="2">
      <c r="A2" s="17" t="inlineStr">
        <is>
          <t>Live prices (subscription_tiers &amp; tier_regional_prices, CURRENT_OFFER §1). ZAR list for South Africa; fixed local price points for NG/KE/GH and USD for the rest of rail-covered Africa, at FX parity. Annual = 10x monthly. No VAT (not VAT-registered). Free (R0) is modelled on Assumptions as a funnel stage.</t>
        </is>
      </c>
    </row>
    <row r="3"/>
    <row r="4" ht="44" customHeight="1">
      <c r="A4" s="29" t="inlineStr">
        <is>
          <t>Tier</t>
        </is>
      </c>
      <c r="B4" s="29" t="inlineStr">
        <is>
          <t>ZAR list / month</t>
        </is>
      </c>
      <c r="C4" s="29" t="inlineStr">
        <is>
          <t>ZAR annual</t>
        </is>
      </c>
      <c r="D4" s="29" t="inlineStr">
        <is>
          <t>≈ US$ / month (R18.50)</t>
        </is>
      </c>
      <c r="E4" s="29" t="inlineStr">
        <is>
          <t>Modelled AI allowance (credits; internal cost input, never quoted)</t>
        </is>
      </c>
      <c r="F4" s="29" t="inlineStr">
        <is>
          <t>Founding Member price, first 2 monthly bills (R, South Africa)</t>
        </is>
      </c>
      <c r="G4" s="29" t="inlineStr">
        <is>
          <t>Band</t>
        </is>
      </c>
      <c r="H4" s="29" t="inlineStr">
        <is>
          <t>NGN / month</t>
        </is>
      </c>
      <c r="I4" s="29" t="inlineStr">
        <is>
          <t>KES / month</t>
        </is>
      </c>
      <c r="J4" s="29" t="inlineStr">
        <is>
          <t>GHS / month</t>
        </is>
      </c>
      <c r="K4" s="29" t="inlineStr">
        <is>
          <t>USD / month (19 USD markets)</t>
        </is>
      </c>
      <c r="L4" s="29" t="inlineStr">
        <is>
          <t>Note</t>
        </is>
      </c>
    </row>
    <row r="5">
      <c r="A5" s="3" t="inlineStr">
        <is>
          <t>Nano</t>
        </is>
      </c>
      <c r="B5" s="22" t="n">
        <v>149</v>
      </c>
      <c r="C5" s="8">
        <f>B5*Pricing!$B$18</f>
        <v/>
      </c>
      <c r="D5" s="30">
        <f>B5/Assumptions!$B$10</f>
        <v/>
      </c>
      <c r="E5" s="31" t="n">
        <v>450</v>
      </c>
      <c r="F5" s="8">
        <f>ROUNDDOWN(B5*(1-Assumptions!$B$32),0)</f>
        <v/>
      </c>
      <c r="G5" s="17" t="inlineStr">
        <is>
          <t>Small</t>
        </is>
      </c>
      <c r="H5" s="32" t="n">
        <v>12000</v>
      </c>
      <c r="I5" s="33" t="n">
        <v>1199</v>
      </c>
      <c r="J5" s="34" t="n">
        <v>99</v>
      </c>
      <c r="K5" s="35" t="n">
        <v>8</v>
      </c>
      <c r="L5" s="17" t="inlineStr">
        <is>
          <t>Small band. 1 brand, 3 channels; side-hustles</t>
        </is>
      </c>
    </row>
    <row r="6">
      <c r="A6" s="3" t="inlineStr">
        <is>
          <t>Micro</t>
        </is>
      </c>
      <c r="B6" s="22" t="n">
        <v>289</v>
      </c>
      <c r="C6" s="8">
        <f>B6*Pricing!$B$18</f>
        <v/>
      </c>
      <c r="D6" s="30">
        <f>B6/Assumptions!$B$10</f>
        <v/>
      </c>
      <c r="E6" s="31" t="n">
        <v>900</v>
      </c>
      <c r="F6" s="8">
        <f>ROUNDDOWN(B6*(1-Assumptions!$B$32),0)</f>
        <v/>
      </c>
      <c r="G6" s="17" t="inlineStr">
        <is>
          <t>Small</t>
        </is>
      </c>
      <c r="H6" s="32" t="n">
        <v>24000</v>
      </c>
      <c r="I6" s="33" t="n">
        <v>2299</v>
      </c>
      <c r="J6" s="34" t="n">
        <v>199</v>
      </c>
      <c r="K6" s="35" t="n">
        <v>16</v>
      </c>
      <c r="L6" s="17" t="inlineStr">
        <is>
          <t>Small band. 1 brand, 4 channels, 1 WhatsApp number, WhatsApp commerce</t>
        </is>
      </c>
    </row>
    <row r="7">
      <c r="A7" s="3" t="inlineStr">
        <is>
          <t>Starter</t>
        </is>
      </c>
      <c r="B7" s="22" t="n">
        <v>499</v>
      </c>
      <c r="C7" s="8">
        <f>B7*Pricing!$B$18</f>
        <v/>
      </c>
      <c r="D7" s="30">
        <f>B7/Assumptions!$B$10</f>
        <v/>
      </c>
      <c r="E7" s="31" t="n">
        <v>1500</v>
      </c>
      <c r="F7" s="8">
        <f>ROUNDDOWN(B7*(1-Assumptions!$B$32),0)</f>
        <v/>
      </c>
      <c r="G7" s="17" t="inlineStr">
        <is>
          <t>Medium</t>
        </is>
      </c>
      <c r="H7" s="32" t="n">
        <v>41000</v>
      </c>
      <c r="I7" s="33" t="n">
        <v>3999</v>
      </c>
      <c r="J7" s="34" t="n">
        <v>339</v>
      </c>
      <c r="K7" s="35" t="n">
        <v>27</v>
      </c>
      <c r="L7" s="17" t="inlineStr">
        <is>
          <t>Medium band. 1 brand, 3 channels</t>
        </is>
      </c>
    </row>
    <row r="8">
      <c r="A8" s="3" t="inlineStr">
        <is>
          <t>Growth</t>
        </is>
      </c>
      <c r="B8" s="22" t="n">
        <v>1999</v>
      </c>
      <c r="C8" s="8">
        <f>B8*Pricing!$B$18</f>
        <v/>
      </c>
      <c r="D8" s="30">
        <f>B8/Assumptions!$B$10</f>
        <v/>
      </c>
      <c r="E8" s="31" t="n">
        <v>6500</v>
      </c>
      <c r="F8" s="8">
        <f>ROUNDDOWN(B8*(1-Assumptions!$B$32),0)</f>
        <v/>
      </c>
      <c r="G8" s="17" t="inlineStr">
        <is>
          <t>Medium</t>
        </is>
      </c>
      <c r="H8" s="32" t="n">
        <v>165000</v>
      </c>
      <c r="I8" s="33" t="n">
        <v>15999</v>
      </c>
      <c r="J8" s="34" t="n">
        <v>1359</v>
      </c>
      <c r="K8" s="35" t="n">
        <v>109</v>
      </c>
      <c r="L8" s="17" t="inlineStr">
        <is>
          <t>Medium band. 3 brands, 15 channels, inbound AI Voice (beta). Credits incl. 500 bonus where voice is not offered</t>
        </is>
      </c>
    </row>
    <row r="9">
      <c r="A9" s="3" t="inlineStr">
        <is>
          <t>Scale</t>
        </is>
      </c>
      <c r="B9" s="22" t="n">
        <v>4999</v>
      </c>
      <c r="C9" s="8">
        <f>B9*Pricing!$B$18</f>
        <v/>
      </c>
      <c r="D9" s="30">
        <f>B9/Assumptions!$B$10</f>
        <v/>
      </c>
      <c r="E9" s="31" t="n">
        <v>15500</v>
      </c>
      <c r="F9" s="8">
        <f>ROUNDDOWN(B9*(1-Assumptions!$B$32),0)</f>
        <v/>
      </c>
      <c r="G9" s="17" t="inlineStr">
        <is>
          <t>Medium</t>
        </is>
      </c>
      <c r="H9" s="32" t="n">
        <v>413000</v>
      </c>
      <c r="I9" s="33" t="n">
        <v>39999</v>
      </c>
      <c r="J9" s="34" t="n">
        <v>3399</v>
      </c>
      <c r="K9" s="35" t="n">
        <v>269</v>
      </c>
      <c r="L9" s="17" t="inlineStr">
        <is>
          <t>Medium band. 10 brands, 40 channels, in+out AI Voice (beta). Credits incl. 2,000 bonus (cost-equivalent of outbound voice minutes)</t>
        </is>
      </c>
    </row>
    <row r="10">
      <c r="A10" s="3" t="inlineStr">
        <is>
          <t>Corporate</t>
        </is>
      </c>
      <c r="B10" s="22" t="n">
        <v>6999</v>
      </c>
      <c r="C10" s="8">
        <f>B10*Pricing!$B$18</f>
        <v/>
      </c>
      <c r="D10" s="30">
        <f>B10/Assumptions!$B$10</f>
        <v/>
      </c>
      <c r="E10" s="31" t="n">
        <v>0</v>
      </c>
      <c r="F10" s="17" t="inlineStr">
        <is>
          <t>Not modelled</t>
        </is>
      </c>
      <c r="G10" s="17" t="inlineStr">
        <is>
          <t>Enterprise</t>
        </is>
      </c>
      <c r="H10" s="32" t="n">
        <v>579000</v>
      </c>
      <c r="I10" s="33" t="n">
        <v>56999</v>
      </c>
      <c r="J10" s="34" t="n">
        <v>4799</v>
      </c>
      <c r="K10" s="35" t="n">
        <v>379</v>
      </c>
      <c r="L10" s="17" t="inlineStr">
        <is>
          <t>Enterprise band. 25 brands, 60 channels, BYOC: AI on the customer's own keys, so no AI credit cost to FluxMuse</t>
        </is>
      </c>
    </row>
    <row r="11">
      <c r="A11" s="3" t="inlineStr">
        <is>
          <t>Agency</t>
        </is>
      </c>
      <c r="B11" s="22" t="n">
        <v>9999</v>
      </c>
      <c r="C11" s="8">
        <f>B11*Pricing!$B$18</f>
        <v/>
      </c>
      <c r="D11" s="30">
        <f>B11/Assumptions!$B$10</f>
        <v/>
      </c>
      <c r="E11" s="31" t="n">
        <v>0</v>
      </c>
      <c r="F11" s="17" t="inlineStr">
        <is>
          <t>Not modelled</t>
        </is>
      </c>
      <c r="G11" s="17" t="inlineStr">
        <is>
          <t>Enterprise</t>
        </is>
      </c>
      <c r="H11" s="32" t="n">
        <v>829000</v>
      </c>
      <c r="I11" s="33" t="n">
        <v>80999</v>
      </c>
      <c r="J11" s="34" t="n">
        <v>6799</v>
      </c>
      <c r="K11" s="35" t="n">
        <v>539</v>
      </c>
      <c r="L11" s="17" t="inlineStr">
        <is>
          <t>Enterprise band. Unlimited brands, 80 channels, BYOC, white-label, multi-client; own keys</t>
        </is>
      </c>
    </row>
    <row r="12">
      <c r="A12" s="3" t="inlineStr">
        <is>
          <t>Custom</t>
        </is>
      </c>
      <c r="B12" s="22" t="n">
        <v>19999</v>
      </c>
      <c r="C12" s="8">
        <f>B12*Pricing!$B$18</f>
        <v/>
      </c>
      <c r="D12" s="30">
        <f>B12/Assumptions!$B$10</f>
        <v/>
      </c>
      <c r="E12" s="31" t="n">
        <v>0</v>
      </c>
      <c r="F12" s="17" t="inlineStr">
        <is>
          <t>Not modelled</t>
        </is>
      </c>
      <c r="G12" s="17" t="inlineStr">
        <is>
          <t>Enterprise</t>
        </is>
      </c>
      <c r="H12" s="32" t="n">
        <v>1650000</v>
      </c>
      <c r="I12" s="33" t="n">
        <v>161000</v>
      </c>
      <c r="J12" s="34" t="n">
        <v>13600</v>
      </c>
      <c r="K12" s="35" t="n">
        <v>1099</v>
      </c>
      <c r="L12" s="5" t="inlineStr">
        <is>
          <t>Custom, by consultation. Modelled at 'from R19,999' [[CONFIRM]]; own keys</t>
        </is>
      </c>
    </row>
    <row r="13">
      <c r="A13" s="3" t="inlineStr">
        <is>
          <t>Partner wholesale: Agency tier -30%</t>
        </is>
      </c>
      <c r="B13" s="22" t="n">
        <v>6999</v>
      </c>
      <c r="C13" s="8">
        <f>B13*Pricing!$B$18</f>
        <v/>
      </c>
      <c r="D13" s="30">
        <f>B13/Assumptions!$B$10</f>
        <v/>
      </c>
      <c r="E13" s="10">
        <f>E11</f>
        <v/>
      </c>
      <c r="F13" s="17" t="inlineStr">
        <is>
          <t>Does not stack</t>
        </is>
      </c>
      <c r="G13" s="17" t="inlineStr">
        <is>
          <t>Enterprise</t>
        </is>
      </c>
      <c r="H13" s="32" t="n">
        <v>579000</v>
      </c>
      <c r="I13" s="33" t="n">
        <v>56999</v>
      </c>
      <c r="J13" s="34" t="n">
        <v>4799</v>
      </c>
      <c r="K13" s="35" t="n">
        <v>379</v>
      </c>
      <c r="L13" s="5" t="inlineStr">
        <is>
          <t>CURRENT_OFFER §1 (confirmed 1 Oct 2026): partners buy Agency at 30% off R9,999 = R6,999. Local wholesale = Corporate local price points [[CONFIRM]]. Referral commission: undecided, not modelled.</t>
        </is>
      </c>
    </row>
    <row r="14"/>
    <row r="15">
      <c r="A15" s="19" t="inlineStr">
        <is>
          <t>Pricing drivers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4" t="inlineStr">
        <is>
          <t>Annual price escalator (applied each 1 Oct, all markets)</t>
        </is>
      </c>
      <c r="B16" s="21" t="n">
        <v>0.06</v>
      </c>
      <c r="C16" s="4" t="inlineStr">
        <is>
          <t>% / year</t>
        </is>
      </c>
      <c r="D16" s="17" t="inlineStr">
        <is>
          <t>CPI-linked list-price increase (ASSUMPTION)</t>
        </is>
      </c>
    </row>
    <row r="17">
      <c r="A17" s="4" t="inlineStr">
        <is>
          <t>Share of subscriptions on annual billing</t>
        </is>
      </c>
      <c r="B17" s="21" t="n">
        <v>0.25</v>
      </c>
      <c r="C17" s="4" t="inlineStr">
        <is>
          <t>%</t>
        </is>
      </c>
      <c r="D17" s="17" t="inlineStr">
        <is>
          <t>Annual = 10x monthly (unchanged from v2)</t>
        </is>
      </c>
    </row>
    <row r="18">
      <c r="A18" s="4" t="inlineStr">
        <is>
          <t>Months charged on an annual plan</t>
        </is>
      </c>
      <c r="B18" s="23" t="n">
        <v>10</v>
      </c>
      <c r="C18" s="4" t="inlineStr">
        <is>
          <t>months</t>
        </is>
      </c>
      <c r="D18" s="17" t="inlineStr">
        <is>
          <t>CURRENT_OFFER §1: annual = 10x monthly</t>
        </is>
      </c>
    </row>
    <row r="19">
      <c r="A19" s="4" t="inlineStr">
        <is>
          <t>Effective price factor from annual-billing mix</t>
        </is>
      </c>
      <c r="B19" s="36">
        <f>1-Pricing!$B$17*(12-Pricing!$B$18)/12</f>
        <v/>
      </c>
      <c r="C19" s="4" t="inlineStr">
        <is>
          <t>x</t>
        </is>
      </c>
      <c r="D19" s="17" t="inlineStr">
        <is>
          <t>Formula: 1 - annual share x (12 - months charged) / 12</t>
        </is>
      </c>
    </row>
    <row r="20">
      <c r="A20" s="4" t="inlineStr">
        <is>
          <t>Share of agency-segment customers on partner wholesale pricing</t>
        </is>
      </c>
      <c r="B20" s="21" t="n">
        <v>1</v>
      </c>
      <c r="C20" s="4" t="inlineStr">
        <is>
          <t>%</t>
        </is>
      </c>
      <c r="D20" s="17" t="inlineStr">
        <is>
          <t>CURRENT_OFFER §1 (1 Oct 2026): partners buy Agency at 30% off list (R6,999); default 100% of agency customers</t>
        </is>
      </c>
    </row>
    <row r="21"/>
    <row r="22">
      <c r="A22" s="19" t="inlineStr">
        <is>
          <t>FX: price-setting rates, depreciation vs ZAR and the quarterly repricing policy (depreciation rates are ASSUMPTIONS)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4" t="inlineStr">
        <is>
          <t>NGN per R1 at price-setting (Sept 2026)</t>
        </is>
      </c>
      <c r="B23" s="20" t="n">
        <v>82.83</v>
      </c>
      <c r="C23" s="4" t="inlineStr">
        <is>
          <t>NGN per ZAR</t>
        </is>
      </c>
      <c r="D23" s="17" t="inlineStr">
        <is>
          <t>Facts file §2 mid-market rate</t>
        </is>
      </c>
    </row>
    <row r="24">
      <c r="A24" s="4" t="inlineStr">
        <is>
          <t>KES per R1 at price-setting</t>
        </is>
      </c>
      <c r="B24" s="20" t="n">
        <v>8.07</v>
      </c>
      <c r="C24" s="4" t="inlineStr">
        <is>
          <t>KES per ZAR</t>
        </is>
      </c>
      <c r="D24" s="17" t="inlineStr">
        <is>
          <t>Facts file §2</t>
        </is>
      </c>
    </row>
    <row r="25">
      <c r="A25" s="4" t="inlineStr">
        <is>
          <t>GHS per R1 at price-setting</t>
        </is>
      </c>
      <c r="B25" s="20" t="n">
        <v>0.68</v>
      </c>
      <c r="C25" s="4" t="inlineStr">
        <is>
          <t>GHS per ZAR</t>
        </is>
      </c>
      <c r="D25" s="17" t="inlineStr">
        <is>
          <t>Facts file §2</t>
        </is>
      </c>
    </row>
    <row r="26">
      <c r="A26" s="4" t="inlineStr">
        <is>
          <t>Annual depreciation of NGN vs ZAR</t>
        </is>
      </c>
      <c r="B26" s="21" t="n">
        <v>-0.1</v>
      </c>
      <c r="C26" s="4" t="inlineStr">
        <is>
          <t>% / year</t>
        </is>
      </c>
      <c r="D26" s="5" t="inlineStr">
        <is>
          <t>ASSUMPTION</t>
        </is>
      </c>
    </row>
    <row r="27">
      <c r="A27" s="4" t="inlineStr">
        <is>
          <t>Annual depreciation of KES vs ZAR</t>
        </is>
      </c>
      <c r="B27" s="21" t="n">
        <v>-0.03</v>
      </c>
      <c r="C27" s="4" t="inlineStr">
        <is>
          <t>% / year</t>
        </is>
      </c>
      <c r="D27" s="5" t="inlineStr">
        <is>
          <t>ASSUMPTION</t>
        </is>
      </c>
    </row>
    <row r="28">
      <c r="A28" s="4" t="inlineStr">
        <is>
          <t>Annual depreciation of GHS vs ZAR</t>
        </is>
      </c>
      <c r="B28" s="21" t="n">
        <v>-0.08</v>
      </c>
      <c r="C28" s="4" t="inlineStr">
        <is>
          <t>% / year</t>
        </is>
      </c>
      <c r="D28" s="5" t="inlineStr">
        <is>
          <t>ASSUMPTION</t>
        </is>
      </c>
    </row>
    <row r="29">
      <c r="A29" s="4" t="inlineStr">
        <is>
          <t>Annual depreciation of USD vs ZAR</t>
        </is>
      </c>
      <c r="B29" s="21" t="n">
        <v>0</v>
      </c>
      <c r="C29" s="4" t="inlineStr">
        <is>
          <t>% / year</t>
        </is>
      </c>
      <c r="D29" s="5" t="inlineStr">
        <is>
          <t>ASSUMPTION (USD markets)</t>
        </is>
      </c>
    </row>
    <row r="30">
      <c r="A30" s="4" t="inlineStr">
        <is>
          <t>Repricing trigger: drift in ZAR value of local prices</t>
        </is>
      </c>
      <c r="B30" s="21" t="n">
        <v>0.1</v>
      </c>
      <c r="C30" s="4" t="inlineStr">
        <is>
          <t>%</t>
        </is>
      </c>
      <c r="D30" s="17" t="inlineStr">
        <is>
          <t>Facts file §2: reprice if FX moves more than ±10%</t>
        </is>
      </c>
    </row>
    <row r="31">
      <c r="A31" s="4" t="inlineStr">
        <is>
          <t>Quarterly repricing policy on? (1 = yes)</t>
        </is>
      </c>
      <c r="B31" s="23" t="n">
        <v>1</v>
      </c>
      <c r="C31" s="4" t="inlineStr">
        <is>
          <t>switch</t>
        </is>
      </c>
      <c r="D31" s="17" t="inlineStr">
        <is>
          <t>Reviewed each quarter; new price applies one quarter after the drift is observed</t>
        </is>
      </c>
    </row>
    <row r="32"/>
    <row r="33">
      <c r="A33" s="19" t="inlineStr">
        <is>
          <t>ZAR value of each market's monthly price at price-setting FX (formulas; used by Revenue_Build, then x FX value factor after drift &amp; repricing)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</row>
    <row r="34">
      <c r="A34" s="6" t="inlineStr">
        <is>
          <t>Tier (R / month)</t>
        </is>
      </c>
      <c r="B34" s="6" t="inlineStr">
        <is>
          <t>South Africa</t>
        </is>
      </c>
      <c r="C34" s="6" t="inlineStr">
        <is>
          <t>Nigeria</t>
        </is>
      </c>
      <c r="D34" s="6" t="inlineStr">
        <is>
          <t>Kenya</t>
        </is>
      </c>
      <c r="E34" s="6" t="inlineStr">
        <is>
          <t>Ghana</t>
        </is>
      </c>
      <c r="F34" s="6" t="inlineStr">
        <is>
          <t>Rest of Africa (USD)</t>
        </is>
      </c>
      <c r="G34" s="6" t="inlineStr">
        <is>
          <t>Botswana &amp; Namibia</t>
        </is>
      </c>
    </row>
    <row r="35">
      <c r="A35" s="3" t="inlineStr">
        <is>
          <t>Nano</t>
        </is>
      </c>
      <c r="B35" s="8">
        <f>$B$5</f>
        <v/>
      </c>
      <c r="C35" s="8">
        <f>$H$5/$B$23</f>
        <v/>
      </c>
      <c r="D35" s="8">
        <f>$I$5/$B$24</f>
        <v/>
      </c>
      <c r="E35" s="8">
        <f>$J$5/$B$25</f>
        <v/>
      </c>
      <c r="F35" s="8">
        <f>$K$5*Assumptions!$B$10</f>
        <v/>
      </c>
      <c r="G35" s="8">
        <f>$B$5</f>
        <v/>
      </c>
    </row>
    <row r="36">
      <c r="A36" s="3" t="inlineStr">
        <is>
          <t>Micro</t>
        </is>
      </c>
      <c r="B36" s="8">
        <f>$B$6</f>
        <v/>
      </c>
      <c r="C36" s="8">
        <f>$H$6/$B$23</f>
        <v/>
      </c>
      <c r="D36" s="8">
        <f>$I$6/$B$24</f>
        <v/>
      </c>
      <c r="E36" s="8">
        <f>$J$6/$B$25</f>
        <v/>
      </c>
      <c r="F36" s="8">
        <f>$K$6*Assumptions!$B$10</f>
        <v/>
      </c>
      <c r="G36" s="8">
        <f>$B$6</f>
        <v/>
      </c>
    </row>
    <row r="37">
      <c r="A37" s="3" t="inlineStr">
        <is>
          <t>Starter</t>
        </is>
      </c>
      <c r="B37" s="8">
        <f>$B$7</f>
        <v/>
      </c>
      <c r="C37" s="8">
        <f>$H$7/$B$23</f>
        <v/>
      </c>
      <c r="D37" s="8">
        <f>$I$7/$B$24</f>
        <v/>
      </c>
      <c r="E37" s="8">
        <f>$J$7/$B$25</f>
        <v/>
      </c>
      <c r="F37" s="8">
        <f>$K$7*Assumptions!$B$10</f>
        <v/>
      </c>
      <c r="G37" s="8">
        <f>$B$7</f>
        <v/>
      </c>
    </row>
    <row r="38">
      <c r="A38" s="3" t="inlineStr">
        <is>
          <t>Growth</t>
        </is>
      </c>
      <c r="B38" s="8">
        <f>$B$8</f>
        <v/>
      </c>
      <c r="C38" s="8">
        <f>$H$8/$B$23</f>
        <v/>
      </c>
      <c r="D38" s="8">
        <f>$I$8/$B$24</f>
        <v/>
      </c>
      <c r="E38" s="8">
        <f>$J$8/$B$25</f>
        <v/>
      </c>
      <c r="F38" s="8">
        <f>$K$8*Assumptions!$B$10</f>
        <v/>
      </c>
      <c r="G38" s="8">
        <f>$B$8</f>
        <v/>
      </c>
    </row>
    <row r="39">
      <c r="A39" s="3" t="inlineStr">
        <is>
          <t>Scale</t>
        </is>
      </c>
      <c r="B39" s="8">
        <f>$B$9</f>
        <v/>
      </c>
      <c r="C39" s="8">
        <f>$H$9/$B$23</f>
        <v/>
      </c>
      <c r="D39" s="8">
        <f>$I$9/$B$24</f>
        <v/>
      </c>
      <c r="E39" s="8">
        <f>$J$9/$B$25</f>
        <v/>
      </c>
      <c r="F39" s="8">
        <f>$K$9*Assumptions!$B$10</f>
        <v/>
      </c>
      <c r="G39" s="8">
        <f>$B$9</f>
        <v/>
      </c>
    </row>
    <row r="40">
      <c r="A40" s="3" t="inlineStr">
        <is>
          <t>Corporate</t>
        </is>
      </c>
      <c r="B40" s="8">
        <f>$B$10</f>
        <v/>
      </c>
      <c r="C40" s="8">
        <f>$H$10/$B$23</f>
        <v/>
      </c>
      <c r="D40" s="8">
        <f>$I$10/$B$24</f>
        <v/>
      </c>
      <c r="E40" s="8">
        <f>$J$10/$B$25</f>
        <v/>
      </c>
      <c r="F40" s="8">
        <f>$K$10*Assumptions!$B$10</f>
        <v/>
      </c>
      <c r="G40" s="8">
        <f>$B$10</f>
        <v/>
      </c>
    </row>
    <row r="41">
      <c r="A41" s="3" t="inlineStr">
        <is>
          <t>Agency</t>
        </is>
      </c>
      <c r="B41" s="8">
        <f>$B$11</f>
        <v/>
      </c>
      <c r="C41" s="8">
        <f>$H$11/$B$23</f>
        <v/>
      </c>
      <c r="D41" s="8">
        <f>$I$11/$B$24</f>
        <v/>
      </c>
      <c r="E41" s="8">
        <f>$J$11/$B$25</f>
        <v/>
      </c>
      <c r="F41" s="8">
        <f>$K$11*Assumptions!$B$10</f>
        <v/>
      </c>
      <c r="G41" s="8">
        <f>$B$11</f>
        <v/>
      </c>
    </row>
    <row r="42">
      <c r="A42" s="3" t="inlineStr">
        <is>
          <t>Custom</t>
        </is>
      </c>
      <c r="B42" s="8">
        <f>$B$12</f>
        <v/>
      </c>
      <c r="C42" s="8">
        <f>$H$12/$B$23</f>
        <v/>
      </c>
      <c r="D42" s="8">
        <f>$I$12/$B$24</f>
        <v/>
      </c>
      <c r="E42" s="8">
        <f>$J$12/$B$25</f>
        <v/>
      </c>
      <c r="F42" s="8">
        <f>$K$12*Assumptions!$B$10</f>
        <v/>
      </c>
      <c r="G42" s="8">
        <f>$B$12</f>
        <v/>
      </c>
    </row>
    <row r="43">
      <c r="A43" s="3" t="inlineStr">
        <is>
          <t>Partner wholesale (Agency -30%)</t>
        </is>
      </c>
      <c r="B43" s="8">
        <f>$B$13</f>
        <v/>
      </c>
      <c r="C43" s="8">
        <f>$H$13/$B$23</f>
        <v/>
      </c>
      <c r="D43" s="8">
        <f>$I$13/$B$24</f>
        <v/>
      </c>
      <c r="E43" s="8">
        <f>$J$13/$B$25</f>
        <v/>
      </c>
      <c r="F43" s="8">
        <f>$K$13*Assumptions!$B$10</f>
        <v/>
      </c>
      <c r="G43" s="8">
        <f>$B$13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474F"/>
    <outlinePr summaryBelow="1" summaryRight="1"/>
    <pageSetUpPr/>
  </sheetPr>
  <dimension ref="A1:BJ50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16" t="inlineStr">
        <is>
          <t>Revenue Build</t>
        </is>
      </c>
    </row>
    <row r="2">
      <c r="A2" s="17" t="inlineStr">
        <is>
          <t>Monthly, Oct 2026 - Sep 2031. Launch gates, FX &amp; repricing, sign-ups, Free plan funnel, acquisition by market &amp; segment with the marketing cap, cohorts, gross -&gt; discounts -&gt; net revenue.</t>
        </is>
      </c>
    </row>
    <row r="3">
      <c r="A3" s="6" t="inlineStr">
        <is>
          <t>Month #</t>
        </is>
      </c>
      <c r="B3" s="6" t="inlineStr">
        <is>
          <t>Unit</t>
        </is>
      </c>
      <c r="C3" s="37" t="n">
        <v>1</v>
      </c>
      <c r="D3" s="37" t="n">
        <v>2</v>
      </c>
      <c r="E3" s="37" t="n">
        <v>3</v>
      </c>
      <c r="F3" s="37" t="n">
        <v>4</v>
      </c>
      <c r="G3" s="37" t="n">
        <v>5</v>
      </c>
      <c r="H3" s="37" t="n">
        <v>6</v>
      </c>
      <c r="I3" s="37" t="n">
        <v>7</v>
      </c>
      <c r="J3" s="37" t="n">
        <v>8</v>
      </c>
      <c r="K3" s="37" t="n">
        <v>9</v>
      </c>
      <c r="L3" s="37" t="n">
        <v>10</v>
      </c>
      <c r="M3" s="37" t="n">
        <v>11</v>
      </c>
      <c r="N3" s="37" t="n">
        <v>12</v>
      </c>
      <c r="O3" s="37" t="n">
        <v>13</v>
      </c>
      <c r="P3" s="37" t="n">
        <v>14</v>
      </c>
      <c r="Q3" s="37" t="n">
        <v>15</v>
      </c>
      <c r="R3" s="37" t="n">
        <v>16</v>
      </c>
      <c r="S3" s="37" t="n">
        <v>17</v>
      </c>
      <c r="T3" s="37" t="n">
        <v>18</v>
      </c>
      <c r="U3" s="37" t="n">
        <v>19</v>
      </c>
      <c r="V3" s="37" t="n">
        <v>20</v>
      </c>
      <c r="W3" s="37" t="n">
        <v>21</v>
      </c>
      <c r="X3" s="37" t="n">
        <v>22</v>
      </c>
      <c r="Y3" s="37" t="n">
        <v>23</v>
      </c>
      <c r="Z3" s="37" t="n">
        <v>24</v>
      </c>
      <c r="AA3" s="37" t="n">
        <v>25</v>
      </c>
      <c r="AB3" s="37" t="n">
        <v>26</v>
      </c>
      <c r="AC3" s="37" t="n">
        <v>27</v>
      </c>
      <c r="AD3" s="37" t="n">
        <v>28</v>
      </c>
      <c r="AE3" s="37" t="n">
        <v>29</v>
      </c>
      <c r="AF3" s="37" t="n">
        <v>30</v>
      </c>
      <c r="AG3" s="37" t="n">
        <v>31</v>
      </c>
      <c r="AH3" s="37" t="n">
        <v>32</v>
      </c>
      <c r="AI3" s="37" t="n">
        <v>33</v>
      </c>
      <c r="AJ3" s="37" t="n">
        <v>34</v>
      </c>
      <c r="AK3" s="37" t="n">
        <v>35</v>
      </c>
      <c r="AL3" s="37" t="n">
        <v>36</v>
      </c>
      <c r="AM3" s="37" t="n">
        <v>37</v>
      </c>
      <c r="AN3" s="37" t="n">
        <v>38</v>
      </c>
      <c r="AO3" s="37" t="n">
        <v>39</v>
      </c>
      <c r="AP3" s="37" t="n">
        <v>40</v>
      </c>
      <c r="AQ3" s="37" t="n">
        <v>41</v>
      </c>
      <c r="AR3" s="37" t="n">
        <v>42</v>
      </c>
      <c r="AS3" s="37" t="n">
        <v>43</v>
      </c>
      <c r="AT3" s="37" t="n">
        <v>44</v>
      </c>
      <c r="AU3" s="37" t="n">
        <v>45</v>
      </c>
      <c r="AV3" s="37" t="n">
        <v>46</v>
      </c>
      <c r="AW3" s="37" t="n">
        <v>47</v>
      </c>
      <c r="AX3" s="37" t="n">
        <v>48</v>
      </c>
      <c r="AY3" s="37" t="n">
        <v>49</v>
      </c>
      <c r="AZ3" s="37" t="n">
        <v>50</v>
      </c>
      <c r="BA3" s="37" t="n">
        <v>51</v>
      </c>
      <c r="BB3" s="37" t="n">
        <v>52</v>
      </c>
      <c r="BC3" s="37" t="n">
        <v>53</v>
      </c>
      <c r="BD3" s="37" t="n">
        <v>54</v>
      </c>
      <c r="BE3" s="37" t="n">
        <v>55</v>
      </c>
      <c r="BF3" s="37" t="n">
        <v>56</v>
      </c>
      <c r="BG3" s="37" t="n">
        <v>57</v>
      </c>
      <c r="BH3" s="37" t="n">
        <v>58</v>
      </c>
      <c r="BI3" s="37" t="n">
        <v>59</v>
      </c>
      <c r="BJ3" s="37" t="n">
        <v>60</v>
      </c>
    </row>
    <row r="4">
      <c r="A4" s="6" t="inlineStr">
        <is>
          <t>Month</t>
        </is>
      </c>
      <c r="B4" s="6" t="inlineStr"/>
      <c r="C4" s="38" t="inlineStr">
        <is>
          <t>Oct 2026</t>
        </is>
      </c>
      <c r="D4" s="38" t="inlineStr">
        <is>
          <t>Nov 2026</t>
        </is>
      </c>
      <c r="E4" s="38" t="inlineStr">
        <is>
          <t>Dec 2026</t>
        </is>
      </c>
      <c r="F4" s="38" t="inlineStr">
        <is>
          <t>Jan 2027</t>
        </is>
      </c>
      <c r="G4" s="38" t="inlineStr">
        <is>
          <t>Feb 2027</t>
        </is>
      </c>
      <c r="H4" s="38" t="inlineStr">
        <is>
          <t>Mar 2027</t>
        </is>
      </c>
      <c r="I4" s="38" t="inlineStr">
        <is>
          <t>Apr 2027</t>
        </is>
      </c>
      <c r="J4" s="38" t="inlineStr">
        <is>
          <t>May 2027</t>
        </is>
      </c>
      <c r="K4" s="38" t="inlineStr">
        <is>
          <t>Jun 2027</t>
        </is>
      </c>
      <c r="L4" s="38" t="inlineStr">
        <is>
          <t>Jul 2027</t>
        </is>
      </c>
      <c r="M4" s="38" t="inlineStr">
        <is>
          <t>Aug 2027</t>
        </is>
      </c>
      <c r="N4" s="38" t="inlineStr">
        <is>
          <t>Sep 2027</t>
        </is>
      </c>
      <c r="O4" s="38" t="inlineStr">
        <is>
          <t>Oct 2027</t>
        </is>
      </c>
      <c r="P4" s="38" t="inlineStr">
        <is>
          <t>Nov 2027</t>
        </is>
      </c>
      <c r="Q4" s="38" t="inlineStr">
        <is>
          <t>Dec 2027</t>
        </is>
      </c>
      <c r="R4" s="38" t="inlineStr">
        <is>
          <t>Jan 2028</t>
        </is>
      </c>
      <c r="S4" s="38" t="inlineStr">
        <is>
          <t>Feb 2028</t>
        </is>
      </c>
      <c r="T4" s="38" t="inlineStr">
        <is>
          <t>Mar 2028</t>
        </is>
      </c>
      <c r="U4" s="38" t="inlineStr">
        <is>
          <t>Apr 2028</t>
        </is>
      </c>
      <c r="V4" s="38" t="inlineStr">
        <is>
          <t>May 2028</t>
        </is>
      </c>
      <c r="W4" s="38" t="inlineStr">
        <is>
          <t>Jun 2028</t>
        </is>
      </c>
      <c r="X4" s="38" t="inlineStr">
        <is>
          <t>Jul 2028</t>
        </is>
      </c>
      <c r="Y4" s="38" t="inlineStr">
        <is>
          <t>Aug 2028</t>
        </is>
      </c>
      <c r="Z4" s="38" t="inlineStr">
        <is>
          <t>Sep 2028</t>
        </is>
      </c>
      <c r="AA4" s="38" t="inlineStr">
        <is>
          <t>Oct 2028</t>
        </is>
      </c>
      <c r="AB4" s="38" t="inlineStr">
        <is>
          <t>Nov 2028</t>
        </is>
      </c>
      <c r="AC4" s="38" t="inlineStr">
        <is>
          <t>Dec 2028</t>
        </is>
      </c>
      <c r="AD4" s="38" t="inlineStr">
        <is>
          <t>Jan 2029</t>
        </is>
      </c>
      <c r="AE4" s="38" t="inlineStr">
        <is>
          <t>Feb 2029</t>
        </is>
      </c>
      <c r="AF4" s="38" t="inlineStr">
        <is>
          <t>Mar 2029</t>
        </is>
      </c>
      <c r="AG4" s="38" t="inlineStr">
        <is>
          <t>Apr 2029</t>
        </is>
      </c>
      <c r="AH4" s="38" t="inlineStr">
        <is>
          <t>May 2029</t>
        </is>
      </c>
      <c r="AI4" s="38" t="inlineStr">
        <is>
          <t>Jun 2029</t>
        </is>
      </c>
      <c r="AJ4" s="38" t="inlineStr">
        <is>
          <t>Jul 2029</t>
        </is>
      </c>
      <c r="AK4" s="38" t="inlineStr">
        <is>
          <t>Aug 2029</t>
        </is>
      </c>
      <c r="AL4" s="38" t="inlineStr">
        <is>
          <t>Sep 2029</t>
        </is>
      </c>
      <c r="AM4" s="38" t="inlineStr">
        <is>
          <t>Oct 2029</t>
        </is>
      </c>
      <c r="AN4" s="38" t="inlineStr">
        <is>
          <t>Nov 2029</t>
        </is>
      </c>
      <c r="AO4" s="38" t="inlineStr">
        <is>
          <t>Dec 2029</t>
        </is>
      </c>
      <c r="AP4" s="38" t="inlineStr">
        <is>
          <t>Jan 2030</t>
        </is>
      </c>
      <c r="AQ4" s="38" t="inlineStr">
        <is>
          <t>Feb 2030</t>
        </is>
      </c>
      <c r="AR4" s="38" t="inlineStr">
        <is>
          <t>Mar 2030</t>
        </is>
      </c>
      <c r="AS4" s="38" t="inlineStr">
        <is>
          <t>Apr 2030</t>
        </is>
      </c>
      <c r="AT4" s="38" t="inlineStr">
        <is>
          <t>May 2030</t>
        </is>
      </c>
      <c r="AU4" s="38" t="inlineStr">
        <is>
          <t>Jun 2030</t>
        </is>
      </c>
      <c r="AV4" s="38" t="inlineStr">
        <is>
          <t>Jul 2030</t>
        </is>
      </c>
      <c r="AW4" s="38" t="inlineStr">
        <is>
          <t>Aug 2030</t>
        </is>
      </c>
      <c r="AX4" s="38" t="inlineStr">
        <is>
          <t>Sep 2030</t>
        </is>
      </c>
      <c r="AY4" s="38" t="inlineStr">
        <is>
          <t>Oct 2030</t>
        </is>
      </c>
      <c r="AZ4" s="38" t="inlineStr">
        <is>
          <t>Nov 2030</t>
        </is>
      </c>
      <c r="BA4" s="38" t="inlineStr">
        <is>
          <t>Dec 2030</t>
        </is>
      </c>
      <c r="BB4" s="38" t="inlineStr">
        <is>
          <t>Jan 2031</t>
        </is>
      </c>
      <c r="BC4" s="38" t="inlineStr">
        <is>
          <t>Feb 2031</t>
        </is>
      </c>
      <c r="BD4" s="38" t="inlineStr">
        <is>
          <t>Mar 2031</t>
        </is>
      </c>
      <c r="BE4" s="38" t="inlineStr">
        <is>
          <t>Apr 2031</t>
        </is>
      </c>
      <c r="BF4" s="38" t="inlineStr">
        <is>
          <t>May 2031</t>
        </is>
      </c>
      <c r="BG4" s="38" t="inlineStr">
        <is>
          <t>Jun 2031</t>
        </is>
      </c>
      <c r="BH4" s="38" t="inlineStr">
        <is>
          <t>Jul 2031</t>
        </is>
      </c>
      <c r="BI4" s="38" t="inlineStr">
        <is>
          <t>Aug 2031</t>
        </is>
      </c>
      <c r="BJ4" s="38" t="inlineStr">
        <is>
          <t>Sep 2031</t>
        </is>
      </c>
    </row>
    <row r="5">
      <c r="A5" s="3" t="inlineStr">
        <is>
          <t>Fiscal year (Oct-Sep)</t>
        </is>
      </c>
      <c r="C5" s="39" t="n">
        <v>1</v>
      </c>
      <c r="D5" s="39" t="n">
        <v>1</v>
      </c>
      <c r="E5" s="39" t="n">
        <v>1</v>
      </c>
      <c r="F5" s="39" t="n">
        <v>1</v>
      </c>
      <c r="G5" s="39" t="n">
        <v>1</v>
      </c>
      <c r="H5" s="39" t="n">
        <v>1</v>
      </c>
      <c r="I5" s="39" t="n">
        <v>1</v>
      </c>
      <c r="J5" s="39" t="n">
        <v>1</v>
      </c>
      <c r="K5" s="39" t="n">
        <v>1</v>
      </c>
      <c r="L5" s="39" t="n">
        <v>1</v>
      </c>
      <c r="M5" s="39" t="n">
        <v>1</v>
      </c>
      <c r="N5" s="39" t="n">
        <v>1</v>
      </c>
      <c r="O5" s="39" t="n">
        <v>2</v>
      </c>
      <c r="P5" s="39" t="n">
        <v>2</v>
      </c>
      <c r="Q5" s="39" t="n">
        <v>2</v>
      </c>
      <c r="R5" s="39" t="n">
        <v>2</v>
      </c>
      <c r="S5" s="39" t="n">
        <v>2</v>
      </c>
      <c r="T5" s="39" t="n">
        <v>2</v>
      </c>
      <c r="U5" s="39" t="n">
        <v>2</v>
      </c>
      <c r="V5" s="39" t="n">
        <v>2</v>
      </c>
      <c r="W5" s="39" t="n">
        <v>2</v>
      </c>
      <c r="X5" s="39" t="n">
        <v>2</v>
      </c>
      <c r="Y5" s="39" t="n">
        <v>2</v>
      </c>
      <c r="Z5" s="39" t="n">
        <v>2</v>
      </c>
      <c r="AA5" s="39" t="n">
        <v>3</v>
      </c>
      <c r="AB5" s="39" t="n">
        <v>3</v>
      </c>
      <c r="AC5" s="39" t="n">
        <v>3</v>
      </c>
      <c r="AD5" s="39" t="n">
        <v>3</v>
      </c>
      <c r="AE5" s="39" t="n">
        <v>3</v>
      </c>
      <c r="AF5" s="39" t="n">
        <v>3</v>
      </c>
      <c r="AG5" s="39" t="n">
        <v>3</v>
      </c>
      <c r="AH5" s="39" t="n">
        <v>3</v>
      </c>
      <c r="AI5" s="39" t="n">
        <v>3</v>
      </c>
      <c r="AJ5" s="39" t="n">
        <v>3</v>
      </c>
      <c r="AK5" s="39" t="n">
        <v>3</v>
      </c>
      <c r="AL5" s="39" t="n">
        <v>3</v>
      </c>
      <c r="AM5" s="39" t="n">
        <v>4</v>
      </c>
      <c r="AN5" s="39" t="n">
        <v>4</v>
      </c>
      <c r="AO5" s="39" t="n">
        <v>4</v>
      </c>
      <c r="AP5" s="39" t="n">
        <v>4</v>
      </c>
      <c r="AQ5" s="39" t="n">
        <v>4</v>
      </c>
      <c r="AR5" s="39" t="n">
        <v>4</v>
      </c>
      <c r="AS5" s="39" t="n">
        <v>4</v>
      </c>
      <c r="AT5" s="39" t="n">
        <v>4</v>
      </c>
      <c r="AU5" s="39" t="n">
        <v>4</v>
      </c>
      <c r="AV5" s="39" t="n">
        <v>4</v>
      </c>
      <c r="AW5" s="39" t="n">
        <v>4</v>
      </c>
      <c r="AX5" s="39" t="n">
        <v>4</v>
      </c>
      <c r="AY5" s="39" t="n">
        <v>5</v>
      </c>
      <c r="AZ5" s="39" t="n">
        <v>5</v>
      </c>
      <c r="BA5" s="39" t="n">
        <v>5</v>
      </c>
      <c r="BB5" s="39" t="n">
        <v>5</v>
      </c>
      <c r="BC5" s="39" t="n">
        <v>5</v>
      </c>
      <c r="BD5" s="39" t="n">
        <v>5</v>
      </c>
      <c r="BE5" s="39" t="n">
        <v>5</v>
      </c>
      <c r="BF5" s="39" t="n">
        <v>5</v>
      </c>
      <c r="BG5" s="39" t="n">
        <v>5</v>
      </c>
      <c r="BH5" s="39" t="n">
        <v>5</v>
      </c>
      <c r="BI5" s="39" t="n">
        <v>5</v>
      </c>
      <c r="BJ5" s="39" t="n">
        <v>5</v>
      </c>
    </row>
    <row r="6"/>
    <row r="7">
      <c r="A7" s="19" t="inlineStr">
        <is>
          <t>Timeline: lean pre-seed mode, first group set up by hand, previous-month MRR (drives every gate and cap)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</row>
    <row r="8">
      <c r="A8" s="4" t="inlineStr">
        <is>
          <t>Seed has landed (1) / lean pre-seed mode (0)</t>
        </is>
      </c>
      <c r="B8" s="17" t="inlineStr">
        <is>
          <t>flag</t>
        </is>
      </c>
      <c r="C8" s="10">
        <f>IF(C$3&gt;=Assumptions!$B$14,1,0)</f>
        <v/>
      </c>
      <c r="D8" s="10">
        <f>IF(D$3&gt;=Assumptions!$B$14,1,0)</f>
        <v/>
      </c>
      <c r="E8" s="10">
        <f>IF(E$3&gt;=Assumptions!$B$14,1,0)</f>
        <v/>
      </c>
      <c r="F8" s="10">
        <f>IF(F$3&gt;=Assumptions!$B$14,1,0)</f>
        <v/>
      </c>
      <c r="G8" s="10">
        <f>IF(G$3&gt;=Assumptions!$B$14,1,0)</f>
        <v/>
      </c>
      <c r="H8" s="10">
        <f>IF(H$3&gt;=Assumptions!$B$14,1,0)</f>
        <v/>
      </c>
      <c r="I8" s="10">
        <f>IF(I$3&gt;=Assumptions!$B$14,1,0)</f>
        <v/>
      </c>
      <c r="J8" s="10">
        <f>IF(J$3&gt;=Assumptions!$B$14,1,0)</f>
        <v/>
      </c>
      <c r="K8" s="10">
        <f>IF(K$3&gt;=Assumptions!$B$14,1,0)</f>
        <v/>
      </c>
      <c r="L8" s="10">
        <f>IF(L$3&gt;=Assumptions!$B$14,1,0)</f>
        <v/>
      </c>
      <c r="M8" s="10">
        <f>IF(M$3&gt;=Assumptions!$B$14,1,0)</f>
        <v/>
      </c>
      <c r="N8" s="10">
        <f>IF(N$3&gt;=Assumptions!$B$14,1,0)</f>
        <v/>
      </c>
      <c r="O8" s="10">
        <f>IF(O$3&gt;=Assumptions!$B$14,1,0)</f>
        <v/>
      </c>
      <c r="P8" s="10">
        <f>IF(P$3&gt;=Assumptions!$B$14,1,0)</f>
        <v/>
      </c>
      <c r="Q8" s="10">
        <f>IF(Q$3&gt;=Assumptions!$B$14,1,0)</f>
        <v/>
      </c>
      <c r="R8" s="10">
        <f>IF(R$3&gt;=Assumptions!$B$14,1,0)</f>
        <v/>
      </c>
      <c r="S8" s="10">
        <f>IF(S$3&gt;=Assumptions!$B$14,1,0)</f>
        <v/>
      </c>
      <c r="T8" s="10">
        <f>IF(T$3&gt;=Assumptions!$B$14,1,0)</f>
        <v/>
      </c>
      <c r="U8" s="10">
        <f>IF(U$3&gt;=Assumptions!$B$14,1,0)</f>
        <v/>
      </c>
      <c r="V8" s="10">
        <f>IF(V$3&gt;=Assumptions!$B$14,1,0)</f>
        <v/>
      </c>
      <c r="W8" s="10">
        <f>IF(W$3&gt;=Assumptions!$B$14,1,0)</f>
        <v/>
      </c>
      <c r="X8" s="10">
        <f>IF(X$3&gt;=Assumptions!$B$14,1,0)</f>
        <v/>
      </c>
      <c r="Y8" s="10">
        <f>IF(Y$3&gt;=Assumptions!$B$14,1,0)</f>
        <v/>
      </c>
      <c r="Z8" s="10">
        <f>IF(Z$3&gt;=Assumptions!$B$14,1,0)</f>
        <v/>
      </c>
      <c r="AA8" s="10">
        <f>IF(AA$3&gt;=Assumptions!$B$14,1,0)</f>
        <v/>
      </c>
      <c r="AB8" s="10">
        <f>IF(AB$3&gt;=Assumptions!$B$14,1,0)</f>
        <v/>
      </c>
      <c r="AC8" s="10">
        <f>IF(AC$3&gt;=Assumptions!$B$14,1,0)</f>
        <v/>
      </c>
      <c r="AD8" s="10">
        <f>IF(AD$3&gt;=Assumptions!$B$14,1,0)</f>
        <v/>
      </c>
      <c r="AE8" s="10">
        <f>IF(AE$3&gt;=Assumptions!$B$14,1,0)</f>
        <v/>
      </c>
      <c r="AF8" s="10">
        <f>IF(AF$3&gt;=Assumptions!$B$14,1,0)</f>
        <v/>
      </c>
      <c r="AG8" s="10">
        <f>IF(AG$3&gt;=Assumptions!$B$14,1,0)</f>
        <v/>
      </c>
      <c r="AH8" s="10">
        <f>IF(AH$3&gt;=Assumptions!$B$14,1,0)</f>
        <v/>
      </c>
      <c r="AI8" s="10">
        <f>IF(AI$3&gt;=Assumptions!$B$14,1,0)</f>
        <v/>
      </c>
      <c r="AJ8" s="10">
        <f>IF(AJ$3&gt;=Assumptions!$B$14,1,0)</f>
        <v/>
      </c>
      <c r="AK8" s="10">
        <f>IF(AK$3&gt;=Assumptions!$B$14,1,0)</f>
        <v/>
      </c>
      <c r="AL8" s="10">
        <f>IF(AL$3&gt;=Assumptions!$B$14,1,0)</f>
        <v/>
      </c>
      <c r="AM8" s="10">
        <f>IF(AM$3&gt;=Assumptions!$B$14,1,0)</f>
        <v/>
      </c>
      <c r="AN8" s="10">
        <f>IF(AN$3&gt;=Assumptions!$B$14,1,0)</f>
        <v/>
      </c>
      <c r="AO8" s="10">
        <f>IF(AO$3&gt;=Assumptions!$B$14,1,0)</f>
        <v/>
      </c>
      <c r="AP8" s="10">
        <f>IF(AP$3&gt;=Assumptions!$B$14,1,0)</f>
        <v/>
      </c>
      <c r="AQ8" s="10">
        <f>IF(AQ$3&gt;=Assumptions!$B$14,1,0)</f>
        <v/>
      </c>
      <c r="AR8" s="10">
        <f>IF(AR$3&gt;=Assumptions!$B$14,1,0)</f>
        <v/>
      </c>
      <c r="AS8" s="10">
        <f>IF(AS$3&gt;=Assumptions!$B$14,1,0)</f>
        <v/>
      </c>
      <c r="AT8" s="10">
        <f>IF(AT$3&gt;=Assumptions!$B$14,1,0)</f>
        <v/>
      </c>
      <c r="AU8" s="10">
        <f>IF(AU$3&gt;=Assumptions!$B$14,1,0)</f>
        <v/>
      </c>
      <c r="AV8" s="10">
        <f>IF(AV$3&gt;=Assumptions!$B$14,1,0)</f>
        <v/>
      </c>
      <c r="AW8" s="10">
        <f>IF(AW$3&gt;=Assumptions!$B$14,1,0)</f>
        <v/>
      </c>
      <c r="AX8" s="10">
        <f>IF(AX$3&gt;=Assumptions!$B$14,1,0)</f>
        <v/>
      </c>
      <c r="AY8" s="10">
        <f>IF(AY$3&gt;=Assumptions!$B$14,1,0)</f>
        <v/>
      </c>
      <c r="AZ8" s="10">
        <f>IF(AZ$3&gt;=Assumptions!$B$14,1,0)</f>
        <v/>
      </c>
      <c r="BA8" s="10">
        <f>IF(BA$3&gt;=Assumptions!$B$14,1,0)</f>
        <v/>
      </c>
      <c r="BB8" s="10">
        <f>IF(BB$3&gt;=Assumptions!$B$14,1,0)</f>
        <v/>
      </c>
      <c r="BC8" s="10">
        <f>IF(BC$3&gt;=Assumptions!$B$14,1,0)</f>
        <v/>
      </c>
      <c r="BD8" s="10">
        <f>IF(BD$3&gt;=Assumptions!$B$14,1,0)</f>
        <v/>
      </c>
      <c r="BE8" s="10">
        <f>IF(BE$3&gt;=Assumptions!$B$14,1,0)</f>
        <v/>
      </c>
      <c r="BF8" s="10">
        <f>IF(BF$3&gt;=Assumptions!$B$14,1,0)</f>
        <v/>
      </c>
      <c r="BG8" s="10">
        <f>IF(BG$3&gt;=Assumptions!$B$14,1,0)</f>
        <v/>
      </c>
      <c r="BH8" s="10">
        <f>IF(BH$3&gt;=Assumptions!$B$14,1,0)</f>
        <v/>
      </c>
      <c r="BI8" s="10">
        <f>IF(BI$3&gt;=Assumptions!$B$14,1,0)</f>
        <v/>
      </c>
      <c r="BJ8" s="10">
        <f>IF(BJ$3&gt;=Assumptions!$B$14,1,0)</f>
        <v/>
      </c>
    </row>
    <row r="9">
      <c r="A9" s="4" t="inlineStr">
        <is>
          <t>First group being set up by hand (paying from day one)</t>
        </is>
      </c>
      <c r="B9" s="17" t="inlineStr">
        <is>
          <t>flag</t>
        </is>
      </c>
      <c r="C9" s="10">
        <f>IF(C$3&lt;=Assumptions!$B$22,1,0)</f>
        <v/>
      </c>
      <c r="D9" s="10">
        <f>IF(D$3&lt;=Assumptions!$B$22,1,0)</f>
        <v/>
      </c>
      <c r="E9" s="10">
        <f>IF(E$3&lt;=Assumptions!$B$22,1,0)</f>
        <v/>
      </c>
      <c r="F9" s="10">
        <f>IF(F$3&lt;=Assumptions!$B$22,1,0)</f>
        <v/>
      </c>
      <c r="G9" s="10">
        <f>IF(G$3&lt;=Assumptions!$B$22,1,0)</f>
        <v/>
      </c>
      <c r="H9" s="10">
        <f>IF(H$3&lt;=Assumptions!$B$22,1,0)</f>
        <v/>
      </c>
      <c r="I9" s="10">
        <f>IF(I$3&lt;=Assumptions!$B$22,1,0)</f>
        <v/>
      </c>
      <c r="J9" s="10">
        <f>IF(J$3&lt;=Assumptions!$B$22,1,0)</f>
        <v/>
      </c>
      <c r="K9" s="10">
        <f>IF(K$3&lt;=Assumptions!$B$22,1,0)</f>
        <v/>
      </c>
      <c r="L9" s="10">
        <f>IF(L$3&lt;=Assumptions!$B$22,1,0)</f>
        <v/>
      </c>
      <c r="M9" s="10">
        <f>IF(M$3&lt;=Assumptions!$B$22,1,0)</f>
        <v/>
      </c>
      <c r="N9" s="10">
        <f>IF(N$3&lt;=Assumptions!$B$22,1,0)</f>
        <v/>
      </c>
      <c r="O9" s="10">
        <f>IF(O$3&lt;=Assumptions!$B$22,1,0)</f>
        <v/>
      </c>
      <c r="P9" s="10">
        <f>IF(P$3&lt;=Assumptions!$B$22,1,0)</f>
        <v/>
      </c>
      <c r="Q9" s="10">
        <f>IF(Q$3&lt;=Assumptions!$B$22,1,0)</f>
        <v/>
      </c>
      <c r="R9" s="10">
        <f>IF(R$3&lt;=Assumptions!$B$22,1,0)</f>
        <v/>
      </c>
      <c r="S9" s="10">
        <f>IF(S$3&lt;=Assumptions!$B$22,1,0)</f>
        <v/>
      </c>
      <c r="T9" s="10">
        <f>IF(T$3&lt;=Assumptions!$B$22,1,0)</f>
        <v/>
      </c>
      <c r="U9" s="10">
        <f>IF(U$3&lt;=Assumptions!$B$22,1,0)</f>
        <v/>
      </c>
      <c r="V9" s="10">
        <f>IF(V$3&lt;=Assumptions!$B$22,1,0)</f>
        <v/>
      </c>
      <c r="W9" s="10">
        <f>IF(W$3&lt;=Assumptions!$B$22,1,0)</f>
        <v/>
      </c>
      <c r="X9" s="10">
        <f>IF(X$3&lt;=Assumptions!$B$22,1,0)</f>
        <v/>
      </c>
      <c r="Y9" s="10">
        <f>IF(Y$3&lt;=Assumptions!$B$22,1,0)</f>
        <v/>
      </c>
      <c r="Z9" s="10">
        <f>IF(Z$3&lt;=Assumptions!$B$22,1,0)</f>
        <v/>
      </c>
      <c r="AA9" s="10">
        <f>IF(AA$3&lt;=Assumptions!$B$22,1,0)</f>
        <v/>
      </c>
      <c r="AB9" s="10">
        <f>IF(AB$3&lt;=Assumptions!$B$22,1,0)</f>
        <v/>
      </c>
      <c r="AC9" s="10">
        <f>IF(AC$3&lt;=Assumptions!$B$22,1,0)</f>
        <v/>
      </c>
      <c r="AD9" s="10">
        <f>IF(AD$3&lt;=Assumptions!$B$22,1,0)</f>
        <v/>
      </c>
      <c r="AE9" s="10">
        <f>IF(AE$3&lt;=Assumptions!$B$22,1,0)</f>
        <v/>
      </c>
      <c r="AF9" s="10">
        <f>IF(AF$3&lt;=Assumptions!$B$22,1,0)</f>
        <v/>
      </c>
      <c r="AG9" s="10">
        <f>IF(AG$3&lt;=Assumptions!$B$22,1,0)</f>
        <v/>
      </c>
      <c r="AH9" s="10">
        <f>IF(AH$3&lt;=Assumptions!$B$22,1,0)</f>
        <v/>
      </c>
      <c r="AI9" s="10">
        <f>IF(AI$3&lt;=Assumptions!$B$22,1,0)</f>
        <v/>
      </c>
      <c r="AJ9" s="10">
        <f>IF(AJ$3&lt;=Assumptions!$B$22,1,0)</f>
        <v/>
      </c>
      <c r="AK9" s="10">
        <f>IF(AK$3&lt;=Assumptions!$B$22,1,0)</f>
        <v/>
      </c>
      <c r="AL9" s="10">
        <f>IF(AL$3&lt;=Assumptions!$B$22,1,0)</f>
        <v/>
      </c>
      <c r="AM9" s="10">
        <f>IF(AM$3&lt;=Assumptions!$B$22,1,0)</f>
        <v/>
      </c>
      <c r="AN9" s="10">
        <f>IF(AN$3&lt;=Assumptions!$B$22,1,0)</f>
        <v/>
      </c>
      <c r="AO9" s="10">
        <f>IF(AO$3&lt;=Assumptions!$B$22,1,0)</f>
        <v/>
      </c>
      <c r="AP9" s="10">
        <f>IF(AP$3&lt;=Assumptions!$B$22,1,0)</f>
        <v/>
      </c>
      <c r="AQ9" s="10">
        <f>IF(AQ$3&lt;=Assumptions!$B$22,1,0)</f>
        <v/>
      </c>
      <c r="AR9" s="10">
        <f>IF(AR$3&lt;=Assumptions!$B$22,1,0)</f>
        <v/>
      </c>
      <c r="AS9" s="10">
        <f>IF(AS$3&lt;=Assumptions!$B$22,1,0)</f>
        <v/>
      </c>
      <c r="AT9" s="10">
        <f>IF(AT$3&lt;=Assumptions!$B$22,1,0)</f>
        <v/>
      </c>
      <c r="AU9" s="10">
        <f>IF(AU$3&lt;=Assumptions!$B$22,1,0)</f>
        <v/>
      </c>
      <c r="AV9" s="10">
        <f>IF(AV$3&lt;=Assumptions!$B$22,1,0)</f>
        <v/>
      </c>
      <c r="AW9" s="10">
        <f>IF(AW$3&lt;=Assumptions!$B$22,1,0)</f>
        <v/>
      </c>
      <c r="AX9" s="10">
        <f>IF(AX$3&lt;=Assumptions!$B$22,1,0)</f>
        <v/>
      </c>
      <c r="AY9" s="10">
        <f>IF(AY$3&lt;=Assumptions!$B$22,1,0)</f>
        <v/>
      </c>
      <c r="AZ9" s="10">
        <f>IF(AZ$3&lt;=Assumptions!$B$22,1,0)</f>
        <v/>
      </c>
      <c r="BA9" s="10">
        <f>IF(BA$3&lt;=Assumptions!$B$22,1,0)</f>
        <v/>
      </c>
      <c r="BB9" s="10">
        <f>IF(BB$3&lt;=Assumptions!$B$22,1,0)</f>
        <v/>
      </c>
      <c r="BC9" s="10">
        <f>IF(BC$3&lt;=Assumptions!$B$22,1,0)</f>
        <v/>
      </c>
      <c r="BD9" s="10">
        <f>IF(BD$3&lt;=Assumptions!$B$22,1,0)</f>
        <v/>
      </c>
      <c r="BE9" s="10">
        <f>IF(BE$3&lt;=Assumptions!$B$22,1,0)</f>
        <v/>
      </c>
      <c r="BF9" s="10">
        <f>IF(BF$3&lt;=Assumptions!$B$22,1,0)</f>
        <v/>
      </c>
      <c r="BG9" s="10">
        <f>IF(BG$3&lt;=Assumptions!$B$22,1,0)</f>
        <v/>
      </c>
      <c r="BH9" s="10">
        <f>IF(BH$3&lt;=Assumptions!$B$22,1,0)</f>
        <v/>
      </c>
      <c r="BI9" s="10">
        <f>IF(BI$3&lt;=Assumptions!$B$22,1,0)</f>
        <v/>
      </c>
      <c r="BJ9" s="10">
        <f>IF(BJ$3&lt;=Assumptions!$B$22,1,0)</f>
        <v/>
      </c>
    </row>
    <row r="10">
      <c r="A10" s="4" t="inlineStr">
        <is>
          <t>Net subscription MRR, previous month</t>
        </is>
      </c>
      <c r="B10" s="17" t="inlineStr">
        <is>
          <t>R</t>
        </is>
      </c>
      <c r="C10" s="8">
        <f>0</f>
        <v/>
      </c>
      <c r="D10" s="8">
        <f>C486</f>
        <v/>
      </c>
      <c r="E10" s="8">
        <f>D486</f>
        <v/>
      </c>
      <c r="F10" s="8">
        <f>E486</f>
        <v/>
      </c>
      <c r="G10" s="8">
        <f>F486</f>
        <v/>
      </c>
      <c r="H10" s="8">
        <f>G486</f>
        <v/>
      </c>
      <c r="I10" s="8">
        <f>H486</f>
        <v/>
      </c>
      <c r="J10" s="8">
        <f>I486</f>
        <v/>
      </c>
      <c r="K10" s="8">
        <f>J486</f>
        <v/>
      </c>
      <c r="L10" s="8">
        <f>K486</f>
        <v/>
      </c>
      <c r="M10" s="8">
        <f>L486</f>
        <v/>
      </c>
      <c r="N10" s="8">
        <f>M486</f>
        <v/>
      </c>
      <c r="O10" s="8">
        <f>N486</f>
        <v/>
      </c>
      <c r="P10" s="8">
        <f>O486</f>
        <v/>
      </c>
      <c r="Q10" s="8">
        <f>P486</f>
        <v/>
      </c>
      <c r="R10" s="8">
        <f>Q486</f>
        <v/>
      </c>
      <c r="S10" s="8">
        <f>R486</f>
        <v/>
      </c>
      <c r="T10" s="8">
        <f>S486</f>
        <v/>
      </c>
      <c r="U10" s="8">
        <f>T486</f>
        <v/>
      </c>
      <c r="V10" s="8">
        <f>U486</f>
        <v/>
      </c>
      <c r="W10" s="8">
        <f>V486</f>
        <v/>
      </c>
      <c r="X10" s="8">
        <f>W486</f>
        <v/>
      </c>
      <c r="Y10" s="8">
        <f>X486</f>
        <v/>
      </c>
      <c r="Z10" s="8">
        <f>Y486</f>
        <v/>
      </c>
      <c r="AA10" s="8">
        <f>Z486</f>
        <v/>
      </c>
      <c r="AB10" s="8">
        <f>AA486</f>
        <v/>
      </c>
      <c r="AC10" s="8">
        <f>AB486</f>
        <v/>
      </c>
      <c r="AD10" s="8">
        <f>AC486</f>
        <v/>
      </c>
      <c r="AE10" s="8">
        <f>AD486</f>
        <v/>
      </c>
      <c r="AF10" s="8">
        <f>AE486</f>
        <v/>
      </c>
      <c r="AG10" s="8">
        <f>AF486</f>
        <v/>
      </c>
      <c r="AH10" s="8">
        <f>AG486</f>
        <v/>
      </c>
      <c r="AI10" s="8">
        <f>AH486</f>
        <v/>
      </c>
      <c r="AJ10" s="8">
        <f>AI486</f>
        <v/>
      </c>
      <c r="AK10" s="8">
        <f>AJ486</f>
        <v/>
      </c>
      <c r="AL10" s="8">
        <f>AK486</f>
        <v/>
      </c>
      <c r="AM10" s="8">
        <f>AL486</f>
        <v/>
      </c>
      <c r="AN10" s="8">
        <f>AM486</f>
        <v/>
      </c>
      <c r="AO10" s="8">
        <f>AN486</f>
        <v/>
      </c>
      <c r="AP10" s="8">
        <f>AO486</f>
        <v/>
      </c>
      <c r="AQ10" s="8">
        <f>AP486</f>
        <v/>
      </c>
      <c r="AR10" s="8">
        <f>AQ486</f>
        <v/>
      </c>
      <c r="AS10" s="8">
        <f>AR486</f>
        <v/>
      </c>
      <c r="AT10" s="8">
        <f>AS486</f>
        <v/>
      </c>
      <c r="AU10" s="8">
        <f>AT486</f>
        <v/>
      </c>
      <c r="AV10" s="8">
        <f>AU486</f>
        <v/>
      </c>
      <c r="AW10" s="8">
        <f>AV486</f>
        <v/>
      </c>
      <c r="AX10" s="8">
        <f>AW486</f>
        <v/>
      </c>
      <c r="AY10" s="8">
        <f>AX486</f>
        <v/>
      </c>
      <c r="AZ10" s="8">
        <f>AY486</f>
        <v/>
      </c>
      <c r="BA10" s="8">
        <f>AZ486</f>
        <v/>
      </c>
      <c r="BB10" s="8">
        <f>BA486</f>
        <v/>
      </c>
      <c r="BC10" s="8">
        <f>BB486</f>
        <v/>
      </c>
      <c r="BD10" s="8">
        <f>BC486</f>
        <v/>
      </c>
      <c r="BE10" s="8">
        <f>BD486</f>
        <v/>
      </c>
      <c r="BF10" s="8">
        <f>BE486</f>
        <v/>
      </c>
      <c r="BG10" s="8">
        <f>BF486</f>
        <v/>
      </c>
      <c r="BH10" s="8">
        <f>BG486</f>
        <v/>
      </c>
      <c r="BI10" s="8">
        <f>BH486</f>
        <v/>
      </c>
      <c r="BJ10" s="8">
        <f>BI486</f>
        <v/>
      </c>
    </row>
    <row r="11"/>
    <row r="12">
      <c r="A12" s="19" t="inlineStr">
        <is>
          <t>Market launches: decision needs month &gt;= plan + shift - 2, the seed, and MRR &gt;= gate; launch 2 months after decision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</row>
    <row r="13">
      <c r="A13" s="4" t="inlineStr">
        <is>
          <t>Live: South Africa</t>
        </is>
      </c>
      <c r="B13" s="17" t="inlineStr">
        <is>
          <t>flag</t>
        </is>
      </c>
      <c r="C13" s="10">
        <f>IF(C$3&gt;=Assumptions!$B$57,1,0)</f>
        <v/>
      </c>
      <c r="D13" s="10">
        <f>IF(D$3&gt;=Assumptions!$B$57,1,0)</f>
        <v/>
      </c>
      <c r="E13" s="10">
        <f>IF(E$3&gt;=Assumptions!$B$57,1,0)</f>
        <v/>
      </c>
      <c r="F13" s="10">
        <f>IF(F$3&gt;=Assumptions!$B$57,1,0)</f>
        <v/>
      </c>
      <c r="G13" s="10">
        <f>IF(G$3&gt;=Assumptions!$B$57,1,0)</f>
        <v/>
      </c>
      <c r="H13" s="10">
        <f>IF(H$3&gt;=Assumptions!$B$57,1,0)</f>
        <v/>
      </c>
      <c r="I13" s="10">
        <f>IF(I$3&gt;=Assumptions!$B$57,1,0)</f>
        <v/>
      </c>
      <c r="J13" s="10">
        <f>IF(J$3&gt;=Assumptions!$B$57,1,0)</f>
        <v/>
      </c>
      <c r="K13" s="10">
        <f>IF(K$3&gt;=Assumptions!$B$57,1,0)</f>
        <v/>
      </c>
      <c r="L13" s="10">
        <f>IF(L$3&gt;=Assumptions!$B$57,1,0)</f>
        <v/>
      </c>
      <c r="M13" s="10">
        <f>IF(M$3&gt;=Assumptions!$B$57,1,0)</f>
        <v/>
      </c>
      <c r="N13" s="10">
        <f>IF(N$3&gt;=Assumptions!$B$57,1,0)</f>
        <v/>
      </c>
      <c r="O13" s="10">
        <f>IF(O$3&gt;=Assumptions!$B$57,1,0)</f>
        <v/>
      </c>
      <c r="P13" s="10">
        <f>IF(P$3&gt;=Assumptions!$B$57,1,0)</f>
        <v/>
      </c>
      <c r="Q13" s="10">
        <f>IF(Q$3&gt;=Assumptions!$B$57,1,0)</f>
        <v/>
      </c>
      <c r="R13" s="10">
        <f>IF(R$3&gt;=Assumptions!$B$57,1,0)</f>
        <v/>
      </c>
      <c r="S13" s="10">
        <f>IF(S$3&gt;=Assumptions!$B$57,1,0)</f>
        <v/>
      </c>
      <c r="T13" s="10">
        <f>IF(T$3&gt;=Assumptions!$B$57,1,0)</f>
        <v/>
      </c>
      <c r="U13" s="10">
        <f>IF(U$3&gt;=Assumptions!$B$57,1,0)</f>
        <v/>
      </c>
      <c r="V13" s="10">
        <f>IF(V$3&gt;=Assumptions!$B$57,1,0)</f>
        <v/>
      </c>
      <c r="W13" s="10">
        <f>IF(W$3&gt;=Assumptions!$B$57,1,0)</f>
        <v/>
      </c>
      <c r="X13" s="10">
        <f>IF(X$3&gt;=Assumptions!$B$57,1,0)</f>
        <v/>
      </c>
      <c r="Y13" s="10">
        <f>IF(Y$3&gt;=Assumptions!$B$57,1,0)</f>
        <v/>
      </c>
      <c r="Z13" s="10">
        <f>IF(Z$3&gt;=Assumptions!$B$57,1,0)</f>
        <v/>
      </c>
      <c r="AA13" s="10">
        <f>IF(AA$3&gt;=Assumptions!$B$57,1,0)</f>
        <v/>
      </c>
      <c r="AB13" s="10">
        <f>IF(AB$3&gt;=Assumptions!$B$57,1,0)</f>
        <v/>
      </c>
      <c r="AC13" s="10">
        <f>IF(AC$3&gt;=Assumptions!$B$57,1,0)</f>
        <v/>
      </c>
      <c r="AD13" s="10">
        <f>IF(AD$3&gt;=Assumptions!$B$57,1,0)</f>
        <v/>
      </c>
      <c r="AE13" s="10">
        <f>IF(AE$3&gt;=Assumptions!$B$57,1,0)</f>
        <v/>
      </c>
      <c r="AF13" s="10">
        <f>IF(AF$3&gt;=Assumptions!$B$57,1,0)</f>
        <v/>
      </c>
      <c r="AG13" s="10">
        <f>IF(AG$3&gt;=Assumptions!$B$57,1,0)</f>
        <v/>
      </c>
      <c r="AH13" s="10">
        <f>IF(AH$3&gt;=Assumptions!$B$57,1,0)</f>
        <v/>
      </c>
      <c r="AI13" s="10">
        <f>IF(AI$3&gt;=Assumptions!$B$57,1,0)</f>
        <v/>
      </c>
      <c r="AJ13" s="10">
        <f>IF(AJ$3&gt;=Assumptions!$B$57,1,0)</f>
        <v/>
      </c>
      <c r="AK13" s="10">
        <f>IF(AK$3&gt;=Assumptions!$B$57,1,0)</f>
        <v/>
      </c>
      <c r="AL13" s="10">
        <f>IF(AL$3&gt;=Assumptions!$B$57,1,0)</f>
        <v/>
      </c>
      <c r="AM13" s="10">
        <f>IF(AM$3&gt;=Assumptions!$B$57,1,0)</f>
        <v/>
      </c>
      <c r="AN13" s="10">
        <f>IF(AN$3&gt;=Assumptions!$B$57,1,0)</f>
        <v/>
      </c>
      <c r="AO13" s="10">
        <f>IF(AO$3&gt;=Assumptions!$B$57,1,0)</f>
        <v/>
      </c>
      <c r="AP13" s="10">
        <f>IF(AP$3&gt;=Assumptions!$B$57,1,0)</f>
        <v/>
      </c>
      <c r="AQ13" s="10">
        <f>IF(AQ$3&gt;=Assumptions!$B$57,1,0)</f>
        <v/>
      </c>
      <c r="AR13" s="10">
        <f>IF(AR$3&gt;=Assumptions!$B$57,1,0)</f>
        <v/>
      </c>
      <c r="AS13" s="10">
        <f>IF(AS$3&gt;=Assumptions!$B$57,1,0)</f>
        <v/>
      </c>
      <c r="AT13" s="10">
        <f>IF(AT$3&gt;=Assumptions!$B$57,1,0)</f>
        <v/>
      </c>
      <c r="AU13" s="10">
        <f>IF(AU$3&gt;=Assumptions!$B$57,1,0)</f>
        <v/>
      </c>
      <c r="AV13" s="10">
        <f>IF(AV$3&gt;=Assumptions!$B$57,1,0)</f>
        <v/>
      </c>
      <c r="AW13" s="10">
        <f>IF(AW$3&gt;=Assumptions!$B$57,1,0)</f>
        <v/>
      </c>
      <c r="AX13" s="10">
        <f>IF(AX$3&gt;=Assumptions!$B$57,1,0)</f>
        <v/>
      </c>
      <c r="AY13" s="10">
        <f>IF(AY$3&gt;=Assumptions!$B$57,1,0)</f>
        <v/>
      </c>
      <c r="AZ13" s="10">
        <f>IF(AZ$3&gt;=Assumptions!$B$57,1,0)</f>
        <v/>
      </c>
      <c r="BA13" s="10">
        <f>IF(BA$3&gt;=Assumptions!$B$57,1,0)</f>
        <v/>
      </c>
      <c r="BB13" s="10">
        <f>IF(BB$3&gt;=Assumptions!$B$57,1,0)</f>
        <v/>
      </c>
      <c r="BC13" s="10">
        <f>IF(BC$3&gt;=Assumptions!$B$57,1,0)</f>
        <v/>
      </c>
      <c r="BD13" s="10">
        <f>IF(BD$3&gt;=Assumptions!$B$57,1,0)</f>
        <v/>
      </c>
      <c r="BE13" s="10">
        <f>IF(BE$3&gt;=Assumptions!$B$57,1,0)</f>
        <v/>
      </c>
      <c r="BF13" s="10">
        <f>IF(BF$3&gt;=Assumptions!$B$57,1,0)</f>
        <v/>
      </c>
      <c r="BG13" s="10">
        <f>IF(BG$3&gt;=Assumptions!$B$57,1,0)</f>
        <v/>
      </c>
      <c r="BH13" s="10">
        <f>IF(BH$3&gt;=Assumptions!$B$57,1,0)</f>
        <v/>
      </c>
      <c r="BI13" s="10">
        <f>IF(BI$3&gt;=Assumptions!$B$57,1,0)</f>
        <v/>
      </c>
      <c r="BJ13" s="10">
        <f>IF(BJ$3&gt;=Assumptions!$B$57,1,0)</f>
        <v/>
      </c>
    </row>
    <row r="14">
      <c r="A14" s="4" t="inlineStr">
        <is>
          <t>Launch decided (country lead hired): Nigeria</t>
        </is>
      </c>
      <c r="B14" s="17" t="inlineStr">
        <is>
          <t>flag</t>
        </is>
      </c>
      <c r="C14" s="10">
        <f>IF(AND(Assumptions!$B$59=1,C$3&gt;=Assumptions!$B$60+Assumptions!$B$48-2,C$3&gt;=Assumptions!$B$14,C10&gt;=Assumptions!$B$61*Assumptions!$B$51),1,0)</f>
        <v/>
      </c>
      <c r="D14" s="10">
        <f>IF(OR(C14=1,AND(Assumptions!$B$59=1,D$3&gt;=Assumptions!$B$60+Assumptions!$B$48-2,D$3&gt;=Assumptions!$B$14,D10&gt;=Assumptions!$B$61*Assumptions!$B$51)),1,0)</f>
        <v/>
      </c>
      <c r="E14" s="10">
        <f>IF(OR(D14=1,AND(Assumptions!$B$59=1,E$3&gt;=Assumptions!$B$60+Assumptions!$B$48-2,E$3&gt;=Assumptions!$B$14,E10&gt;=Assumptions!$B$61*Assumptions!$B$51)),1,0)</f>
        <v/>
      </c>
      <c r="F14" s="10">
        <f>IF(OR(E14=1,AND(Assumptions!$B$59=1,F$3&gt;=Assumptions!$B$60+Assumptions!$B$48-2,F$3&gt;=Assumptions!$B$14,F10&gt;=Assumptions!$B$61*Assumptions!$B$51)),1,0)</f>
        <v/>
      </c>
      <c r="G14" s="10">
        <f>IF(OR(F14=1,AND(Assumptions!$B$59=1,G$3&gt;=Assumptions!$B$60+Assumptions!$B$48-2,G$3&gt;=Assumptions!$B$14,G10&gt;=Assumptions!$B$61*Assumptions!$B$51)),1,0)</f>
        <v/>
      </c>
      <c r="H14" s="10">
        <f>IF(OR(G14=1,AND(Assumptions!$B$59=1,H$3&gt;=Assumptions!$B$60+Assumptions!$B$48-2,H$3&gt;=Assumptions!$B$14,H10&gt;=Assumptions!$B$61*Assumptions!$B$51)),1,0)</f>
        <v/>
      </c>
      <c r="I14" s="10">
        <f>IF(OR(H14=1,AND(Assumptions!$B$59=1,I$3&gt;=Assumptions!$B$60+Assumptions!$B$48-2,I$3&gt;=Assumptions!$B$14,I10&gt;=Assumptions!$B$61*Assumptions!$B$51)),1,0)</f>
        <v/>
      </c>
      <c r="J14" s="10">
        <f>IF(OR(I14=1,AND(Assumptions!$B$59=1,J$3&gt;=Assumptions!$B$60+Assumptions!$B$48-2,J$3&gt;=Assumptions!$B$14,J10&gt;=Assumptions!$B$61*Assumptions!$B$51)),1,0)</f>
        <v/>
      </c>
      <c r="K14" s="10">
        <f>IF(OR(J14=1,AND(Assumptions!$B$59=1,K$3&gt;=Assumptions!$B$60+Assumptions!$B$48-2,K$3&gt;=Assumptions!$B$14,K10&gt;=Assumptions!$B$61*Assumptions!$B$51)),1,0)</f>
        <v/>
      </c>
      <c r="L14" s="10">
        <f>IF(OR(K14=1,AND(Assumptions!$B$59=1,L$3&gt;=Assumptions!$B$60+Assumptions!$B$48-2,L$3&gt;=Assumptions!$B$14,L10&gt;=Assumptions!$B$61*Assumptions!$B$51)),1,0)</f>
        <v/>
      </c>
      <c r="M14" s="10">
        <f>IF(OR(L14=1,AND(Assumptions!$B$59=1,M$3&gt;=Assumptions!$B$60+Assumptions!$B$48-2,M$3&gt;=Assumptions!$B$14,M10&gt;=Assumptions!$B$61*Assumptions!$B$51)),1,0)</f>
        <v/>
      </c>
      <c r="N14" s="10">
        <f>IF(OR(M14=1,AND(Assumptions!$B$59=1,N$3&gt;=Assumptions!$B$60+Assumptions!$B$48-2,N$3&gt;=Assumptions!$B$14,N10&gt;=Assumptions!$B$61*Assumptions!$B$51)),1,0)</f>
        <v/>
      </c>
      <c r="O14" s="10">
        <f>IF(OR(N14=1,AND(Assumptions!$B$59=1,O$3&gt;=Assumptions!$B$60+Assumptions!$B$48-2,O$3&gt;=Assumptions!$B$14,O10&gt;=Assumptions!$B$61*Assumptions!$B$51)),1,0)</f>
        <v/>
      </c>
      <c r="P14" s="10">
        <f>IF(OR(O14=1,AND(Assumptions!$B$59=1,P$3&gt;=Assumptions!$B$60+Assumptions!$B$48-2,P$3&gt;=Assumptions!$B$14,P10&gt;=Assumptions!$B$61*Assumptions!$B$51)),1,0)</f>
        <v/>
      </c>
      <c r="Q14" s="10">
        <f>IF(OR(P14=1,AND(Assumptions!$B$59=1,Q$3&gt;=Assumptions!$B$60+Assumptions!$B$48-2,Q$3&gt;=Assumptions!$B$14,Q10&gt;=Assumptions!$B$61*Assumptions!$B$51)),1,0)</f>
        <v/>
      </c>
      <c r="R14" s="10">
        <f>IF(OR(Q14=1,AND(Assumptions!$B$59=1,R$3&gt;=Assumptions!$B$60+Assumptions!$B$48-2,R$3&gt;=Assumptions!$B$14,R10&gt;=Assumptions!$B$61*Assumptions!$B$51)),1,0)</f>
        <v/>
      </c>
      <c r="S14" s="10">
        <f>IF(OR(R14=1,AND(Assumptions!$B$59=1,S$3&gt;=Assumptions!$B$60+Assumptions!$B$48-2,S$3&gt;=Assumptions!$B$14,S10&gt;=Assumptions!$B$61*Assumptions!$B$51)),1,0)</f>
        <v/>
      </c>
      <c r="T14" s="10">
        <f>IF(OR(S14=1,AND(Assumptions!$B$59=1,T$3&gt;=Assumptions!$B$60+Assumptions!$B$48-2,T$3&gt;=Assumptions!$B$14,T10&gt;=Assumptions!$B$61*Assumptions!$B$51)),1,0)</f>
        <v/>
      </c>
      <c r="U14" s="10">
        <f>IF(OR(T14=1,AND(Assumptions!$B$59=1,U$3&gt;=Assumptions!$B$60+Assumptions!$B$48-2,U$3&gt;=Assumptions!$B$14,U10&gt;=Assumptions!$B$61*Assumptions!$B$51)),1,0)</f>
        <v/>
      </c>
      <c r="V14" s="10">
        <f>IF(OR(U14=1,AND(Assumptions!$B$59=1,V$3&gt;=Assumptions!$B$60+Assumptions!$B$48-2,V$3&gt;=Assumptions!$B$14,V10&gt;=Assumptions!$B$61*Assumptions!$B$51)),1,0)</f>
        <v/>
      </c>
      <c r="W14" s="10">
        <f>IF(OR(V14=1,AND(Assumptions!$B$59=1,W$3&gt;=Assumptions!$B$60+Assumptions!$B$48-2,W$3&gt;=Assumptions!$B$14,W10&gt;=Assumptions!$B$61*Assumptions!$B$51)),1,0)</f>
        <v/>
      </c>
      <c r="X14" s="10">
        <f>IF(OR(W14=1,AND(Assumptions!$B$59=1,X$3&gt;=Assumptions!$B$60+Assumptions!$B$48-2,X$3&gt;=Assumptions!$B$14,X10&gt;=Assumptions!$B$61*Assumptions!$B$51)),1,0)</f>
        <v/>
      </c>
      <c r="Y14" s="10">
        <f>IF(OR(X14=1,AND(Assumptions!$B$59=1,Y$3&gt;=Assumptions!$B$60+Assumptions!$B$48-2,Y$3&gt;=Assumptions!$B$14,Y10&gt;=Assumptions!$B$61*Assumptions!$B$51)),1,0)</f>
        <v/>
      </c>
      <c r="Z14" s="10">
        <f>IF(OR(Y14=1,AND(Assumptions!$B$59=1,Z$3&gt;=Assumptions!$B$60+Assumptions!$B$48-2,Z$3&gt;=Assumptions!$B$14,Z10&gt;=Assumptions!$B$61*Assumptions!$B$51)),1,0)</f>
        <v/>
      </c>
      <c r="AA14" s="10">
        <f>IF(OR(Z14=1,AND(Assumptions!$B$59=1,AA$3&gt;=Assumptions!$B$60+Assumptions!$B$48-2,AA$3&gt;=Assumptions!$B$14,AA10&gt;=Assumptions!$B$61*Assumptions!$B$51)),1,0)</f>
        <v/>
      </c>
      <c r="AB14" s="10">
        <f>IF(OR(AA14=1,AND(Assumptions!$B$59=1,AB$3&gt;=Assumptions!$B$60+Assumptions!$B$48-2,AB$3&gt;=Assumptions!$B$14,AB10&gt;=Assumptions!$B$61*Assumptions!$B$51)),1,0)</f>
        <v/>
      </c>
      <c r="AC14" s="10">
        <f>IF(OR(AB14=1,AND(Assumptions!$B$59=1,AC$3&gt;=Assumptions!$B$60+Assumptions!$B$48-2,AC$3&gt;=Assumptions!$B$14,AC10&gt;=Assumptions!$B$61*Assumptions!$B$51)),1,0)</f>
        <v/>
      </c>
      <c r="AD14" s="10">
        <f>IF(OR(AC14=1,AND(Assumptions!$B$59=1,AD$3&gt;=Assumptions!$B$60+Assumptions!$B$48-2,AD$3&gt;=Assumptions!$B$14,AD10&gt;=Assumptions!$B$61*Assumptions!$B$51)),1,0)</f>
        <v/>
      </c>
      <c r="AE14" s="10">
        <f>IF(OR(AD14=1,AND(Assumptions!$B$59=1,AE$3&gt;=Assumptions!$B$60+Assumptions!$B$48-2,AE$3&gt;=Assumptions!$B$14,AE10&gt;=Assumptions!$B$61*Assumptions!$B$51)),1,0)</f>
        <v/>
      </c>
      <c r="AF14" s="10">
        <f>IF(OR(AE14=1,AND(Assumptions!$B$59=1,AF$3&gt;=Assumptions!$B$60+Assumptions!$B$48-2,AF$3&gt;=Assumptions!$B$14,AF10&gt;=Assumptions!$B$61*Assumptions!$B$51)),1,0)</f>
        <v/>
      </c>
      <c r="AG14" s="10">
        <f>IF(OR(AF14=1,AND(Assumptions!$B$59=1,AG$3&gt;=Assumptions!$B$60+Assumptions!$B$48-2,AG$3&gt;=Assumptions!$B$14,AG10&gt;=Assumptions!$B$61*Assumptions!$B$51)),1,0)</f>
        <v/>
      </c>
      <c r="AH14" s="10">
        <f>IF(OR(AG14=1,AND(Assumptions!$B$59=1,AH$3&gt;=Assumptions!$B$60+Assumptions!$B$48-2,AH$3&gt;=Assumptions!$B$14,AH10&gt;=Assumptions!$B$61*Assumptions!$B$51)),1,0)</f>
        <v/>
      </c>
      <c r="AI14" s="10">
        <f>IF(OR(AH14=1,AND(Assumptions!$B$59=1,AI$3&gt;=Assumptions!$B$60+Assumptions!$B$48-2,AI$3&gt;=Assumptions!$B$14,AI10&gt;=Assumptions!$B$61*Assumptions!$B$51)),1,0)</f>
        <v/>
      </c>
      <c r="AJ14" s="10">
        <f>IF(OR(AI14=1,AND(Assumptions!$B$59=1,AJ$3&gt;=Assumptions!$B$60+Assumptions!$B$48-2,AJ$3&gt;=Assumptions!$B$14,AJ10&gt;=Assumptions!$B$61*Assumptions!$B$51)),1,0)</f>
        <v/>
      </c>
      <c r="AK14" s="10">
        <f>IF(OR(AJ14=1,AND(Assumptions!$B$59=1,AK$3&gt;=Assumptions!$B$60+Assumptions!$B$48-2,AK$3&gt;=Assumptions!$B$14,AK10&gt;=Assumptions!$B$61*Assumptions!$B$51)),1,0)</f>
        <v/>
      </c>
      <c r="AL14" s="10">
        <f>IF(OR(AK14=1,AND(Assumptions!$B$59=1,AL$3&gt;=Assumptions!$B$60+Assumptions!$B$48-2,AL$3&gt;=Assumptions!$B$14,AL10&gt;=Assumptions!$B$61*Assumptions!$B$51)),1,0)</f>
        <v/>
      </c>
      <c r="AM14" s="10">
        <f>IF(OR(AL14=1,AND(Assumptions!$B$59=1,AM$3&gt;=Assumptions!$B$60+Assumptions!$B$48-2,AM$3&gt;=Assumptions!$B$14,AM10&gt;=Assumptions!$B$61*Assumptions!$B$51)),1,0)</f>
        <v/>
      </c>
      <c r="AN14" s="10">
        <f>IF(OR(AM14=1,AND(Assumptions!$B$59=1,AN$3&gt;=Assumptions!$B$60+Assumptions!$B$48-2,AN$3&gt;=Assumptions!$B$14,AN10&gt;=Assumptions!$B$61*Assumptions!$B$51)),1,0)</f>
        <v/>
      </c>
      <c r="AO14" s="10">
        <f>IF(OR(AN14=1,AND(Assumptions!$B$59=1,AO$3&gt;=Assumptions!$B$60+Assumptions!$B$48-2,AO$3&gt;=Assumptions!$B$14,AO10&gt;=Assumptions!$B$61*Assumptions!$B$51)),1,0)</f>
        <v/>
      </c>
      <c r="AP14" s="10">
        <f>IF(OR(AO14=1,AND(Assumptions!$B$59=1,AP$3&gt;=Assumptions!$B$60+Assumptions!$B$48-2,AP$3&gt;=Assumptions!$B$14,AP10&gt;=Assumptions!$B$61*Assumptions!$B$51)),1,0)</f>
        <v/>
      </c>
      <c r="AQ14" s="10">
        <f>IF(OR(AP14=1,AND(Assumptions!$B$59=1,AQ$3&gt;=Assumptions!$B$60+Assumptions!$B$48-2,AQ$3&gt;=Assumptions!$B$14,AQ10&gt;=Assumptions!$B$61*Assumptions!$B$51)),1,0)</f>
        <v/>
      </c>
      <c r="AR14" s="10">
        <f>IF(OR(AQ14=1,AND(Assumptions!$B$59=1,AR$3&gt;=Assumptions!$B$60+Assumptions!$B$48-2,AR$3&gt;=Assumptions!$B$14,AR10&gt;=Assumptions!$B$61*Assumptions!$B$51)),1,0)</f>
        <v/>
      </c>
      <c r="AS14" s="10">
        <f>IF(OR(AR14=1,AND(Assumptions!$B$59=1,AS$3&gt;=Assumptions!$B$60+Assumptions!$B$48-2,AS$3&gt;=Assumptions!$B$14,AS10&gt;=Assumptions!$B$61*Assumptions!$B$51)),1,0)</f>
        <v/>
      </c>
      <c r="AT14" s="10">
        <f>IF(OR(AS14=1,AND(Assumptions!$B$59=1,AT$3&gt;=Assumptions!$B$60+Assumptions!$B$48-2,AT$3&gt;=Assumptions!$B$14,AT10&gt;=Assumptions!$B$61*Assumptions!$B$51)),1,0)</f>
        <v/>
      </c>
      <c r="AU14" s="10">
        <f>IF(OR(AT14=1,AND(Assumptions!$B$59=1,AU$3&gt;=Assumptions!$B$60+Assumptions!$B$48-2,AU$3&gt;=Assumptions!$B$14,AU10&gt;=Assumptions!$B$61*Assumptions!$B$51)),1,0)</f>
        <v/>
      </c>
      <c r="AV14" s="10">
        <f>IF(OR(AU14=1,AND(Assumptions!$B$59=1,AV$3&gt;=Assumptions!$B$60+Assumptions!$B$48-2,AV$3&gt;=Assumptions!$B$14,AV10&gt;=Assumptions!$B$61*Assumptions!$B$51)),1,0)</f>
        <v/>
      </c>
      <c r="AW14" s="10">
        <f>IF(OR(AV14=1,AND(Assumptions!$B$59=1,AW$3&gt;=Assumptions!$B$60+Assumptions!$B$48-2,AW$3&gt;=Assumptions!$B$14,AW10&gt;=Assumptions!$B$61*Assumptions!$B$51)),1,0)</f>
        <v/>
      </c>
      <c r="AX14" s="10">
        <f>IF(OR(AW14=1,AND(Assumptions!$B$59=1,AX$3&gt;=Assumptions!$B$60+Assumptions!$B$48-2,AX$3&gt;=Assumptions!$B$14,AX10&gt;=Assumptions!$B$61*Assumptions!$B$51)),1,0)</f>
        <v/>
      </c>
      <c r="AY14" s="10">
        <f>IF(OR(AX14=1,AND(Assumptions!$B$59=1,AY$3&gt;=Assumptions!$B$60+Assumptions!$B$48-2,AY$3&gt;=Assumptions!$B$14,AY10&gt;=Assumptions!$B$61*Assumptions!$B$51)),1,0)</f>
        <v/>
      </c>
      <c r="AZ14" s="10">
        <f>IF(OR(AY14=1,AND(Assumptions!$B$59=1,AZ$3&gt;=Assumptions!$B$60+Assumptions!$B$48-2,AZ$3&gt;=Assumptions!$B$14,AZ10&gt;=Assumptions!$B$61*Assumptions!$B$51)),1,0)</f>
        <v/>
      </c>
      <c r="BA14" s="10">
        <f>IF(OR(AZ14=1,AND(Assumptions!$B$59=1,BA$3&gt;=Assumptions!$B$60+Assumptions!$B$48-2,BA$3&gt;=Assumptions!$B$14,BA10&gt;=Assumptions!$B$61*Assumptions!$B$51)),1,0)</f>
        <v/>
      </c>
      <c r="BB14" s="10">
        <f>IF(OR(BA14=1,AND(Assumptions!$B$59=1,BB$3&gt;=Assumptions!$B$60+Assumptions!$B$48-2,BB$3&gt;=Assumptions!$B$14,BB10&gt;=Assumptions!$B$61*Assumptions!$B$51)),1,0)</f>
        <v/>
      </c>
      <c r="BC14" s="10">
        <f>IF(OR(BB14=1,AND(Assumptions!$B$59=1,BC$3&gt;=Assumptions!$B$60+Assumptions!$B$48-2,BC$3&gt;=Assumptions!$B$14,BC10&gt;=Assumptions!$B$61*Assumptions!$B$51)),1,0)</f>
        <v/>
      </c>
      <c r="BD14" s="10">
        <f>IF(OR(BC14=1,AND(Assumptions!$B$59=1,BD$3&gt;=Assumptions!$B$60+Assumptions!$B$48-2,BD$3&gt;=Assumptions!$B$14,BD10&gt;=Assumptions!$B$61*Assumptions!$B$51)),1,0)</f>
        <v/>
      </c>
      <c r="BE14" s="10">
        <f>IF(OR(BD14=1,AND(Assumptions!$B$59=1,BE$3&gt;=Assumptions!$B$60+Assumptions!$B$48-2,BE$3&gt;=Assumptions!$B$14,BE10&gt;=Assumptions!$B$61*Assumptions!$B$51)),1,0)</f>
        <v/>
      </c>
      <c r="BF14" s="10">
        <f>IF(OR(BE14=1,AND(Assumptions!$B$59=1,BF$3&gt;=Assumptions!$B$60+Assumptions!$B$48-2,BF$3&gt;=Assumptions!$B$14,BF10&gt;=Assumptions!$B$61*Assumptions!$B$51)),1,0)</f>
        <v/>
      </c>
      <c r="BG14" s="10">
        <f>IF(OR(BF14=1,AND(Assumptions!$B$59=1,BG$3&gt;=Assumptions!$B$60+Assumptions!$B$48-2,BG$3&gt;=Assumptions!$B$14,BG10&gt;=Assumptions!$B$61*Assumptions!$B$51)),1,0)</f>
        <v/>
      </c>
      <c r="BH14" s="10">
        <f>IF(OR(BG14=1,AND(Assumptions!$B$59=1,BH$3&gt;=Assumptions!$B$60+Assumptions!$B$48-2,BH$3&gt;=Assumptions!$B$14,BH10&gt;=Assumptions!$B$61*Assumptions!$B$51)),1,0)</f>
        <v/>
      </c>
      <c r="BI14" s="10">
        <f>IF(OR(BH14=1,AND(Assumptions!$B$59=1,BI$3&gt;=Assumptions!$B$60+Assumptions!$B$48-2,BI$3&gt;=Assumptions!$B$14,BI10&gt;=Assumptions!$B$61*Assumptions!$B$51)),1,0)</f>
        <v/>
      </c>
      <c r="BJ14" s="10">
        <f>IF(OR(BI14=1,AND(Assumptions!$B$59=1,BJ$3&gt;=Assumptions!$B$60+Assumptions!$B$48-2,BJ$3&gt;=Assumptions!$B$14,BJ10&gt;=Assumptions!$B$61*Assumptions!$B$51)),1,0)</f>
        <v/>
      </c>
    </row>
    <row r="15">
      <c r="A15" s="4" t="inlineStr">
        <is>
          <t>Live: Nigeria</t>
        </is>
      </c>
      <c r="B15" s="17" t="inlineStr">
        <is>
          <t>flag</t>
        </is>
      </c>
      <c r="C15" s="10">
        <f>0</f>
        <v/>
      </c>
      <c r="D15" s="10">
        <f>0</f>
        <v/>
      </c>
      <c r="E15" s="10">
        <f>C14</f>
        <v/>
      </c>
      <c r="F15" s="10">
        <f>D14</f>
        <v/>
      </c>
      <c r="G15" s="10">
        <f>E14</f>
        <v/>
      </c>
      <c r="H15" s="10">
        <f>F14</f>
        <v/>
      </c>
      <c r="I15" s="10">
        <f>G14</f>
        <v/>
      </c>
      <c r="J15" s="10">
        <f>H14</f>
        <v/>
      </c>
      <c r="K15" s="10">
        <f>I14</f>
        <v/>
      </c>
      <c r="L15" s="10">
        <f>J14</f>
        <v/>
      </c>
      <c r="M15" s="10">
        <f>K14</f>
        <v/>
      </c>
      <c r="N15" s="10">
        <f>L14</f>
        <v/>
      </c>
      <c r="O15" s="10">
        <f>M14</f>
        <v/>
      </c>
      <c r="P15" s="10">
        <f>N14</f>
        <v/>
      </c>
      <c r="Q15" s="10">
        <f>O14</f>
        <v/>
      </c>
      <c r="R15" s="10">
        <f>P14</f>
        <v/>
      </c>
      <c r="S15" s="10">
        <f>Q14</f>
        <v/>
      </c>
      <c r="T15" s="10">
        <f>R14</f>
        <v/>
      </c>
      <c r="U15" s="10">
        <f>S14</f>
        <v/>
      </c>
      <c r="V15" s="10">
        <f>T14</f>
        <v/>
      </c>
      <c r="W15" s="10">
        <f>U14</f>
        <v/>
      </c>
      <c r="X15" s="10">
        <f>V14</f>
        <v/>
      </c>
      <c r="Y15" s="10">
        <f>W14</f>
        <v/>
      </c>
      <c r="Z15" s="10">
        <f>X14</f>
        <v/>
      </c>
      <c r="AA15" s="10">
        <f>Y14</f>
        <v/>
      </c>
      <c r="AB15" s="10">
        <f>Z14</f>
        <v/>
      </c>
      <c r="AC15" s="10">
        <f>AA14</f>
        <v/>
      </c>
      <c r="AD15" s="10">
        <f>AB14</f>
        <v/>
      </c>
      <c r="AE15" s="10">
        <f>AC14</f>
        <v/>
      </c>
      <c r="AF15" s="10">
        <f>AD14</f>
        <v/>
      </c>
      <c r="AG15" s="10">
        <f>AE14</f>
        <v/>
      </c>
      <c r="AH15" s="10">
        <f>AF14</f>
        <v/>
      </c>
      <c r="AI15" s="10">
        <f>AG14</f>
        <v/>
      </c>
      <c r="AJ15" s="10">
        <f>AH14</f>
        <v/>
      </c>
      <c r="AK15" s="10">
        <f>AI14</f>
        <v/>
      </c>
      <c r="AL15" s="10">
        <f>AJ14</f>
        <v/>
      </c>
      <c r="AM15" s="10">
        <f>AK14</f>
        <v/>
      </c>
      <c r="AN15" s="10">
        <f>AL14</f>
        <v/>
      </c>
      <c r="AO15" s="10">
        <f>AM14</f>
        <v/>
      </c>
      <c r="AP15" s="10">
        <f>AN14</f>
        <v/>
      </c>
      <c r="AQ15" s="10">
        <f>AO14</f>
        <v/>
      </c>
      <c r="AR15" s="10">
        <f>AP14</f>
        <v/>
      </c>
      <c r="AS15" s="10">
        <f>AQ14</f>
        <v/>
      </c>
      <c r="AT15" s="10">
        <f>AR14</f>
        <v/>
      </c>
      <c r="AU15" s="10">
        <f>AS14</f>
        <v/>
      </c>
      <c r="AV15" s="10">
        <f>AT14</f>
        <v/>
      </c>
      <c r="AW15" s="10">
        <f>AU14</f>
        <v/>
      </c>
      <c r="AX15" s="10">
        <f>AV14</f>
        <v/>
      </c>
      <c r="AY15" s="10">
        <f>AW14</f>
        <v/>
      </c>
      <c r="AZ15" s="10">
        <f>AX14</f>
        <v/>
      </c>
      <c r="BA15" s="10">
        <f>AY14</f>
        <v/>
      </c>
      <c r="BB15" s="10">
        <f>AZ14</f>
        <v/>
      </c>
      <c r="BC15" s="10">
        <f>BA14</f>
        <v/>
      </c>
      <c r="BD15" s="10">
        <f>BB14</f>
        <v/>
      </c>
      <c r="BE15" s="10">
        <f>BC14</f>
        <v/>
      </c>
      <c r="BF15" s="10">
        <f>BD14</f>
        <v/>
      </c>
      <c r="BG15" s="10">
        <f>BE14</f>
        <v/>
      </c>
      <c r="BH15" s="10">
        <f>BF14</f>
        <v/>
      </c>
      <c r="BI15" s="10">
        <f>BG14</f>
        <v/>
      </c>
      <c r="BJ15" s="10">
        <f>BH14</f>
        <v/>
      </c>
    </row>
    <row r="16">
      <c r="A16" s="4" t="inlineStr">
        <is>
          <t>Launch decided (country lead hired): Kenya</t>
        </is>
      </c>
      <c r="B16" s="17" t="inlineStr">
        <is>
          <t>flag</t>
        </is>
      </c>
      <c r="C16" s="10">
        <f>IF(AND(Assumptions!$B$69=1,C$3&gt;=Assumptions!$B$70+Assumptions!$B$48-2,C$3&gt;=Assumptions!$B$14,C10&gt;=Assumptions!$B$71*Assumptions!$B$51),1,0)</f>
        <v/>
      </c>
      <c r="D16" s="10">
        <f>IF(OR(C16=1,AND(Assumptions!$B$69=1,D$3&gt;=Assumptions!$B$70+Assumptions!$B$48-2,D$3&gt;=Assumptions!$B$14,D10&gt;=Assumptions!$B$71*Assumptions!$B$51)),1,0)</f>
        <v/>
      </c>
      <c r="E16" s="10">
        <f>IF(OR(D16=1,AND(Assumptions!$B$69=1,E$3&gt;=Assumptions!$B$70+Assumptions!$B$48-2,E$3&gt;=Assumptions!$B$14,E10&gt;=Assumptions!$B$71*Assumptions!$B$51)),1,0)</f>
        <v/>
      </c>
      <c r="F16" s="10">
        <f>IF(OR(E16=1,AND(Assumptions!$B$69=1,F$3&gt;=Assumptions!$B$70+Assumptions!$B$48-2,F$3&gt;=Assumptions!$B$14,F10&gt;=Assumptions!$B$71*Assumptions!$B$51)),1,0)</f>
        <v/>
      </c>
      <c r="G16" s="10">
        <f>IF(OR(F16=1,AND(Assumptions!$B$69=1,G$3&gt;=Assumptions!$B$70+Assumptions!$B$48-2,G$3&gt;=Assumptions!$B$14,G10&gt;=Assumptions!$B$71*Assumptions!$B$51)),1,0)</f>
        <v/>
      </c>
      <c r="H16" s="10">
        <f>IF(OR(G16=1,AND(Assumptions!$B$69=1,H$3&gt;=Assumptions!$B$70+Assumptions!$B$48-2,H$3&gt;=Assumptions!$B$14,H10&gt;=Assumptions!$B$71*Assumptions!$B$51)),1,0)</f>
        <v/>
      </c>
      <c r="I16" s="10">
        <f>IF(OR(H16=1,AND(Assumptions!$B$69=1,I$3&gt;=Assumptions!$B$70+Assumptions!$B$48-2,I$3&gt;=Assumptions!$B$14,I10&gt;=Assumptions!$B$71*Assumptions!$B$51)),1,0)</f>
        <v/>
      </c>
      <c r="J16" s="10">
        <f>IF(OR(I16=1,AND(Assumptions!$B$69=1,J$3&gt;=Assumptions!$B$70+Assumptions!$B$48-2,J$3&gt;=Assumptions!$B$14,J10&gt;=Assumptions!$B$71*Assumptions!$B$51)),1,0)</f>
        <v/>
      </c>
      <c r="K16" s="10">
        <f>IF(OR(J16=1,AND(Assumptions!$B$69=1,K$3&gt;=Assumptions!$B$70+Assumptions!$B$48-2,K$3&gt;=Assumptions!$B$14,K10&gt;=Assumptions!$B$71*Assumptions!$B$51)),1,0)</f>
        <v/>
      </c>
      <c r="L16" s="10">
        <f>IF(OR(K16=1,AND(Assumptions!$B$69=1,L$3&gt;=Assumptions!$B$70+Assumptions!$B$48-2,L$3&gt;=Assumptions!$B$14,L10&gt;=Assumptions!$B$71*Assumptions!$B$51)),1,0)</f>
        <v/>
      </c>
      <c r="M16" s="10">
        <f>IF(OR(L16=1,AND(Assumptions!$B$69=1,M$3&gt;=Assumptions!$B$70+Assumptions!$B$48-2,M$3&gt;=Assumptions!$B$14,M10&gt;=Assumptions!$B$71*Assumptions!$B$51)),1,0)</f>
        <v/>
      </c>
      <c r="N16" s="10">
        <f>IF(OR(M16=1,AND(Assumptions!$B$69=1,N$3&gt;=Assumptions!$B$70+Assumptions!$B$48-2,N$3&gt;=Assumptions!$B$14,N10&gt;=Assumptions!$B$71*Assumptions!$B$51)),1,0)</f>
        <v/>
      </c>
      <c r="O16" s="10">
        <f>IF(OR(N16=1,AND(Assumptions!$B$69=1,O$3&gt;=Assumptions!$B$70+Assumptions!$B$48-2,O$3&gt;=Assumptions!$B$14,O10&gt;=Assumptions!$B$71*Assumptions!$B$51)),1,0)</f>
        <v/>
      </c>
      <c r="P16" s="10">
        <f>IF(OR(O16=1,AND(Assumptions!$B$69=1,P$3&gt;=Assumptions!$B$70+Assumptions!$B$48-2,P$3&gt;=Assumptions!$B$14,P10&gt;=Assumptions!$B$71*Assumptions!$B$51)),1,0)</f>
        <v/>
      </c>
      <c r="Q16" s="10">
        <f>IF(OR(P16=1,AND(Assumptions!$B$69=1,Q$3&gt;=Assumptions!$B$70+Assumptions!$B$48-2,Q$3&gt;=Assumptions!$B$14,Q10&gt;=Assumptions!$B$71*Assumptions!$B$51)),1,0)</f>
        <v/>
      </c>
      <c r="R16" s="10">
        <f>IF(OR(Q16=1,AND(Assumptions!$B$69=1,R$3&gt;=Assumptions!$B$70+Assumptions!$B$48-2,R$3&gt;=Assumptions!$B$14,R10&gt;=Assumptions!$B$71*Assumptions!$B$51)),1,0)</f>
        <v/>
      </c>
      <c r="S16" s="10">
        <f>IF(OR(R16=1,AND(Assumptions!$B$69=1,S$3&gt;=Assumptions!$B$70+Assumptions!$B$48-2,S$3&gt;=Assumptions!$B$14,S10&gt;=Assumptions!$B$71*Assumptions!$B$51)),1,0)</f>
        <v/>
      </c>
      <c r="T16" s="10">
        <f>IF(OR(S16=1,AND(Assumptions!$B$69=1,T$3&gt;=Assumptions!$B$70+Assumptions!$B$48-2,T$3&gt;=Assumptions!$B$14,T10&gt;=Assumptions!$B$71*Assumptions!$B$51)),1,0)</f>
        <v/>
      </c>
      <c r="U16" s="10">
        <f>IF(OR(T16=1,AND(Assumptions!$B$69=1,U$3&gt;=Assumptions!$B$70+Assumptions!$B$48-2,U$3&gt;=Assumptions!$B$14,U10&gt;=Assumptions!$B$71*Assumptions!$B$51)),1,0)</f>
        <v/>
      </c>
      <c r="V16" s="10">
        <f>IF(OR(U16=1,AND(Assumptions!$B$69=1,V$3&gt;=Assumptions!$B$70+Assumptions!$B$48-2,V$3&gt;=Assumptions!$B$14,V10&gt;=Assumptions!$B$71*Assumptions!$B$51)),1,0)</f>
        <v/>
      </c>
      <c r="W16" s="10">
        <f>IF(OR(V16=1,AND(Assumptions!$B$69=1,W$3&gt;=Assumptions!$B$70+Assumptions!$B$48-2,W$3&gt;=Assumptions!$B$14,W10&gt;=Assumptions!$B$71*Assumptions!$B$51)),1,0)</f>
        <v/>
      </c>
      <c r="X16" s="10">
        <f>IF(OR(W16=1,AND(Assumptions!$B$69=1,X$3&gt;=Assumptions!$B$70+Assumptions!$B$48-2,X$3&gt;=Assumptions!$B$14,X10&gt;=Assumptions!$B$71*Assumptions!$B$51)),1,0)</f>
        <v/>
      </c>
      <c r="Y16" s="10">
        <f>IF(OR(X16=1,AND(Assumptions!$B$69=1,Y$3&gt;=Assumptions!$B$70+Assumptions!$B$48-2,Y$3&gt;=Assumptions!$B$14,Y10&gt;=Assumptions!$B$71*Assumptions!$B$51)),1,0)</f>
        <v/>
      </c>
      <c r="Z16" s="10">
        <f>IF(OR(Y16=1,AND(Assumptions!$B$69=1,Z$3&gt;=Assumptions!$B$70+Assumptions!$B$48-2,Z$3&gt;=Assumptions!$B$14,Z10&gt;=Assumptions!$B$71*Assumptions!$B$51)),1,0)</f>
        <v/>
      </c>
      <c r="AA16" s="10">
        <f>IF(OR(Z16=1,AND(Assumptions!$B$69=1,AA$3&gt;=Assumptions!$B$70+Assumptions!$B$48-2,AA$3&gt;=Assumptions!$B$14,AA10&gt;=Assumptions!$B$71*Assumptions!$B$51)),1,0)</f>
        <v/>
      </c>
      <c r="AB16" s="10">
        <f>IF(OR(AA16=1,AND(Assumptions!$B$69=1,AB$3&gt;=Assumptions!$B$70+Assumptions!$B$48-2,AB$3&gt;=Assumptions!$B$14,AB10&gt;=Assumptions!$B$71*Assumptions!$B$51)),1,0)</f>
        <v/>
      </c>
      <c r="AC16" s="10">
        <f>IF(OR(AB16=1,AND(Assumptions!$B$69=1,AC$3&gt;=Assumptions!$B$70+Assumptions!$B$48-2,AC$3&gt;=Assumptions!$B$14,AC10&gt;=Assumptions!$B$71*Assumptions!$B$51)),1,0)</f>
        <v/>
      </c>
      <c r="AD16" s="10">
        <f>IF(OR(AC16=1,AND(Assumptions!$B$69=1,AD$3&gt;=Assumptions!$B$70+Assumptions!$B$48-2,AD$3&gt;=Assumptions!$B$14,AD10&gt;=Assumptions!$B$71*Assumptions!$B$51)),1,0)</f>
        <v/>
      </c>
      <c r="AE16" s="10">
        <f>IF(OR(AD16=1,AND(Assumptions!$B$69=1,AE$3&gt;=Assumptions!$B$70+Assumptions!$B$48-2,AE$3&gt;=Assumptions!$B$14,AE10&gt;=Assumptions!$B$71*Assumptions!$B$51)),1,0)</f>
        <v/>
      </c>
      <c r="AF16" s="10">
        <f>IF(OR(AE16=1,AND(Assumptions!$B$69=1,AF$3&gt;=Assumptions!$B$70+Assumptions!$B$48-2,AF$3&gt;=Assumptions!$B$14,AF10&gt;=Assumptions!$B$71*Assumptions!$B$51)),1,0)</f>
        <v/>
      </c>
      <c r="AG16" s="10">
        <f>IF(OR(AF16=1,AND(Assumptions!$B$69=1,AG$3&gt;=Assumptions!$B$70+Assumptions!$B$48-2,AG$3&gt;=Assumptions!$B$14,AG10&gt;=Assumptions!$B$71*Assumptions!$B$51)),1,0)</f>
        <v/>
      </c>
      <c r="AH16" s="10">
        <f>IF(OR(AG16=1,AND(Assumptions!$B$69=1,AH$3&gt;=Assumptions!$B$70+Assumptions!$B$48-2,AH$3&gt;=Assumptions!$B$14,AH10&gt;=Assumptions!$B$71*Assumptions!$B$51)),1,0)</f>
        <v/>
      </c>
      <c r="AI16" s="10">
        <f>IF(OR(AH16=1,AND(Assumptions!$B$69=1,AI$3&gt;=Assumptions!$B$70+Assumptions!$B$48-2,AI$3&gt;=Assumptions!$B$14,AI10&gt;=Assumptions!$B$71*Assumptions!$B$51)),1,0)</f>
        <v/>
      </c>
      <c r="AJ16" s="10">
        <f>IF(OR(AI16=1,AND(Assumptions!$B$69=1,AJ$3&gt;=Assumptions!$B$70+Assumptions!$B$48-2,AJ$3&gt;=Assumptions!$B$14,AJ10&gt;=Assumptions!$B$71*Assumptions!$B$51)),1,0)</f>
        <v/>
      </c>
      <c r="AK16" s="10">
        <f>IF(OR(AJ16=1,AND(Assumptions!$B$69=1,AK$3&gt;=Assumptions!$B$70+Assumptions!$B$48-2,AK$3&gt;=Assumptions!$B$14,AK10&gt;=Assumptions!$B$71*Assumptions!$B$51)),1,0)</f>
        <v/>
      </c>
      <c r="AL16" s="10">
        <f>IF(OR(AK16=1,AND(Assumptions!$B$69=1,AL$3&gt;=Assumptions!$B$70+Assumptions!$B$48-2,AL$3&gt;=Assumptions!$B$14,AL10&gt;=Assumptions!$B$71*Assumptions!$B$51)),1,0)</f>
        <v/>
      </c>
      <c r="AM16" s="10">
        <f>IF(OR(AL16=1,AND(Assumptions!$B$69=1,AM$3&gt;=Assumptions!$B$70+Assumptions!$B$48-2,AM$3&gt;=Assumptions!$B$14,AM10&gt;=Assumptions!$B$71*Assumptions!$B$51)),1,0)</f>
        <v/>
      </c>
      <c r="AN16" s="10">
        <f>IF(OR(AM16=1,AND(Assumptions!$B$69=1,AN$3&gt;=Assumptions!$B$70+Assumptions!$B$48-2,AN$3&gt;=Assumptions!$B$14,AN10&gt;=Assumptions!$B$71*Assumptions!$B$51)),1,0)</f>
        <v/>
      </c>
      <c r="AO16" s="10">
        <f>IF(OR(AN16=1,AND(Assumptions!$B$69=1,AO$3&gt;=Assumptions!$B$70+Assumptions!$B$48-2,AO$3&gt;=Assumptions!$B$14,AO10&gt;=Assumptions!$B$71*Assumptions!$B$51)),1,0)</f>
        <v/>
      </c>
      <c r="AP16" s="10">
        <f>IF(OR(AO16=1,AND(Assumptions!$B$69=1,AP$3&gt;=Assumptions!$B$70+Assumptions!$B$48-2,AP$3&gt;=Assumptions!$B$14,AP10&gt;=Assumptions!$B$71*Assumptions!$B$51)),1,0)</f>
        <v/>
      </c>
      <c r="AQ16" s="10">
        <f>IF(OR(AP16=1,AND(Assumptions!$B$69=1,AQ$3&gt;=Assumptions!$B$70+Assumptions!$B$48-2,AQ$3&gt;=Assumptions!$B$14,AQ10&gt;=Assumptions!$B$71*Assumptions!$B$51)),1,0)</f>
        <v/>
      </c>
      <c r="AR16" s="10">
        <f>IF(OR(AQ16=1,AND(Assumptions!$B$69=1,AR$3&gt;=Assumptions!$B$70+Assumptions!$B$48-2,AR$3&gt;=Assumptions!$B$14,AR10&gt;=Assumptions!$B$71*Assumptions!$B$51)),1,0)</f>
        <v/>
      </c>
      <c r="AS16" s="10">
        <f>IF(OR(AR16=1,AND(Assumptions!$B$69=1,AS$3&gt;=Assumptions!$B$70+Assumptions!$B$48-2,AS$3&gt;=Assumptions!$B$14,AS10&gt;=Assumptions!$B$71*Assumptions!$B$51)),1,0)</f>
        <v/>
      </c>
      <c r="AT16" s="10">
        <f>IF(OR(AS16=1,AND(Assumptions!$B$69=1,AT$3&gt;=Assumptions!$B$70+Assumptions!$B$48-2,AT$3&gt;=Assumptions!$B$14,AT10&gt;=Assumptions!$B$71*Assumptions!$B$51)),1,0)</f>
        <v/>
      </c>
      <c r="AU16" s="10">
        <f>IF(OR(AT16=1,AND(Assumptions!$B$69=1,AU$3&gt;=Assumptions!$B$70+Assumptions!$B$48-2,AU$3&gt;=Assumptions!$B$14,AU10&gt;=Assumptions!$B$71*Assumptions!$B$51)),1,0)</f>
        <v/>
      </c>
      <c r="AV16" s="10">
        <f>IF(OR(AU16=1,AND(Assumptions!$B$69=1,AV$3&gt;=Assumptions!$B$70+Assumptions!$B$48-2,AV$3&gt;=Assumptions!$B$14,AV10&gt;=Assumptions!$B$71*Assumptions!$B$51)),1,0)</f>
        <v/>
      </c>
      <c r="AW16" s="10">
        <f>IF(OR(AV16=1,AND(Assumptions!$B$69=1,AW$3&gt;=Assumptions!$B$70+Assumptions!$B$48-2,AW$3&gt;=Assumptions!$B$14,AW10&gt;=Assumptions!$B$71*Assumptions!$B$51)),1,0)</f>
        <v/>
      </c>
      <c r="AX16" s="10">
        <f>IF(OR(AW16=1,AND(Assumptions!$B$69=1,AX$3&gt;=Assumptions!$B$70+Assumptions!$B$48-2,AX$3&gt;=Assumptions!$B$14,AX10&gt;=Assumptions!$B$71*Assumptions!$B$51)),1,0)</f>
        <v/>
      </c>
      <c r="AY16" s="10">
        <f>IF(OR(AX16=1,AND(Assumptions!$B$69=1,AY$3&gt;=Assumptions!$B$70+Assumptions!$B$48-2,AY$3&gt;=Assumptions!$B$14,AY10&gt;=Assumptions!$B$71*Assumptions!$B$51)),1,0)</f>
        <v/>
      </c>
      <c r="AZ16" s="10">
        <f>IF(OR(AY16=1,AND(Assumptions!$B$69=1,AZ$3&gt;=Assumptions!$B$70+Assumptions!$B$48-2,AZ$3&gt;=Assumptions!$B$14,AZ10&gt;=Assumptions!$B$71*Assumptions!$B$51)),1,0)</f>
        <v/>
      </c>
      <c r="BA16" s="10">
        <f>IF(OR(AZ16=1,AND(Assumptions!$B$69=1,BA$3&gt;=Assumptions!$B$70+Assumptions!$B$48-2,BA$3&gt;=Assumptions!$B$14,BA10&gt;=Assumptions!$B$71*Assumptions!$B$51)),1,0)</f>
        <v/>
      </c>
      <c r="BB16" s="10">
        <f>IF(OR(BA16=1,AND(Assumptions!$B$69=1,BB$3&gt;=Assumptions!$B$70+Assumptions!$B$48-2,BB$3&gt;=Assumptions!$B$14,BB10&gt;=Assumptions!$B$71*Assumptions!$B$51)),1,0)</f>
        <v/>
      </c>
      <c r="BC16" s="10">
        <f>IF(OR(BB16=1,AND(Assumptions!$B$69=1,BC$3&gt;=Assumptions!$B$70+Assumptions!$B$48-2,BC$3&gt;=Assumptions!$B$14,BC10&gt;=Assumptions!$B$71*Assumptions!$B$51)),1,0)</f>
        <v/>
      </c>
      <c r="BD16" s="10">
        <f>IF(OR(BC16=1,AND(Assumptions!$B$69=1,BD$3&gt;=Assumptions!$B$70+Assumptions!$B$48-2,BD$3&gt;=Assumptions!$B$14,BD10&gt;=Assumptions!$B$71*Assumptions!$B$51)),1,0)</f>
        <v/>
      </c>
      <c r="BE16" s="10">
        <f>IF(OR(BD16=1,AND(Assumptions!$B$69=1,BE$3&gt;=Assumptions!$B$70+Assumptions!$B$48-2,BE$3&gt;=Assumptions!$B$14,BE10&gt;=Assumptions!$B$71*Assumptions!$B$51)),1,0)</f>
        <v/>
      </c>
      <c r="BF16" s="10">
        <f>IF(OR(BE16=1,AND(Assumptions!$B$69=1,BF$3&gt;=Assumptions!$B$70+Assumptions!$B$48-2,BF$3&gt;=Assumptions!$B$14,BF10&gt;=Assumptions!$B$71*Assumptions!$B$51)),1,0)</f>
        <v/>
      </c>
      <c r="BG16" s="10">
        <f>IF(OR(BF16=1,AND(Assumptions!$B$69=1,BG$3&gt;=Assumptions!$B$70+Assumptions!$B$48-2,BG$3&gt;=Assumptions!$B$14,BG10&gt;=Assumptions!$B$71*Assumptions!$B$51)),1,0)</f>
        <v/>
      </c>
      <c r="BH16" s="10">
        <f>IF(OR(BG16=1,AND(Assumptions!$B$69=1,BH$3&gt;=Assumptions!$B$70+Assumptions!$B$48-2,BH$3&gt;=Assumptions!$B$14,BH10&gt;=Assumptions!$B$71*Assumptions!$B$51)),1,0)</f>
        <v/>
      </c>
      <c r="BI16" s="10">
        <f>IF(OR(BH16=1,AND(Assumptions!$B$69=1,BI$3&gt;=Assumptions!$B$70+Assumptions!$B$48-2,BI$3&gt;=Assumptions!$B$14,BI10&gt;=Assumptions!$B$71*Assumptions!$B$51)),1,0)</f>
        <v/>
      </c>
      <c r="BJ16" s="10">
        <f>IF(OR(BI16=1,AND(Assumptions!$B$69=1,BJ$3&gt;=Assumptions!$B$70+Assumptions!$B$48-2,BJ$3&gt;=Assumptions!$B$14,BJ10&gt;=Assumptions!$B$71*Assumptions!$B$51)),1,0)</f>
        <v/>
      </c>
    </row>
    <row r="17">
      <c r="A17" s="4" t="inlineStr">
        <is>
          <t>Live: Kenya</t>
        </is>
      </c>
      <c r="B17" s="17" t="inlineStr">
        <is>
          <t>flag</t>
        </is>
      </c>
      <c r="C17" s="10">
        <f>0</f>
        <v/>
      </c>
      <c r="D17" s="10">
        <f>0</f>
        <v/>
      </c>
      <c r="E17" s="10">
        <f>C16</f>
        <v/>
      </c>
      <c r="F17" s="10">
        <f>D16</f>
        <v/>
      </c>
      <c r="G17" s="10">
        <f>E16</f>
        <v/>
      </c>
      <c r="H17" s="10">
        <f>F16</f>
        <v/>
      </c>
      <c r="I17" s="10">
        <f>G16</f>
        <v/>
      </c>
      <c r="J17" s="10">
        <f>H16</f>
        <v/>
      </c>
      <c r="K17" s="10">
        <f>I16</f>
        <v/>
      </c>
      <c r="L17" s="10">
        <f>J16</f>
        <v/>
      </c>
      <c r="M17" s="10">
        <f>K16</f>
        <v/>
      </c>
      <c r="N17" s="10">
        <f>L16</f>
        <v/>
      </c>
      <c r="O17" s="10">
        <f>M16</f>
        <v/>
      </c>
      <c r="P17" s="10">
        <f>N16</f>
        <v/>
      </c>
      <c r="Q17" s="10">
        <f>O16</f>
        <v/>
      </c>
      <c r="R17" s="10">
        <f>P16</f>
        <v/>
      </c>
      <c r="S17" s="10">
        <f>Q16</f>
        <v/>
      </c>
      <c r="T17" s="10">
        <f>R16</f>
        <v/>
      </c>
      <c r="U17" s="10">
        <f>S16</f>
        <v/>
      </c>
      <c r="V17" s="10">
        <f>T16</f>
        <v/>
      </c>
      <c r="W17" s="10">
        <f>U16</f>
        <v/>
      </c>
      <c r="X17" s="10">
        <f>V16</f>
        <v/>
      </c>
      <c r="Y17" s="10">
        <f>W16</f>
        <v/>
      </c>
      <c r="Z17" s="10">
        <f>X16</f>
        <v/>
      </c>
      <c r="AA17" s="10">
        <f>Y16</f>
        <v/>
      </c>
      <c r="AB17" s="10">
        <f>Z16</f>
        <v/>
      </c>
      <c r="AC17" s="10">
        <f>AA16</f>
        <v/>
      </c>
      <c r="AD17" s="10">
        <f>AB16</f>
        <v/>
      </c>
      <c r="AE17" s="10">
        <f>AC16</f>
        <v/>
      </c>
      <c r="AF17" s="10">
        <f>AD16</f>
        <v/>
      </c>
      <c r="AG17" s="10">
        <f>AE16</f>
        <v/>
      </c>
      <c r="AH17" s="10">
        <f>AF16</f>
        <v/>
      </c>
      <c r="AI17" s="10">
        <f>AG16</f>
        <v/>
      </c>
      <c r="AJ17" s="10">
        <f>AH16</f>
        <v/>
      </c>
      <c r="AK17" s="10">
        <f>AI16</f>
        <v/>
      </c>
      <c r="AL17" s="10">
        <f>AJ16</f>
        <v/>
      </c>
      <c r="AM17" s="10">
        <f>AK16</f>
        <v/>
      </c>
      <c r="AN17" s="10">
        <f>AL16</f>
        <v/>
      </c>
      <c r="AO17" s="10">
        <f>AM16</f>
        <v/>
      </c>
      <c r="AP17" s="10">
        <f>AN16</f>
        <v/>
      </c>
      <c r="AQ17" s="10">
        <f>AO16</f>
        <v/>
      </c>
      <c r="AR17" s="10">
        <f>AP16</f>
        <v/>
      </c>
      <c r="AS17" s="10">
        <f>AQ16</f>
        <v/>
      </c>
      <c r="AT17" s="10">
        <f>AR16</f>
        <v/>
      </c>
      <c r="AU17" s="10">
        <f>AS16</f>
        <v/>
      </c>
      <c r="AV17" s="10">
        <f>AT16</f>
        <v/>
      </c>
      <c r="AW17" s="10">
        <f>AU16</f>
        <v/>
      </c>
      <c r="AX17" s="10">
        <f>AV16</f>
        <v/>
      </c>
      <c r="AY17" s="10">
        <f>AW16</f>
        <v/>
      </c>
      <c r="AZ17" s="10">
        <f>AX16</f>
        <v/>
      </c>
      <c r="BA17" s="10">
        <f>AY16</f>
        <v/>
      </c>
      <c r="BB17" s="10">
        <f>AZ16</f>
        <v/>
      </c>
      <c r="BC17" s="10">
        <f>BA16</f>
        <v/>
      </c>
      <c r="BD17" s="10">
        <f>BB16</f>
        <v/>
      </c>
      <c r="BE17" s="10">
        <f>BC16</f>
        <v/>
      </c>
      <c r="BF17" s="10">
        <f>BD16</f>
        <v/>
      </c>
      <c r="BG17" s="10">
        <f>BE16</f>
        <v/>
      </c>
      <c r="BH17" s="10">
        <f>BF16</f>
        <v/>
      </c>
      <c r="BI17" s="10">
        <f>BG16</f>
        <v/>
      </c>
      <c r="BJ17" s="10">
        <f>BH16</f>
        <v/>
      </c>
    </row>
    <row r="18">
      <c r="A18" s="4" t="inlineStr">
        <is>
          <t>Launch decided (country lead hired): Ghana</t>
        </is>
      </c>
      <c r="B18" s="17" t="inlineStr">
        <is>
          <t>flag</t>
        </is>
      </c>
      <c r="C18" s="10">
        <f>IF(AND(Assumptions!$B$79=1,C$3&gt;=Assumptions!$B$80+Assumptions!$B$48-2,C$3&gt;=Assumptions!$B$14,C10&gt;=Assumptions!$B$81*Assumptions!$B$51),1,0)</f>
        <v/>
      </c>
      <c r="D18" s="10">
        <f>IF(OR(C18=1,AND(Assumptions!$B$79=1,D$3&gt;=Assumptions!$B$80+Assumptions!$B$48-2,D$3&gt;=Assumptions!$B$14,D10&gt;=Assumptions!$B$81*Assumptions!$B$51)),1,0)</f>
        <v/>
      </c>
      <c r="E18" s="10">
        <f>IF(OR(D18=1,AND(Assumptions!$B$79=1,E$3&gt;=Assumptions!$B$80+Assumptions!$B$48-2,E$3&gt;=Assumptions!$B$14,E10&gt;=Assumptions!$B$81*Assumptions!$B$51)),1,0)</f>
        <v/>
      </c>
      <c r="F18" s="10">
        <f>IF(OR(E18=1,AND(Assumptions!$B$79=1,F$3&gt;=Assumptions!$B$80+Assumptions!$B$48-2,F$3&gt;=Assumptions!$B$14,F10&gt;=Assumptions!$B$81*Assumptions!$B$51)),1,0)</f>
        <v/>
      </c>
      <c r="G18" s="10">
        <f>IF(OR(F18=1,AND(Assumptions!$B$79=1,G$3&gt;=Assumptions!$B$80+Assumptions!$B$48-2,G$3&gt;=Assumptions!$B$14,G10&gt;=Assumptions!$B$81*Assumptions!$B$51)),1,0)</f>
        <v/>
      </c>
      <c r="H18" s="10">
        <f>IF(OR(G18=1,AND(Assumptions!$B$79=1,H$3&gt;=Assumptions!$B$80+Assumptions!$B$48-2,H$3&gt;=Assumptions!$B$14,H10&gt;=Assumptions!$B$81*Assumptions!$B$51)),1,0)</f>
        <v/>
      </c>
      <c r="I18" s="10">
        <f>IF(OR(H18=1,AND(Assumptions!$B$79=1,I$3&gt;=Assumptions!$B$80+Assumptions!$B$48-2,I$3&gt;=Assumptions!$B$14,I10&gt;=Assumptions!$B$81*Assumptions!$B$51)),1,0)</f>
        <v/>
      </c>
      <c r="J18" s="10">
        <f>IF(OR(I18=1,AND(Assumptions!$B$79=1,J$3&gt;=Assumptions!$B$80+Assumptions!$B$48-2,J$3&gt;=Assumptions!$B$14,J10&gt;=Assumptions!$B$81*Assumptions!$B$51)),1,0)</f>
        <v/>
      </c>
      <c r="K18" s="10">
        <f>IF(OR(J18=1,AND(Assumptions!$B$79=1,K$3&gt;=Assumptions!$B$80+Assumptions!$B$48-2,K$3&gt;=Assumptions!$B$14,K10&gt;=Assumptions!$B$81*Assumptions!$B$51)),1,0)</f>
        <v/>
      </c>
      <c r="L18" s="10">
        <f>IF(OR(K18=1,AND(Assumptions!$B$79=1,L$3&gt;=Assumptions!$B$80+Assumptions!$B$48-2,L$3&gt;=Assumptions!$B$14,L10&gt;=Assumptions!$B$81*Assumptions!$B$51)),1,0)</f>
        <v/>
      </c>
      <c r="M18" s="10">
        <f>IF(OR(L18=1,AND(Assumptions!$B$79=1,M$3&gt;=Assumptions!$B$80+Assumptions!$B$48-2,M$3&gt;=Assumptions!$B$14,M10&gt;=Assumptions!$B$81*Assumptions!$B$51)),1,0)</f>
        <v/>
      </c>
      <c r="N18" s="10">
        <f>IF(OR(M18=1,AND(Assumptions!$B$79=1,N$3&gt;=Assumptions!$B$80+Assumptions!$B$48-2,N$3&gt;=Assumptions!$B$14,N10&gt;=Assumptions!$B$81*Assumptions!$B$51)),1,0)</f>
        <v/>
      </c>
      <c r="O18" s="10">
        <f>IF(OR(N18=1,AND(Assumptions!$B$79=1,O$3&gt;=Assumptions!$B$80+Assumptions!$B$48-2,O$3&gt;=Assumptions!$B$14,O10&gt;=Assumptions!$B$81*Assumptions!$B$51)),1,0)</f>
        <v/>
      </c>
      <c r="P18" s="10">
        <f>IF(OR(O18=1,AND(Assumptions!$B$79=1,P$3&gt;=Assumptions!$B$80+Assumptions!$B$48-2,P$3&gt;=Assumptions!$B$14,P10&gt;=Assumptions!$B$81*Assumptions!$B$51)),1,0)</f>
        <v/>
      </c>
      <c r="Q18" s="10">
        <f>IF(OR(P18=1,AND(Assumptions!$B$79=1,Q$3&gt;=Assumptions!$B$80+Assumptions!$B$48-2,Q$3&gt;=Assumptions!$B$14,Q10&gt;=Assumptions!$B$81*Assumptions!$B$51)),1,0)</f>
        <v/>
      </c>
      <c r="R18" s="10">
        <f>IF(OR(Q18=1,AND(Assumptions!$B$79=1,R$3&gt;=Assumptions!$B$80+Assumptions!$B$48-2,R$3&gt;=Assumptions!$B$14,R10&gt;=Assumptions!$B$81*Assumptions!$B$51)),1,0)</f>
        <v/>
      </c>
      <c r="S18" s="10">
        <f>IF(OR(R18=1,AND(Assumptions!$B$79=1,S$3&gt;=Assumptions!$B$80+Assumptions!$B$48-2,S$3&gt;=Assumptions!$B$14,S10&gt;=Assumptions!$B$81*Assumptions!$B$51)),1,0)</f>
        <v/>
      </c>
      <c r="T18" s="10">
        <f>IF(OR(S18=1,AND(Assumptions!$B$79=1,T$3&gt;=Assumptions!$B$80+Assumptions!$B$48-2,T$3&gt;=Assumptions!$B$14,T10&gt;=Assumptions!$B$81*Assumptions!$B$51)),1,0)</f>
        <v/>
      </c>
      <c r="U18" s="10">
        <f>IF(OR(T18=1,AND(Assumptions!$B$79=1,U$3&gt;=Assumptions!$B$80+Assumptions!$B$48-2,U$3&gt;=Assumptions!$B$14,U10&gt;=Assumptions!$B$81*Assumptions!$B$51)),1,0)</f>
        <v/>
      </c>
      <c r="V18" s="10">
        <f>IF(OR(U18=1,AND(Assumptions!$B$79=1,V$3&gt;=Assumptions!$B$80+Assumptions!$B$48-2,V$3&gt;=Assumptions!$B$14,V10&gt;=Assumptions!$B$81*Assumptions!$B$51)),1,0)</f>
        <v/>
      </c>
      <c r="W18" s="10">
        <f>IF(OR(V18=1,AND(Assumptions!$B$79=1,W$3&gt;=Assumptions!$B$80+Assumptions!$B$48-2,W$3&gt;=Assumptions!$B$14,W10&gt;=Assumptions!$B$81*Assumptions!$B$51)),1,0)</f>
        <v/>
      </c>
      <c r="X18" s="10">
        <f>IF(OR(W18=1,AND(Assumptions!$B$79=1,X$3&gt;=Assumptions!$B$80+Assumptions!$B$48-2,X$3&gt;=Assumptions!$B$14,X10&gt;=Assumptions!$B$81*Assumptions!$B$51)),1,0)</f>
        <v/>
      </c>
      <c r="Y18" s="10">
        <f>IF(OR(X18=1,AND(Assumptions!$B$79=1,Y$3&gt;=Assumptions!$B$80+Assumptions!$B$48-2,Y$3&gt;=Assumptions!$B$14,Y10&gt;=Assumptions!$B$81*Assumptions!$B$51)),1,0)</f>
        <v/>
      </c>
      <c r="Z18" s="10">
        <f>IF(OR(Y18=1,AND(Assumptions!$B$79=1,Z$3&gt;=Assumptions!$B$80+Assumptions!$B$48-2,Z$3&gt;=Assumptions!$B$14,Z10&gt;=Assumptions!$B$81*Assumptions!$B$51)),1,0)</f>
        <v/>
      </c>
      <c r="AA18" s="10">
        <f>IF(OR(Z18=1,AND(Assumptions!$B$79=1,AA$3&gt;=Assumptions!$B$80+Assumptions!$B$48-2,AA$3&gt;=Assumptions!$B$14,AA10&gt;=Assumptions!$B$81*Assumptions!$B$51)),1,0)</f>
        <v/>
      </c>
      <c r="AB18" s="10">
        <f>IF(OR(AA18=1,AND(Assumptions!$B$79=1,AB$3&gt;=Assumptions!$B$80+Assumptions!$B$48-2,AB$3&gt;=Assumptions!$B$14,AB10&gt;=Assumptions!$B$81*Assumptions!$B$51)),1,0)</f>
        <v/>
      </c>
      <c r="AC18" s="10">
        <f>IF(OR(AB18=1,AND(Assumptions!$B$79=1,AC$3&gt;=Assumptions!$B$80+Assumptions!$B$48-2,AC$3&gt;=Assumptions!$B$14,AC10&gt;=Assumptions!$B$81*Assumptions!$B$51)),1,0)</f>
        <v/>
      </c>
      <c r="AD18" s="10">
        <f>IF(OR(AC18=1,AND(Assumptions!$B$79=1,AD$3&gt;=Assumptions!$B$80+Assumptions!$B$48-2,AD$3&gt;=Assumptions!$B$14,AD10&gt;=Assumptions!$B$81*Assumptions!$B$51)),1,0)</f>
        <v/>
      </c>
      <c r="AE18" s="10">
        <f>IF(OR(AD18=1,AND(Assumptions!$B$79=1,AE$3&gt;=Assumptions!$B$80+Assumptions!$B$48-2,AE$3&gt;=Assumptions!$B$14,AE10&gt;=Assumptions!$B$81*Assumptions!$B$51)),1,0)</f>
        <v/>
      </c>
      <c r="AF18" s="10">
        <f>IF(OR(AE18=1,AND(Assumptions!$B$79=1,AF$3&gt;=Assumptions!$B$80+Assumptions!$B$48-2,AF$3&gt;=Assumptions!$B$14,AF10&gt;=Assumptions!$B$81*Assumptions!$B$51)),1,0)</f>
        <v/>
      </c>
      <c r="AG18" s="10">
        <f>IF(OR(AF18=1,AND(Assumptions!$B$79=1,AG$3&gt;=Assumptions!$B$80+Assumptions!$B$48-2,AG$3&gt;=Assumptions!$B$14,AG10&gt;=Assumptions!$B$81*Assumptions!$B$51)),1,0)</f>
        <v/>
      </c>
      <c r="AH18" s="10">
        <f>IF(OR(AG18=1,AND(Assumptions!$B$79=1,AH$3&gt;=Assumptions!$B$80+Assumptions!$B$48-2,AH$3&gt;=Assumptions!$B$14,AH10&gt;=Assumptions!$B$81*Assumptions!$B$51)),1,0)</f>
        <v/>
      </c>
      <c r="AI18" s="10">
        <f>IF(OR(AH18=1,AND(Assumptions!$B$79=1,AI$3&gt;=Assumptions!$B$80+Assumptions!$B$48-2,AI$3&gt;=Assumptions!$B$14,AI10&gt;=Assumptions!$B$81*Assumptions!$B$51)),1,0)</f>
        <v/>
      </c>
      <c r="AJ18" s="10">
        <f>IF(OR(AI18=1,AND(Assumptions!$B$79=1,AJ$3&gt;=Assumptions!$B$80+Assumptions!$B$48-2,AJ$3&gt;=Assumptions!$B$14,AJ10&gt;=Assumptions!$B$81*Assumptions!$B$51)),1,0)</f>
        <v/>
      </c>
      <c r="AK18" s="10">
        <f>IF(OR(AJ18=1,AND(Assumptions!$B$79=1,AK$3&gt;=Assumptions!$B$80+Assumptions!$B$48-2,AK$3&gt;=Assumptions!$B$14,AK10&gt;=Assumptions!$B$81*Assumptions!$B$51)),1,0)</f>
        <v/>
      </c>
      <c r="AL18" s="10">
        <f>IF(OR(AK18=1,AND(Assumptions!$B$79=1,AL$3&gt;=Assumptions!$B$80+Assumptions!$B$48-2,AL$3&gt;=Assumptions!$B$14,AL10&gt;=Assumptions!$B$81*Assumptions!$B$51)),1,0)</f>
        <v/>
      </c>
      <c r="AM18" s="10">
        <f>IF(OR(AL18=1,AND(Assumptions!$B$79=1,AM$3&gt;=Assumptions!$B$80+Assumptions!$B$48-2,AM$3&gt;=Assumptions!$B$14,AM10&gt;=Assumptions!$B$81*Assumptions!$B$51)),1,0)</f>
        <v/>
      </c>
      <c r="AN18" s="10">
        <f>IF(OR(AM18=1,AND(Assumptions!$B$79=1,AN$3&gt;=Assumptions!$B$80+Assumptions!$B$48-2,AN$3&gt;=Assumptions!$B$14,AN10&gt;=Assumptions!$B$81*Assumptions!$B$51)),1,0)</f>
        <v/>
      </c>
      <c r="AO18" s="10">
        <f>IF(OR(AN18=1,AND(Assumptions!$B$79=1,AO$3&gt;=Assumptions!$B$80+Assumptions!$B$48-2,AO$3&gt;=Assumptions!$B$14,AO10&gt;=Assumptions!$B$81*Assumptions!$B$51)),1,0)</f>
        <v/>
      </c>
      <c r="AP18" s="10">
        <f>IF(OR(AO18=1,AND(Assumptions!$B$79=1,AP$3&gt;=Assumptions!$B$80+Assumptions!$B$48-2,AP$3&gt;=Assumptions!$B$14,AP10&gt;=Assumptions!$B$81*Assumptions!$B$51)),1,0)</f>
        <v/>
      </c>
      <c r="AQ18" s="10">
        <f>IF(OR(AP18=1,AND(Assumptions!$B$79=1,AQ$3&gt;=Assumptions!$B$80+Assumptions!$B$48-2,AQ$3&gt;=Assumptions!$B$14,AQ10&gt;=Assumptions!$B$81*Assumptions!$B$51)),1,0)</f>
        <v/>
      </c>
      <c r="AR18" s="10">
        <f>IF(OR(AQ18=1,AND(Assumptions!$B$79=1,AR$3&gt;=Assumptions!$B$80+Assumptions!$B$48-2,AR$3&gt;=Assumptions!$B$14,AR10&gt;=Assumptions!$B$81*Assumptions!$B$51)),1,0)</f>
        <v/>
      </c>
      <c r="AS18" s="10">
        <f>IF(OR(AR18=1,AND(Assumptions!$B$79=1,AS$3&gt;=Assumptions!$B$80+Assumptions!$B$48-2,AS$3&gt;=Assumptions!$B$14,AS10&gt;=Assumptions!$B$81*Assumptions!$B$51)),1,0)</f>
        <v/>
      </c>
      <c r="AT18" s="10">
        <f>IF(OR(AS18=1,AND(Assumptions!$B$79=1,AT$3&gt;=Assumptions!$B$80+Assumptions!$B$48-2,AT$3&gt;=Assumptions!$B$14,AT10&gt;=Assumptions!$B$81*Assumptions!$B$51)),1,0)</f>
        <v/>
      </c>
      <c r="AU18" s="10">
        <f>IF(OR(AT18=1,AND(Assumptions!$B$79=1,AU$3&gt;=Assumptions!$B$80+Assumptions!$B$48-2,AU$3&gt;=Assumptions!$B$14,AU10&gt;=Assumptions!$B$81*Assumptions!$B$51)),1,0)</f>
        <v/>
      </c>
      <c r="AV18" s="10">
        <f>IF(OR(AU18=1,AND(Assumptions!$B$79=1,AV$3&gt;=Assumptions!$B$80+Assumptions!$B$48-2,AV$3&gt;=Assumptions!$B$14,AV10&gt;=Assumptions!$B$81*Assumptions!$B$51)),1,0)</f>
        <v/>
      </c>
      <c r="AW18" s="10">
        <f>IF(OR(AV18=1,AND(Assumptions!$B$79=1,AW$3&gt;=Assumptions!$B$80+Assumptions!$B$48-2,AW$3&gt;=Assumptions!$B$14,AW10&gt;=Assumptions!$B$81*Assumptions!$B$51)),1,0)</f>
        <v/>
      </c>
      <c r="AX18" s="10">
        <f>IF(OR(AW18=1,AND(Assumptions!$B$79=1,AX$3&gt;=Assumptions!$B$80+Assumptions!$B$48-2,AX$3&gt;=Assumptions!$B$14,AX10&gt;=Assumptions!$B$81*Assumptions!$B$51)),1,0)</f>
        <v/>
      </c>
      <c r="AY18" s="10">
        <f>IF(OR(AX18=1,AND(Assumptions!$B$79=1,AY$3&gt;=Assumptions!$B$80+Assumptions!$B$48-2,AY$3&gt;=Assumptions!$B$14,AY10&gt;=Assumptions!$B$81*Assumptions!$B$51)),1,0)</f>
        <v/>
      </c>
      <c r="AZ18" s="10">
        <f>IF(OR(AY18=1,AND(Assumptions!$B$79=1,AZ$3&gt;=Assumptions!$B$80+Assumptions!$B$48-2,AZ$3&gt;=Assumptions!$B$14,AZ10&gt;=Assumptions!$B$81*Assumptions!$B$51)),1,0)</f>
        <v/>
      </c>
      <c r="BA18" s="10">
        <f>IF(OR(AZ18=1,AND(Assumptions!$B$79=1,BA$3&gt;=Assumptions!$B$80+Assumptions!$B$48-2,BA$3&gt;=Assumptions!$B$14,BA10&gt;=Assumptions!$B$81*Assumptions!$B$51)),1,0)</f>
        <v/>
      </c>
      <c r="BB18" s="10">
        <f>IF(OR(BA18=1,AND(Assumptions!$B$79=1,BB$3&gt;=Assumptions!$B$80+Assumptions!$B$48-2,BB$3&gt;=Assumptions!$B$14,BB10&gt;=Assumptions!$B$81*Assumptions!$B$51)),1,0)</f>
        <v/>
      </c>
      <c r="BC18" s="10">
        <f>IF(OR(BB18=1,AND(Assumptions!$B$79=1,BC$3&gt;=Assumptions!$B$80+Assumptions!$B$48-2,BC$3&gt;=Assumptions!$B$14,BC10&gt;=Assumptions!$B$81*Assumptions!$B$51)),1,0)</f>
        <v/>
      </c>
      <c r="BD18" s="10">
        <f>IF(OR(BC18=1,AND(Assumptions!$B$79=1,BD$3&gt;=Assumptions!$B$80+Assumptions!$B$48-2,BD$3&gt;=Assumptions!$B$14,BD10&gt;=Assumptions!$B$81*Assumptions!$B$51)),1,0)</f>
        <v/>
      </c>
      <c r="BE18" s="10">
        <f>IF(OR(BD18=1,AND(Assumptions!$B$79=1,BE$3&gt;=Assumptions!$B$80+Assumptions!$B$48-2,BE$3&gt;=Assumptions!$B$14,BE10&gt;=Assumptions!$B$81*Assumptions!$B$51)),1,0)</f>
        <v/>
      </c>
      <c r="BF18" s="10">
        <f>IF(OR(BE18=1,AND(Assumptions!$B$79=1,BF$3&gt;=Assumptions!$B$80+Assumptions!$B$48-2,BF$3&gt;=Assumptions!$B$14,BF10&gt;=Assumptions!$B$81*Assumptions!$B$51)),1,0)</f>
        <v/>
      </c>
      <c r="BG18" s="10">
        <f>IF(OR(BF18=1,AND(Assumptions!$B$79=1,BG$3&gt;=Assumptions!$B$80+Assumptions!$B$48-2,BG$3&gt;=Assumptions!$B$14,BG10&gt;=Assumptions!$B$81*Assumptions!$B$51)),1,0)</f>
        <v/>
      </c>
      <c r="BH18" s="10">
        <f>IF(OR(BG18=1,AND(Assumptions!$B$79=1,BH$3&gt;=Assumptions!$B$80+Assumptions!$B$48-2,BH$3&gt;=Assumptions!$B$14,BH10&gt;=Assumptions!$B$81*Assumptions!$B$51)),1,0)</f>
        <v/>
      </c>
      <c r="BI18" s="10">
        <f>IF(OR(BH18=1,AND(Assumptions!$B$79=1,BI$3&gt;=Assumptions!$B$80+Assumptions!$B$48-2,BI$3&gt;=Assumptions!$B$14,BI10&gt;=Assumptions!$B$81*Assumptions!$B$51)),1,0)</f>
        <v/>
      </c>
      <c r="BJ18" s="10">
        <f>IF(OR(BI18=1,AND(Assumptions!$B$79=1,BJ$3&gt;=Assumptions!$B$80+Assumptions!$B$48-2,BJ$3&gt;=Assumptions!$B$14,BJ10&gt;=Assumptions!$B$81*Assumptions!$B$51)),1,0)</f>
        <v/>
      </c>
    </row>
    <row r="19">
      <c r="A19" s="4" t="inlineStr">
        <is>
          <t>Live: Ghana</t>
        </is>
      </c>
      <c r="B19" s="17" t="inlineStr">
        <is>
          <t>flag</t>
        </is>
      </c>
      <c r="C19" s="10">
        <f>0</f>
        <v/>
      </c>
      <c r="D19" s="10">
        <f>0</f>
        <v/>
      </c>
      <c r="E19" s="10">
        <f>C18</f>
        <v/>
      </c>
      <c r="F19" s="10">
        <f>D18</f>
        <v/>
      </c>
      <c r="G19" s="10">
        <f>E18</f>
        <v/>
      </c>
      <c r="H19" s="10">
        <f>F18</f>
        <v/>
      </c>
      <c r="I19" s="10">
        <f>G18</f>
        <v/>
      </c>
      <c r="J19" s="10">
        <f>H18</f>
        <v/>
      </c>
      <c r="K19" s="10">
        <f>I18</f>
        <v/>
      </c>
      <c r="L19" s="10">
        <f>J18</f>
        <v/>
      </c>
      <c r="M19" s="10">
        <f>K18</f>
        <v/>
      </c>
      <c r="N19" s="10">
        <f>L18</f>
        <v/>
      </c>
      <c r="O19" s="10">
        <f>M18</f>
        <v/>
      </c>
      <c r="P19" s="10">
        <f>N18</f>
        <v/>
      </c>
      <c r="Q19" s="10">
        <f>O18</f>
        <v/>
      </c>
      <c r="R19" s="10">
        <f>P18</f>
        <v/>
      </c>
      <c r="S19" s="10">
        <f>Q18</f>
        <v/>
      </c>
      <c r="T19" s="10">
        <f>R18</f>
        <v/>
      </c>
      <c r="U19" s="10">
        <f>S18</f>
        <v/>
      </c>
      <c r="V19" s="10">
        <f>T18</f>
        <v/>
      </c>
      <c r="W19" s="10">
        <f>U18</f>
        <v/>
      </c>
      <c r="X19" s="10">
        <f>V18</f>
        <v/>
      </c>
      <c r="Y19" s="10">
        <f>W18</f>
        <v/>
      </c>
      <c r="Z19" s="10">
        <f>X18</f>
        <v/>
      </c>
      <c r="AA19" s="10">
        <f>Y18</f>
        <v/>
      </c>
      <c r="AB19" s="10">
        <f>Z18</f>
        <v/>
      </c>
      <c r="AC19" s="10">
        <f>AA18</f>
        <v/>
      </c>
      <c r="AD19" s="10">
        <f>AB18</f>
        <v/>
      </c>
      <c r="AE19" s="10">
        <f>AC18</f>
        <v/>
      </c>
      <c r="AF19" s="10">
        <f>AD18</f>
        <v/>
      </c>
      <c r="AG19" s="10">
        <f>AE18</f>
        <v/>
      </c>
      <c r="AH19" s="10">
        <f>AF18</f>
        <v/>
      </c>
      <c r="AI19" s="10">
        <f>AG18</f>
        <v/>
      </c>
      <c r="AJ19" s="10">
        <f>AH18</f>
        <v/>
      </c>
      <c r="AK19" s="10">
        <f>AI18</f>
        <v/>
      </c>
      <c r="AL19" s="10">
        <f>AJ18</f>
        <v/>
      </c>
      <c r="AM19" s="10">
        <f>AK18</f>
        <v/>
      </c>
      <c r="AN19" s="10">
        <f>AL18</f>
        <v/>
      </c>
      <c r="AO19" s="10">
        <f>AM18</f>
        <v/>
      </c>
      <c r="AP19" s="10">
        <f>AN18</f>
        <v/>
      </c>
      <c r="AQ19" s="10">
        <f>AO18</f>
        <v/>
      </c>
      <c r="AR19" s="10">
        <f>AP18</f>
        <v/>
      </c>
      <c r="AS19" s="10">
        <f>AQ18</f>
        <v/>
      </c>
      <c r="AT19" s="10">
        <f>AR18</f>
        <v/>
      </c>
      <c r="AU19" s="10">
        <f>AS18</f>
        <v/>
      </c>
      <c r="AV19" s="10">
        <f>AT18</f>
        <v/>
      </c>
      <c r="AW19" s="10">
        <f>AU18</f>
        <v/>
      </c>
      <c r="AX19" s="10">
        <f>AV18</f>
        <v/>
      </c>
      <c r="AY19" s="10">
        <f>AW18</f>
        <v/>
      </c>
      <c r="AZ19" s="10">
        <f>AX18</f>
        <v/>
      </c>
      <c r="BA19" s="10">
        <f>AY18</f>
        <v/>
      </c>
      <c r="BB19" s="10">
        <f>AZ18</f>
        <v/>
      </c>
      <c r="BC19" s="10">
        <f>BA18</f>
        <v/>
      </c>
      <c r="BD19" s="10">
        <f>BB18</f>
        <v/>
      </c>
      <c r="BE19" s="10">
        <f>BC18</f>
        <v/>
      </c>
      <c r="BF19" s="10">
        <f>BD18</f>
        <v/>
      </c>
      <c r="BG19" s="10">
        <f>BE18</f>
        <v/>
      </c>
      <c r="BH19" s="10">
        <f>BF18</f>
        <v/>
      </c>
      <c r="BI19" s="10">
        <f>BG18</f>
        <v/>
      </c>
      <c r="BJ19" s="10">
        <f>BH18</f>
        <v/>
      </c>
    </row>
    <row r="20">
      <c r="A20" s="4" t="inlineStr">
        <is>
          <t>Launch decided (country lead hired): Rest of Africa (USD)</t>
        </is>
      </c>
      <c r="B20" s="17" t="inlineStr">
        <is>
          <t>flag</t>
        </is>
      </c>
      <c r="C20" s="10">
        <f>IF(AND(Assumptions!$B$89=1,C$3&gt;=Assumptions!$B$90+Assumptions!$B$48-2,C$3&gt;=Assumptions!$B$14,C10&gt;=Assumptions!$B$91*Assumptions!$B$51),1,0)</f>
        <v/>
      </c>
      <c r="D20" s="10">
        <f>IF(OR(C20=1,AND(Assumptions!$B$89=1,D$3&gt;=Assumptions!$B$90+Assumptions!$B$48-2,D$3&gt;=Assumptions!$B$14,D10&gt;=Assumptions!$B$91*Assumptions!$B$51)),1,0)</f>
        <v/>
      </c>
      <c r="E20" s="10">
        <f>IF(OR(D20=1,AND(Assumptions!$B$89=1,E$3&gt;=Assumptions!$B$90+Assumptions!$B$48-2,E$3&gt;=Assumptions!$B$14,E10&gt;=Assumptions!$B$91*Assumptions!$B$51)),1,0)</f>
        <v/>
      </c>
      <c r="F20" s="10">
        <f>IF(OR(E20=1,AND(Assumptions!$B$89=1,F$3&gt;=Assumptions!$B$90+Assumptions!$B$48-2,F$3&gt;=Assumptions!$B$14,F10&gt;=Assumptions!$B$91*Assumptions!$B$51)),1,0)</f>
        <v/>
      </c>
      <c r="G20" s="10">
        <f>IF(OR(F20=1,AND(Assumptions!$B$89=1,G$3&gt;=Assumptions!$B$90+Assumptions!$B$48-2,G$3&gt;=Assumptions!$B$14,G10&gt;=Assumptions!$B$91*Assumptions!$B$51)),1,0)</f>
        <v/>
      </c>
      <c r="H20" s="10">
        <f>IF(OR(G20=1,AND(Assumptions!$B$89=1,H$3&gt;=Assumptions!$B$90+Assumptions!$B$48-2,H$3&gt;=Assumptions!$B$14,H10&gt;=Assumptions!$B$91*Assumptions!$B$51)),1,0)</f>
        <v/>
      </c>
      <c r="I20" s="10">
        <f>IF(OR(H20=1,AND(Assumptions!$B$89=1,I$3&gt;=Assumptions!$B$90+Assumptions!$B$48-2,I$3&gt;=Assumptions!$B$14,I10&gt;=Assumptions!$B$91*Assumptions!$B$51)),1,0)</f>
        <v/>
      </c>
      <c r="J20" s="10">
        <f>IF(OR(I20=1,AND(Assumptions!$B$89=1,J$3&gt;=Assumptions!$B$90+Assumptions!$B$48-2,J$3&gt;=Assumptions!$B$14,J10&gt;=Assumptions!$B$91*Assumptions!$B$51)),1,0)</f>
        <v/>
      </c>
      <c r="K20" s="10">
        <f>IF(OR(J20=1,AND(Assumptions!$B$89=1,K$3&gt;=Assumptions!$B$90+Assumptions!$B$48-2,K$3&gt;=Assumptions!$B$14,K10&gt;=Assumptions!$B$91*Assumptions!$B$51)),1,0)</f>
        <v/>
      </c>
      <c r="L20" s="10">
        <f>IF(OR(K20=1,AND(Assumptions!$B$89=1,L$3&gt;=Assumptions!$B$90+Assumptions!$B$48-2,L$3&gt;=Assumptions!$B$14,L10&gt;=Assumptions!$B$91*Assumptions!$B$51)),1,0)</f>
        <v/>
      </c>
      <c r="M20" s="10">
        <f>IF(OR(L20=1,AND(Assumptions!$B$89=1,M$3&gt;=Assumptions!$B$90+Assumptions!$B$48-2,M$3&gt;=Assumptions!$B$14,M10&gt;=Assumptions!$B$91*Assumptions!$B$51)),1,0)</f>
        <v/>
      </c>
      <c r="N20" s="10">
        <f>IF(OR(M20=1,AND(Assumptions!$B$89=1,N$3&gt;=Assumptions!$B$90+Assumptions!$B$48-2,N$3&gt;=Assumptions!$B$14,N10&gt;=Assumptions!$B$91*Assumptions!$B$51)),1,0)</f>
        <v/>
      </c>
      <c r="O20" s="10">
        <f>IF(OR(N20=1,AND(Assumptions!$B$89=1,O$3&gt;=Assumptions!$B$90+Assumptions!$B$48-2,O$3&gt;=Assumptions!$B$14,O10&gt;=Assumptions!$B$91*Assumptions!$B$51)),1,0)</f>
        <v/>
      </c>
      <c r="P20" s="10">
        <f>IF(OR(O20=1,AND(Assumptions!$B$89=1,P$3&gt;=Assumptions!$B$90+Assumptions!$B$48-2,P$3&gt;=Assumptions!$B$14,P10&gt;=Assumptions!$B$91*Assumptions!$B$51)),1,0)</f>
        <v/>
      </c>
      <c r="Q20" s="10">
        <f>IF(OR(P20=1,AND(Assumptions!$B$89=1,Q$3&gt;=Assumptions!$B$90+Assumptions!$B$48-2,Q$3&gt;=Assumptions!$B$14,Q10&gt;=Assumptions!$B$91*Assumptions!$B$51)),1,0)</f>
        <v/>
      </c>
      <c r="R20" s="10">
        <f>IF(OR(Q20=1,AND(Assumptions!$B$89=1,R$3&gt;=Assumptions!$B$90+Assumptions!$B$48-2,R$3&gt;=Assumptions!$B$14,R10&gt;=Assumptions!$B$91*Assumptions!$B$51)),1,0)</f>
        <v/>
      </c>
      <c r="S20" s="10">
        <f>IF(OR(R20=1,AND(Assumptions!$B$89=1,S$3&gt;=Assumptions!$B$90+Assumptions!$B$48-2,S$3&gt;=Assumptions!$B$14,S10&gt;=Assumptions!$B$91*Assumptions!$B$51)),1,0)</f>
        <v/>
      </c>
      <c r="T20" s="10">
        <f>IF(OR(S20=1,AND(Assumptions!$B$89=1,T$3&gt;=Assumptions!$B$90+Assumptions!$B$48-2,T$3&gt;=Assumptions!$B$14,T10&gt;=Assumptions!$B$91*Assumptions!$B$51)),1,0)</f>
        <v/>
      </c>
      <c r="U20" s="10">
        <f>IF(OR(T20=1,AND(Assumptions!$B$89=1,U$3&gt;=Assumptions!$B$90+Assumptions!$B$48-2,U$3&gt;=Assumptions!$B$14,U10&gt;=Assumptions!$B$91*Assumptions!$B$51)),1,0)</f>
        <v/>
      </c>
      <c r="V20" s="10">
        <f>IF(OR(U20=1,AND(Assumptions!$B$89=1,V$3&gt;=Assumptions!$B$90+Assumptions!$B$48-2,V$3&gt;=Assumptions!$B$14,V10&gt;=Assumptions!$B$91*Assumptions!$B$51)),1,0)</f>
        <v/>
      </c>
      <c r="W20" s="10">
        <f>IF(OR(V20=1,AND(Assumptions!$B$89=1,W$3&gt;=Assumptions!$B$90+Assumptions!$B$48-2,W$3&gt;=Assumptions!$B$14,W10&gt;=Assumptions!$B$91*Assumptions!$B$51)),1,0)</f>
        <v/>
      </c>
      <c r="X20" s="10">
        <f>IF(OR(W20=1,AND(Assumptions!$B$89=1,X$3&gt;=Assumptions!$B$90+Assumptions!$B$48-2,X$3&gt;=Assumptions!$B$14,X10&gt;=Assumptions!$B$91*Assumptions!$B$51)),1,0)</f>
        <v/>
      </c>
      <c r="Y20" s="10">
        <f>IF(OR(X20=1,AND(Assumptions!$B$89=1,Y$3&gt;=Assumptions!$B$90+Assumptions!$B$48-2,Y$3&gt;=Assumptions!$B$14,Y10&gt;=Assumptions!$B$91*Assumptions!$B$51)),1,0)</f>
        <v/>
      </c>
      <c r="Z20" s="10">
        <f>IF(OR(Y20=1,AND(Assumptions!$B$89=1,Z$3&gt;=Assumptions!$B$90+Assumptions!$B$48-2,Z$3&gt;=Assumptions!$B$14,Z10&gt;=Assumptions!$B$91*Assumptions!$B$51)),1,0)</f>
        <v/>
      </c>
      <c r="AA20" s="10">
        <f>IF(OR(Z20=1,AND(Assumptions!$B$89=1,AA$3&gt;=Assumptions!$B$90+Assumptions!$B$48-2,AA$3&gt;=Assumptions!$B$14,AA10&gt;=Assumptions!$B$91*Assumptions!$B$51)),1,0)</f>
        <v/>
      </c>
      <c r="AB20" s="10">
        <f>IF(OR(AA20=1,AND(Assumptions!$B$89=1,AB$3&gt;=Assumptions!$B$90+Assumptions!$B$48-2,AB$3&gt;=Assumptions!$B$14,AB10&gt;=Assumptions!$B$91*Assumptions!$B$51)),1,0)</f>
        <v/>
      </c>
      <c r="AC20" s="10">
        <f>IF(OR(AB20=1,AND(Assumptions!$B$89=1,AC$3&gt;=Assumptions!$B$90+Assumptions!$B$48-2,AC$3&gt;=Assumptions!$B$14,AC10&gt;=Assumptions!$B$91*Assumptions!$B$51)),1,0)</f>
        <v/>
      </c>
      <c r="AD20" s="10">
        <f>IF(OR(AC20=1,AND(Assumptions!$B$89=1,AD$3&gt;=Assumptions!$B$90+Assumptions!$B$48-2,AD$3&gt;=Assumptions!$B$14,AD10&gt;=Assumptions!$B$91*Assumptions!$B$51)),1,0)</f>
        <v/>
      </c>
      <c r="AE20" s="10">
        <f>IF(OR(AD20=1,AND(Assumptions!$B$89=1,AE$3&gt;=Assumptions!$B$90+Assumptions!$B$48-2,AE$3&gt;=Assumptions!$B$14,AE10&gt;=Assumptions!$B$91*Assumptions!$B$51)),1,0)</f>
        <v/>
      </c>
      <c r="AF20" s="10">
        <f>IF(OR(AE20=1,AND(Assumptions!$B$89=1,AF$3&gt;=Assumptions!$B$90+Assumptions!$B$48-2,AF$3&gt;=Assumptions!$B$14,AF10&gt;=Assumptions!$B$91*Assumptions!$B$51)),1,0)</f>
        <v/>
      </c>
      <c r="AG20" s="10">
        <f>IF(OR(AF20=1,AND(Assumptions!$B$89=1,AG$3&gt;=Assumptions!$B$90+Assumptions!$B$48-2,AG$3&gt;=Assumptions!$B$14,AG10&gt;=Assumptions!$B$91*Assumptions!$B$51)),1,0)</f>
        <v/>
      </c>
      <c r="AH20" s="10">
        <f>IF(OR(AG20=1,AND(Assumptions!$B$89=1,AH$3&gt;=Assumptions!$B$90+Assumptions!$B$48-2,AH$3&gt;=Assumptions!$B$14,AH10&gt;=Assumptions!$B$91*Assumptions!$B$51)),1,0)</f>
        <v/>
      </c>
      <c r="AI20" s="10">
        <f>IF(OR(AH20=1,AND(Assumptions!$B$89=1,AI$3&gt;=Assumptions!$B$90+Assumptions!$B$48-2,AI$3&gt;=Assumptions!$B$14,AI10&gt;=Assumptions!$B$91*Assumptions!$B$51)),1,0)</f>
        <v/>
      </c>
      <c r="AJ20" s="10">
        <f>IF(OR(AI20=1,AND(Assumptions!$B$89=1,AJ$3&gt;=Assumptions!$B$90+Assumptions!$B$48-2,AJ$3&gt;=Assumptions!$B$14,AJ10&gt;=Assumptions!$B$91*Assumptions!$B$51)),1,0)</f>
        <v/>
      </c>
      <c r="AK20" s="10">
        <f>IF(OR(AJ20=1,AND(Assumptions!$B$89=1,AK$3&gt;=Assumptions!$B$90+Assumptions!$B$48-2,AK$3&gt;=Assumptions!$B$14,AK10&gt;=Assumptions!$B$91*Assumptions!$B$51)),1,0)</f>
        <v/>
      </c>
      <c r="AL20" s="10">
        <f>IF(OR(AK20=1,AND(Assumptions!$B$89=1,AL$3&gt;=Assumptions!$B$90+Assumptions!$B$48-2,AL$3&gt;=Assumptions!$B$14,AL10&gt;=Assumptions!$B$91*Assumptions!$B$51)),1,0)</f>
        <v/>
      </c>
      <c r="AM20" s="10">
        <f>IF(OR(AL20=1,AND(Assumptions!$B$89=1,AM$3&gt;=Assumptions!$B$90+Assumptions!$B$48-2,AM$3&gt;=Assumptions!$B$14,AM10&gt;=Assumptions!$B$91*Assumptions!$B$51)),1,0)</f>
        <v/>
      </c>
      <c r="AN20" s="10">
        <f>IF(OR(AM20=1,AND(Assumptions!$B$89=1,AN$3&gt;=Assumptions!$B$90+Assumptions!$B$48-2,AN$3&gt;=Assumptions!$B$14,AN10&gt;=Assumptions!$B$91*Assumptions!$B$51)),1,0)</f>
        <v/>
      </c>
      <c r="AO20" s="10">
        <f>IF(OR(AN20=1,AND(Assumptions!$B$89=1,AO$3&gt;=Assumptions!$B$90+Assumptions!$B$48-2,AO$3&gt;=Assumptions!$B$14,AO10&gt;=Assumptions!$B$91*Assumptions!$B$51)),1,0)</f>
        <v/>
      </c>
      <c r="AP20" s="10">
        <f>IF(OR(AO20=1,AND(Assumptions!$B$89=1,AP$3&gt;=Assumptions!$B$90+Assumptions!$B$48-2,AP$3&gt;=Assumptions!$B$14,AP10&gt;=Assumptions!$B$91*Assumptions!$B$51)),1,0)</f>
        <v/>
      </c>
      <c r="AQ20" s="10">
        <f>IF(OR(AP20=1,AND(Assumptions!$B$89=1,AQ$3&gt;=Assumptions!$B$90+Assumptions!$B$48-2,AQ$3&gt;=Assumptions!$B$14,AQ10&gt;=Assumptions!$B$91*Assumptions!$B$51)),1,0)</f>
        <v/>
      </c>
      <c r="AR20" s="10">
        <f>IF(OR(AQ20=1,AND(Assumptions!$B$89=1,AR$3&gt;=Assumptions!$B$90+Assumptions!$B$48-2,AR$3&gt;=Assumptions!$B$14,AR10&gt;=Assumptions!$B$91*Assumptions!$B$51)),1,0)</f>
        <v/>
      </c>
      <c r="AS20" s="10">
        <f>IF(OR(AR20=1,AND(Assumptions!$B$89=1,AS$3&gt;=Assumptions!$B$90+Assumptions!$B$48-2,AS$3&gt;=Assumptions!$B$14,AS10&gt;=Assumptions!$B$91*Assumptions!$B$51)),1,0)</f>
        <v/>
      </c>
      <c r="AT20" s="10">
        <f>IF(OR(AS20=1,AND(Assumptions!$B$89=1,AT$3&gt;=Assumptions!$B$90+Assumptions!$B$48-2,AT$3&gt;=Assumptions!$B$14,AT10&gt;=Assumptions!$B$91*Assumptions!$B$51)),1,0)</f>
        <v/>
      </c>
      <c r="AU20" s="10">
        <f>IF(OR(AT20=1,AND(Assumptions!$B$89=1,AU$3&gt;=Assumptions!$B$90+Assumptions!$B$48-2,AU$3&gt;=Assumptions!$B$14,AU10&gt;=Assumptions!$B$91*Assumptions!$B$51)),1,0)</f>
        <v/>
      </c>
      <c r="AV20" s="10">
        <f>IF(OR(AU20=1,AND(Assumptions!$B$89=1,AV$3&gt;=Assumptions!$B$90+Assumptions!$B$48-2,AV$3&gt;=Assumptions!$B$14,AV10&gt;=Assumptions!$B$91*Assumptions!$B$51)),1,0)</f>
        <v/>
      </c>
      <c r="AW20" s="10">
        <f>IF(OR(AV20=1,AND(Assumptions!$B$89=1,AW$3&gt;=Assumptions!$B$90+Assumptions!$B$48-2,AW$3&gt;=Assumptions!$B$14,AW10&gt;=Assumptions!$B$91*Assumptions!$B$51)),1,0)</f>
        <v/>
      </c>
      <c r="AX20" s="10">
        <f>IF(OR(AW20=1,AND(Assumptions!$B$89=1,AX$3&gt;=Assumptions!$B$90+Assumptions!$B$48-2,AX$3&gt;=Assumptions!$B$14,AX10&gt;=Assumptions!$B$91*Assumptions!$B$51)),1,0)</f>
        <v/>
      </c>
      <c r="AY20" s="10">
        <f>IF(OR(AX20=1,AND(Assumptions!$B$89=1,AY$3&gt;=Assumptions!$B$90+Assumptions!$B$48-2,AY$3&gt;=Assumptions!$B$14,AY10&gt;=Assumptions!$B$91*Assumptions!$B$51)),1,0)</f>
        <v/>
      </c>
      <c r="AZ20" s="10">
        <f>IF(OR(AY20=1,AND(Assumptions!$B$89=1,AZ$3&gt;=Assumptions!$B$90+Assumptions!$B$48-2,AZ$3&gt;=Assumptions!$B$14,AZ10&gt;=Assumptions!$B$91*Assumptions!$B$51)),1,0)</f>
        <v/>
      </c>
      <c r="BA20" s="10">
        <f>IF(OR(AZ20=1,AND(Assumptions!$B$89=1,BA$3&gt;=Assumptions!$B$90+Assumptions!$B$48-2,BA$3&gt;=Assumptions!$B$14,BA10&gt;=Assumptions!$B$91*Assumptions!$B$51)),1,0)</f>
        <v/>
      </c>
      <c r="BB20" s="10">
        <f>IF(OR(BA20=1,AND(Assumptions!$B$89=1,BB$3&gt;=Assumptions!$B$90+Assumptions!$B$48-2,BB$3&gt;=Assumptions!$B$14,BB10&gt;=Assumptions!$B$91*Assumptions!$B$51)),1,0)</f>
        <v/>
      </c>
      <c r="BC20" s="10">
        <f>IF(OR(BB20=1,AND(Assumptions!$B$89=1,BC$3&gt;=Assumptions!$B$90+Assumptions!$B$48-2,BC$3&gt;=Assumptions!$B$14,BC10&gt;=Assumptions!$B$91*Assumptions!$B$51)),1,0)</f>
        <v/>
      </c>
      <c r="BD20" s="10">
        <f>IF(OR(BC20=1,AND(Assumptions!$B$89=1,BD$3&gt;=Assumptions!$B$90+Assumptions!$B$48-2,BD$3&gt;=Assumptions!$B$14,BD10&gt;=Assumptions!$B$91*Assumptions!$B$51)),1,0)</f>
        <v/>
      </c>
      <c r="BE20" s="10">
        <f>IF(OR(BD20=1,AND(Assumptions!$B$89=1,BE$3&gt;=Assumptions!$B$90+Assumptions!$B$48-2,BE$3&gt;=Assumptions!$B$14,BE10&gt;=Assumptions!$B$91*Assumptions!$B$51)),1,0)</f>
        <v/>
      </c>
      <c r="BF20" s="10">
        <f>IF(OR(BE20=1,AND(Assumptions!$B$89=1,BF$3&gt;=Assumptions!$B$90+Assumptions!$B$48-2,BF$3&gt;=Assumptions!$B$14,BF10&gt;=Assumptions!$B$91*Assumptions!$B$51)),1,0)</f>
        <v/>
      </c>
      <c r="BG20" s="10">
        <f>IF(OR(BF20=1,AND(Assumptions!$B$89=1,BG$3&gt;=Assumptions!$B$90+Assumptions!$B$48-2,BG$3&gt;=Assumptions!$B$14,BG10&gt;=Assumptions!$B$91*Assumptions!$B$51)),1,0)</f>
        <v/>
      </c>
      <c r="BH20" s="10">
        <f>IF(OR(BG20=1,AND(Assumptions!$B$89=1,BH$3&gt;=Assumptions!$B$90+Assumptions!$B$48-2,BH$3&gt;=Assumptions!$B$14,BH10&gt;=Assumptions!$B$91*Assumptions!$B$51)),1,0)</f>
        <v/>
      </c>
      <c r="BI20" s="10">
        <f>IF(OR(BH20=1,AND(Assumptions!$B$89=1,BI$3&gt;=Assumptions!$B$90+Assumptions!$B$48-2,BI$3&gt;=Assumptions!$B$14,BI10&gt;=Assumptions!$B$91*Assumptions!$B$51)),1,0)</f>
        <v/>
      </c>
      <c r="BJ20" s="10">
        <f>IF(OR(BI20=1,AND(Assumptions!$B$89=1,BJ$3&gt;=Assumptions!$B$90+Assumptions!$B$48-2,BJ$3&gt;=Assumptions!$B$14,BJ10&gt;=Assumptions!$B$91*Assumptions!$B$51)),1,0)</f>
        <v/>
      </c>
    </row>
    <row r="21">
      <c r="A21" s="4" t="inlineStr">
        <is>
          <t>Live: Rest of Africa (USD)</t>
        </is>
      </c>
      <c r="B21" s="17" t="inlineStr">
        <is>
          <t>flag</t>
        </is>
      </c>
      <c r="C21" s="10">
        <f>0</f>
        <v/>
      </c>
      <c r="D21" s="10">
        <f>0</f>
        <v/>
      </c>
      <c r="E21" s="10">
        <f>C20</f>
        <v/>
      </c>
      <c r="F21" s="10">
        <f>D20</f>
        <v/>
      </c>
      <c r="G21" s="10">
        <f>E20</f>
        <v/>
      </c>
      <c r="H21" s="10">
        <f>F20</f>
        <v/>
      </c>
      <c r="I21" s="10">
        <f>G20</f>
        <v/>
      </c>
      <c r="J21" s="10">
        <f>H20</f>
        <v/>
      </c>
      <c r="K21" s="10">
        <f>I20</f>
        <v/>
      </c>
      <c r="L21" s="10">
        <f>J20</f>
        <v/>
      </c>
      <c r="M21" s="10">
        <f>K20</f>
        <v/>
      </c>
      <c r="N21" s="10">
        <f>L20</f>
        <v/>
      </c>
      <c r="O21" s="10">
        <f>M20</f>
        <v/>
      </c>
      <c r="P21" s="10">
        <f>N20</f>
        <v/>
      </c>
      <c r="Q21" s="10">
        <f>O20</f>
        <v/>
      </c>
      <c r="R21" s="10">
        <f>P20</f>
        <v/>
      </c>
      <c r="S21" s="10">
        <f>Q20</f>
        <v/>
      </c>
      <c r="T21" s="10">
        <f>R20</f>
        <v/>
      </c>
      <c r="U21" s="10">
        <f>S20</f>
        <v/>
      </c>
      <c r="V21" s="10">
        <f>T20</f>
        <v/>
      </c>
      <c r="W21" s="10">
        <f>U20</f>
        <v/>
      </c>
      <c r="X21" s="10">
        <f>V20</f>
        <v/>
      </c>
      <c r="Y21" s="10">
        <f>W20</f>
        <v/>
      </c>
      <c r="Z21" s="10">
        <f>X20</f>
        <v/>
      </c>
      <c r="AA21" s="10">
        <f>Y20</f>
        <v/>
      </c>
      <c r="AB21" s="10">
        <f>Z20</f>
        <v/>
      </c>
      <c r="AC21" s="10">
        <f>AA20</f>
        <v/>
      </c>
      <c r="AD21" s="10">
        <f>AB20</f>
        <v/>
      </c>
      <c r="AE21" s="10">
        <f>AC20</f>
        <v/>
      </c>
      <c r="AF21" s="10">
        <f>AD20</f>
        <v/>
      </c>
      <c r="AG21" s="10">
        <f>AE20</f>
        <v/>
      </c>
      <c r="AH21" s="10">
        <f>AF20</f>
        <v/>
      </c>
      <c r="AI21" s="10">
        <f>AG20</f>
        <v/>
      </c>
      <c r="AJ21" s="10">
        <f>AH20</f>
        <v/>
      </c>
      <c r="AK21" s="10">
        <f>AI20</f>
        <v/>
      </c>
      <c r="AL21" s="10">
        <f>AJ20</f>
        <v/>
      </c>
      <c r="AM21" s="10">
        <f>AK20</f>
        <v/>
      </c>
      <c r="AN21" s="10">
        <f>AL20</f>
        <v/>
      </c>
      <c r="AO21" s="10">
        <f>AM20</f>
        <v/>
      </c>
      <c r="AP21" s="10">
        <f>AN20</f>
        <v/>
      </c>
      <c r="AQ21" s="10">
        <f>AO20</f>
        <v/>
      </c>
      <c r="AR21" s="10">
        <f>AP20</f>
        <v/>
      </c>
      <c r="AS21" s="10">
        <f>AQ20</f>
        <v/>
      </c>
      <c r="AT21" s="10">
        <f>AR20</f>
        <v/>
      </c>
      <c r="AU21" s="10">
        <f>AS20</f>
        <v/>
      </c>
      <c r="AV21" s="10">
        <f>AT20</f>
        <v/>
      </c>
      <c r="AW21" s="10">
        <f>AU20</f>
        <v/>
      </c>
      <c r="AX21" s="10">
        <f>AV20</f>
        <v/>
      </c>
      <c r="AY21" s="10">
        <f>AW20</f>
        <v/>
      </c>
      <c r="AZ21" s="10">
        <f>AX20</f>
        <v/>
      </c>
      <c r="BA21" s="10">
        <f>AY20</f>
        <v/>
      </c>
      <c r="BB21" s="10">
        <f>AZ20</f>
        <v/>
      </c>
      <c r="BC21" s="10">
        <f>BA20</f>
        <v/>
      </c>
      <c r="BD21" s="10">
        <f>BB20</f>
        <v/>
      </c>
      <c r="BE21" s="10">
        <f>BC20</f>
        <v/>
      </c>
      <c r="BF21" s="10">
        <f>BD20</f>
        <v/>
      </c>
      <c r="BG21" s="10">
        <f>BE20</f>
        <v/>
      </c>
      <c r="BH21" s="10">
        <f>BF20</f>
        <v/>
      </c>
      <c r="BI21" s="10">
        <f>BG20</f>
        <v/>
      </c>
      <c r="BJ21" s="10">
        <f>BH20</f>
        <v/>
      </c>
    </row>
    <row r="22">
      <c r="A22" s="4" t="inlineStr">
        <is>
          <t>Launch decided (country lead hired): Botswana &amp; Namibia</t>
        </is>
      </c>
      <c r="B22" s="17" t="inlineStr">
        <is>
          <t>flag</t>
        </is>
      </c>
      <c r="C22" s="10">
        <f>IF(AND(Assumptions!$B$97=1,C$3&gt;=Assumptions!$B$98+Assumptions!$B$48-2,C$3&gt;=Assumptions!$B$14,C10&gt;=Assumptions!$B$99*Assumptions!$B$51),1,0)</f>
        <v/>
      </c>
      <c r="D22" s="10">
        <f>IF(OR(C22=1,AND(Assumptions!$B$97=1,D$3&gt;=Assumptions!$B$98+Assumptions!$B$48-2,D$3&gt;=Assumptions!$B$14,D10&gt;=Assumptions!$B$99*Assumptions!$B$51)),1,0)</f>
        <v/>
      </c>
      <c r="E22" s="10">
        <f>IF(OR(D22=1,AND(Assumptions!$B$97=1,E$3&gt;=Assumptions!$B$98+Assumptions!$B$48-2,E$3&gt;=Assumptions!$B$14,E10&gt;=Assumptions!$B$99*Assumptions!$B$51)),1,0)</f>
        <v/>
      </c>
      <c r="F22" s="10">
        <f>IF(OR(E22=1,AND(Assumptions!$B$97=1,F$3&gt;=Assumptions!$B$98+Assumptions!$B$48-2,F$3&gt;=Assumptions!$B$14,F10&gt;=Assumptions!$B$99*Assumptions!$B$51)),1,0)</f>
        <v/>
      </c>
      <c r="G22" s="10">
        <f>IF(OR(F22=1,AND(Assumptions!$B$97=1,G$3&gt;=Assumptions!$B$98+Assumptions!$B$48-2,G$3&gt;=Assumptions!$B$14,G10&gt;=Assumptions!$B$99*Assumptions!$B$51)),1,0)</f>
        <v/>
      </c>
      <c r="H22" s="10">
        <f>IF(OR(G22=1,AND(Assumptions!$B$97=1,H$3&gt;=Assumptions!$B$98+Assumptions!$B$48-2,H$3&gt;=Assumptions!$B$14,H10&gt;=Assumptions!$B$99*Assumptions!$B$51)),1,0)</f>
        <v/>
      </c>
      <c r="I22" s="10">
        <f>IF(OR(H22=1,AND(Assumptions!$B$97=1,I$3&gt;=Assumptions!$B$98+Assumptions!$B$48-2,I$3&gt;=Assumptions!$B$14,I10&gt;=Assumptions!$B$99*Assumptions!$B$51)),1,0)</f>
        <v/>
      </c>
      <c r="J22" s="10">
        <f>IF(OR(I22=1,AND(Assumptions!$B$97=1,J$3&gt;=Assumptions!$B$98+Assumptions!$B$48-2,J$3&gt;=Assumptions!$B$14,J10&gt;=Assumptions!$B$99*Assumptions!$B$51)),1,0)</f>
        <v/>
      </c>
      <c r="K22" s="10">
        <f>IF(OR(J22=1,AND(Assumptions!$B$97=1,K$3&gt;=Assumptions!$B$98+Assumptions!$B$48-2,K$3&gt;=Assumptions!$B$14,K10&gt;=Assumptions!$B$99*Assumptions!$B$51)),1,0)</f>
        <v/>
      </c>
      <c r="L22" s="10">
        <f>IF(OR(K22=1,AND(Assumptions!$B$97=1,L$3&gt;=Assumptions!$B$98+Assumptions!$B$48-2,L$3&gt;=Assumptions!$B$14,L10&gt;=Assumptions!$B$99*Assumptions!$B$51)),1,0)</f>
        <v/>
      </c>
      <c r="M22" s="10">
        <f>IF(OR(L22=1,AND(Assumptions!$B$97=1,M$3&gt;=Assumptions!$B$98+Assumptions!$B$48-2,M$3&gt;=Assumptions!$B$14,M10&gt;=Assumptions!$B$99*Assumptions!$B$51)),1,0)</f>
        <v/>
      </c>
      <c r="N22" s="10">
        <f>IF(OR(M22=1,AND(Assumptions!$B$97=1,N$3&gt;=Assumptions!$B$98+Assumptions!$B$48-2,N$3&gt;=Assumptions!$B$14,N10&gt;=Assumptions!$B$99*Assumptions!$B$51)),1,0)</f>
        <v/>
      </c>
      <c r="O22" s="10">
        <f>IF(OR(N22=1,AND(Assumptions!$B$97=1,O$3&gt;=Assumptions!$B$98+Assumptions!$B$48-2,O$3&gt;=Assumptions!$B$14,O10&gt;=Assumptions!$B$99*Assumptions!$B$51)),1,0)</f>
        <v/>
      </c>
      <c r="P22" s="10">
        <f>IF(OR(O22=1,AND(Assumptions!$B$97=1,P$3&gt;=Assumptions!$B$98+Assumptions!$B$48-2,P$3&gt;=Assumptions!$B$14,P10&gt;=Assumptions!$B$99*Assumptions!$B$51)),1,0)</f>
        <v/>
      </c>
      <c r="Q22" s="10">
        <f>IF(OR(P22=1,AND(Assumptions!$B$97=1,Q$3&gt;=Assumptions!$B$98+Assumptions!$B$48-2,Q$3&gt;=Assumptions!$B$14,Q10&gt;=Assumptions!$B$99*Assumptions!$B$51)),1,0)</f>
        <v/>
      </c>
      <c r="R22" s="10">
        <f>IF(OR(Q22=1,AND(Assumptions!$B$97=1,R$3&gt;=Assumptions!$B$98+Assumptions!$B$48-2,R$3&gt;=Assumptions!$B$14,R10&gt;=Assumptions!$B$99*Assumptions!$B$51)),1,0)</f>
        <v/>
      </c>
      <c r="S22" s="10">
        <f>IF(OR(R22=1,AND(Assumptions!$B$97=1,S$3&gt;=Assumptions!$B$98+Assumptions!$B$48-2,S$3&gt;=Assumptions!$B$14,S10&gt;=Assumptions!$B$99*Assumptions!$B$51)),1,0)</f>
        <v/>
      </c>
      <c r="T22" s="10">
        <f>IF(OR(S22=1,AND(Assumptions!$B$97=1,T$3&gt;=Assumptions!$B$98+Assumptions!$B$48-2,T$3&gt;=Assumptions!$B$14,T10&gt;=Assumptions!$B$99*Assumptions!$B$51)),1,0)</f>
        <v/>
      </c>
      <c r="U22" s="10">
        <f>IF(OR(T22=1,AND(Assumptions!$B$97=1,U$3&gt;=Assumptions!$B$98+Assumptions!$B$48-2,U$3&gt;=Assumptions!$B$14,U10&gt;=Assumptions!$B$99*Assumptions!$B$51)),1,0)</f>
        <v/>
      </c>
      <c r="V22" s="10">
        <f>IF(OR(U22=1,AND(Assumptions!$B$97=1,V$3&gt;=Assumptions!$B$98+Assumptions!$B$48-2,V$3&gt;=Assumptions!$B$14,V10&gt;=Assumptions!$B$99*Assumptions!$B$51)),1,0)</f>
        <v/>
      </c>
      <c r="W22" s="10">
        <f>IF(OR(V22=1,AND(Assumptions!$B$97=1,W$3&gt;=Assumptions!$B$98+Assumptions!$B$48-2,W$3&gt;=Assumptions!$B$14,W10&gt;=Assumptions!$B$99*Assumptions!$B$51)),1,0)</f>
        <v/>
      </c>
      <c r="X22" s="10">
        <f>IF(OR(W22=1,AND(Assumptions!$B$97=1,X$3&gt;=Assumptions!$B$98+Assumptions!$B$48-2,X$3&gt;=Assumptions!$B$14,X10&gt;=Assumptions!$B$99*Assumptions!$B$51)),1,0)</f>
        <v/>
      </c>
      <c r="Y22" s="10">
        <f>IF(OR(X22=1,AND(Assumptions!$B$97=1,Y$3&gt;=Assumptions!$B$98+Assumptions!$B$48-2,Y$3&gt;=Assumptions!$B$14,Y10&gt;=Assumptions!$B$99*Assumptions!$B$51)),1,0)</f>
        <v/>
      </c>
      <c r="Z22" s="10">
        <f>IF(OR(Y22=1,AND(Assumptions!$B$97=1,Z$3&gt;=Assumptions!$B$98+Assumptions!$B$48-2,Z$3&gt;=Assumptions!$B$14,Z10&gt;=Assumptions!$B$99*Assumptions!$B$51)),1,0)</f>
        <v/>
      </c>
      <c r="AA22" s="10">
        <f>IF(OR(Z22=1,AND(Assumptions!$B$97=1,AA$3&gt;=Assumptions!$B$98+Assumptions!$B$48-2,AA$3&gt;=Assumptions!$B$14,AA10&gt;=Assumptions!$B$99*Assumptions!$B$51)),1,0)</f>
        <v/>
      </c>
      <c r="AB22" s="10">
        <f>IF(OR(AA22=1,AND(Assumptions!$B$97=1,AB$3&gt;=Assumptions!$B$98+Assumptions!$B$48-2,AB$3&gt;=Assumptions!$B$14,AB10&gt;=Assumptions!$B$99*Assumptions!$B$51)),1,0)</f>
        <v/>
      </c>
      <c r="AC22" s="10">
        <f>IF(OR(AB22=1,AND(Assumptions!$B$97=1,AC$3&gt;=Assumptions!$B$98+Assumptions!$B$48-2,AC$3&gt;=Assumptions!$B$14,AC10&gt;=Assumptions!$B$99*Assumptions!$B$51)),1,0)</f>
        <v/>
      </c>
      <c r="AD22" s="10">
        <f>IF(OR(AC22=1,AND(Assumptions!$B$97=1,AD$3&gt;=Assumptions!$B$98+Assumptions!$B$48-2,AD$3&gt;=Assumptions!$B$14,AD10&gt;=Assumptions!$B$99*Assumptions!$B$51)),1,0)</f>
        <v/>
      </c>
      <c r="AE22" s="10">
        <f>IF(OR(AD22=1,AND(Assumptions!$B$97=1,AE$3&gt;=Assumptions!$B$98+Assumptions!$B$48-2,AE$3&gt;=Assumptions!$B$14,AE10&gt;=Assumptions!$B$99*Assumptions!$B$51)),1,0)</f>
        <v/>
      </c>
      <c r="AF22" s="10">
        <f>IF(OR(AE22=1,AND(Assumptions!$B$97=1,AF$3&gt;=Assumptions!$B$98+Assumptions!$B$48-2,AF$3&gt;=Assumptions!$B$14,AF10&gt;=Assumptions!$B$99*Assumptions!$B$51)),1,0)</f>
        <v/>
      </c>
      <c r="AG22" s="10">
        <f>IF(OR(AF22=1,AND(Assumptions!$B$97=1,AG$3&gt;=Assumptions!$B$98+Assumptions!$B$48-2,AG$3&gt;=Assumptions!$B$14,AG10&gt;=Assumptions!$B$99*Assumptions!$B$51)),1,0)</f>
        <v/>
      </c>
      <c r="AH22" s="10">
        <f>IF(OR(AG22=1,AND(Assumptions!$B$97=1,AH$3&gt;=Assumptions!$B$98+Assumptions!$B$48-2,AH$3&gt;=Assumptions!$B$14,AH10&gt;=Assumptions!$B$99*Assumptions!$B$51)),1,0)</f>
        <v/>
      </c>
      <c r="AI22" s="10">
        <f>IF(OR(AH22=1,AND(Assumptions!$B$97=1,AI$3&gt;=Assumptions!$B$98+Assumptions!$B$48-2,AI$3&gt;=Assumptions!$B$14,AI10&gt;=Assumptions!$B$99*Assumptions!$B$51)),1,0)</f>
        <v/>
      </c>
      <c r="AJ22" s="10">
        <f>IF(OR(AI22=1,AND(Assumptions!$B$97=1,AJ$3&gt;=Assumptions!$B$98+Assumptions!$B$48-2,AJ$3&gt;=Assumptions!$B$14,AJ10&gt;=Assumptions!$B$99*Assumptions!$B$51)),1,0)</f>
        <v/>
      </c>
      <c r="AK22" s="10">
        <f>IF(OR(AJ22=1,AND(Assumptions!$B$97=1,AK$3&gt;=Assumptions!$B$98+Assumptions!$B$48-2,AK$3&gt;=Assumptions!$B$14,AK10&gt;=Assumptions!$B$99*Assumptions!$B$51)),1,0)</f>
        <v/>
      </c>
      <c r="AL22" s="10">
        <f>IF(OR(AK22=1,AND(Assumptions!$B$97=1,AL$3&gt;=Assumptions!$B$98+Assumptions!$B$48-2,AL$3&gt;=Assumptions!$B$14,AL10&gt;=Assumptions!$B$99*Assumptions!$B$51)),1,0)</f>
        <v/>
      </c>
      <c r="AM22" s="10">
        <f>IF(OR(AL22=1,AND(Assumptions!$B$97=1,AM$3&gt;=Assumptions!$B$98+Assumptions!$B$48-2,AM$3&gt;=Assumptions!$B$14,AM10&gt;=Assumptions!$B$99*Assumptions!$B$51)),1,0)</f>
        <v/>
      </c>
      <c r="AN22" s="10">
        <f>IF(OR(AM22=1,AND(Assumptions!$B$97=1,AN$3&gt;=Assumptions!$B$98+Assumptions!$B$48-2,AN$3&gt;=Assumptions!$B$14,AN10&gt;=Assumptions!$B$99*Assumptions!$B$51)),1,0)</f>
        <v/>
      </c>
      <c r="AO22" s="10">
        <f>IF(OR(AN22=1,AND(Assumptions!$B$97=1,AO$3&gt;=Assumptions!$B$98+Assumptions!$B$48-2,AO$3&gt;=Assumptions!$B$14,AO10&gt;=Assumptions!$B$99*Assumptions!$B$51)),1,0)</f>
        <v/>
      </c>
      <c r="AP22" s="10">
        <f>IF(OR(AO22=1,AND(Assumptions!$B$97=1,AP$3&gt;=Assumptions!$B$98+Assumptions!$B$48-2,AP$3&gt;=Assumptions!$B$14,AP10&gt;=Assumptions!$B$99*Assumptions!$B$51)),1,0)</f>
        <v/>
      </c>
      <c r="AQ22" s="10">
        <f>IF(OR(AP22=1,AND(Assumptions!$B$97=1,AQ$3&gt;=Assumptions!$B$98+Assumptions!$B$48-2,AQ$3&gt;=Assumptions!$B$14,AQ10&gt;=Assumptions!$B$99*Assumptions!$B$51)),1,0)</f>
        <v/>
      </c>
      <c r="AR22" s="10">
        <f>IF(OR(AQ22=1,AND(Assumptions!$B$97=1,AR$3&gt;=Assumptions!$B$98+Assumptions!$B$48-2,AR$3&gt;=Assumptions!$B$14,AR10&gt;=Assumptions!$B$99*Assumptions!$B$51)),1,0)</f>
        <v/>
      </c>
      <c r="AS22" s="10">
        <f>IF(OR(AR22=1,AND(Assumptions!$B$97=1,AS$3&gt;=Assumptions!$B$98+Assumptions!$B$48-2,AS$3&gt;=Assumptions!$B$14,AS10&gt;=Assumptions!$B$99*Assumptions!$B$51)),1,0)</f>
        <v/>
      </c>
      <c r="AT22" s="10">
        <f>IF(OR(AS22=1,AND(Assumptions!$B$97=1,AT$3&gt;=Assumptions!$B$98+Assumptions!$B$48-2,AT$3&gt;=Assumptions!$B$14,AT10&gt;=Assumptions!$B$99*Assumptions!$B$51)),1,0)</f>
        <v/>
      </c>
      <c r="AU22" s="10">
        <f>IF(OR(AT22=1,AND(Assumptions!$B$97=1,AU$3&gt;=Assumptions!$B$98+Assumptions!$B$48-2,AU$3&gt;=Assumptions!$B$14,AU10&gt;=Assumptions!$B$99*Assumptions!$B$51)),1,0)</f>
        <v/>
      </c>
      <c r="AV22" s="10">
        <f>IF(OR(AU22=1,AND(Assumptions!$B$97=1,AV$3&gt;=Assumptions!$B$98+Assumptions!$B$48-2,AV$3&gt;=Assumptions!$B$14,AV10&gt;=Assumptions!$B$99*Assumptions!$B$51)),1,0)</f>
        <v/>
      </c>
      <c r="AW22" s="10">
        <f>IF(OR(AV22=1,AND(Assumptions!$B$97=1,AW$3&gt;=Assumptions!$B$98+Assumptions!$B$48-2,AW$3&gt;=Assumptions!$B$14,AW10&gt;=Assumptions!$B$99*Assumptions!$B$51)),1,0)</f>
        <v/>
      </c>
      <c r="AX22" s="10">
        <f>IF(OR(AW22=1,AND(Assumptions!$B$97=1,AX$3&gt;=Assumptions!$B$98+Assumptions!$B$48-2,AX$3&gt;=Assumptions!$B$14,AX10&gt;=Assumptions!$B$99*Assumptions!$B$51)),1,0)</f>
        <v/>
      </c>
      <c r="AY22" s="10">
        <f>IF(OR(AX22=1,AND(Assumptions!$B$97=1,AY$3&gt;=Assumptions!$B$98+Assumptions!$B$48-2,AY$3&gt;=Assumptions!$B$14,AY10&gt;=Assumptions!$B$99*Assumptions!$B$51)),1,0)</f>
        <v/>
      </c>
      <c r="AZ22" s="10">
        <f>IF(OR(AY22=1,AND(Assumptions!$B$97=1,AZ$3&gt;=Assumptions!$B$98+Assumptions!$B$48-2,AZ$3&gt;=Assumptions!$B$14,AZ10&gt;=Assumptions!$B$99*Assumptions!$B$51)),1,0)</f>
        <v/>
      </c>
      <c r="BA22" s="10">
        <f>IF(OR(AZ22=1,AND(Assumptions!$B$97=1,BA$3&gt;=Assumptions!$B$98+Assumptions!$B$48-2,BA$3&gt;=Assumptions!$B$14,BA10&gt;=Assumptions!$B$99*Assumptions!$B$51)),1,0)</f>
        <v/>
      </c>
      <c r="BB22" s="10">
        <f>IF(OR(BA22=1,AND(Assumptions!$B$97=1,BB$3&gt;=Assumptions!$B$98+Assumptions!$B$48-2,BB$3&gt;=Assumptions!$B$14,BB10&gt;=Assumptions!$B$99*Assumptions!$B$51)),1,0)</f>
        <v/>
      </c>
      <c r="BC22" s="10">
        <f>IF(OR(BB22=1,AND(Assumptions!$B$97=1,BC$3&gt;=Assumptions!$B$98+Assumptions!$B$48-2,BC$3&gt;=Assumptions!$B$14,BC10&gt;=Assumptions!$B$99*Assumptions!$B$51)),1,0)</f>
        <v/>
      </c>
      <c r="BD22" s="10">
        <f>IF(OR(BC22=1,AND(Assumptions!$B$97=1,BD$3&gt;=Assumptions!$B$98+Assumptions!$B$48-2,BD$3&gt;=Assumptions!$B$14,BD10&gt;=Assumptions!$B$99*Assumptions!$B$51)),1,0)</f>
        <v/>
      </c>
      <c r="BE22" s="10">
        <f>IF(OR(BD22=1,AND(Assumptions!$B$97=1,BE$3&gt;=Assumptions!$B$98+Assumptions!$B$48-2,BE$3&gt;=Assumptions!$B$14,BE10&gt;=Assumptions!$B$99*Assumptions!$B$51)),1,0)</f>
        <v/>
      </c>
      <c r="BF22" s="10">
        <f>IF(OR(BE22=1,AND(Assumptions!$B$97=1,BF$3&gt;=Assumptions!$B$98+Assumptions!$B$48-2,BF$3&gt;=Assumptions!$B$14,BF10&gt;=Assumptions!$B$99*Assumptions!$B$51)),1,0)</f>
        <v/>
      </c>
      <c r="BG22" s="10">
        <f>IF(OR(BF22=1,AND(Assumptions!$B$97=1,BG$3&gt;=Assumptions!$B$98+Assumptions!$B$48-2,BG$3&gt;=Assumptions!$B$14,BG10&gt;=Assumptions!$B$99*Assumptions!$B$51)),1,0)</f>
        <v/>
      </c>
      <c r="BH22" s="10">
        <f>IF(OR(BG22=1,AND(Assumptions!$B$97=1,BH$3&gt;=Assumptions!$B$98+Assumptions!$B$48-2,BH$3&gt;=Assumptions!$B$14,BH10&gt;=Assumptions!$B$99*Assumptions!$B$51)),1,0)</f>
        <v/>
      </c>
      <c r="BI22" s="10">
        <f>IF(OR(BH22=1,AND(Assumptions!$B$97=1,BI$3&gt;=Assumptions!$B$98+Assumptions!$B$48-2,BI$3&gt;=Assumptions!$B$14,BI10&gt;=Assumptions!$B$99*Assumptions!$B$51)),1,0)</f>
        <v/>
      </c>
      <c r="BJ22" s="10">
        <f>IF(OR(BI22=1,AND(Assumptions!$B$97=1,BJ$3&gt;=Assumptions!$B$98+Assumptions!$B$48-2,BJ$3&gt;=Assumptions!$B$14,BJ10&gt;=Assumptions!$B$99*Assumptions!$B$51)),1,0)</f>
        <v/>
      </c>
    </row>
    <row r="23">
      <c r="A23" s="4" t="inlineStr">
        <is>
          <t>Live: Botswana &amp; Namibia</t>
        </is>
      </c>
      <c r="B23" s="17" t="inlineStr">
        <is>
          <t>flag</t>
        </is>
      </c>
      <c r="C23" s="10">
        <f>0</f>
        <v/>
      </c>
      <c r="D23" s="10">
        <f>0</f>
        <v/>
      </c>
      <c r="E23" s="10">
        <f>C22</f>
        <v/>
      </c>
      <c r="F23" s="10">
        <f>D22</f>
        <v/>
      </c>
      <c r="G23" s="10">
        <f>E22</f>
        <v/>
      </c>
      <c r="H23" s="10">
        <f>F22</f>
        <v/>
      </c>
      <c r="I23" s="10">
        <f>G22</f>
        <v/>
      </c>
      <c r="J23" s="10">
        <f>H22</f>
        <v/>
      </c>
      <c r="K23" s="10">
        <f>I22</f>
        <v/>
      </c>
      <c r="L23" s="10">
        <f>J22</f>
        <v/>
      </c>
      <c r="M23" s="10">
        <f>K22</f>
        <v/>
      </c>
      <c r="N23" s="10">
        <f>L22</f>
        <v/>
      </c>
      <c r="O23" s="10">
        <f>M22</f>
        <v/>
      </c>
      <c r="P23" s="10">
        <f>N22</f>
        <v/>
      </c>
      <c r="Q23" s="10">
        <f>O22</f>
        <v/>
      </c>
      <c r="R23" s="10">
        <f>P22</f>
        <v/>
      </c>
      <c r="S23" s="10">
        <f>Q22</f>
        <v/>
      </c>
      <c r="T23" s="10">
        <f>R22</f>
        <v/>
      </c>
      <c r="U23" s="10">
        <f>S22</f>
        <v/>
      </c>
      <c r="V23" s="10">
        <f>T22</f>
        <v/>
      </c>
      <c r="W23" s="10">
        <f>U22</f>
        <v/>
      </c>
      <c r="X23" s="10">
        <f>V22</f>
        <v/>
      </c>
      <c r="Y23" s="10">
        <f>W22</f>
        <v/>
      </c>
      <c r="Z23" s="10">
        <f>X22</f>
        <v/>
      </c>
      <c r="AA23" s="10">
        <f>Y22</f>
        <v/>
      </c>
      <c r="AB23" s="10">
        <f>Z22</f>
        <v/>
      </c>
      <c r="AC23" s="10">
        <f>AA22</f>
        <v/>
      </c>
      <c r="AD23" s="10">
        <f>AB22</f>
        <v/>
      </c>
      <c r="AE23" s="10">
        <f>AC22</f>
        <v/>
      </c>
      <c r="AF23" s="10">
        <f>AD22</f>
        <v/>
      </c>
      <c r="AG23" s="10">
        <f>AE22</f>
        <v/>
      </c>
      <c r="AH23" s="10">
        <f>AF22</f>
        <v/>
      </c>
      <c r="AI23" s="10">
        <f>AG22</f>
        <v/>
      </c>
      <c r="AJ23" s="10">
        <f>AH22</f>
        <v/>
      </c>
      <c r="AK23" s="10">
        <f>AI22</f>
        <v/>
      </c>
      <c r="AL23" s="10">
        <f>AJ22</f>
        <v/>
      </c>
      <c r="AM23" s="10">
        <f>AK22</f>
        <v/>
      </c>
      <c r="AN23" s="10">
        <f>AL22</f>
        <v/>
      </c>
      <c r="AO23" s="10">
        <f>AM22</f>
        <v/>
      </c>
      <c r="AP23" s="10">
        <f>AN22</f>
        <v/>
      </c>
      <c r="AQ23" s="10">
        <f>AO22</f>
        <v/>
      </c>
      <c r="AR23" s="10">
        <f>AP22</f>
        <v/>
      </c>
      <c r="AS23" s="10">
        <f>AQ22</f>
        <v/>
      </c>
      <c r="AT23" s="10">
        <f>AR22</f>
        <v/>
      </c>
      <c r="AU23" s="10">
        <f>AS22</f>
        <v/>
      </c>
      <c r="AV23" s="10">
        <f>AT22</f>
        <v/>
      </c>
      <c r="AW23" s="10">
        <f>AU22</f>
        <v/>
      </c>
      <c r="AX23" s="10">
        <f>AV22</f>
        <v/>
      </c>
      <c r="AY23" s="10">
        <f>AW22</f>
        <v/>
      </c>
      <c r="AZ23" s="10">
        <f>AX22</f>
        <v/>
      </c>
      <c r="BA23" s="10">
        <f>AY22</f>
        <v/>
      </c>
      <c r="BB23" s="10">
        <f>AZ22</f>
        <v/>
      </c>
      <c r="BC23" s="10">
        <f>BA22</f>
        <v/>
      </c>
      <c r="BD23" s="10">
        <f>BB22</f>
        <v/>
      </c>
      <c r="BE23" s="10">
        <f>BC22</f>
        <v/>
      </c>
      <c r="BF23" s="10">
        <f>BD22</f>
        <v/>
      </c>
      <c r="BG23" s="10">
        <f>BE22</f>
        <v/>
      </c>
      <c r="BH23" s="10">
        <f>BF22</f>
        <v/>
      </c>
      <c r="BI23" s="10">
        <f>BG22</f>
        <v/>
      </c>
      <c r="BJ23" s="10">
        <f>BH22</f>
        <v/>
      </c>
    </row>
    <row r="24">
      <c r="A24" s="4" t="inlineStr">
        <is>
          <t>Launch month: South Africa</t>
        </is>
      </c>
      <c r="B24" s="17" t="inlineStr">
        <is>
          <t>flag</t>
        </is>
      </c>
      <c r="C24" s="10">
        <f>C13-0</f>
        <v/>
      </c>
      <c r="D24" s="10">
        <f>D13-C13</f>
        <v/>
      </c>
      <c r="E24" s="10">
        <f>E13-D13</f>
        <v/>
      </c>
      <c r="F24" s="10">
        <f>F13-E13</f>
        <v/>
      </c>
      <c r="G24" s="10">
        <f>G13-F13</f>
        <v/>
      </c>
      <c r="H24" s="10">
        <f>H13-G13</f>
        <v/>
      </c>
      <c r="I24" s="10">
        <f>I13-H13</f>
        <v/>
      </c>
      <c r="J24" s="10">
        <f>J13-I13</f>
        <v/>
      </c>
      <c r="K24" s="10">
        <f>K13-J13</f>
        <v/>
      </c>
      <c r="L24" s="10">
        <f>L13-K13</f>
        <v/>
      </c>
      <c r="M24" s="10">
        <f>M13-L13</f>
        <v/>
      </c>
      <c r="N24" s="10">
        <f>N13-M13</f>
        <v/>
      </c>
      <c r="O24" s="10">
        <f>O13-N13</f>
        <v/>
      </c>
      <c r="P24" s="10">
        <f>P13-O13</f>
        <v/>
      </c>
      <c r="Q24" s="10">
        <f>Q13-P13</f>
        <v/>
      </c>
      <c r="R24" s="10">
        <f>R13-Q13</f>
        <v/>
      </c>
      <c r="S24" s="10">
        <f>S13-R13</f>
        <v/>
      </c>
      <c r="T24" s="10">
        <f>T13-S13</f>
        <v/>
      </c>
      <c r="U24" s="10">
        <f>U13-T13</f>
        <v/>
      </c>
      <c r="V24" s="10">
        <f>V13-U13</f>
        <v/>
      </c>
      <c r="W24" s="10">
        <f>W13-V13</f>
        <v/>
      </c>
      <c r="X24" s="10">
        <f>X13-W13</f>
        <v/>
      </c>
      <c r="Y24" s="10">
        <f>Y13-X13</f>
        <v/>
      </c>
      <c r="Z24" s="10">
        <f>Z13-Y13</f>
        <v/>
      </c>
      <c r="AA24" s="10">
        <f>AA13-Z13</f>
        <v/>
      </c>
      <c r="AB24" s="10">
        <f>AB13-AA13</f>
        <v/>
      </c>
      <c r="AC24" s="10">
        <f>AC13-AB13</f>
        <v/>
      </c>
      <c r="AD24" s="10">
        <f>AD13-AC13</f>
        <v/>
      </c>
      <c r="AE24" s="10">
        <f>AE13-AD13</f>
        <v/>
      </c>
      <c r="AF24" s="10">
        <f>AF13-AE13</f>
        <v/>
      </c>
      <c r="AG24" s="10">
        <f>AG13-AF13</f>
        <v/>
      </c>
      <c r="AH24" s="10">
        <f>AH13-AG13</f>
        <v/>
      </c>
      <c r="AI24" s="10">
        <f>AI13-AH13</f>
        <v/>
      </c>
      <c r="AJ24" s="10">
        <f>AJ13-AI13</f>
        <v/>
      </c>
      <c r="AK24" s="10">
        <f>AK13-AJ13</f>
        <v/>
      </c>
      <c r="AL24" s="10">
        <f>AL13-AK13</f>
        <v/>
      </c>
      <c r="AM24" s="10">
        <f>AM13-AL13</f>
        <v/>
      </c>
      <c r="AN24" s="10">
        <f>AN13-AM13</f>
        <v/>
      </c>
      <c r="AO24" s="10">
        <f>AO13-AN13</f>
        <v/>
      </c>
      <c r="AP24" s="10">
        <f>AP13-AO13</f>
        <v/>
      </c>
      <c r="AQ24" s="10">
        <f>AQ13-AP13</f>
        <v/>
      </c>
      <c r="AR24" s="10">
        <f>AR13-AQ13</f>
        <v/>
      </c>
      <c r="AS24" s="10">
        <f>AS13-AR13</f>
        <v/>
      </c>
      <c r="AT24" s="10">
        <f>AT13-AS13</f>
        <v/>
      </c>
      <c r="AU24" s="10">
        <f>AU13-AT13</f>
        <v/>
      </c>
      <c r="AV24" s="10">
        <f>AV13-AU13</f>
        <v/>
      </c>
      <c r="AW24" s="10">
        <f>AW13-AV13</f>
        <v/>
      </c>
      <c r="AX24" s="10">
        <f>AX13-AW13</f>
        <v/>
      </c>
      <c r="AY24" s="10">
        <f>AY13-AX13</f>
        <v/>
      </c>
      <c r="AZ24" s="10">
        <f>AZ13-AY13</f>
        <v/>
      </c>
      <c r="BA24" s="10">
        <f>BA13-AZ13</f>
        <v/>
      </c>
      <c r="BB24" s="10">
        <f>BB13-BA13</f>
        <v/>
      </c>
      <c r="BC24" s="10">
        <f>BC13-BB13</f>
        <v/>
      </c>
      <c r="BD24" s="10">
        <f>BD13-BC13</f>
        <v/>
      </c>
      <c r="BE24" s="10">
        <f>BE13-BD13</f>
        <v/>
      </c>
      <c r="BF24" s="10">
        <f>BF13-BE13</f>
        <v/>
      </c>
      <c r="BG24" s="10">
        <f>BG13-BF13</f>
        <v/>
      </c>
      <c r="BH24" s="10">
        <f>BH13-BG13</f>
        <v/>
      </c>
      <c r="BI24" s="10">
        <f>BI13-BH13</f>
        <v/>
      </c>
      <c r="BJ24" s="10">
        <f>BJ13-BI13</f>
        <v/>
      </c>
    </row>
    <row r="25">
      <c r="A25" s="4" t="inlineStr">
        <is>
          <t>Launch month: Nigeria</t>
        </is>
      </c>
      <c r="B25" s="17" t="inlineStr">
        <is>
          <t>flag</t>
        </is>
      </c>
      <c r="C25" s="10">
        <f>C15-0</f>
        <v/>
      </c>
      <c r="D25" s="10">
        <f>D15-C15</f>
        <v/>
      </c>
      <c r="E25" s="10">
        <f>E15-D15</f>
        <v/>
      </c>
      <c r="F25" s="10">
        <f>F15-E15</f>
        <v/>
      </c>
      <c r="G25" s="10">
        <f>G15-F15</f>
        <v/>
      </c>
      <c r="H25" s="10">
        <f>H15-G15</f>
        <v/>
      </c>
      <c r="I25" s="10">
        <f>I15-H15</f>
        <v/>
      </c>
      <c r="J25" s="10">
        <f>J15-I15</f>
        <v/>
      </c>
      <c r="K25" s="10">
        <f>K15-J15</f>
        <v/>
      </c>
      <c r="L25" s="10">
        <f>L15-K15</f>
        <v/>
      </c>
      <c r="M25" s="10">
        <f>M15-L15</f>
        <v/>
      </c>
      <c r="N25" s="10">
        <f>N15-M15</f>
        <v/>
      </c>
      <c r="O25" s="10">
        <f>O15-N15</f>
        <v/>
      </c>
      <c r="P25" s="10">
        <f>P15-O15</f>
        <v/>
      </c>
      <c r="Q25" s="10">
        <f>Q15-P15</f>
        <v/>
      </c>
      <c r="R25" s="10">
        <f>R15-Q15</f>
        <v/>
      </c>
      <c r="S25" s="10">
        <f>S15-R15</f>
        <v/>
      </c>
      <c r="T25" s="10">
        <f>T15-S15</f>
        <v/>
      </c>
      <c r="U25" s="10">
        <f>U15-T15</f>
        <v/>
      </c>
      <c r="V25" s="10">
        <f>V15-U15</f>
        <v/>
      </c>
      <c r="W25" s="10">
        <f>W15-V15</f>
        <v/>
      </c>
      <c r="X25" s="10">
        <f>X15-W15</f>
        <v/>
      </c>
      <c r="Y25" s="10">
        <f>Y15-X15</f>
        <v/>
      </c>
      <c r="Z25" s="10">
        <f>Z15-Y15</f>
        <v/>
      </c>
      <c r="AA25" s="10">
        <f>AA15-Z15</f>
        <v/>
      </c>
      <c r="AB25" s="10">
        <f>AB15-AA15</f>
        <v/>
      </c>
      <c r="AC25" s="10">
        <f>AC15-AB15</f>
        <v/>
      </c>
      <c r="AD25" s="10">
        <f>AD15-AC15</f>
        <v/>
      </c>
      <c r="AE25" s="10">
        <f>AE15-AD15</f>
        <v/>
      </c>
      <c r="AF25" s="10">
        <f>AF15-AE15</f>
        <v/>
      </c>
      <c r="AG25" s="10">
        <f>AG15-AF15</f>
        <v/>
      </c>
      <c r="AH25" s="10">
        <f>AH15-AG15</f>
        <v/>
      </c>
      <c r="AI25" s="10">
        <f>AI15-AH15</f>
        <v/>
      </c>
      <c r="AJ25" s="10">
        <f>AJ15-AI15</f>
        <v/>
      </c>
      <c r="AK25" s="10">
        <f>AK15-AJ15</f>
        <v/>
      </c>
      <c r="AL25" s="10">
        <f>AL15-AK15</f>
        <v/>
      </c>
      <c r="AM25" s="10">
        <f>AM15-AL15</f>
        <v/>
      </c>
      <c r="AN25" s="10">
        <f>AN15-AM15</f>
        <v/>
      </c>
      <c r="AO25" s="10">
        <f>AO15-AN15</f>
        <v/>
      </c>
      <c r="AP25" s="10">
        <f>AP15-AO15</f>
        <v/>
      </c>
      <c r="AQ25" s="10">
        <f>AQ15-AP15</f>
        <v/>
      </c>
      <c r="AR25" s="10">
        <f>AR15-AQ15</f>
        <v/>
      </c>
      <c r="AS25" s="10">
        <f>AS15-AR15</f>
        <v/>
      </c>
      <c r="AT25" s="10">
        <f>AT15-AS15</f>
        <v/>
      </c>
      <c r="AU25" s="10">
        <f>AU15-AT15</f>
        <v/>
      </c>
      <c r="AV25" s="10">
        <f>AV15-AU15</f>
        <v/>
      </c>
      <c r="AW25" s="10">
        <f>AW15-AV15</f>
        <v/>
      </c>
      <c r="AX25" s="10">
        <f>AX15-AW15</f>
        <v/>
      </c>
      <c r="AY25" s="10">
        <f>AY15-AX15</f>
        <v/>
      </c>
      <c r="AZ25" s="10">
        <f>AZ15-AY15</f>
        <v/>
      </c>
      <c r="BA25" s="10">
        <f>BA15-AZ15</f>
        <v/>
      </c>
      <c r="BB25" s="10">
        <f>BB15-BA15</f>
        <v/>
      </c>
      <c r="BC25" s="10">
        <f>BC15-BB15</f>
        <v/>
      </c>
      <c r="BD25" s="10">
        <f>BD15-BC15</f>
        <v/>
      </c>
      <c r="BE25" s="10">
        <f>BE15-BD15</f>
        <v/>
      </c>
      <c r="BF25" s="10">
        <f>BF15-BE15</f>
        <v/>
      </c>
      <c r="BG25" s="10">
        <f>BG15-BF15</f>
        <v/>
      </c>
      <c r="BH25" s="10">
        <f>BH15-BG15</f>
        <v/>
      </c>
      <c r="BI25" s="10">
        <f>BI15-BH15</f>
        <v/>
      </c>
      <c r="BJ25" s="10">
        <f>BJ15-BI15</f>
        <v/>
      </c>
    </row>
    <row r="26">
      <c r="A26" s="4" t="inlineStr">
        <is>
          <t>Launch month: Kenya</t>
        </is>
      </c>
      <c r="B26" s="17" t="inlineStr">
        <is>
          <t>flag</t>
        </is>
      </c>
      <c r="C26" s="10">
        <f>C17-0</f>
        <v/>
      </c>
      <c r="D26" s="10">
        <f>D17-C17</f>
        <v/>
      </c>
      <c r="E26" s="10">
        <f>E17-D17</f>
        <v/>
      </c>
      <c r="F26" s="10">
        <f>F17-E17</f>
        <v/>
      </c>
      <c r="G26" s="10">
        <f>G17-F17</f>
        <v/>
      </c>
      <c r="H26" s="10">
        <f>H17-G17</f>
        <v/>
      </c>
      <c r="I26" s="10">
        <f>I17-H17</f>
        <v/>
      </c>
      <c r="J26" s="10">
        <f>J17-I17</f>
        <v/>
      </c>
      <c r="K26" s="10">
        <f>K17-J17</f>
        <v/>
      </c>
      <c r="L26" s="10">
        <f>L17-K17</f>
        <v/>
      </c>
      <c r="M26" s="10">
        <f>M17-L17</f>
        <v/>
      </c>
      <c r="N26" s="10">
        <f>N17-M17</f>
        <v/>
      </c>
      <c r="O26" s="10">
        <f>O17-N17</f>
        <v/>
      </c>
      <c r="P26" s="10">
        <f>P17-O17</f>
        <v/>
      </c>
      <c r="Q26" s="10">
        <f>Q17-P17</f>
        <v/>
      </c>
      <c r="R26" s="10">
        <f>R17-Q17</f>
        <v/>
      </c>
      <c r="S26" s="10">
        <f>S17-R17</f>
        <v/>
      </c>
      <c r="T26" s="10">
        <f>T17-S17</f>
        <v/>
      </c>
      <c r="U26" s="10">
        <f>U17-T17</f>
        <v/>
      </c>
      <c r="V26" s="10">
        <f>V17-U17</f>
        <v/>
      </c>
      <c r="W26" s="10">
        <f>W17-V17</f>
        <v/>
      </c>
      <c r="X26" s="10">
        <f>X17-W17</f>
        <v/>
      </c>
      <c r="Y26" s="10">
        <f>Y17-X17</f>
        <v/>
      </c>
      <c r="Z26" s="10">
        <f>Z17-Y17</f>
        <v/>
      </c>
      <c r="AA26" s="10">
        <f>AA17-Z17</f>
        <v/>
      </c>
      <c r="AB26" s="10">
        <f>AB17-AA17</f>
        <v/>
      </c>
      <c r="AC26" s="10">
        <f>AC17-AB17</f>
        <v/>
      </c>
      <c r="AD26" s="10">
        <f>AD17-AC17</f>
        <v/>
      </c>
      <c r="AE26" s="10">
        <f>AE17-AD17</f>
        <v/>
      </c>
      <c r="AF26" s="10">
        <f>AF17-AE17</f>
        <v/>
      </c>
      <c r="AG26" s="10">
        <f>AG17-AF17</f>
        <v/>
      </c>
      <c r="AH26" s="10">
        <f>AH17-AG17</f>
        <v/>
      </c>
      <c r="AI26" s="10">
        <f>AI17-AH17</f>
        <v/>
      </c>
      <c r="AJ26" s="10">
        <f>AJ17-AI17</f>
        <v/>
      </c>
      <c r="AK26" s="10">
        <f>AK17-AJ17</f>
        <v/>
      </c>
      <c r="AL26" s="10">
        <f>AL17-AK17</f>
        <v/>
      </c>
      <c r="AM26" s="10">
        <f>AM17-AL17</f>
        <v/>
      </c>
      <c r="AN26" s="10">
        <f>AN17-AM17</f>
        <v/>
      </c>
      <c r="AO26" s="10">
        <f>AO17-AN17</f>
        <v/>
      </c>
      <c r="AP26" s="10">
        <f>AP17-AO17</f>
        <v/>
      </c>
      <c r="AQ26" s="10">
        <f>AQ17-AP17</f>
        <v/>
      </c>
      <c r="AR26" s="10">
        <f>AR17-AQ17</f>
        <v/>
      </c>
      <c r="AS26" s="10">
        <f>AS17-AR17</f>
        <v/>
      </c>
      <c r="AT26" s="10">
        <f>AT17-AS17</f>
        <v/>
      </c>
      <c r="AU26" s="10">
        <f>AU17-AT17</f>
        <v/>
      </c>
      <c r="AV26" s="10">
        <f>AV17-AU17</f>
        <v/>
      </c>
      <c r="AW26" s="10">
        <f>AW17-AV17</f>
        <v/>
      </c>
      <c r="AX26" s="10">
        <f>AX17-AW17</f>
        <v/>
      </c>
      <c r="AY26" s="10">
        <f>AY17-AX17</f>
        <v/>
      </c>
      <c r="AZ26" s="10">
        <f>AZ17-AY17</f>
        <v/>
      </c>
      <c r="BA26" s="10">
        <f>BA17-AZ17</f>
        <v/>
      </c>
      <c r="BB26" s="10">
        <f>BB17-BA17</f>
        <v/>
      </c>
      <c r="BC26" s="10">
        <f>BC17-BB17</f>
        <v/>
      </c>
      <c r="BD26" s="10">
        <f>BD17-BC17</f>
        <v/>
      </c>
      <c r="BE26" s="10">
        <f>BE17-BD17</f>
        <v/>
      </c>
      <c r="BF26" s="10">
        <f>BF17-BE17</f>
        <v/>
      </c>
      <c r="BG26" s="10">
        <f>BG17-BF17</f>
        <v/>
      </c>
      <c r="BH26" s="10">
        <f>BH17-BG17</f>
        <v/>
      </c>
      <c r="BI26" s="10">
        <f>BI17-BH17</f>
        <v/>
      </c>
      <c r="BJ26" s="10">
        <f>BJ17-BI17</f>
        <v/>
      </c>
    </row>
    <row r="27">
      <c r="A27" s="4" t="inlineStr">
        <is>
          <t>Launch month: Ghana</t>
        </is>
      </c>
      <c r="B27" s="17" t="inlineStr">
        <is>
          <t>flag</t>
        </is>
      </c>
      <c r="C27" s="10">
        <f>C19-0</f>
        <v/>
      </c>
      <c r="D27" s="10">
        <f>D19-C19</f>
        <v/>
      </c>
      <c r="E27" s="10">
        <f>E19-D19</f>
        <v/>
      </c>
      <c r="F27" s="10">
        <f>F19-E19</f>
        <v/>
      </c>
      <c r="G27" s="10">
        <f>G19-F19</f>
        <v/>
      </c>
      <c r="H27" s="10">
        <f>H19-G19</f>
        <v/>
      </c>
      <c r="I27" s="10">
        <f>I19-H19</f>
        <v/>
      </c>
      <c r="J27" s="10">
        <f>J19-I19</f>
        <v/>
      </c>
      <c r="K27" s="10">
        <f>K19-J19</f>
        <v/>
      </c>
      <c r="L27" s="10">
        <f>L19-K19</f>
        <v/>
      </c>
      <c r="M27" s="10">
        <f>M19-L19</f>
        <v/>
      </c>
      <c r="N27" s="10">
        <f>N19-M19</f>
        <v/>
      </c>
      <c r="O27" s="10">
        <f>O19-N19</f>
        <v/>
      </c>
      <c r="P27" s="10">
        <f>P19-O19</f>
        <v/>
      </c>
      <c r="Q27" s="10">
        <f>Q19-P19</f>
        <v/>
      </c>
      <c r="R27" s="10">
        <f>R19-Q19</f>
        <v/>
      </c>
      <c r="S27" s="10">
        <f>S19-R19</f>
        <v/>
      </c>
      <c r="T27" s="10">
        <f>T19-S19</f>
        <v/>
      </c>
      <c r="U27" s="10">
        <f>U19-T19</f>
        <v/>
      </c>
      <c r="V27" s="10">
        <f>V19-U19</f>
        <v/>
      </c>
      <c r="W27" s="10">
        <f>W19-V19</f>
        <v/>
      </c>
      <c r="X27" s="10">
        <f>X19-W19</f>
        <v/>
      </c>
      <c r="Y27" s="10">
        <f>Y19-X19</f>
        <v/>
      </c>
      <c r="Z27" s="10">
        <f>Z19-Y19</f>
        <v/>
      </c>
      <c r="AA27" s="10">
        <f>AA19-Z19</f>
        <v/>
      </c>
      <c r="AB27" s="10">
        <f>AB19-AA19</f>
        <v/>
      </c>
      <c r="AC27" s="10">
        <f>AC19-AB19</f>
        <v/>
      </c>
      <c r="AD27" s="10">
        <f>AD19-AC19</f>
        <v/>
      </c>
      <c r="AE27" s="10">
        <f>AE19-AD19</f>
        <v/>
      </c>
      <c r="AF27" s="10">
        <f>AF19-AE19</f>
        <v/>
      </c>
      <c r="AG27" s="10">
        <f>AG19-AF19</f>
        <v/>
      </c>
      <c r="AH27" s="10">
        <f>AH19-AG19</f>
        <v/>
      </c>
      <c r="AI27" s="10">
        <f>AI19-AH19</f>
        <v/>
      </c>
      <c r="AJ27" s="10">
        <f>AJ19-AI19</f>
        <v/>
      </c>
      <c r="AK27" s="10">
        <f>AK19-AJ19</f>
        <v/>
      </c>
      <c r="AL27" s="10">
        <f>AL19-AK19</f>
        <v/>
      </c>
      <c r="AM27" s="10">
        <f>AM19-AL19</f>
        <v/>
      </c>
      <c r="AN27" s="10">
        <f>AN19-AM19</f>
        <v/>
      </c>
      <c r="AO27" s="10">
        <f>AO19-AN19</f>
        <v/>
      </c>
      <c r="AP27" s="10">
        <f>AP19-AO19</f>
        <v/>
      </c>
      <c r="AQ27" s="10">
        <f>AQ19-AP19</f>
        <v/>
      </c>
      <c r="AR27" s="10">
        <f>AR19-AQ19</f>
        <v/>
      </c>
      <c r="AS27" s="10">
        <f>AS19-AR19</f>
        <v/>
      </c>
      <c r="AT27" s="10">
        <f>AT19-AS19</f>
        <v/>
      </c>
      <c r="AU27" s="10">
        <f>AU19-AT19</f>
        <v/>
      </c>
      <c r="AV27" s="10">
        <f>AV19-AU19</f>
        <v/>
      </c>
      <c r="AW27" s="10">
        <f>AW19-AV19</f>
        <v/>
      </c>
      <c r="AX27" s="10">
        <f>AX19-AW19</f>
        <v/>
      </c>
      <c r="AY27" s="10">
        <f>AY19-AX19</f>
        <v/>
      </c>
      <c r="AZ27" s="10">
        <f>AZ19-AY19</f>
        <v/>
      </c>
      <c r="BA27" s="10">
        <f>BA19-AZ19</f>
        <v/>
      </c>
      <c r="BB27" s="10">
        <f>BB19-BA19</f>
        <v/>
      </c>
      <c r="BC27" s="10">
        <f>BC19-BB19</f>
        <v/>
      </c>
      <c r="BD27" s="10">
        <f>BD19-BC19</f>
        <v/>
      </c>
      <c r="BE27" s="10">
        <f>BE19-BD19</f>
        <v/>
      </c>
      <c r="BF27" s="10">
        <f>BF19-BE19</f>
        <v/>
      </c>
      <c r="BG27" s="10">
        <f>BG19-BF19</f>
        <v/>
      </c>
      <c r="BH27" s="10">
        <f>BH19-BG19</f>
        <v/>
      </c>
      <c r="BI27" s="10">
        <f>BI19-BH19</f>
        <v/>
      </c>
      <c r="BJ27" s="10">
        <f>BJ19-BI19</f>
        <v/>
      </c>
    </row>
    <row r="28">
      <c r="A28" s="4" t="inlineStr">
        <is>
          <t>Launch month: Rest of Africa (USD)</t>
        </is>
      </c>
      <c r="B28" s="17" t="inlineStr">
        <is>
          <t>flag</t>
        </is>
      </c>
      <c r="C28" s="10">
        <f>C21-0</f>
        <v/>
      </c>
      <c r="D28" s="10">
        <f>D21-C21</f>
        <v/>
      </c>
      <c r="E28" s="10">
        <f>E21-D21</f>
        <v/>
      </c>
      <c r="F28" s="10">
        <f>F21-E21</f>
        <v/>
      </c>
      <c r="G28" s="10">
        <f>G21-F21</f>
        <v/>
      </c>
      <c r="H28" s="10">
        <f>H21-G21</f>
        <v/>
      </c>
      <c r="I28" s="10">
        <f>I21-H21</f>
        <v/>
      </c>
      <c r="J28" s="10">
        <f>J21-I21</f>
        <v/>
      </c>
      <c r="K28" s="10">
        <f>K21-J21</f>
        <v/>
      </c>
      <c r="L28" s="10">
        <f>L21-K21</f>
        <v/>
      </c>
      <c r="M28" s="10">
        <f>M21-L21</f>
        <v/>
      </c>
      <c r="N28" s="10">
        <f>N21-M21</f>
        <v/>
      </c>
      <c r="O28" s="10">
        <f>O21-N21</f>
        <v/>
      </c>
      <c r="P28" s="10">
        <f>P21-O21</f>
        <v/>
      </c>
      <c r="Q28" s="10">
        <f>Q21-P21</f>
        <v/>
      </c>
      <c r="R28" s="10">
        <f>R21-Q21</f>
        <v/>
      </c>
      <c r="S28" s="10">
        <f>S21-R21</f>
        <v/>
      </c>
      <c r="T28" s="10">
        <f>T21-S21</f>
        <v/>
      </c>
      <c r="U28" s="10">
        <f>U21-T21</f>
        <v/>
      </c>
      <c r="V28" s="10">
        <f>V21-U21</f>
        <v/>
      </c>
      <c r="W28" s="10">
        <f>W21-V21</f>
        <v/>
      </c>
      <c r="X28" s="10">
        <f>X21-W21</f>
        <v/>
      </c>
      <c r="Y28" s="10">
        <f>Y21-X21</f>
        <v/>
      </c>
      <c r="Z28" s="10">
        <f>Z21-Y21</f>
        <v/>
      </c>
      <c r="AA28" s="10">
        <f>AA21-Z21</f>
        <v/>
      </c>
      <c r="AB28" s="10">
        <f>AB21-AA21</f>
        <v/>
      </c>
      <c r="AC28" s="10">
        <f>AC21-AB21</f>
        <v/>
      </c>
      <c r="AD28" s="10">
        <f>AD21-AC21</f>
        <v/>
      </c>
      <c r="AE28" s="10">
        <f>AE21-AD21</f>
        <v/>
      </c>
      <c r="AF28" s="10">
        <f>AF21-AE21</f>
        <v/>
      </c>
      <c r="AG28" s="10">
        <f>AG21-AF21</f>
        <v/>
      </c>
      <c r="AH28" s="10">
        <f>AH21-AG21</f>
        <v/>
      </c>
      <c r="AI28" s="10">
        <f>AI21-AH21</f>
        <v/>
      </c>
      <c r="AJ28" s="10">
        <f>AJ21-AI21</f>
        <v/>
      </c>
      <c r="AK28" s="10">
        <f>AK21-AJ21</f>
        <v/>
      </c>
      <c r="AL28" s="10">
        <f>AL21-AK21</f>
        <v/>
      </c>
      <c r="AM28" s="10">
        <f>AM21-AL21</f>
        <v/>
      </c>
      <c r="AN28" s="10">
        <f>AN21-AM21</f>
        <v/>
      </c>
      <c r="AO28" s="10">
        <f>AO21-AN21</f>
        <v/>
      </c>
      <c r="AP28" s="10">
        <f>AP21-AO21</f>
        <v/>
      </c>
      <c r="AQ28" s="10">
        <f>AQ21-AP21</f>
        <v/>
      </c>
      <c r="AR28" s="10">
        <f>AR21-AQ21</f>
        <v/>
      </c>
      <c r="AS28" s="10">
        <f>AS21-AR21</f>
        <v/>
      </c>
      <c r="AT28" s="10">
        <f>AT21-AS21</f>
        <v/>
      </c>
      <c r="AU28" s="10">
        <f>AU21-AT21</f>
        <v/>
      </c>
      <c r="AV28" s="10">
        <f>AV21-AU21</f>
        <v/>
      </c>
      <c r="AW28" s="10">
        <f>AW21-AV21</f>
        <v/>
      </c>
      <c r="AX28" s="10">
        <f>AX21-AW21</f>
        <v/>
      </c>
      <c r="AY28" s="10">
        <f>AY21-AX21</f>
        <v/>
      </c>
      <c r="AZ28" s="10">
        <f>AZ21-AY21</f>
        <v/>
      </c>
      <c r="BA28" s="10">
        <f>BA21-AZ21</f>
        <v/>
      </c>
      <c r="BB28" s="10">
        <f>BB21-BA21</f>
        <v/>
      </c>
      <c r="BC28" s="10">
        <f>BC21-BB21</f>
        <v/>
      </c>
      <c r="BD28" s="10">
        <f>BD21-BC21</f>
        <v/>
      </c>
      <c r="BE28" s="10">
        <f>BE21-BD21</f>
        <v/>
      </c>
      <c r="BF28" s="10">
        <f>BF21-BE21</f>
        <v/>
      </c>
      <c r="BG28" s="10">
        <f>BG21-BF21</f>
        <v/>
      </c>
      <c r="BH28" s="10">
        <f>BH21-BG21</f>
        <v/>
      </c>
      <c r="BI28" s="10">
        <f>BI21-BH21</f>
        <v/>
      </c>
      <c r="BJ28" s="10">
        <f>BJ21-BI21</f>
        <v/>
      </c>
    </row>
    <row r="29">
      <c r="A29" s="4" t="inlineStr">
        <is>
          <t>Launch month: Botswana &amp; Namibia</t>
        </is>
      </c>
      <c r="B29" s="17" t="inlineStr">
        <is>
          <t>flag</t>
        </is>
      </c>
      <c r="C29" s="10">
        <f>C23-0</f>
        <v/>
      </c>
      <c r="D29" s="10">
        <f>D23-C23</f>
        <v/>
      </c>
      <c r="E29" s="10">
        <f>E23-D23</f>
        <v/>
      </c>
      <c r="F29" s="10">
        <f>F23-E23</f>
        <v/>
      </c>
      <c r="G29" s="10">
        <f>G23-F23</f>
        <v/>
      </c>
      <c r="H29" s="10">
        <f>H23-G23</f>
        <v/>
      </c>
      <c r="I29" s="10">
        <f>I23-H23</f>
        <v/>
      </c>
      <c r="J29" s="10">
        <f>J23-I23</f>
        <v/>
      </c>
      <c r="K29" s="10">
        <f>K23-J23</f>
        <v/>
      </c>
      <c r="L29" s="10">
        <f>L23-K23</f>
        <v/>
      </c>
      <c r="M29" s="10">
        <f>M23-L23</f>
        <v/>
      </c>
      <c r="N29" s="10">
        <f>N23-M23</f>
        <v/>
      </c>
      <c r="O29" s="10">
        <f>O23-N23</f>
        <v/>
      </c>
      <c r="P29" s="10">
        <f>P23-O23</f>
        <v/>
      </c>
      <c r="Q29" s="10">
        <f>Q23-P23</f>
        <v/>
      </c>
      <c r="R29" s="10">
        <f>R23-Q23</f>
        <v/>
      </c>
      <c r="S29" s="10">
        <f>S23-R23</f>
        <v/>
      </c>
      <c r="T29" s="10">
        <f>T23-S23</f>
        <v/>
      </c>
      <c r="U29" s="10">
        <f>U23-T23</f>
        <v/>
      </c>
      <c r="V29" s="10">
        <f>V23-U23</f>
        <v/>
      </c>
      <c r="W29" s="10">
        <f>W23-V23</f>
        <v/>
      </c>
      <c r="X29" s="10">
        <f>X23-W23</f>
        <v/>
      </c>
      <c r="Y29" s="10">
        <f>Y23-X23</f>
        <v/>
      </c>
      <c r="Z29" s="10">
        <f>Z23-Y23</f>
        <v/>
      </c>
      <c r="AA29" s="10">
        <f>AA23-Z23</f>
        <v/>
      </c>
      <c r="AB29" s="10">
        <f>AB23-AA23</f>
        <v/>
      </c>
      <c r="AC29" s="10">
        <f>AC23-AB23</f>
        <v/>
      </c>
      <c r="AD29" s="10">
        <f>AD23-AC23</f>
        <v/>
      </c>
      <c r="AE29" s="10">
        <f>AE23-AD23</f>
        <v/>
      </c>
      <c r="AF29" s="10">
        <f>AF23-AE23</f>
        <v/>
      </c>
      <c r="AG29" s="10">
        <f>AG23-AF23</f>
        <v/>
      </c>
      <c r="AH29" s="10">
        <f>AH23-AG23</f>
        <v/>
      </c>
      <c r="AI29" s="10">
        <f>AI23-AH23</f>
        <v/>
      </c>
      <c r="AJ29" s="10">
        <f>AJ23-AI23</f>
        <v/>
      </c>
      <c r="AK29" s="10">
        <f>AK23-AJ23</f>
        <v/>
      </c>
      <c r="AL29" s="10">
        <f>AL23-AK23</f>
        <v/>
      </c>
      <c r="AM29" s="10">
        <f>AM23-AL23</f>
        <v/>
      </c>
      <c r="AN29" s="10">
        <f>AN23-AM23</f>
        <v/>
      </c>
      <c r="AO29" s="10">
        <f>AO23-AN23</f>
        <v/>
      </c>
      <c r="AP29" s="10">
        <f>AP23-AO23</f>
        <v/>
      </c>
      <c r="AQ29" s="10">
        <f>AQ23-AP23</f>
        <v/>
      </c>
      <c r="AR29" s="10">
        <f>AR23-AQ23</f>
        <v/>
      </c>
      <c r="AS29" s="10">
        <f>AS23-AR23</f>
        <v/>
      </c>
      <c r="AT29" s="10">
        <f>AT23-AS23</f>
        <v/>
      </c>
      <c r="AU29" s="10">
        <f>AU23-AT23</f>
        <v/>
      </c>
      <c r="AV29" s="10">
        <f>AV23-AU23</f>
        <v/>
      </c>
      <c r="AW29" s="10">
        <f>AW23-AV23</f>
        <v/>
      </c>
      <c r="AX29" s="10">
        <f>AX23-AW23</f>
        <v/>
      </c>
      <c r="AY29" s="10">
        <f>AY23-AX23</f>
        <v/>
      </c>
      <c r="AZ29" s="10">
        <f>AZ23-AY23</f>
        <v/>
      </c>
      <c r="BA29" s="10">
        <f>BA23-AZ23</f>
        <v/>
      </c>
      <c r="BB29" s="10">
        <f>BB23-BA23</f>
        <v/>
      </c>
      <c r="BC29" s="10">
        <f>BC23-BB23</f>
        <v/>
      </c>
      <c r="BD29" s="10">
        <f>BD23-BC23</f>
        <v/>
      </c>
      <c r="BE29" s="10">
        <f>BE23-BD23</f>
        <v/>
      </c>
      <c r="BF29" s="10">
        <f>BF23-BE23</f>
        <v/>
      </c>
      <c r="BG29" s="10">
        <f>BG23-BF23</f>
        <v/>
      </c>
      <c r="BH29" s="10">
        <f>BH23-BG23</f>
        <v/>
      </c>
      <c r="BI29" s="10">
        <f>BI23-BH23</f>
        <v/>
      </c>
      <c r="BJ29" s="10">
        <f>BJ23-BI23</f>
        <v/>
      </c>
    </row>
    <row r="30">
      <c r="A30" s="4" t="inlineStr">
        <is>
          <t>Founding Member offer running: South Africa</t>
        </is>
      </c>
      <c r="B30" s="17" t="inlineStr">
        <is>
          <t>flag</t>
        </is>
      </c>
      <c r="C30" s="10">
        <f>IF(AND(Assumptions!$B$31=1,C$3&gt;=Assumptions!$B$33,C$3&lt;=Assumptions!$B$34),C13,0)</f>
        <v/>
      </c>
      <c r="D30" s="10">
        <f>IF(AND(Assumptions!$B$31=1,D$3&gt;=Assumptions!$B$33,D$3&lt;=Assumptions!$B$34),D13,0)</f>
        <v/>
      </c>
      <c r="E30" s="10">
        <f>IF(AND(Assumptions!$B$31=1,E$3&gt;=Assumptions!$B$33,E$3&lt;=Assumptions!$B$34),E13,0)</f>
        <v/>
      </c>
      <c r="F30" s="10">
        <f>IF(AND(Assumptions!$B$31=1,F$3&gt;=Assumptions!$B$33,F$3&lt;=Assumptions!$B$34),F13,0)</f>
        <v/>
      </c>
      <c r="G30" s="10">
        <f>IF(AND(Assumptions!$B$31=1,G$3&gt;=Assumptions!$B$33,G$3&lt;=Assumptions!$B$34),G13,0)</f>
        <v/>
      </c>
      <c r="H30" s="10">
        <f>IF(AND(Assumptions!$B$31=1,H$3&gt;=Assumptions!$B$33,H$3&lt;=Assumptions!$B$34),H13,0)</f>
        <v/>
      </c>
      <c r="I30" s="10">
        <f>IF(AND(Assumptions!$B$31=1,I$3&gt;=Assumptions!$B$33,I$3&lt;=Assumptions!$B$34),I13,0)</f>
        <v/>
      </c>
      <c r="J30" s="10">
        <f>IF(AND(Assumptions!$B$31=1,J$3&gt;=Assumptions!$B$33,J$3&lt;=Assumptions!$B$34),J13,0)</f>
        <v/>
      </c>
      <c r="K30" s="10">
        <f>IF(AND(Assumptions!$B$31=1,K$3&gt;=Assumptions!$B$33,K$3&lt;=Assumptions!$B$34),K13,0)</f>
        <v/>
      </c>
      <c r="L30" s="10">
        <f>IF(AND(Assumptions!$B$31=1,L$3&gt;=Assumptions!$B$33,L$3&lt;=Assumptions!$B$34),L13,0)</f>
        <v/>
      </c>
      <c r="M30" s="10">
        <f>IF(AND(Assumptions!$B$31=1,M$3&gt;=Assumptions!$B$33,M$3&lt;=Assumptions!$B$34),M13,0)</f>
        <v/>
      </c>
      <c r="N30" s="10">
        <f>IF(AND(Assumptions!$B$31=1,N$3&gt;=Assumptions!$B$33,N$3&lt;=Assumptions!$B$34),N13,0)</f>
        <v/>
      </c>
      <c r="O30" s="10">
        <f>IF(AND(Assumptions!$B$31=1,O$3&gt;=Assumptions!$B$33,O$3&lt;=Assumptions!$B$34),O13,0)</f>
        <v/>
      </c>
      <c r="P30" s="10">
        <f>IF(AND(Assumptions!$B$31=1,P$3&gt;=Assumptions!$B$33,P$3&lt;=Assumptions!$B$34),P13,0)</f>
        <v/>
      </c>
      <c r="Q30" s="10">
        <f>IF(AND(Assumptions!$B$31=1,Q$3&gt;=Assumptions!$B$33,Q$3&lt;=Assumptions!$B$34),Q13,0)</f>
        <v/>
      </c>
      <c r="R30" s="10">
        <f>IF(AND(Assumptions!$B$31=1,R$3&gt;=Assumptions!$B$33,R$3&lt;=Assumptions!$B$34),R13,0)</f>
        <v/>
      </c>
      <c r="S30" s="10">
        <f>IF(AND(Assumptions!$B$31=1,S$3&gt;=Assumptions!$B$33,S$3&lt;=Assumptions!$B$34),S13,0)</f>
        <v/>
      </c>
      <c r="T30" s="10">
        <f>IF(AND(Assumptions!$B$31=1,T$3&gt;=Assumptions!$B$33,T$3&lt;=Assumptions!$B$34),T13,0)</f>
        <v/>
      </c>
      <c r="U30" s="10">
        <f>IF(AND(Assumptions!$B$31=1,U$3&gt;=Assumptions!$B$33,U$3&lt;=Assumptions!$B$34),U13,0)</f>
        <v/>
      </c>
      <c r="V30" s="10">
        <f>IF(AND(Assumptions!$B$31=1,V$3&gt;=Assumptions!$B$33,V$3&lt;=Assumptions!$B$34),V13,0)</f>
        <v/>
      </c>
      <c r="W30" s="10">
        <f>IF(AND(Assumptions!$B$31=1,W$3&gt;=Assumptions!$B$33,W$3&lt;=Assumptions!$B$34),W13,0)</f>
        <v/>
      </c>
      <c r="X30" s="10">
        <f>IF(AND(Assumptions!$B$31=1,X$3&gt;=Assumptions!$B$33,X$3&lt;=Assumptions!$B$34),X13,0)</f>
        <v/>
      </c>
      <c r="Y30" s="10">
        <f>IF(AND(Assumptions!$B$31=1,Y$3&gt;=Assumptions!$B$33,Y$3&lt;=Assumptions!$B$34),Y13,0)</f>
        <v/>
      </c>
      <c r="Z30" s="10">
        <f>IF(AND(Assumptions!$B$31=1,Z$3&gt;=Assumptions!$B$33,Z$3&lt;=Assumptions!$B$34),Z13,0)</f>
        <v/>
      </c>
      <c r="AA30" s="10">
        <f>IF(AND(Assumptions!$B$31=1,AA$3&gt;=Assumptions!$B$33,AA$3&lt;=Assumptions!$B$34),AA13,0)</f>
        <v/>
      </c>
      <c r="AB30" s="10">
        <f>IF(AND(Assumptions!$B$31=1,AB$3&gt;=Assumptions!$B$33,AB$3&lt;=Assumptions!$B$34),AB13,0)</f>
        <v/>
      </c>
      <c r="AC30" s="10">
        <f>IF(AND(Assumptions!$B$31=1,AC$3&gt;=Assumptions!$B$33,AC$3&lt;=Assumptions!$B$34),AC13,0)</f>
        <v/>
      </c>
      <c r="AD30" s="10">
        <f>IF(AND(Assumptions!$B$31=1,AD$3&gt;=Assumptions!$B$33,AD$3&lt;=Assumptions!$B$34),AD13,0)</f>
        <v/>
      </c>
      <c r="AE30" s="10">
        <f>IF(AND(Assumptions!$B$31=1,AE$3&gt;=Assumptions!$B$33,AE$3&lt;=Assumptions!$B$34),AE13,0)</f>
        <v/>
      </c>
      <c r="AF30" s="10">
        <f>IF(AND(Assumptions!$B$31=1,AF$3&gt;=Assumptions!$B$33,AF$3&lt;=Assumptions!$B$34),AF13,0)</f>
        <v/>
      </c>
      <c r="AG30" s="10">
        <f>IF(AND(Assumptions!$B$31=1,AG$3&gt;=Assumptions!$B$33,AG$3&lt;=Assumptions!$B$34),AG13,0)</f>
        <v/>
      </c>
      <c r="AH30" s="10">
        <f>IF(AND(Assumptions!$B$31=1,AH$3&gt;=Assumptions!$B$33,AH$3&lt;=Assumptions!$B$34),AH13,0)</f>
        <v/>
      </c>
      <c r="AI30" s="10">
        <f>IF(AND(Assumptions!$B$31=1,AI$3&gt;=Assumptions!$B$33,AI$3&lt;=Assumptions!$B$34),AI13,0)</f>
        <v/>
      </c>
      <c r="AJ30" s="10">
        <f>IF(AND(Assumptions!$B$31=1,AJ$3&gt;=Assumptions!$B$33,AJ$3&lt;=Assumptions!$B$34),AJ13,0)</f>
        <v/>
      </c>
      <c r="AK30" s="10">
        <f>IF(AND(Assumptions!$B$31=1,AK$3&gt;=Assumptions!$B$33,AK$3&lt;=Assumptions!$B$34),AK13,0)</f>
        <v/>
      </c>
      <c r="AL30" s="10">
        <f>IF(AND(Assumptions!$B$31=1,AL$3&gt;=Assumptions!$B$33,AL$3&lt;=Assumptions!$B$34),AL13,0)</f>
        <v/>
      </c>
      <c r="AM30" s="10">
        <f>IF(AND(Assumptions!$B$31=1,AM$3&gt;=Assumptions!$B$33,AM$3&lt;=Assumptions!$B$34),AM13,0)</f>
        <v/>
      </c>
      <c r="AN30" s="10">
        <f>IF(AND(Assumptions!$B$31=1,AN$3&gt;=Assumptions!$B$33,AN$3&lt;=Assumptions!$B$34),AN13,0)</f>
        <v/>
      </c>
      <c r="AO30" s="10">
        <f>IF(AND(Assumptions!$B$31=1,AO$3&gt;=Assumptions!$B$33,AO$3&lt;=Assumptions!$B$34),AO13,0)</f>
        <v/>
      </c>
      <c r="AP30" s="10">
        <f>IF(AND(Assumptions!$B$31=1,AP$3&gt;=Assumptions!$B$33,AP$3&lt;=Assumptions!$B$34),AP13,0)</f>
        <v/>
      </c>
      <c r="AQ30" s="10">
        <f>IF(AND(Assumptions!$B$31=1,AQ$3&gt;=Assumptions!$B$33,AQ$3&lt;=Assumptions!$B$34),AQ13,0)</f>
        <v/>
      </c>
      <c r="AR30" s="10">
        <f>IF(AND(Assumptions!$B$31=1,AR$3&gt;=Assumptions!$B$33,AR$3&lt;=Assumptions!$B$34),AR13,0)</f>
        <v/>
      </c>
      <c r="AS30" s="10">
        <f>IF(AND(Assumptions!$B$31=1,AS$3&gt;=Assumptions!$B$33,AS$3&lt;=Assumptions!$B$34),AS13,0)</f>
        <v/>
      </c>
      <c r="AT30" s="10">
        <f>IF(AND(Assumptions!$B$31=1,AT$3&gt;=Assumptions!$B$33,AT$3&lt;=Assumptions!$B$34),AT13,0)</f>
        <v/>
      </c>
      <c r="AU30" s="10">
        <f>IF(AND(Assumptions!$B$31=1,AU$3&gt;=Assumptions!$B$33,AU$3&lt;=Assumptions!$B$34),AU13,0)</f>
        <v/>
      </c>
      <c r="AV30" s="10">
        <f>IF(AND(Assumptions!$B$31=1,AV$3&gt;=Assumptions!$B$33,AV$3&lt;=Assumptions!$B$34),AV13,0)</f>
        <v/>
      </c>
      <c r="AW30" s="10">
        <f>IF(AND(Assumptions!$B$31=1,AW$3&gt;=Assumptions!$B$33,AW$3&lt;=Assumptions!$B$34),AW13,0)</f>
        <v/>
      </c>
      <c r="AX30" s="10">
        <f>IF(AND(Assumptions!$B$31=1,AX$3&gt;=Assumptions!$B$33,AX$3&lt;=Assumptions!$B$34),AX13,0)</f>
        <v/>
      </c>
      <c r="AY30" s="10">
        <f>IF(AND(Assumptions!$B$31=1,AY$3&gt;=Assumptions!$B$33,AY$3&lt;=Assumptions!$B$34),AY13,0)</f>
        <v/>
      </c>
      <c r="AZ30" s="10">
        <f>IF(AND(Assumptions!$B$31=1,AZ$3&gt;=Assumptions!$B$33,AZ$3&lt;=Assumptions!$B$34),AZ13,0)</f>
        <v/>
      </c>
      <c r="BA30" s="10">
        <f>IF(AND(Assumptions!$B$31=1,BA$3&gt;=Assumptions!$B$33,BA$3&lt;=Assumptions!$B$34),BA13,0)</f>
        <v/>
      </c>
      <c r="BB30" s="10">
        <f>IF(AND(Assumptions!$B$31=1,BB$3&gt;=Assumptions!$B$33,BB$3&lt;=Assumptions!$B$34),BB13,0)</f>
        <v/>
      </c>
      <c r="BC30" s="10">
        <f>IF(AND(Assumptions!$B$31=1,BC$3&gt;=Assumptions!$B$33,BC$3&lt;=Assumptions!$B$34),BC13,0)</f>
        <v/>
      </c>
      <c r="BD30" s="10">
        <f>IF(AND(Assumptions!$B$31=1,BD$3&gt;=Assumptions!$B$33,BD$3&lt;=Assumptions!$B$34),BD13,0)</f>
        <v/>
      </c>
      <c r="BE30" s="10">
        <f>IF(AND(Assumptions!$B$31=1,BE$3&gt;=Assumptions!$B$33,BE$3&lt;=Assumptions!$B$34),BE13,0)</f>
        <v/>
      </c>
      <c r="BF30" s="10">
        <f>IF(AND(Assumptions!$B$31=1,BF$3&gt;=Assumptions!$B$33,BF$3&lt;=Assumptions!$B$34),BF13,0)</f>
        <v/>
      </c>
      <c r="BG30" s="10">
        <f>IF(AND(Assumptions!$B$31=1,BG$3&gt;=Assumptions!$B$33,BG$3&lt;=Assumptions!$B$34),BG13,0)</f>
        <v/>
      </c>
      <c r="BH30" s="10">
        <f>IF(AND(Assumptions!$B$31=1,BH$3&gt;=Assumptions!$B$33,BH$3&lt;=Assumptions!$B$34),BH13,0)</f>
        <v/>
      </c>
      <c r="BI30" s="10">
        <f>IF(AND(Assumptions!$B$31=1,BI$3&gt;=Assumptions!$B$33,BI$3&lt;=Assumptions!$B$34),BI13,0)</f>
        <v/>
      </c>
      <c r="BJ30" s="10">
        <f>IF(AND(Assumptions!$B$31=1,BJ$3&gt;=Assumptions!$B$33,BJ$3&lt;=Assumptions!$B$34),BJ13,0)</f>
        <v/>
      </c>
    </row>
    <row r="31"/>
    <row r="32">
      <c r="A32" s="19" t="inlineStr">
        <is>
          <t>FX drift &amp; quarterly repricing (ZAR value of fixed local / USD price points; 1.000 = parity at Sept 2026 rates)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</row>
    <row r="33">
      <c r="A33" s="4" t="inlineStr">
        <is>
          <t>ZAR value of 1 unit of Nigeria currency (index)</t>
        </is>
      </c>
      <c r="B33" s="17" t="inlineStr">
        <is>
          <t>x</t>
        </is>
      </c>
      <c r="C33" s="36">
        <f>(1+Pricing!$B$26)^((C$3-1)/12)*IF(C$3&gt;=Assumptions!$B$38,1/(1+Assumptions!$B$37),1)</f>
        <v/>
      </c>
      <c r="D33" s="36">
        <f>(1+Pricing!$B$26)^((D$3-1)/12)*IF(D$3&gt;=Assumptions!$B$38,1/(1+Assumptions!$B$37),1)</f>
        <v/>
      </c>
      <c r="E33" s="36">
        <f>(1+Pricing!$B$26)^((E$3-1)/12)*IF(E$3&gt;=Assumptions!$B$38,1/(1+Assumptions!$B$37),1)</f>
        <v/>
      </c>
      <c r="F33" s="36">
        <f>(1+Pricing!$B$26)^((F$3-1)/12)*IF(F$3&gt;=Assumptions!$B$38,1/(1+Assumptions!$B$37),1)</f>
        <v/>
      </c>
      <c r="G33" s="36">
        <f>(1+Pricing!$B$26)^((G$3-1)/12)*IF(G$3&gt;=Assumptions!$B$38,1/(1+Assumptions!$B$37),1)</f>
        <v/>
      </c>
      <c r="H33" s="36">
        <f>(1+Pricing!$B$26)^((H$3-1)/12)*IF(H$3&gt;=Assumptions!$B$38,1/(1+Assumptions!$B$37),1)</f>
        <v/>
      </c>
      <c r="I33" s="36">
        <f>(1+Pricing!$B$26)^((I$3-1)/12)*IF(I$3&gt;=Assumptions!$B$38,1/(1+Assumptions!$B$37),1)</f>
        <v/>
      </c>
      <c r="J33" s="36">
        <f>(1+Pricing!$B$26)^((J$3-1)/12)*IF(J$3&gt;=Assumptions!$B$38,1/(1+Assumptions!$B$37),1)</f>
        <v/>
      </c>
      <c r="K33" s="36">
        <f>(1+Pricing!$B$26)^((K$3-1)/12)*IF(K$3&gt;=Assumptions!$B$38,1/(1+Assumptions!$B$37),1)</f>
        <v/>
      </c>
      <c r="L33" s="36">
        <f>(1+Pricing!$B$26)^((L$3-1)/12)*IF(L$3&gt;=Assumptions!$B$38,1/(1+Assumptions!$B$37),1)</f>
        <v/>
      </c>
      <c r="M33" s="36">
        <f>(1+Pricing!$B$26)^((M$3-1)/12)*IF(M$3&gt;=Assumptions!$B$38,1/(1+Assumptions!$B$37),1)</f>
        <v/>
      </c>
      <c r="N33" s="36">
        <f>(1+Pricing!$B$26)^((N$3-1)/12)*IF(N$3&gt;=Assumptions!$B$38,1/(1+Assumptions!$B$37),1)</f>
        <v/>
      </c>
      <c r="O33" s="36">
        <f>(1+Pricing!$B$26)^((O$3-1)/12)*IF(O$3&gt;=Assumptions!$B$38,1/(1+Assumptions!$B$37),1)</f>
        <v/>
      </c>
      <c r="P33" s="36">
        <f>(1+Pricing!$B$26)^((P$3-1)/12)*IF(P$3&gt;=Assumptions!$B$38,1/(1+Assumptions!$B$37),1)</f>
        <v/>
      </c>
      <c r="Q33" s="36">
        <f>(1+Pricing!$B$26)^((Q$3-1)/12)*IF(Q$3&gt;=Assumptions!$B$38,1/(1+Assumptions!$B$37),1)</f>
        <v/>
      </c>
      <c r="R33" s="36">
        <f>(1+Pricing!$B$26)^((R$3-1)/12)*IF(R$3&gt;=Assumptions!$B$38,1/(1+Assumptions!$B$37),1)</f>
        <v/>
      </c>
      <c r="S33" s="36">
        <f>(1+Pricing!$B$26)^((S$3-1)/12)*IF(S$3&gt;=Assumptions!$B$38,1/(1+Assumptions!$B$37),1)</f>
        <v/>
      </c>
      <c r="T33" s="36">
        <f>(1+Pricing!$B$26)^((T$3-1)/12)*IF(T$3&gt;=Assumptions!$B$38,1/(1+Assumptions!$B$37),1)</f>
        <v/>
      </c>
      <c r="U33" s="36">
        <f>(1+Pricing!$B$26)^((U$3-1)/12)*IF(U$3&gt;=Assumptions!$B$38,1/(1+Assumptions!$B$37),1)</f>
        <v/>
      </c>
      <c r="V33" s="36">
        <f>(1+Pricing!$B$26)^((V$3-1)/12)*IF(V$3&gt;=Assumptions!$B$38,1/(1+Assumptions!$B$37),1)</f>
        <v/>
      </c>
      <c r="W33" s="36">
        <f>(1+Pricing!$B$26)^((W$3-1)/12)*IF(W$3&gt;=Assumptions!$B$38,1/(1+Assumptions!$B$37),1)</f>
        <v/>
      </c>
      <c r="X33" s="36">
        <f>(1+Pricing!$B$26)^((X$3-1)/12)*IF(X$3&gt;=Assumptions!$B$38,1/(1+Assumptions!$B$37),1)</f>
        <v/>
      </c>
      <c r="Y33" s="36">
        <f>(1+Pricing!$B$26)^((Y$3-1)/12)*IF(Y$3&gt;=Assumptions!$B$38,1/(1+Assumptions!$B$37),1)</f>
        <v/>
      </c>
      <c r="Z33" s="36">
        <f>(1+Pricing!$B$26)^((Z$3-1)/12)*IF(Z$3&gt;=Assumptions!$B$38,1/(1+Assumptions!$B$37),1)</f>
        <v/>
      </c>
      <c r="AA33" s="36">
        <f>(1+Pricing!$B$26)^((AA$3-1)/12)*IF(AA$3&gt;=Assumptions!$B$38,1/(1+Assumptions!$B$37),1)</f>
        <v/>
      </c>
      <c r="AB33" s="36">
        <f>(1+Pricing!$B$26)^((AB$3-1)/12)*IF(AB$3&gt;=Assumptions!$B$38,1/(1+Assumptions!$B$37),1)</f>
        <v/>
      </c>
      <c r="AC33" s="36">
        <f>(1+Pricing!$B$26)^((AC$3-1)/12)*IF(AC$3&gt;=Assumptions!$B$38,1/(1+Assumptions!$B$37),1)</f>
        <v/>
      </c>
      <c r="AD33" s="36">
        <f>(1+Pricing!$B$26)^((AD$3-1)/12)*IF(AD$3&gt;=Assumptions!$B$38,1/(1+Assumptions!$B$37),1)</f>
        <v/>
      </c>
      <c r="AE33" s="36">
        <f>(1+Pricing!$B$26)^((AE$3-1)/12)*IF(AE$3&gt;=Assumptions!$B$38,1/(1+Assumptions!$B$37),1)</f>
        <v/>
      </c>
      <c r="AF33" s="36">
        <f>(1+Pricing!$B$26)^((AF$3-1)/12)*IF(AF$3&gt;=Assumptions!$B$38,1/(1+Assumptions!$B$37),1)</f>
        <v/>
      </c>
      <c r="AG33" s="36">
        <f>(1+Pricing!$B$26)^((AG$3-1)/12)*IF(AG$3&gt;=Assumptions!$B$38,1/(1+Assumptions!$B$37),1)</f>
        <v/>
      </c>
      <c r="AH33" s="36">
        <f>(1+Pricing!$B$26)^((AH$3-1)/12)*IF(AH$3&gt;=Assumptions!$B$38,1/(1+Assumptions!$B$37),1)</f>
        <v/>
      </c>
      <c r="AI33" s="36">
        <f>(1+Pricing!$B$26)^((AI$3-1)/12)*IF(AI$3&gt;=Assumptions!$B$38,1/(1+Assumptions!$B$37),1)</f>
        <v/>
      </c>
      <c r="AJ33" s="36">
        <f>(1+Pricing!$B$26)^((AJ$3-1)/12)*IF(AJ$3&gt;=Assumptions!$B$38,1/(1+Assumptions!$B$37),1)</f>
        <v/>
      </c>
      <c r="AK33" s="36">
        <f>(1+Pricing!$B$26)^((AK$3-1)/12)*IF(AK$3&gt;=Assumptions!$B$38,1/(1+Assumptions!$B$37),1)</f>
        <v/>
      </c>
      <c r="AL33" s="36">
        <f>(1+Pricing!$B$26)^((AL$3-1)/12)*IF(AL$3&gt;=Assumptions!$B$38,1/(1+Assumptions!$B$37),1)</f>
        <v/>
      </c>
      <c r="AM33" s="36">
        <f>(1+Pricing!$B$26)^((AM$3-1)/12)*IF(AM$3&gt;=Assumptions!$B$38,1/(1+Assumptions!$B$37),1)</f>
        <v/>
      </c>
      <c r="AN33" s="36">
        <f>(1+Pricing!$B$26)^((AN$3-1)/12)*IF(AN$3&gt;=Assumptions!$B$38,1/(1+Assumptions!$B$37),1)</f>
        <v/>
      </c>
      <c r="AO33" s="36">
        <f>(1+Pricing!$B$26)^((AO$3-1)/12)*IF(AO$3&gt;=Assumptions!$B$38,1/(1+Assumptions!$B$37),1)</f>
        <v/>
      </c>
      <c r="AP33" s="36">
        <f>(1+Pricing!$B$26)^((AP$3-1)/12)*IF(AP$3&gt;=Assumptions!$B$38,1/(1+Assumptions!$B$37),1)</f>
        <v/>
      </c>
      <c r="AQ33" s="36">
        <f>(1+Pricing!$B$26)^((AQ$3-1)/12)*IF(AQ$3&gt;=Assumptions!$B$38,1/(1+Assumptions!$B$37),1)</f>
        <v/>
      </c>
      <c r="AR33" s="36">
        <f>(1+Pricing!$B$26)^((AR$3-1)/12)*IF(AR$3&gt;=Assumptions!$B$38,1/(1+Assumptions!$B$37),1)</f>
        <v/>
      </c>
      <c r="AS33" s="36">
        <f>(1+Pricing!$B$26)^((AS$3-1)/12)*IF(AS$3&gt;=Assumptions!$B$38,1/(1+Assumptions!$B$37),1)</f>
        <v/>
      </c>
      <c r="AT33" s="36">
        <f>(1+Pricing!$B$26)^((AT$3-1)/12)*IF(AT$3&gt;=Assumptions!$B$38,1/(1+Assumptions!$B$37),1)</f>
        <v/>
      </c>
      <c r="AU33" s="36">
        <f>(1+Pricing!$B$26)^((AU$3-1)/12)*IF(AU$3&gt;=Assumptions!$B$38,1/(1+Assumptions!$B$37),1)</f>
        <v/>
      </c>
      <c r="AV33" s="36">
        <f>(1+Pricing!$B$26)^((AV$3-1)/12)*IF(AV$3&gt;=Assumptions!$B$38,1/(1+Assumptions!$B$37),1)</f>
        <v/>
      </c>
      <c r="AW33" s="36">
        <f>(1+Pricing!$B$26)^((AW$3-1)/12)*IF(AW$3&gt;=Assumptions!$B$38,1/(1+Assumptions!$B$37),1)</f>
        <v/>
      </c>
      <c r="AX33" s="36">
        <f>(1+Pricing!$B$26)^((AX$3-1)/12)*IF(AX$3&gt;=Assumptions!$B$38,1/(1+Assumptions!$B$37),1)</f>
        <v/>
      </c>
      <c r="AY33" s="36">
        <f>(1+Pricing!$B$26)^((AY$3-1)/12)*IF(AY$3&gt;=Assumptions!$B$38,1/(1+Assumptions!$B$37),1)</f>
        <v/>
      </c>
      <c r="AZ33" s="36">
        <f>(1+Pricing!$B$26)^((AZ$3-1)/12)*IF(AZ$3&gt;=Assumptions!$B$38,1/(1+Assumptions!$B$37),1)</f>
        <v/>
      </c>
      <c r="BA33" s="36">
        <f>(1+Pricing!$B$26)^((BA$3-1)/12)*IF(BA$3&gt;=Assumptions!$B$38,1/(1+Assumptions!$B$37),1)</f>
        <v/>
      </c>
      <c r="BB33" s="36">
        <f>(1+Pricing!$B$26)^((BB$3-1)/12)*IF(BB$3&gt;=Assumptions!$B$38,1/(1+Assumptions!$B$37),1)</f>
        <v/>
      </c>
      <c r="BC33" s="36">
        <f>(1+Pricing!$B$26)^((BC$3-1)/12)*IF(BC$3&gt;=Assumptions!$B$38,1/(1+Assumptions!$B$37),1)</f>
        <v/>
      </c>
      <c r="BD33" s="36">
        <f>(1+Pricing!$B$26)^((BD$3-1)/12)*IF(BD$3&gt;=Assumptions!$B$38,1/(1+Assumptions!$B$37),1)</f>
        <v/>
      </c>
      <c r="BE33" s="36">
        <f>(1+Pricing!$B$26)^((BE$3-1)/12)*IF(BE$3&gt;=Assumptions!$B$38,1/(1+Assumptions!$B$37),1)</f>
        <v/>
      </c>
      <c r="BF33" s="36">
        <f>(1+Pricing!$B$26)^((BF$3-1)/12)*IF(BF$3&gt;=Assumptions!$B$38,1/(1+Assumptions!$B$37),1)</f>
        <v/>
      </c>
      <c r="BG33" s="36">
        <f>(1+Pricing!$B$26)^((BG$3-1)/12)*IF(BG$3&gt;=Assumptions!$B$38,1/(1+Assumptions!$B$37),1)</f>
        <v/>
      </c>
      <c r="BH33" s="36">
        <f>(1+Pricing!$B$26)^((BH$3-1)/12)*IF(BH$3&gt;=Assumptions!$B$38,1/(1+Assumptions!$B$37),1)</f>
        <v/>
      </c>
      <c r="BI33" s="36">
        <f>(1+Pricing!$B$26)^((BI$3-1)/12)*IF(BI$3&gt;=Assumptions!$B$38,1/(1+Assumptions!$B$37),1)</f>
        <v/>
      </c>
      <c r="BJ33" s="36">
        <f>(1+Pricing!$B$26)^((BJ$3-1)/12)*IF(BJ$3&gt;=Assumptions!$B$38,1/(1+Assumptions!$B$37),1)</f>
        <v/>
      </c>
    </row>
    <row r="34">
      <c r="A34" s="4" t="inlineStr">
        <is>
          <t>Local price level after repricing: Nigeria</t>
        </is>
      </c>
      <c r="B34" s="17" t="inlineStr">
        <is>
          <t>x</t>
        </is>
      </c>
      <c r="C34" s="36">
        <f>1</f>
        <v/>
      </c>
      <c r="D34" s="36">
        <f>C34</f>
        <v/>
      </c>
      <c r="E34" s="36">
        <f>D34</f>
        <v/>
      </c>
      <c r="F34" s="36">
        <f>IF(AND(Pricing!$B$31=1,MOD(F$3-1,3)=0,ABS(E34*C33-1)&gt;Pricing!$B$30),1/C33,E34)</f>
        <v/>
      </c>
      <c r="G34" s="36">
        <f>IF(AND(Pricing!$B$31=1,MOD(G$3-1,3)=0,ABS(F34*D33-1)&gt;Pricing!$B$30),1/D33,F34)</f>
        <v/>
      </c>
      <c r="H34" s="36">
        <f>IF(AND(Pricing!$B$31=1,MOD(H$3-1,3)=0,ABS(G34*E33-1)&gt;Pricing!$B$30),1/E33,G34)</f>
        <v/>
      </c>
      <c r="I34" s="36">
        <f>IF(AND(Pricing!$B$31=1,MOD(I$3-1,3)=0,ABS(H34*F33-1)&gt;Pricing!$B$30),1/F33,H34)</f>
        <v/>
      </c>
      <c r="J34" s="36">
        <f>IF(AND(Pricing!$B$31=1,MOD(J$3-1,3)=0,ABS(I34*G33-1)&gt;Pricing!$B$30),1/G33,I34)</f>
        <v/>
      </c>
      <c r="K34" s="36">
        <f>IF(AND(Pricing!$B$31=1,MOD(K$3-1,3)=0,ABS(J34*H33-1)&gt;Pricing!$B$30),1/H33,J34)</f>
        <v/>
      </c>
      <c r="L34" s="36">
        <f>IF(AND(Pricing!$B$31=1,MOD(L$3-1,3)=0,ABS(K34*I33-1)&gt;Pricing!$B$30),1/I33,K34)</f>
        <v/>
      </c>
      <c r="M34" s="36">
        <f>IF(AND(Pricing!$B$31=1,MOD(M$3-1,3)=0,ABS(L34*J33-1)&gt;Pricing!$B$30),1/J33,L34)</f>
        <v/>
      </c>
      <c r="N34" s="36">
        <f>IF(AND(Pricing!$B$31=1,MOD(N$3-1,3)=0,ABS(M34*K33-1)&gt;Pricing!$B$30),1/K33,M34)</f>
        <v/>
      </c>
      <c r="O34" s="36">
        <f>IF(AND(Pricing!$B$31=1,MOD(O$3-1,3)=0,ABS(N34*L33-1)&gt;Pricing!$B$30),1/L33,N34)</f>
        <v/>
      </c>
      <c r="P34" s="36">
        <f>IF(AND(Pricing!$B$31=1,MOD(P$3-1,3)=0,ABS(O34*M33-1)&gt;Pricing!$B$30),1/M33,O34)</f>
        <v/>
      </c>
      <c r="Q34" s="36">
        <f>IF(AND(Pricing!$B$31=1,MOD(Q$3-1,3)=0,ABS(P34*N33-1)&gt;Pricing!$B$30),1/N33,P34)</f>
        <v/>
      </c>
      <c r="R34" s="36">
        <f>IF(AND(Pricing!$B$31=1,MOD(R$3-1,3)=0,ABS(Q34*O33-1)&gt;Pricing!$B$30),1/O33,Q34)</f>
        <v/>
      </c>
      <c r="S34" s="36">
        <f>IF(AND(Pricing!$B$31=1,MOD(S$3-1,3)=0,ABS(R34*P33-1)&gt;Pricing!$B$30),1/P33,R34)</f>
        <v/>
      </c>
      <c r="T34" s="36">
        <f>IF(AND(Pricing!$B$31=1,MOD(T$3-1,3)=0,ABS(S34*Q33-1)&gt;Pricing!$B$30),1/Q33,S34)</f>
        <v/>
      </c>
      <c r="U34" s="36">
        <f>IF(AND(Pricing!$B$31=1,MOD(U$3-1,3)=0,ABS(T34*R33-1)&gt;Pricing!$B$30),1/R33,T34)</f>
        <v/>
      </c>
      <c r="V34" s="36">
        <f>IF(AND(Pricing!$B$31=1,MOD(V$3-1,3)=0,ABS(U34*S33-1)&gt;Pricing!$B$30),1/S33,U34)</f>
        <v/>
      </c>
      <c r="W34" s="36">
        <f>IF(AND(Pricing!$B$31=1,MOD(W$3-1,3)=0,ABS(V34*T33-1)&gt;Pricing!$B$30),1/T33,V34)</f>
        <v/>
      </c>
      <c r="X34" s="36">
        <f>IF(AND(Pricing!$B$31=1,MOD(X$3-1,3)=0,ABS(W34*U33-1)&gt;Pricing!$B$30),1/U33,W34)</f>
        <v/>
      </c>
      <c r="Y34" s="36">
        <f>IF(AND(Pricing!$B$31=1,MOD(Y$3-1,3)=0,ABS(X34*V33-1)&gt;Pricing!$B$30),1/V33,X34)</f>
        <v/>
      </c>
      <c r="Z34" s="36">
        <f>IF(AND(Pricing!$B$31=1,MOD(Z$3-1,3)=0,ABS(Y34*W33-1)&gt;Pricing!$B$30),1/W33,Y34)</f>
        <v/>
      </c>
      <c r="AA34" s="36">
        <f>IF(AND(Pricing!$B$31=1,MOD(AA$3-1,3)=0,ABS(Z34*X33-1)&gt;Pricing!$B$30),1/X33,Z34)</f>
        <v/>
      </c>
      <c r="AB34" s="36">
        <f>IF(AND(Pricing!$B$31=1,MOD(AB$3-1,3)=0,ABS(AA34*Y33-1)&gt;Pricing!$B$30),1/Y33,AA34)</f>
        <v/>
      </c>
      <c r="AC34" s="36">
        <f>IF(AND(Pricing!$B$31=1,MOD(AC$3-1,3)=0,ABS(AB34*Z33-1)&gt;Pricing!$B$30),1/Z33,AB34)</f>
        <v/>
      </c>
      <c r="AD34" s="36">
        <f>IF(AND(Pricing!$B$31=1,MOD(AD$3-1,3)=0,ABS(AC34*AA33-1)&gt;Pricing!$B$30),1/AA33,AC34)</f>
        <v/>
      </c>
      <c r="AE34" s="36">
        <f>IF(AND(Pricing!$B$31=1,MOD(AE$3-1,3)=0,ABS(AD34*AB33-1)&gt;Pricing!$B$30),1/AB33,AD34)</f>
        <v/>
      </c>
      <c r="AF34" s="36">
        <f>IF(AND(Pricing!$B$31=1,MOD(AF$3-1,3)=0,ABS(AE34*AC33-1)&gt;Pricing!$B$30),1/AC33,AE34)</f>
        <v/>
      </c>
      <c r="AG34" s="36">
        <f>IF(AND(Pricing!$B$31=1,MOD(AG$3-1,3)=0,ABS(AF34*AD33-1)&gt;Pricing!$B$30),1/AD33,AF34)</f>
        <v/>
      </c>
      <c r="AH34" s="36">
        <f>IF(AND(Pricing!$B$31=1,MOD(AH$3-1,3)=0,ABS(AG34*AE33-1)&gt;Pricing!$B$30),1/AE33,AG34)</f>
        <v/>
      </c>
      <c r="AI34" s="36">
        <f>IF(AND(Pricing!$B$31=1,MOD(AI$3-1,3)=0,ABS(AH34*AF33-1)&gt;Pricing!$B$30),1/AF33,AH34)</f>
        <v/>
      </c>
      <c r="AJ34" s="36">
        <f>IF(AND(Pricing!$B$31=1,MOD(AJ$3-1,3)=0,ABS(AI34*AG33-1)&gt;Pricing!$B$30),1/AG33,AI34)</f>
        <v/>
      </c>
      <c r="AK34" s="36">
        <f>IF(AND(Pricing!$B$31=1,MOD(AK$3-1,3)=0,ABS(AJ34*AH33-1)&gt;Pricing!$B$30),1/AH33,AJ34)</f>
        <v/>
      </c>
      <c r="AL34" s="36">
        <f>IF(AND(Pricing!$B$31=1,MOD(AL$3-1,3)=0,ABS(AK34*AI33-1)&gt;Pricing!$B$30),1/AI33,AK34)</f>
        <v/>
      </c>
      <c r="AM34" s="36">
        <f>IF(AND(Pricing!$B$31=1,MOD(AM$3-1,3)=0,ABS(AL34*AJ33-1)&gt;Pricing!$B$30),1/AJ33,AL34)</f>
        <v/>
      </c>
      <c r="AN34" s="36">
        <f>IF(AND(Pricing!$B$31=1,MOD(AN$3-1,3)=0,ABS(AM34*AK33-1)&gt;Pricing!$B$30),1/AK33,AM34)</f>
        <v/>
      </c>
      <c r="AO34" s="36">
        <f>IF(AND(Pricing!$B$31=1,MOD(AO$3-1,3)=0,ABS(AN34*AL33-1)&gt;Pricing!$B$30),1/AL33,AN34)</f>
        <v/>
      </c>
      <c r="AP34" s="36">
        <f>IF(AND(Pricing!$B$31=1,MOD(AP$3-1,3)=0,ABS(AO34*AM33-1)&gt;Pricing!$B$30),1/AM33,AO34)</f>
        <v/>
      </c>
      <c r="AQ34" s="36">
        <f>IF(AND(Pricing!$B$31=1,MOD(AQ$3-1,3)=0,ABS(AP34*AN33-1)&gt;Pricing!$B$30),1/AN33,AP34)</f>
        <v/>
      </c>
      <c r="AR34" s="36">
        <f>IF(AND(Pricing!$B$31=1,MOD(AR$3-1,3)=0,ABS(AQ34*AO33-1)&gt;Pricing!$B$30),1/AO33,AQ34)</f>
        <v/>
      </c>
      <c r="AS34" s="36">
        <f>IF(AND(Pricing!$B$31=1,MOD(AS$3-1,3)=0,ABS(AR34*AP33-1)&gt;Pricing!$B$30),1/AP33,AR34)</f>
        <v/>
      </c>
      <c r="AT34" s="36">
        <f>IF(AND(Pricing!$B$31=1,MOD(AT$3-1,3)=0,ABS(AS34*AQ33-1)&gt;Pricing!$B$30),1/AQ33,AS34)</f>
        <v/>
      </c>
      <c r="AU34" s="36">
        <f>IF(AND(Pricing!$B$31=1,MOD(AU$3-1,3)=0,ABS(AT34*AR33-1)&gt;Pricing!$B$30),1/AR33,AT34)</f>
        <v/>
      </c>
      <c r="AV34" s="36">
        <f>IF(AND(Pricing!$B$31=1,MOD(AV$3-1,3)=0,ABS(AU34*AS33-1)&gt;Pricing!$B$30),1/AS33,AU34)</f>
        <v/>
      </c>
      <c r="AW34" s="36">
        <f>IF(AND(Pricing!$B$31=1,MOD(AW$3-1,3)=0,ABS(AV34*AT33-1)&gt;Pricing!$B$30),1/AT33,AV34)</f>
        <v/>
      </c>
      <c r="AX34" s="36">
        <f>IF(AND(Pricing!$B$31=1,MOD(AX$3-1,3)=0,ABS(AW34*AU33-1)&gt;Pricing!$B$30),1/AU33,AW34)</f>
        <v/>
      </c>
      <c r="AY34" s="36">
        <f>IF(AND(Pricing!$B$31=1,MOD(AY$3-1,3)=0,ABS(AX34*AV33-1)&gt;Pricing!$B$30),1/AV33,AX34)</f>
        <v/>
      </c>
      <c r="AZ34" s="36">
        <f>IF(AND(Pricing!$B$31=1,MOD(AZ$3-1,3)=0,ABS(AY34*AW33-1)&gt;Pricing!$B$30),1/AW33,AY34)</f>
        <v/>
      </c>
      <c r="BA34" s="36">
        <f>IF(AND(Pricing!$B$31=1,MOD(BA$3-1,3)=0,ABS(AZ34*AX33-1)&gt;Pricing!$B$30),1/AX33,AZ34)</f>
        <v/>
      </c>
      <c r="BB34" s="36">
        <f>IF(AND(Pricing!$B$31=1,MOD(BB$3-1,3)=0,ABS(BA34*AY33-1)&gt;Pricing!$B$30),1/AY33,BA34)</f>
        <v/>
      </c>
      <c r="BC34" s="36">
        <f>IF(AND(Pricing!$B$31=1,MOD(BC$3-1,3)=0,ABS(BB34*AZ33-1)&gt;Pricing!$B$30),1/AZ33,BB34)</f>
        <v/>
      </c>
      <c r="BD34" s="36">
        <f>IF(AND(Pricing!$B$31=1,MOD(BD$3-1,3)=0,ABS(BC34*BA33-1)&gt;Pricing!$B$30),1/BA33,BC34)</f>
        <v/>
      </c>
      <c r="BE34" s="36">
        <f>IF(AND(Pricing!$B$31=1,MOD(BE$3-1,3)=0,ABS(BD34*BB33-1)&gt;Pricing!$B$30),1/BB33,BD34)</f>
        <v/>
      </c>
      <c r="BF34" s="36">
        <f>IF(AND(Pricing!$B$31=1,MOD(BF$3-1,3)=0,ABS(BE34*BC33-1)&gt;Pricing!$B$30),1/BC33,BE34)</f>
        <v/>
      </c>
      <c r="BG34" s="36">
        <f>IF(AND(Pricing!$B$31=1,MOD(BG$3-1,3)=0,ABS(BF34*BD33-1)&gt;Pricing!$B$30),1/BD33,BF34)</f>
        <v/>
      </c>
      <c r="BH34" s="36">
        <f>IF(AND(Pricing!$B$31=1,MOD(BH$3-1,3)=0,ABS(BG34*BE33-1)&gt;Pricing!$B$30),1/BE33,BG34)</f>
        <v/>
      </c>
      <c r="BI34" s="36">
        <f>IF(AND(Pricing!$B$31=1,MOD(BI$3-1,3)=0,ABS(BH34*BF33-1)&gt;Pricing!$B$30),1/BF33,BH34)</f>
        <v/>
      </c>
      <c r="BJ34" s="36">
        <f>IF(AND(Pricing!$B$31=1,MOD(BJ$3-1,3)=0,ABS(BI34*BG33-1)&gt;Pricing!$B$30),1/BG33,BI34)</f>
        <v/>
      </c>
    </row>
    <row r="35">
      <c r="A35" s="4" t="inlineStr">
        <is>
          <t>ZAR value factor of local prices: Nigeria</t>
        </is>
      </c>
      <c r="B35" s="17" t="inlineStr">
        <is>
          <t>x</t>
        </is>
      </c>
      <c r="C35" s="36">
        <f>C34*C33</f>
        <v/>
      </c>
      <c r="D35" s="36">
        <f>D34*D33</f>
        <v/>
      </c>
      <c r="E35" s="36">
        <f>E34*E33</f>
        <v/>
      </c>
      <c r="F35" s="36">
        <f>F34*F33</f>
        <v/>
      </c>
      <c r="G35" s="36">
        <f>G34*G33</f>
        <v/>
      </c>
      <c r="H35" s="36">
        <f>H34*H33</f>
        <v/>
      </c>
      <c r="I35" s="36">
        <f>I34*I33</f>
        <v/>
      </c>
      <c r="J35" s="36">
        <f>J34*J33</f>
        <v/>
      </c>
      <c r="K35" s="36">
        <f>K34*K33</f>
        <v/>
      </c>
      <c r="L35" s="36">
        <f>L34*L33</f>
        <v/>
      </c>
      <c r="M35" s="36">
        <f>M34*M33</f>
        <v/>
      </c>
      <c r="N35" s="36">
        <f>N34*N33</f>
        <v/>
      </c>
      <c r="O35" s="36">
        <f>O34*O33</f>
        <v/>
      </c>
      <c r="P35" s="36">
        <f>P34*P33</f>
        <v/>
      </c>
      <c r="Q35" s="36">
        <f>Q34*Q33</f>
        <v/>
      </c>
      <c r="R35" s="36">
        <f>R34*R33</f>
        <v/>
      </c>
      <c r="S35" s="36">
        <f>S34*S33</f>
        <v/>
      </c>
      <c r="T35" s="36">
        <f>T34*T33</f>
        <v/>
      </c>
      <c r="U35" s="36">
        <f>U34*U33</f>
        <v/>
      </c>
      <c r="V35" s="36">
        <f>V34*V33</f>
        <v/>
      </c>
      <c r="W35" s="36">
        <f>W34*W33</f>
        <v/>
      </c>
      <c r="X35" s="36">
        <f>X34*X33</f>
        <v/>
      </c>
      <c r="Y35" s="36">
        <f>Y34*Y33</f>
        <v/>
      </c>
      <c r="Z35" s="36">
        <f>Z34*Z33</f>
        <v/>
      </c>
      <c r="AA35" s="36">
        <f>AA34*AA33</f>
        <v/>
      </c>
      <c r="AB35" s="36">
        <f>AB34*AB33</f>
        <v/>
      </c>
      <c r="AC35" s="36">
        <f>AC34*AC33</f>
        <v/>
      </c>
      <c r="AD35" s="36">
        <f>AD34*AD33</f>
        <v/>
      </c>
      <c r="AE35" s="36">
        <f>AE34*AE33</f>
        <v/>
      </c>
      <c r="AF35" s="36">
        <f>AF34*AF33</f>
        <v/>
      </c>
      <c r="AG35" s="36">
        <f>AG34*AG33</f>
        <v/>
      </c>
      <c r="AH35" s="36">
        <f>AH34*AH33</f>
        <v/>
      </c>
      <c r="AI35" s="36">
        <f>AI34*AI33</f>
        <v/>
      </c>
      <c r="AJ35" s="36">
        <f>AJ34*AJ33</f>
        <v/>
      </c>
      <c r="AK35" s="36">
        <f>AK34*AK33</f>
        <v/>
      </c>
      <c r="AL35" s="36">
        <f>AL34*AL33</f>
        <v/>
      </c>
      <c r="AM35" s="36">
        <f>AM34*AM33</f>
        <v/>
      </c>
      <c r="AN35" s="36">
        <f>AN34*AN33</f>
        <v/>
      </c>
      <c r="AO35" s="36">
        <f>AO34*AO33</f>
        <v/>
      </c>
      <c r="AP35" s="36">
        <f>AP34*AP33</f>
        <v/>
      </c>
      <c r="AQ35" s="36">
        <f>AQ34*AQ33</f>
        <v/>
      </c>
      <c r="AR35" s="36">
        <f>AR34*AR33</f>
        <v/>
      </c>
      <c r="AS35" s="36">
        <f>AS34*AS33</f>
        <v/>
      </c>
      <c r="AT35" s="36">
        <f>AT34*AT33</f>
        <v/>
      </c>
      <c r="AU35" s="36">
        <f>AU34*AU33</f>
        <v/>
      </c>
      <c r="AV35" s="36">
        <f>AV34*AV33</f>
        <v/>
      </c>
      <c r="AW35" s="36">
        <f>AW34*AW33</f>
        <v/>
      </c>
      <c r="AX35" s="36">
        <f>AX34*AX33</f>
        <v/>
      </c>
      <c r="AY35" s="36">
        <f>AY34*AY33</f>
        <v/>
      </c>
      <c r="AZ35" s="36">
        <f>AZ34*AZ33</f>
        <v/>
      </c>
      <c r="BA35" s="36">
        <f>BA34*BA33</f>
        <v/>
      </c>
      <c r="BB35" s="36">
        <f>BB34*BB33</f>
        <v/>
      </c>
      <c r="BC35" s="36">
        <f>BC34*BC33</f>
        <v/>
      </c>
      <c r="BD35" s="36">
        <f>BD34*BD33</f>
        <v/>
      </c>
      <c r="BE35" s="36">
        <f>BE34*BE33</f>
        <v/>
      </c>
      <c r="BF35" s="36">
        <f>BF34*BF33</f>
        <v/>
      </c>
      <c r="BG35" s="36">
        <f>BG34*BG33</f>
        <v/>
      </c>
      <c r="BH35" s="36">
        <f>BH34*BH33</f>
        <v/>
      </c>
      <c r="BI35" s="36">
        <f>BI34*BI33</f>
        <v/>
      </c>
      <c r="BJ35" s="36">
        <f>BJ34*BJ33</f>
        <v/>
      </c>
    </row>
    <row r="36">
      <c r="A36" s="4" t="inlineStr">
        <is>
          <t>ZAR value of 1 unit of Kenya currency (index)</t>
        </is>
      </c>
      <c r="B36" s="17" t="inlineStr">
        <is>
          <t>x</t>
        </is>
      </c>
      <c r="C36" s="36">
        <f>(1+Pricing!$B$27)^((C$3-1)/12)*IF(C$3&gt;=Assumptions!$B$38,1/(1+Assumptions!$B$37),1)</f>
        <v/>
      </c>
      <c r="D36" s="36">
        <f>(1+Pricing!$B$27)^((D$3-1)/12)*IF(D$3&gt;=Assumptions!$B$38,1/(1+Assumptions!$B$37),1)</f>
        <v/>
      </c>
      <c r="E36" s="36">
        <f>(1+Pricing!$B$27)^((E$3-1)/12)*IF(E$3&gt;=Assumptions!$B$38,1/(1+Assumptions!$B$37),1)</f>
        <v/>
      </c>
      <c r="F36" s="36">
        <f>(1+Pricing!$B$27)^((F$3-1)/12)*IF(F$3&gt;=Assumptions!$B$38,1/(1+Assumptions!$B$37),1)</f>
        <v/>
      </c>
      <c r="G36" s="36">
        <f>(1+Pricing!$B$27)^((G$3-1)/12)*IF(G$3&gt;=Assumptions!$B$38,1/(1+Assumptions!$B$37),1)</f>
        <v/>
      </c>
      <c r="H36" s="36">
        <f>(1+Pricing!$B$27)^((H$3-1)/12)*IF(H$3&gt;=Assumptions!$B$38,1/(1+Assumptions!$B$37),1)</f>
        <v/>
      </c>
      <c r="I36" s="36">
        <f>(1+Pricing!$B$27)^((I$3-1)/12)*IF(I$3&gt;=Assumptions!$B$38,1/(1+Assumptions!$B$37),1)</f>
        <v/>
      </c>
      <c r="J36" s="36">
        <f>(1+Pricing!$B$27)^((J$3-1)/12)*IF(J$3&gt;=Assumptions!$B$38,1/(1+Assumptions!$B$37),1)</f>
        <v/>
      </c>
      <c r="K36" s="36">
        <f>(1+Pricing!$B$27)^((K$3-1)/12)*IF(K$3&gt;=Assumptions!$B$38,1/(1+Assumptions!$B$37),1)</f>
        <v/>
      </c>
      <c r="L36" s="36">
        <f>(1+Pricing!$B$27)^((L$3-1)/12)*IF(L$3&gt;=Assumptions!$B$38,1/(1+Assumptions!$B$37),1)</f>
        <v/>
      </c>
      <c r="M36" s="36">
        <f>(1+Pricing!$B$27)^((M$3-1)/12)*IF(M$3&gt;=Assumptions!$B$38,1/(1+Assumptions!$B$37),1)</f>
        <v/>
      </c>
      <c r="N36" s="36">
        <f>(1+Pricing!$B$27)^((N$3-1)/12)*IF(N$3&gt;=Assumptions!$B$38,1/(1+Assumptions!$B$37),1)</f>
        <v/>
      </c>
      <c r="O36" s="36">
        <f>(1+Pricing!$B$27)^((O$3-1)/12)*IF(O$3&gt;=Assumptions!$B$38,1/(1+Assumptions!$B$37),1)</f>
        <v/>
      </c>
      <c r="P36" s="36">
        <f>(1+Pricing!$B$27)^((P$3-1)/12)*IF(P$3&gt;=Assumptions!$B$38,1/(1+Assumptions!$B$37),1)</f>
        <v/>
      </c>
      <c r="Q36" s="36">
        <f>(1+Pricing!$B$27)^((Q$3-1)/12)*IF(Q$3&gt;=Assumptions!$B$38,1/(1+Assumptions!$B$37),1)</f>
        <v/>
      </c>
      <c r="R36" s="36">
        <f>(1+Pricing!$B$27)^((R$3-1)/12)*IF(R$3&gt;=Assumptions!$B$38,1/(1+Assumptions!$B$37),1)</f>
        <v/>
      </c>
      <c r="S36" s="36">
        <f>(1+Pricing!$B$27)^((S$3-1)/12)*IF(S$3&gt;=Assumptions!$B$38,1/(1+Assumptions!$B$37),1)</f>
        <v/>
      </c>
      <c r="T36" s="36">
        <f>(1+Pricing!$B$27)^((T$3-1)/12)*IF(T$3&gt;=Assumptions!$B$38,1/(1+Assumptions!$B$37),1)</f>
        <v/>
      </c>
      <c r="U36" s="36">
        <f>(1+Pricing!$B$27)^((U$3-1)/12)*IF(U$3&gt;=Assumptions!$B$38,1/(1+Assumptions!$B$37),1)</f>
        <v/>
      </c>
      <c r="V36" s="36">
        <f>(1+Pricing!$B$27)^((V$3-1)/12)*IF(V$3&gt;=Assumptions!$B$38,1/(1+Assumptions!$B$37),1)</f>
        <v/>
      </c>
      <c r="W36" s="36">
        <f>(1+Pricing!$B$27)^((W$3-1)/12)*IF(W$3&gt;=Assumptions!$B$38,1/(1+Assumptions!$B$37),1)</f>
        <v/>
      </c>
      <c r="X36" s="36">
        <f>(1+Pricing!$B$27)^((X$3-1)/12)*IF(X$3&gt;=Assumptions!$B$38,1/(1+Assumptions!$B$37),1)</f>
        <v/>
      </c>
      <c r="Y36" s="36">
        <f>(1+Pricing!$B$27)^((Y$3-1)/12)*IF(Y$3&gt;=Assumptions!$B$38,1/(1+Assumptions!$B$37),1)</f>
        <v/>
      </c>
      <c r="Z36" s="36">
        <f>(1+Pricing!$B$27)^((Z$3-1)/12)*IF(Z$3&gt;=Assumptions!$B$38,1/(1+Assumptions!$B$37),1)</f>
        <v/>
      </c>
      <c r="AA36" s="36">
        <f>(1+Pricing!$B$27)^((AA$3-1)/12)*IF(AA$3&gt;=Assumptions!$B$38,1/(1+Assumptions!$B$37),1)</f>
        <v/>
      </c>
      <c r="AB36" s="36">
        <f>(1+Pricing!$B$27)^((AB$3-1)/12)*IF(AB$3&gt;=Assumptions!$B$38,1/(1+Assumptions!$B$37),1)</f>
        <v/>
      </c>
      <c r="AC36" s="36">
        <f>(1+Pricing!$B$27)^((AC$3-1)/12)*IF(AC$3&gt;=Assumptions!$B$38,1/(1+Assumptions!$B$37),1)</f>
        <v/>
      </c>
      <c r="AD36" s="36">
        <f>(1+Pricing!$B$27)^((AD$3-1)/12)*IF(AD$3&gt;=Assumptions!$B$38,1/(1+Assumptions!$B$37),1)</f>
        <v/>
      </c>
      <c r="AE36" s="36">
        <f>(1+Pricing!$B$27)^((AE$3-1)/12)*IF(AE$3&gt;=Assumptions!$B$38,1/(1+Assumptions!$B$37),1)</f>
        <v/>
      </c>
      <c r="AF36" s="36">
        <f>(1+Pricing!$B$27)^((AF$3-1)/12)*IF(AF$3&gt;=Assumptions!$B$38,1/(1+Assumptions!$B$37),1)</f>
        <v/>
      </c>
      <c r="AG36" s="36">
        <f>(1+Pricing!$B$27)^((AG$3-1)/12)*IF(AG$3&gt;=Assumptions!$B$38,1/(1+Assumptions!$B$37),1)</f>
        <v/>
      </c>
      <c r="AH36" s="36">
        <f>(1+Pricing!$B$27)^((AH$3-1)/12)*IF(AH$3&gt;=Assumptions!$B$38,1/(1+Assumptions!$B$37),1)</f>
        <v/>
      </c>
      <c r="AI36" s="36">
        <f>(1+Pricing!$B$27)^((AI$3-1)/12)*IF(AI$3&gt;=Assumptions!$B$38,1/(1+Assumptions!$B$37),1)</f>
        <v/>
      </c>
      <c r="AJ36" s="36">
        <f>(1+Pricing!$B$27)^((AJ$3-1)/12)*IF(AJ$3&gt;=Assumptions!$B$38,1/(1+Assumptions!$B$37),1)</f>
        <v/>
      </c>
      <c r="AK36" s="36">
        <f>(1+Pricing!$B$27)^((AK$3-1)/12)*IF(AK$3&gt;=Assumptions!$B$38,1/(1+Assumptions!$B$37),1)</f>
        <v/>
      </c>
      <c r="AL36" s="36">
        <f>(1+Pricing!$B$27)^((AL$3-1)/12)*IF(AL$3&gt;=Assumptions!$B$38,1/(1+Assumptions!$B$37),1)</f>
        <v/>
      </c>
      <c r="AM36" s="36">
        <f>(1+Pricing!$B$27)^((AM$3-1)/12)*IF(AM$3&gt;=Assumptions!$B$38,1/(1+Assumptions!$B$37),1)</f>
        <v/>
      </c>
      <c r="AN36" s="36">
        <f>(1+Pricing!$B$27)^((AN$3-1)/12)*IF(AN$3&gt;=Assumptions!$B$38,1/(1+Assumptions!$B$37),1)</f>
        <v/>
      </c>
      <c r="AO36" s="36">
        <f>(1+Pricing!$B$27)^((AO$3-1)/12)*IF(AO$3&gt;=Assumptions!$B$38,1/(1+Assumptions!$B$37),1)</f>
        <v/>
      </c>
      <c r="AP36" s="36">
        <f>(1+Pricing!$B$27)^((AP$3-1)/12)*IF(AP$3&gt;=Assumptions!$B$38,1/(1+Assumptions!$B$37),1)</f>
        <v/>
      </c>
      <c r="AQ36" s="36">
        <f>(1+Pricing!$B$27)^((AQ$3-1)/12)*IF(AQ$3&gt;=Assumptions!$B$38,1/(1+Assumptions!$B$37),1)</f>
        <v/>
      </c>
      <c r="AR36" s="36">
        <f>(1+Pricing!$B$27)^((AR$3-1)/12)*IF(AR$3&gt;=Assumptions!$B$38,1/(1+Assumptions!$B$37),1)</f>
        <v/>
      </c>
      <c r="AS36" s="36">
        <f>(1+Pricing!$B$27)^((AS$3-1)/12)*IF(AS$3&gt;=Assumptions!$B$38,1/(1+Assumptions!$B$37),1)</f>
        <v/>
      </c>
      <c r="AT36" s="36">
        <f>(1+Pricing!$B$27)^((AT$3-1)/12)*IF(AT$3&gt;=Assumptions!$B$38,1/(1+Assumptions!$B$37),1)</f>
        <v/>
      </c>
      <c r="AU36" s="36">
        <f>(1+Pricing!$B$27)^((AU$3-1)/12)*IF(AU$3&gt;=Assumptions!$B$38,1/(1+Assumptions!$B$37),1)</f>
        <v/>
      </c>
      <c r="AV36" s="36">
        <f>(1+Pricing!$B$27)^((AV$3-1)/12)*IF(AV$3&gt;=Assumptions!$B$38,1/(1+Assumptions!$B$37),1)</f>
        <v/>
      </c>
      <c r="AW36" s="36">
        <f>(1+Pricing!$B$27)^((AW$3-1)/12)*IF(AW$3&gt;=Assumptions!$B$38,1/(1+Assumptions!$B$37),1)</f>
        <v/>
      </c>
      <c r="AX36" s="36">
        <f>(1+Pricing!$B$27)^((AX$3-1)/12)*IF(AX$3&gt;=Assumptions!$B$38,1/(1+Assumptions!$B$37),1)</f>
        <v/>
      </c>
      <c r="AY36" s="36">
        <f>(1+Pricing!$B$27)^((AY$3-1)/12)*IF(AY$3&gt;=Assumptions!$B$38,1/(1+Assumptions!$B$37),1)</f>
        <v/>
      </c>
      <c r="AZ36" s="36">
        <f>(1+Pricing!$B$27)^((AZ$3-1)/12)*IF(AZ$3&gt;=Assumptions!$B$38,1/(1+Assumptions!$B$37),1)</f>
        <v/>
      </c>
      <c r="BA36" s="36">
        <f>(1+Pricing!$B$27)^((BA$3-1)/12)*IF(BA$3&gt;=Assumptions!$B$38,1/(1+Assumptions!$B$37),1)</f>
        <v/>
      </c>
      <c r="BB36" s="36">
        <f>(1+Pricing!$B$27)^((BB$3-1)/12)*IF(BB$3&gt;=Assumptions!$B$38,1/(1+Assumptions!$B$37),1)</f>
        <v/>
      </c>
      <c r="BC36" s="36">
        <f>(1+Pricing!$B$27)^((BC$3-1)/12)*IF(BC$3&gt;=Assumptions!$B$38,1/(1+Assumptions!$B$37),1)</f>
        <v/>
      </c>
      <c r="BD36" s="36">
        <f>(1+Pricing!$B$27)^((BD$3-1)/12)*IF(BD$3&gt;=Assumptions!$B$38,1/(1+Assumptions!$B$37),1)</f>
        <v/>
      </c>
      <c r="BE36" s="36">
        <f>(1+Pricing!$B$27)^((BE$3-1)/12)*IF(BE$3&gt;=Assumptions!$B$38,1/(1+Assumptions!$B$37),1)</f>
        <v/>
      </c>
      <c r="BF36" s="36">
        <f>(1+Pricing!$B$27)^((BF$3-1)/12)*IF(BF$3&gt;=Assumptions!$B$38,1/(1+Assumptions!$B$37),1)</f>
        <v/>
      </c>
      <c r="BG36" s="36">
        <f>(1+Pricing!$B$27)^((BG$3-1)/12)*IF(BG$3&gt;=Assumptions!$B$38,1/(1+Assumptions!$B$37),1)</f>
        <v/>
      </c>
      <c r="BH36" s="36">
        <f>(1+Pricing!$B$27)^((BH$3-1)/12)*IF(BH$3&gt;=Assumptions!$B$38,1/(1+Assumptions!$B$37),1)</f>
        <v/>
      </c>
      <c r="BI36" s="36">
        <f>(1+Pricing!$B$27)^((BI$3-1)/12)*IF(BI$3&gt;=Assumptions!$B$38,1/(1+Assumptions!$B$37),1)</f>
        <v/>
      </c>
      <c r="BJ36" s="36">
        <f>(1+Pricing!$B$27)^((BJ$3-1)/12)*IF(BJ$3&gt;=Assumptions!$B$38,1/(1+Assumptions!$B$37),1)</f>
        <v/>
      </c>
    </row>
    <row r="37">
      <c r="A37" s="4" t="inlineStr">
        <is>
          <t>Local price level after repricing: Kenya</t>
        </is>
      </c>
      <c r="B37" s="17" t="inlineStr">
        <is>
          <t>x</t>
        </is>
      </c>
      <c r="C37" s="36">
        <f>1</f>
        <v/>
      </c>
      <c r="D37" s="36">
        <f>C37</f>
        <v/>
      </c>
      <c r="E37" s="36">
        <f>D37</f>
        <v/>
      </c>
      <c r="F37" s="36">
        <f>IF(AND(Pricing!$B$31=1,MOD(F$3-1,3)=0,ABS(E37*C36-1)&gt;Pricing!$B$30),1/C36,E37)</f>
        <v/>
      </c>
      <c r="G37" s="36">
        <f>IF(AND(Pricing!$B$31=1,MOD(G$3-1,3)=0,ABS(F37*D36-1)&gt;Pricing!$B$30),1/D36,F37)</f>
        <v/>
      </c>
      <c r="H37" s="36">
        <f>IF(AND(Pricing!$B$31=1,MOD(H$3-1,3)=0,ABS(G37*E36-1)&gt;Pricing!$B$30),1/E36,G37)</f>
        <v/>
      </c>
      <c r="I37" s="36">
        <f>IF(AND(Pricing!$B$31=1,MOD(I$3-1,3)=0,ABS(H37*F36-1)&gt;Pricing!$B$30),1/F36,H37)</f>
        <v/>
      </c>
      <c r="J37" s="36">
        <f>IF(AND(Pricing!$B$31=1,MOD(J$3-1,3)=0,ABS(I37*G36-1)&gt;Pricing!$B$30),1/G36,I37)</f>
        <v/>
      </c>
      <c r="K37" s="36">
        <f>IF(AND(Pricing!$B$31=1,MOD(K$3-1,3)=0,ABS(J37*H36-1)&gt;Pricing!$B$30),1/H36,J37)</f>
        <v/>
      </c>
      <c r="L37" s="36">
        <f>IF(AND(Pricing!$B$31=1,MOD(L$3-1,3)=0,ABS(K37*I36-1)&gt;Pricing!$B$30),1/I36,K37)</f>
        <v/>
      </c>
      <c r="M37" s="36">
        <f>IF(AND(Pricing!$B$31=1,MOD(M$3-1,3)=0,ABS(L37*J36-1)&gt;Pricing!$B$30),1/J36,L37)</f>
        <v/>
      </c>
      <c r="N37" s="36">
        <f>IF(AND(Pricing!$B$31=1,MOD(N$3-1,3)=0,ABS(M37*K36-1)&gt;Pricing!$B$30),1/K36,M37)</f>
        <v/>
      </c>
      <c r="O37" s="36">
        <f>IF(AND(Pricing!$B$31=1,MOD(O$3-1,3)=0,ABS(N37*L36-1)&gt;Pricing!$B$30),1/L36,N37)</f>
        <v/>
      </c>
      <c r="P37" s="36">
        <f>IF(AND(Pricing!$B$31=1,MOD(P$3-1,3)=0,ABS(O37*M36-1)&gt;Pricing!$B$30),1/M36,O37)</f>
        <v/>
      </c>
      <c r="Q37" s="36">
        <f>IF(AND(Pricing!$B$31=1,MOD(Q$3-1,3)=0,ABS(P37*N36-1)&gt;Pricing!$B$30),1/N36,P37)</f>
        <v/>
      </c>
      <c r="R37" s="36">
        <f>IF(AND(Pricing!$B$31=1,MOD(R$3-1,3)=0,ABS(Q37*O36-1)&gt;Pricing!$B$30),1/O36,Q37)</f>
        <v/>
      </c>
      <c r="S37" s="36">
        <f>IF(AND(Pricing!$B$31=1,MOD(S$3-1,3)=0,ABS(R37*P36-1)&gt;Pricing!$B$30),1/P36,R37)</f>
        <v/>
      </c>
      <c r="T37" s="36">
        <f>IF(AND(Pricing!$B$31=1,MOD(T$3-1,3)=0,ABS(S37*Q36-1)&gt;Pricing!$B$30),1/Q36,S37)</f>
        <v/>
      </c>
      <c r="U37" s="36">
        <f>IF(AND(Pricing!$B$31=1,MOD(U$3-1,3)=0,ABS(T37*R36-1)&gt;Pricing!$B$30),1/R36,T37)</f>
        <v/>
      </c>
      <c r="V37" s="36">
        <f>IF(AND(Pricing!$B$31=1,MOD(V$3-1,3)=0,ABS(U37*S36-1)&gt;Pricing!$B$30),1/S36,U37)</f>
        <v/>
      </c>
      <c r="W37" s="36">
        <f>IF(AND(Pricing!$B$31=1,MOD(W$3-1,3)=0,ABS(V37*T36-1)&gt;Pricing!$B$30),1/T36,V37)</f>
        <v/>
      </c>
      <c r="X37" s="36">
        <f>IF(AND(Pricing!$B$31=1,MOD(X$3-1,3)=0,ABS(W37*U36-1)&gt;Pricing!$B$30),1/U36,W37)</f>
        <v/>
      </c>
      <c r="Y37" s="36">
        <f>IF(AND(Pricing!$B$31=1,MOD(Y$3-1,3)=0,ABS(X37*V36-1)&gt;Pricing!$B$30),1/V36,X37)</f>
        <v/>
      </c>
      <c r="Z37" s="36">
        <f>IF(AND(Pricing!$B$31=1,MOD(Z$3-1,3)=0,ABS(Y37*W36-1)&gt;Pricing!$B$30),1/W36,Y37)</f>
        <v/>
      </c>
      <c r="AA37" s="36">
        <f>IF(AND(Pricing!$B$31=1,MOD(AA$3-1,3)=0,ABS(Z37*X36-1)&gt;Pricing!$B$30),1/X36,Z37)</f>
        <v/>
      </c>
      <c r="AB37" s="36">
        <f>IF(AND(Pricing!$B$31=1,MOD(AB$3-1,3)=0,ABS(AA37*Y36-1)&gt;Pricing!$B$30),1/Y36,AA37)</f>
        <v/>
      </c>
      <c r="AC37" s="36">
        <f>IF(AND(Pricing!$B$31=1,MOD(AC$3-1,3)=0,ABS(AB37*Z36-1)&gt;Pricing!$B$30),1/Z36,AB37)</f>
        <v/>
      </c>
      <c r="AD37" s="36">
        <f>IF(AND(Pricing!$B$31=1,MOD(AD$3-1,3)=0,ABS(AC37*AA36-1)&gt;Pricing!$B$30),1/AA36,AC37)</f>
        <v/>
      </c>
      <c r="AE37" s="36">
        <f>IF(AND(Pricing!$B$31=1,MOD(AE$3-1,3)=0,ABS(AD37*AB36-1)&gt;Pricing!$B$30),1/AB36,AD37)</f>
        <v/>
      </c>
      <c r="AF37" s="36">
        <f>IF(AND(Pricing!$B$31=1,MOD(AF$3-1,3)=0,ABS(AE37*AC36-1)&gt;Pricing!$B$30),1/AC36,AE37)</f>
        <v/>
      </c>
      <c r="AG37" s="36">
        <f>IF(AND(Pricing!$B$31=1,MOD(AG$3-1,3)=0,ABS(AF37*AD36-1)&gt;Pricing!$B$30),1/AD36,AF37)</f>
        <v/>
      </c>
      <c r="AH37" s="36">
        <f>IF(AND(Pricing!$B$31=1,MOD(AH$3-1,3)=0,ABS(AG37*AE36-1)&gt;Pricing!$B$30),1/AE36,AG37)</f>
        <v/>
      </c>
      <c r="AI37" s="36">
        <f>IF(AND(Pricing!$B$31=1,MOD(AI$3-1,3)=0,ABS(AH37*AF36-1)&gt;Pricing!$B$30),1/AF36,AH37)</f>
        <v/>
      </c>
      <c r="AJ37" s="36">
        <f>IF(AND(Pricing!$B$31=1,MOD(AJ$3-1,3)=0,ABS(AI37*AG36-1)&gt;Pricing!$B$30),1/AG36,AI37)</f>
        <v/>
      </c>
      <c r="AK37" s="36">
        <f>IF(AND(Pricing!$B$31=1,MOD(AK$3-1,3)=0,ABS(AJ37*AH36-1)&gt;Pricing!$B$30),1/AH36,AJ37)</f>
        <v/>
      </c>
      <c r="AL37" s="36">
        <f>IF(AND(Pricing!$B$31=1,MOD(AL$3-1,3)=0,ABS(AK37*AI36-1)&gt;Pricing!$B$30),1/AI36,AK37)</f>
        <v/>
      </c>
      <c r="AM37" s="36">
        <f>IF(AND(Pricing!$B$31=1,MOD(AM$3-1,3)=0,ABS(AL37*AJ36-1)&gt;Pricing!$B$30),1/AJ36,AL37)</f>
        <v/>
      </c>
      <c r="AN37" s="36">
        <f>IF(AND(Pricing!$B$31=1,MOD(AN$3-1,3)=0,ABS(AM37*AK36-1)&gt;Pricing!$B$30),1/AK36,AM37)</f>
        <v/>
      </c>
      <c r="AO37" s="36">
        <f>IF(AND(Pricing!$B$31=1,MOD(AO$3-1,3)=0,ABS(AN37*AL36-1)&gt;Pricing!$B$30),1/AL36,AN37)</f>
        <v/>
      </c>
      <c r="AP37" s="36">
        <f>IF(AND(Pricing!$B$31=1,MOD(AP$3-1,3)=0,ABS(AO37*AM36-1)&gt;Pricing!$B$30),1/AM36,AO37)</f>
        <v/>
      </c>
      <c r="AQ37" s="36">
        <f>IF(AND(Pricing!$B$31=1,MOD(AQ$3-1,3)=0,ABS(AP37*AN36-1)&gt;Pricing!$B$30),1/AN36,AP37)</f>
        <v/>
      </c>
      <c r="AR37" s="36">
        <f>IF(AND(Pricing!$B$31=1,MOD(AR$3-1,3)=0,ABS(AQ37*AO36-1)&gt;Pricing!$B$30),1/AO36,AQ37)</f>
        <v/>
      </c>
      <c r="AS37" s="36">
        <f>IF(AND(Pricing!$B$31=1,MOD(AS$3-1,3)=0,ABS(AR37*AP36-1)&gt;Pricing!$B$30),1/AP36,AR37)</f>
        <v/>
      </c>
      <c r="AT37" s="36">
        <f>IF(AND(Pricing!$B$31=1,MOD(AT$3-1,3)=0,ABS(AS37*AQ36-1)&gt;Pricing!$B$30),1/AQ36,AS37)</f>
        <v/>
      </c>
      <c r="AU37" s="36">
        <f>IF(AND(Pricing!$B$31=1,MOD(AU$3-1,3)=0,ABS(AT37*AR36-1)&gt;Pricing!$B$30),1/AR36,AT37)</f>
        <v/>
      </c>
      <c r="AV37" s="36">
        <f>IF(AND(Pricing!$B$31=1,MOD(AV$3-1,3)=0,ABS(AU37*AS36-1)&gt;Pricing!$B$30),1/AS36,AU37)</f>
        <v/>
      </c>
      <c r="AW37" s="36">
        <f>IF(AND(Pricing!$B$31=1,MOD(AW$3-1,3)=0,ABS(AV37*AT36-1)&gt;Pricing!$B$30),1/AT36,AV37)</f>
        <v/>
      </c>
      <c r="AX37" s="36">
        <f>IF(AND(Pricing!$B$31=1,MOD(AX$3-1,3)=0,ABS(AW37*AU36-1)&gt;Pricing!$B$30),1/AU36,AW37)</f>
        <v/>
      </c>
      <c r="AY37" s="36">
        <f>IF(AND(Pricing!$B$31=1,MOD(AY$3-1,3)=0,ABS(AX37*AV36-1)&gt;Pricing!$B$30),1/AV36,AX37)</f>
        <v/>
      </c>
      <c r="AZ37" s="36">
        <f>IF(AND(Pricing!$B$31=1,MOD(AZ$3-1,3)=0,ABS(AY37*AW36-1)&gt;Pricing!$B$30),1/AW36,AY37)</f>
        <v/>
      </c>
      <c r="BA37" s="36">
        <f>IF(AND(Pricing!$B$31=1,MOD(BA$3-1,3)=0,ABS(AZ37*AX36-1)&gt;Pricing!$B$30),1/AX36,AZ37)</f>
        <v/>
      </c>
      <c r="BB37" s="36">
        <f>IF(AND(Pricing!$B$31=1,MOD(BB$3-1,3)=0,ABS(BA37*AY36-1)&gt;Pricing!$B$30),1/AY36,BA37)</f>
        <v/>
      </c>
      <c r="BC37" s="36">
        <f>IF(AND(Pricing!$B$31=1,MOD(BC$3-1,3)=0,ABS(BB37*AZ36-1)&gt;Pricing!$B$30),1/AZ36,BB37)</f>
        <v/>
      </c>
      <c r="BD37" s="36">
        <f>IF(AND(Pricing!$B$31=1,MOD(BD$3-1,3)=0,ABS(BC37*BA36-1)&gt;Pricing!$B$30),1/BA36,BC37)</f>
        <v/>
      </c>
      <c r="BE37" s="36">
        <f>IF(AND(Pricing!$B$31=1,MOD(BE$3-1,3)=0,ABS(BD37*BB36-1)&gt;Pricing!$B$30),1/BB36,BD37)</f>
        <v/>
      </c>
      <c r="BF37" s="36">
        <f>IF(AND(Pricing!$B$31=1,MOD(BF$3-1,3)=0,ABS(BE37*BC36-1)&gt;Pricing!$B$30),1/BC36,BE37)</f>
        <v/>
      </c>
      <c r="BG37" s="36">
        <f>IF(AND(Pricing!$B$31=1,MOD(BG$3-1,3)=0,ABS(BF37*BD36-1)&gt;Pricing!$B$30),1/BD36,BF37)</f>
        <v/>
      </c>
      <c r="BH37" s="36">
        <f>IF(AND(Pricing!$B$31=1,MOD(BH$3-1,3)=0,ABS(BG37*BE36-1)&gt;Pricing!$B$30),1/BE36,BG37)</f>
        <v/>
      </c>
      <c r="BI37" s="36">
        <f>IF(AND(Pricing!$B$31=1,MOD(BI$3-1,3)=0,ABS(BH37*BF36-1)&gt;Pricing!$B$30),1/BF36,BH37)</f>
        <v/>
      </c>
      <c r="BJ37" s="36">
        <f>IF(AND(Pricing!$B$31=1,MOD(BJ$3-1,3)=0,ABS(BI37*BG36-1)&gt;Pricing!$B$30),1/BG36,BI37)</f>
        <v/>
      </c>
    </row>
    <row r="38">
      <c r="A38" s="4" t="inlineStr">
        <is>
          <t>ZAR value factor of local prices: Kenya</t>
        </is>
      </c>
      <c r="B38" s="17" t="inlineStr">
        <is>
          <t>x</t>
        </is>
      </c>
      <c r="C38" s="36">
        <f>C37*C36</f>
        <v/>
      </c>
      <c r="D38" s="36">
        <f>D37*D36</f>
        <v/>
      </c>
      <c r="E38" s="36">
        <f>E37*E36</f>
        <v/>
      </c>
      <c r="F38" s="36">
        <f>F37*F36</f>
        <v/>
      </c>
      <c r="G38" s="36">
        <f>G37*G36</f>
        <v/>
      </c>
      <c r="H38" s="36">
        <f>H37*H36</f>
        <v/>
      </c>
      <c r="I38" s="36">
        <f>I37*I36</f>
        <v/>
      </c>
      <c r="J38" s="36">
        <f>J37*J36</f>
        <v/>
      </c>
      <c r="K38" s="36">
        <f>K37*K36</f>
        <v/>
      </c>
      <c r="L38" s="36">
        <f>L37*L36</f>
        <v/>
      </c>
      <c r="M38" s="36">
        <f>M37*M36</f>
        <v/>
      </c>
      <c r="N38" s="36">
        <f>N37*N36</f>
        <v/>
      </c>
      <c r="O38" s="36">
        <f>O37*O36</f>
        <v/>
      </c>
      <c r="P38" s="36">
        <f>P37*P36</f>
        <v/>
      </c>
      <c r="Q38" s="36">
        <f>Q37*Q36</f>
        <v/>
      </c>
      <c r="R38" s="36">
        <f>R37*R36</f>
        <v/>
      </c>
      <c r="S38" s="36">
        <f>S37*S36</f>
        <v/>
      </c>
      <c r="T38" s="36">
        <f>T37*T36</f>
        <v/>
      </c>
      <c r="U38" s="36">
        <f>U37*U36</f>
        <v/>
      </c>
      <c r="V38" s="36">
        <f>V37*V36</f>
        <v/>
      </c>
      <c r="W38" s="36">
        <f>W37*W36</f>
        <v/>
      </c>
      <c r="X38" s="36">
        <f>X37*X36</f>
        <v/>
      </c>
      <c r="Y38" s="36">
        <f>Y37*Y36</f>
        <v/>
      </c>
      <c r="Z38" s="36">
        <f>Z37*Z36</f>
        <v/>
      </c>
      <c r="AA38" s="36">
        <f>AA37*AA36</f>
        <v/>
      </c>
      <c r="AB38" s="36">
        <f>AB37*AB36</f>
        <v/>
      </c>
      <c r="AC38" s="36">
        <f>AC37*AC36</f>
        <v/>
      </c>
      <c r="AD38" s="36">
        <f>AD37*AD36</f>
        <v/>
      </c>
      <c r="AE38" s="36">
        <f>AE37*AE36</f>
        <v/>
      </c>
      <c r="AF38" s="36">
        <f>AF37*AF36</f>
        <v/>
      </c>
      <c r="AG38" s="36">
        <f>AG37*AG36</f>
        <v/>
      </c>
      <c r="AH38" s="36">
        <f>AH37*AH36</f>
        <v/>
      </c>
      <c r="AI38" s="36">
        <f>AI37*AI36</f>
        <v/>
      </c>
      <c r="AJ38" s="36">
        <f>AJ37*AJ36</f>
        <v/>
      </c>
      <c r="AK38" s="36">
        <f>AK37*AK36</f>
        <v/>
      </c>
      <c r="AL38" s="36">
        <f>AL37*AL36</f>
        <v/>
      </c>
      <c r="AM38" s="36">
        <f>AM37*AM36</f>
        <v/>
      </c>
      <c r="AN38" s="36">
        <f>AN37*AN36</f>
        <v/>
      </c>
      <c r="AO38" s="36">
        <f>AO37*AO36</f>
        <v/>
      </c>
      <c r="AP38" s="36">
        <f>AP37*AP36</f>
        <v/>
      </c>
      <c r="AQ38" s="36">
        <f>AQ37*AQ36</f>
        <v/>
      </c>
      <c r="AR38" s="36">
        <f>AR37*AR36</f>
        <v/>
      </c>
      <c r="AS38" s="36">
        <f>AS37*AS36</f>
        <v/>
      </c>
      <c r="AT38" s="36">
        <f>AT37*AT36</f>
        <v/>
      </c>
      <c r="AU38" s="36">
        <f>AU37*AU36</f>
        <v/>
      </c>
      <c r="AV38" s="36">
        <f>AV37*AV36</f>
        <v/>
      </c>
      <c r="AW38" s="36">
        <f>AW37*AW36</f>
        <v/>
      </c>
      <c r="AX38" s="36">
        <f>AX37*AX36</f>
        <v/>
      </c>
      <c r="AY38" s="36">
        <f>AY37*AY36</f>
        <v/>
      </c>
      <c r="AZ38" s="36">
        <f>AZ37*AZ36</f>
        <v/>
      </c>
      <c r="BA38" s="36">
        <f>BA37*BA36</f>
        <v/>
      </c>
      <c r="BB38" s="36">
        <f>BB37*BB36</f>
        <v/>
      </c>
      <c r="BC38" s="36">
        <f>BC37*BC36</f>
        <v/>
      </c>
      <c r="BD38" s="36">
        <f>BD37*BD36</f>
        <v/>
      </c>
      <c r="BE38" s="36">
        <f>BE37*BE36</f>
        <v/>
      </c>
      <c r="BF38" s="36">
        <f>BF37*BF36</f>
        <v/>
      </c>
      <c r="BG38" s="36">
        <f>BG37*BG36</f>
        <v/>
      </c>
      <c r="BH38" s="36">
        <f>BH37*BH36</f>
        <v/>
      </c>
      <c r="BI38" s="36">
        <f>BI37*BI36</f>
        <v/>
      </c>
      <c r="BJ38" s="36">
        <f>BJ37*BJ36</f>
        <v/>
      </c>
    </row>
    <row r="39">
      <c r="A39" s="4" t="inlineStr">
        <is>
          <t>ZAR value of 1 unit of Ghana currency (index)</t>
        </is>
      </c>
      <c r="B39" s="17" t="inlineStr">
        <is>
          <t>x</t>
        </is>
      </c>
      <c r="C39" s="36">
        <f>(1+Pricing!$B$28)^((C$3-1)/12)*IF(C$3&gt;=Assumptions!$B$38,1/(1+Assumptions!$B$37),1)</f>
        <v/>
      </c>
      <c r="D39" s="36">
        <f>(1+Pricing!$B$28)^((D$3-1)/12)*IF(D$3&gt;=Assumptions!$B$38,1/(1+Assumptions!$B$37),1)</f>
        <v/>
      </c>
      <c r="E39" s="36">
        <f>(1+Pricing!$B$28)^((E$3-1)/12)*IF(E$3&gt;=Assumptions!$B$38,1/(1+Assumptions!$B$37),1)</f>
        <v/>
      </c>
      <c r="F39" s="36">
        <f>(1+Pricing!$B$28)^((F$3-1)/12)*IF(F$3&gt;=Assumptions!$B$38,1/(1+Assumptions!$B$37),1)</f>
        <v/>
      </c>
      <c r="G39" s="36">
        <f>(1+Pricing!$B$28)^((G$3-1)/12)*IF(G$3&gt;=Assumptions!$B$38,1/(1+Assumptions!$B$37),1)</f>
        <v/>
      </c>
      <c r="H39" s="36">
        <f>(1+Pricing!$B$28)^((H$3-1)/12)*IF(H$3&gt;=Assumptions!$B$38,1/(1+Assumptions!$B$37),1)</f>
        <v/>
      </c>
      <c r="I39" s="36">
        <f>(1+Pricing!$B$28)^((I$3-1)/12)*IF(I$3&gt;=Assumptions!$B$38,1/(1+Assumptions!$B$37),1)</f>
        <v/>
      </c>
      <c r="J39" s="36">
        <f>(1+Pricing!$B$28)^((J$3-1)/12)*IF(J$3&gt;=Assumptions!$B$38,1/(1+Assumptions!$B$37),1)</f>
        <v/>
      </c>
      <c r="K39" s="36">
        <f>(1+Pricing!$B$28)^((K$3-1)/12)*IF(K$3&gt;=Assumptions!$B$38,1/(1+Assumptions!$B$37),1)</f>
        <v/>
      </c>
      <c r="L39" s="36">
        <f>(1+Pricing!$B$28)^((L$3-1)/12)*IF(L$3&gt;=Assumptions!$B$38,1/(1+Assumptions!$B$37),1)</f>
        <v/>
      </c>
      <c r="M39" s="36">
        <f>(1+Pricing!$B$28)^((M$3-1)/12)*IF(M$3&gt;=Assumptions!$B$38,1/(1+Assumptions!$B$37),1)</f>
        <v/>
      </c>
      <c r="N39" s="36">
        <f>(1+Pricing!$B$28)^((N$3-1)/12)*IF(N$3&gt;=Assumptions!$B$38,1/(1+Assumptions!$B$37),1)</f>
        <v/>
      </c>
      <c r="O39" s="36">
        <f>(1+Pricing!$B$28)^((O$3-1)/12)*IF(O$3&gt;=Assumptions!$B$38,1/(1+Assumptions!$B$37),1)</f>
        <v/>
      </c>
      <c r="P39" s="36">
        <f>(1+Pricing!$B$28)^((P$3-1)/12)*IF(P$3&gt;=Assumptions!$B$38,1/(1+Assumptions!$B$37),1)</f>
        <v/>
      </c>
      <c r="Q39" s="36">
        <f>(1+Pricing!$B$28)^((Q$3-1)/12)*IF(Q$3&gt;=Assumptions!$B$38,1/(1+Assumptions!$B$37),1)</f>
        <v/>
      </c>
      <c r="R39" s="36">
        <f>(1+Pricing!$B$28)^((R$3-1)/12)*IF(R$3&gt;=Assumptions!$B$38,1/(1+Assumptions!$B$37),1)</f>
        <v/>
      </c>
      <c r="S39" s="36">
        <f>(1+Pricing!$B$28)^((S$3-1)/12)*IF(S$3&gt;=Assumptions!$B$38,1/(1+Assumptions!$B$37),1)</f>
        <v/>
      </c>
      <c r="T39" s="36">
        <f>(1+Pricing!$B$28)^((T$3-1)/12)*IF(T$3&gt;=Assumptions!$B$38,1/(1+Assumptions!$B$37),1)</f>
        <v/>
      </c>
      <c r="U39" s="36">
        <f>(1+Pricing!$B$28)^((U$3-1)/12)*IF(U$3&gt;=Assumptions!$B$38,1/(1+Assumptions!$B$37),1)</f>
        <v/>
      </c>
      <c r="V39" s="36">
        <f>(1+Pricing!$B$28)^((V$3-1)/12)*IF(V$3&gt;=Assumptions!$B$38,1/(1+Assumptions!$B$37),1)</f>
        <v/>
      </c>
      <c r="W39" s="36">
        <f>(1+Pricing!$B$28)^((W$3-1)/12)*IF(W$3&gt;=Assumptions!$B$38,1/(1+Assumptions!$B$37),1)</f>
        <v/>
      </c>
      <c r="X39" s="36">
        <f>(1+Pricing!$B$28)^((X$3-1)/12)*IF(X$3&gt;=Assumptions!$B$38,1/(1+Assumptions!$B$37),1)</f>
        <v/>
      </c>
      <c r="Y39" s="36">
        <f>(1+Pricing!$B$28)^((Y$3-1)/12)*IF(Y$3&gt;=Assumptions!$B$38,1/(1+Assumptions!$B$37),1)</f>
        <v/>
      </c>
      <c r="Z39" s="36">
        <f>(1+Pricing!$B$28)^((Z$3-1)/12)*IF(Z$3&gt;=Assumptions!$B$38,1/(1+Assumptions!$B$37),1)</f>
        <v/>
      </c>
      <c r="AA39" s="36">
        <f>(1+Pricing!$B$28)^((AA$3-1)/12)*IF(AA$3&gt;=Assumptions!$B$38,1/(1+Assumptions!$B$37),1)</f>
        <v/>
      </c>
      <c r="AB39" s="36">
        <f>(1+Pricing!$B$28)^((AB$3-1)/12)*IF(AB$3&gt;=Assumptions!$B$38,1/(1+Assumptions!$B$37),1)</f>
        <v/>
      </c>
      <c r="AC39" s="36">
        <f>(1+Pricing!$B$28)^((AC$3-1)/12)*IF(AC$3&gt;=Assumptions!$B$38,1/(1+Assumptions!$B$37),1)</f>
        <v/>
      </c>
      <c r="AD39" s="36">
        <f>(1+Pricing!$B$28)^((AD$3-1)/12)*IF(AD$3&gt;=Assumptions!$B$38,1/(1+Assumptions!$B$37),1)</f>
        <v/>
      </c>
      <c r="AE39" s="36">
        <f>(1+Pricing!$B$28)^((AE$3-1)/12)*IF(AE$3&gt;=Assumptions!$B$38,1/(1+Assumptions!$B$37),1)</f>
        <v/>
      </c>
      <c r="AF39" s="36">
        <f>(1+Pricing!$B$28)^((AF$3-1)/12)*IF(AF$3&gt;=Assumptions!$B$38,1/(1+Assumptions!$B$37),1)</f>
        <v/>
      </c>
      <c r="AG39" s="36">
        <f>(1+Pricing!$B$28)^((AG$3-1)/12)*IF(AG$3&gt;=Assumptions!$B$38,1/(1+Assumptions!$B$37),1)</f>
        <v/>
      </c>
      <c r="AH39" s="36">
        <f>(1+Pricing!$B$28)^((AH$3-1)/12)*IF(AH$3&gt;=Assumptions!$B$38,1/(1+Assumptions!$B$37),1)</f>
        <v/>
      </c>
      <c r="AI39" s="36">
        <f>(1+Pricing!$B$28)^((AI$3-1)/12)*IF(AI$3&gt;=Assumptions!$B$38,1/(1+Assumptions!$B$37),1)</f>
        <v/>
      </c>
      <c r="AJ39" s="36">
        <f>(1+Pricing!$B$28)^((AJ$3-1)/12)*IF(AJ$3&gt;=Assumptions!$B$38,1/(1+Assumptions!$B$37),1)</f>
        <v/>
      </c>
      <c r="AK39" s="36">
        <f>(1+Pricing!$B$28)^((AK$3-1)/12)*IF(AK$3&gt;=Assumptions!$B$38,1/(1+Assumptions!$B$37),1)</f>
        <v/>
      </c>
      <c r="AL39" s="36">
        <f>(1+Pricing!$B$28)^((AL$3-1)/12)*IF(AL$3&gt;=Assumptions!$B$38,1/(1+Assumptions!$B$37),1)</f>
        <v/>
      </c>
      <c r="AM39" s="36">
        <f>(1+Pricing!$B$28)^((AM$3-1)/12)*IF(AM$3&gt;=Assumptions!$B$38,1/(1+Assumptions!$B$37),1)</f>
        <v/>
      </c>
      <c r="AN39" s="36">
        <f>(1+Pricing!$B$28)^((AN$3-1)/12)*IF(AN$3&gt;=Assumptions!$B$38,1/(1+Assumptions!$B$37),1)</f>
        <v/>
      </c>
      <c r="AO39" s="36">
        <f>(1+Pricing!$B$28)^((AO$3-1)/12)*IF(AO$3&gt;=Assumptions!$B$38,1/(1+Assumptions!$B$37),1)</f>
        <v/>
      </c>
      <c r="AP39" s="36">
        <f>(1+Pricing!$B$28)^((AP$3-1)/12)*IF(AP$3&gt;=Assumptions!$B$38,1/(1+Assumptions!$B$37),1)</f>
        <v/>
      </c>
      <c r="AQ39" s="36">
        <f>(1+Pricing!$B$28)^((AQ$3-1)/12)*IF(AQ$3&gt;=Assumptions!$B$38,1/(1+Assumptions!$B$37),1)</f>
        <v/>
      </c>
      <c r="AR39" s="36">
        <f>(1+Pricing!$B$28)^((AR$3-1)/12)*IF(AR$3&gt;=Assumptions!$B$38,1/(1+Assumptions!$B$37),1)</f>
        <v/>
      </c>
      <c r="AS39" s="36">
        <f>(1+Pricing!$B$28)^((AS$3-1)/12)*IF(AS$3&gt;=Assumptions!$B$38,1/(1+Assumptions!$B$37),1)</f>
        <v/>
      </c>
      <c r="AT39" s="36">
        <f>(1+Pricing!$B$28)^((AT$3-1)/12)*IF(AT$3&gt;=Assumptions!$B$38,1/(1+Assumptions!$B$37),1)</f>
        <v/>
      </c>
      <c r="AU39" s="36">
        <f>(1+Pricing!$B$28)^((AU$3-1)/12)*IF(AU$3&gt;=Assumptions!$B$38,1/(1+Assumptions!$B$37),1)</f>
        <v/>
      </c>
      <c r="AV39" s="36">
        <f>(1+Pricing!$B$28)^((AV$3-1)/12)*IF(AV$3&gt;=Assumptions!$B$38,1/(1+Assumptions!$B$37),1)</f>
        <v/>
      </c>
      <c r="AW39" s="36">
        <f>(1+Pricing!$B$28)^((AW$3-1)/12)*IF(AW$3&gt;=Assumptions!$B$38,1/(1+Assumptions!$B$37),1)</f>
        <v/>
      </c>
      <c r="AX39" s="36">
        <f>(1+Pricing!$B$28)^((AX$3-1)/12)*IF(AX$3&gt;=Assumptions!$B$38,1/(1+Assumptions!$B$37),1)</f>
        <v/>
      </c>
      <c r="AY39" s="36">
        <f>(1+Pricing!$B$28)^((AY$3-1)/12)*IF(AY$3&gt;=Assumptions!$B$38,1/(1+Assumptions!$B$37),1)</f>
        <v/>
      </c>
      <c r="AZ39" s="36">
        <f>(1+Pricing!$B$28)^((AZ$3-1)/12)*IF(AZ$3&gt;=Assumptions!$B$38,1/(1+Assumptions!$B$37),1)</f>
        <v/>
      </c>
      <c r="BA39" s="36">
        <f>(1+Pricing!$B$28)^((BA$3-1)/12)*IF(BA$3&gt;=Assumptions!$B$38,1/(1+Assumptions!$B$37),1)</f>
        <v/>
      </c>
      <c r="BB39" s="36">
        <f>(1+Pricing!$B$28)^((BB$3-1)/12)*IF(BB$3&gt;=Assumptions!$B$38,1/(1+Assumptions!$B$37),1)</f>
        <v/>
      </c>
      <c r="BC39" s="36">
        <f>(1+Pricing!$B$28)^((BC$3-1)/12)*IF(BC$3&gt;=Assumptions!$B$38,1/(1+Assumptions!$B$37),1)</f>
        <v/>
      </c>
      <c r="BD39" s="36">
        <f>(1+Pricing!$B$28)^((BD$3-1)/12)*IF(BD$3&gt;=Assumptions!$B$38,1/(1+Assumptions!$B$37),1)</f>
        <v/>
      </c>
      <c r="BE39" s="36">
        <f>(1+Pricing!$B$28)^((BE$3-1)/12)*IF(BE$3&gt;=Assumptions!$B$38,1/(1+Assumptions!$B$37),1)</f>
        <v/>
      </c>
      <c r="BF39" s="36">
        <f>(1+Pricing!$B$28)^((BF$3-1)/12)*IF(BF$3&gt;=Assumptions!$B$38,1/(1+Assumptions!$B$37),1)</f>
        <v/>
      </c>
      <c r="BG39" s="36">
        <f>(1+Pricing!$B$28)^((BG$3-1)/12)*IF(BG$3&gt;=Assumptions!$B$38,1/(1+Assumptions!$B$37),1)</f>
        <v/>
      </c>
      <c r="BH39" s="36">
        <f>(1+Pricing!$B$28)^((BH$3-1)/12)*IF(BH$3&gt;=Assumptions!$B$38,1/(1+Assumptions!$B$37),1)</f>
        <v/>
      </c>
      <c r="BI39" s="36">
        <f>(1+Pricing!$B$28)^((BI$3-1)/12)*IF(BI$3&gt;=Assumptions!$B$38,1/(1+Assumptions!$B$37),1)</f>
        <v/>
      </c>
      <c r="BJ39" s="36">
        <f>(1+Pricing!$B$28)^((BJ$3-1)/12)*IF(BJ$3&gt;=Assumptions!$B$38,1/(1+Assumptions!$B$37),1)</f>
        <v/>
      </c>
    </row>
    <row r="40">
      <c r="A40" s="4" t="inlineStr">
        <is>
          <t>Local price level after repricing: Ghana</t>
        </is>
      </c>
      <c r="B40" s="17" t="inlineStr">
        <is>
          <t>x</t>
        </is>
      </c>
      <c r="C40" s="36">
        <f>1</f>
        <v/>
      </c>
      <c r="D40" s="36">
        <f>C40</f>
        <v/>
      </c>
      <c r="E40" s="36">
        <f>D40</f>
        <v/>
      </c>
      <c r="F40" s="36">
        <f>IF(AND(Pricing!$B$31=1,MOD(F$3-1,3)=0,ABS(E40*C39-1)&gt;Pricing!$B$30),1/C39,E40)</f>
        <v/>
      </c>
      <c r="G40" s="36">
        <f>IF(AND(Pricing!$B$31=1,MOD(G$3-1,3)=0,ABS(F40*D39-1)&gt;Pricing!$B$30),1/D39,F40)</f>
        <v/>
      </c>
      <c r="H40" s="36">
        <f>IF(AND(Pricing!$B$31=1,MOD(H$3-1,3)=0,ABS(G40*E39-1)&gt;Pricing!$B$30),1/E39,G40)</f>
        <v/>
      </c>
      <c r="I40" s="36">
        <f>IF(AND(Pricing!$B$31=1,MOD(I$3-1,3)=0,ABS(H40*F39-1)&gt;Pricing!$B$30),1/F39,H40)</f>
        <v/>
      </c>
      <c r="J40" s="36">
        <f>IF(AND(Pricing!$B$31=1,MOD(J$3-1,3)=0,ABS(I40*G39-1)&gt;Pricing!$B$30),1/G39,I40)</f>
        <v/>
      </c>
      <c r="K40" s="36">
        <f>IF(AND(Pricing!$B$31=1,MOD(K$3-1,3)=0,ABS(J40*H39-1)&gt;Pricing!$B$30),1/H39,J40)</f>
        <v/>
      </c>
      <c r="L40" s="36">
        <f>IF(AND(Pricing!$B$31=1,MOD(L$3-1,3)=0,ABS(K40*I39-1)&gt;Pricing!$B$30),1/I39,K40)</f>
        <v/>
      </c>
      <c r="M40" s="36">
        <f>IF(AND(Pricing!$B$31=1,MOD(M$3-1,3)=0,ABS(L40*J39-1)&gt;Pricing!$B$30),1/J39,L40)</f>
        <v/>
      </c>
      <c r="N40" s="36">
        <f>IF(AND(Pricing!$B$31=1,MOD(N$3-1,3)=0,ABS(M40*K39-1)&gt;Pricing!$B$30),1/K39,M40)</f>
        <v/>
      </c>
      <c r="O40" s="36">
        <f>IF(AND(Pricing!$B$31=1,MOD(O$3-1,3)=0,ABS(N40*L39-1)&gt;Pricing!$B$30),1/L39,N40)</f>
        <v/>
      </c>
      <c r="P40" s="36">
        <f>IF(AND(Pricing!$B$31=1,MOD(P$3-1,3)=0,ABS(O40*M39-1)&gt;Pricing!$B$30),1/M39,O40)</f>
        <v/>
      </c>
      <c r="Q40" s="36">
        <f>IF(AND(Pricing!$B$31=1,MOD(Q$3-1,3)=0,ABS(P40*N39-1)&gt;Pricing!$B$30),1/N39,P40)</f>
        <v/>
      </c>
      <c r="R40" s="36">
        <f>IF(AND(Pricing!$B$31=1,MOD(R$3-1,3)=0,ABS(Q40*O39-1)&gt;Pricing!$B$30),1/O39,Q40)</f>
        <v/>
      </c>
      <c r="S40" s="36">
        <f>IF(AND(Pricing!$B$31=1,MOD(S$3-1,3)=0,ABS(R40*P39-1)&gt;Pricing!$B$30),1/P39,R40)</f>
        <v/>
      </c>
      <c r="T40" s="36">
        <f>IF(AND(Pricing!$B$31=1,MOD(T$3-1,3)=0,ABS(S40*Q39-1)&gt;Pricing!$B$30),1/Q39,S40)</f>
        <v/>
      </c>
      <c r="U40" s="36">
        <f>IF(AND(Pricing!$B$31=1,MOD(U$3-1,3)=0,ABS(T40*R39-1)&gt;Pricing!$B$30),1/R39,T40)</f>
        <v/>
      </c>
      <c r="V40" s="36">
        <f>IF(AND(Pricing!$B$31=1,MOD(V$3-1,3)=0,ABS(U40*S39-1)&gt;Pricing!$B$30),1/S39,U40)</f>
        <v/>
      </c>
      <c r="W40" s="36">
        <f>IF(AND(Pricing!$B$31=1,MOD(W$3-1,3)=0,ABS(V40*T39-1)&gt;Pricing!$B$30),1/T39,V40)</f>
        <v/>
      </c>
      <c r="X40" s="36">
        <f>IF(AND(Pricing!$B$31=1,MOD(X$3-1,3)=0,ABS(W40*U39-1)&gt;Pricing!$B$30),1/U39,W40)</f>
        <v/>
      </c>
      <c r="Y40" s="36">
        <f>IF(AND(Pricing!$B$31=1,MOD(Y$3-1,3)=0,ABS(X40*V39-1)&gt;Pricing!$B$30),1/V39,X40)</f>
        <v/>
      </c>
      <c r="Z40" s="36">
        <f>IF(AND(Pricing!$B$31=1,MOD(Z$3-1,3)=0,ABS(Y40*W39-1)&gt;Pricing!$B$30),1/W39,Y40)</f>
        <v/>
      </c>
      <c r="AA40" s="36">
        <f>IF(AND(Pricing!$B$31=1,MOD(AA$3-1,3)=0,ABS(Z40*X39-1)&gt;Pricing!$B$30),1/X39,Z40)</f>
        <v/>
      </c>
      <c r="AB40" s="36">
        <f>IF(AND(Pricing!$B$31=1,MOD(AB$3-1,3)=0,ABS(AA40*Y39-1)&gt;Pricing!$B$30),1/Y39,AA40)</f>
        <v/>
      </c>
      <c r="AC40" s="36">
        <f>IF(AND(Pricing!$B$31=1,MOD(AC$3-1,3)=0,ABS(AB40*Z39-1)&gt;Pricing!$B$30),1/Z39,AB40)</f>
        <v/>
      </c>
      <c r="AD40" s="36">
        <f>IF(AND(Pricing!$B$31=1,MOD(AD$3-1,3)=0,ABS(AC40*AA39-1)&gt;Pricing!$B$30),1/AA39,AC40)</f>
        <v/>
      </c>
      <c r="AE40" s="36">
        <f>IF(AND(Pricing!$B$31=1,MOD(AE$3-1,3)=0,ABS(AD40*AB39-1)&gt;Pricing!$B$30),1/AB39,AD40)</f>
        <v/>
      </c>
      <c r="AF40" s="36">
        <f>IF(AND(Pricing!$B$31=1,MOD(AF$3-1,3)=0,ABS(AE40*AC39-1)&gt;Pricing!$B$30),1/AC39,AE40)</f>
        <v/>
      </c>
      <c r="AG40" s="36">
        <f>IF(AND(Pricing!$B$31=1,MOD(AG$3-1,3)=0,ABS(AF40*AD39-1)&gt;Pricing!$B$30),1/AD39,AF40)</f>
        <v/>
      </c>
      <c r="AH40" s="36">
        <f>IF(AND(Pricing!$B$31=1,MOD(AH$3-1,3)=0,ABS(AG40*AE39-1)&gt;Pricing!$B$30),1/AE39,AG40)</f>
        <v/>
      </c>
      <c r="AI40" s="36">
        <f>IF(AND(Pricing!$B$31=1,MOD(AI$3-1,3)=0,ABS(AH40*AF39-1)&gt;Pricing!$B$30),1/AF39,AH40)</f>
        <v/>
      </c>
      <c r="AJ40" s="36">
        <f>IF(AND(Pricing!$B$31=1,MOD(AJ$3-1,3)=0,ABS(AI40*AG39-1)&gt;Pricing!$B$30),1/AG39,AI40)</f>
        <v/>
      </c>
      <c r="AK40" s="36">
        <f>IF(AND(Pricing!$B$31=1,MOD(AK$3-1,3)=0,ABS(AJ40*AH39-1)&gt;Pricing!$B$30),1/AH39,AJ40)</f>
        <v/>
      </c>
      <c r="AL40" s="36">
        <f>IF(AND(Pricing!$B$31=1,MOD(AL$3-1,3)=0,ABS(AK40*AI39-1)&gt;Pricing!$B$30),1/AI39,AK40)</f>
        <v/>
      </c>
      <c r="AM40" s="36">
        <f>IF(AND(Pricing!$B$31=1,MOD(AM$3-1,3)=0,ABS(AL40*AJ39-1)&gt;Pricing!$B$30),1/AJ39,AL40)</f>
        <v/>
      </c>
      <c r="AN40" s="36">
        <f>IF(AND(Pricing!$B$31=1,MOD(AN$3-1,3)=0,ABS(AM40*AK39-1)&gt;Pricing!$B$30),1/AK39,AM40)</f>
        <v/>
      </c>
      <c r="AO40" s="36">
        <f>IF(AND(Pricing!$B$31=1,MOD(AO$3-1,3)=0,ABS(AN40*AL39-1)&gt;Pricing!$B$30),1/AL39,AN40)</f>
        <v/>
      </c>
      <c r="AP40" s="36">
        <f>IF(AND(Pricing!$B$31=1,MOD(AP$3-1,3)=0,ABS(AO40*AM39-1)&gt;Pricing!$B$30),1/AM39,AO40)</f>
        <v/>
      </c>
      <c r="AQ40" s="36">
        <f>IF(AND(Pricing!$B$31=1,MOD(AQ$3-1,3)=0,ABS(AP40*AN39-1)&gt;Pricing!$B$30),1/AN39,AP40)</f>
        <v/>
      </c>
      <c r="AR40" s="36">
        <f>IF(AND(Pricing!$B$31=1,MOD(AR$3-1,3)=0,ABS(AQ40*AO39-1)&gt;Pricing!$B$30),1/AO39,AQ40)</f>
        <v/>
      </c>
      <c r="AS40" s="36">
        <f>IF(AND(Pricing!$B$31=1,MOD(AS$3-1,3)=0,ABS(AR40*AP39-1)&gt;Pricing!$B$30),1/AP39,AR40)</f>
        <v/>
      </c>
      <c r="AT40" s="36">
        <f>IF(AND(Pricing!$B$31=1,MOD(AT$3-1,3)=0,ABS(AS40*AQ39-1)&gt;Pricing!$B$30),1/AQ39,AS40)</f>
        <v/>
      </c>
      <c r="AU40" s="36">
        <f>IF(AND(Pricing!$B$31=1,MOD(AU$3-1,3)=0,ABS(AT40*AR39-1)&gt;Pricing!$B$30),1/AR39,AT40)</f>
        <v/>
      </c>
      <c r="AV40" s="36">
        <f>IF(AND(Pricing!$B$31=1,MOD(AV$3-1,3)=0,ABS(AU40*AS39-1)&gt;Pricing!$B$30),1/AS39,AU40)</f>
        <v/>
      </c>
      <c r="AW40" s="36">
        <f>IF(AND(Pricing!$B$31=1,MOD(AW$3-1,3)=0,ABS(AV40*AT39-1)&gt;Pricing!$B$30),1/AT39,AV40)</f>
        <v/>
      </c>
      <c r="AX40" s="36">
        <f>IF(AND(Pricing!$B$31=1,MOD(AX$3-1,3)=0,ABS(AW40*AU39-1)&gt;Pricing!$B$30),1/AU39,AW40)</f>
        <v/>
      </c>
      <c r="AY40" s="36">
        <f>IF(AND(Pricing!$B$31=1,MOD(AY$3-1,3)=0,ABS(AX40*AV39-1)&gt;Pricing!$B$30),1/AV39,AX40)</f>
        <v/>
      </c>
      <c r="AZ40" s="36">
        <f>IF(AND(Pricing!$B$31=1,MOD(AZ$3-1,3)=0,ABS(AY40*AW39-1)&gt;Pricing!$B$30),1/AW39,AY40)</f>
        <v/>
      </c>
      <c r="BA40" s="36">
        <f>IF(AND(Pricing!$B$31=1,MOD(BA$3-1,3)=0,ABS(AZ40*AX39-1)&gt;Pricing!$B$30),1/AX39,AZ40)</f>
        <v/>
      </c>
      <c r="BB40" s="36">
        <f>IF(AND(Pricing!$B$31=1,MOD(BB$3-1,3)=0,ABS(BA40*AY39-1)&gt;Pricing!$B$30),1/AY39,BA40)</f>
        <v/>
      </c>
      <c r="BC40" s="36">
        <f>IF(AND(Pricing!$B$31=1,MOD(BC$3-1,3)=0,ABS(BB40*AZ39-1)&gt;Pricing!$B$30),1/AZ39,BB40)</f>
        <v/>
      </c>
      <c r="BD40" s="36">
        <f>IF(AND(Pricing!$B$31=1,MOD(BD$3-1,3)=0,ABS(BC40*BA39-1)&gt;Pricing!$B$30),1/BA39,BC40)</f>
        <v/>
      </c>
      <c r="BE40" s="36">
        <f>IF(AND(Pricing!$B$31=1,MOD(BE$3-1,3)=0,ABS(BD40*BB39-1)&gt;Pricing!$B$30),1/BB39,BD40)</f>
        <v/>
      </c>
      <c r="BF40" s="36">
        <f>IF(AND(Pricing!$B$31=1,MOD(BF$3-1,3)=0,ABS(BE40*BC39-1)&gt;Pricing!$B$30),1/BC39,BE40)</f>
        <v/>
      </c>
      <c r="BG40" s="36">
        <f>IF(AND(Pricing!$B$31=1,MOD(BG$3-1,3)=0,ABS(BF40*BD39-1)&gt;Pricing!$B$30),1/BD39,BF40)</f>
        <v/>
      </c>
      <c r="BH40" s="36">
        <f>IF(AND(Pricing!$B$31=1,MOD(BH$3-1,3)=0,ABS(BG40*BE39-1)&gt;Pricing!$B$30),1/BE39,BG40)</f>
        <v/>
      </c>
      <c r="BI40" s="36">
        <f>IF(AND(Pricing!$B$31=1,MOD(BI$3-1,3)=0,ABS(BH40*BF39-1)&gt;Pricing!$B$30),1/BF39,BH40)</f>
        <v/>
      </c>
      <c r="BJ40" s="36">
        <f>IF(AND(Pricing!$B$31=1,MOD(BJ$3-1,3)=0,ABS(BI40*BG39-1)&gt;Pricing!$B$30),1/BG39,BI40)</f>
        <v/>
      </c>
    </row>
    <row r="41">
      <c r="A41" s="4" t="inlineStr">
        <is>
          <t>ZAR value factor of local prices: Ghana</t>
        </is>
      </c>
      <c r="B41" s="17" t="inlineStr">
        <is>
          <t>x</t>
        </is>
      </c>
      <c r="C41" s="36">
        <f>C40*C39</f>
        <v/>
      </c>
      <c r="D41" s="36">
        <f>D40*D39</f>
        <v/>
      </c>
      <c r="E41" s="36">
        <f>E40*E39</f>
        <v/>
      </c>
      <c r="F41" s="36">
        <f>F40*F39</f>
        <v/>
      </c>
      <c r="G41" s="36">
        <f>G40*G39</f>
        <v/>
      </c>
      <c r="H41" s="36">
        <f>H40*H39</f>
        <v/>
      </c>
      <c r="I41" s="36">
        <f>I40*I39</f>
        <v/>
      </c>
      <c r="J41" s="36">
        <f>J40*J39</f>
        <v/>
      </c>
      <c r="K41" s="36">
        <f>K40*K39</f>
        <v/>
      </c>
      <c r="L41" s="36">
        <f>L40*L39</f>
        <v/>
      </c>
      <c r="M41" s="36">
        <f>M40*M39</f>
        <v/>
      </c>
      <c r="N41" s="36">
        <f>N40*N39</f>
        <v/>
      </c>
      <c r="O41" s="36">
        <f>O40*O39</f>
        <v/>
      </c>
      <c r="P41" s="36">
        <f>P40*P39</f>
        <v/>
      </c>
      <c r="Q41" s="36">
        <f>Q40*Q39</f>
        <v/>
      </c>
      <c r="R41" s="36">
        <f>R40*R39</f>
        <v/>
      </c>
      <c r="S41" s="36">
        <f>S40*S39</f>
        <v/>
      </c>
      <c r="T41" s="36">
        <f>T40*T39</f>
        <v/>
      </c>
      <c r="U41" s="36">
        <f>U40*U39</f>
        <v/>
      </c>
      <c r="V41" s="36">
        <f>V40*V39</f>
        <v/>
      </c>
      <c r="W41" s="36">
        <f>W40*W39</f>
        <v/>
      </c>
      <c r="X41" s="36">
        <f>X40*X39</f>
        <v/>
      </c>
      <c r="Y41" s="36">
        <f>Y40*Y39</f>
        <v/>
      </c>
      <c r="Z41" s="36">
        <f>Z40*Z39</f>
        <v/>
      </c>
      <c r="AA41" s="36">
        <f>AA40*AA39</f>
        <v/>
      </c>
      <c r="AB41" s="36">
        <f>AB40*AB39</f>
        <v/>
      </c>
      <c r="AC41" s="36">
        <f>AC40*AC39</f>
        <v/>
      </c>
      <c r="AD41" s="36">
        <f>AD40*AD39</f>
        <v/>
      </c>
      <c r="AE41" s="36">
        <f>AE40*AE39</f>
        <v/>
      </c>
      <c r="AF41" s="36">
        <f>AF40*AF39</f>
        <v/>
      </c>
      <c r="AG41" s="36">
        <f>AG40*AG39</f>
        <v/>
      </c>
      <c r="AH41" s="36">
        <f>AH40*AH39</f>
        <v/>
      </c>
      <c r="AI41" s="36">
        <f>AI40*AI39</f>
        <v/>
      </c>
      <c r="AJ41" s="36">
        <f>AJ40*AJ39</f>
        <v/>
      </c>
      <c r="AK41" s="36">
        <f>AK40*AK39</f>
        <v/>
      </c>
      <c r="AL41" s="36">
        <f>AL40*AL39</f>
        <v/>
      </c>
      <c r="AM41" s="36">
        <f>AM40*AM39</f>
        <v/>
      </c>
      <c r="AN41" s="36">
        <f>AN40*AN39</f>
        <v/>
      </c>
      <c r="AO41" s="36">
        <f>AO40*AO39</f>
        <v/>
      </c>
      <c r="AP41" s="36">
        <f>AP40*AP39</f>
        <v/>
      </c>
      <c r="AQ41" s="36">
        <f>AQ40*AQ39</f>
        <v/>
      </c>
      <c r="AR41" s="36">
        <f>AR40*AR39</f>
        <v/>
      </c>
      <c r="AS41" s="36">
        <f>AS40*AS39</f>
        <v/>
      </c>
      <c r="AT41" s="36">
        <f>AT40*AT39</f>
        <v/>
      </c>
      <c r="AU41" s="36">
        <f>AU40*AU39</f>
        <v/>
      </c>
      <c r="AV41" s="36">
        <f>AV40*AV39</f>
        <v/>
      </c>
      <c r="AW41" s="36">
        <f>AW40*AW39</f>
        <v/>
      </c>
      <c r="AX41" s="36">
        <f>AX40*AX39</f>
        <v/>
      </c>
      <c r="AY41" s="36">
        <f>AY40*AY39</f>
        <v/>
      </c>
      <c r="AZ41" s="36">
        <f>AZ40*AZ39</f>
        <v/>
      </c>
      <c r="BA41" s="36">
        <f>BA40*BA39</f>
        <v/>
      </c>
      <c r="BB41" s="36">
        <f>BB40*BB39</f>
        <v/>
      </c>
      <c r="BC41" s="36">
        <f>BC40*BC39</f>
        <v/>
      </c>
      <c r="BD41" s="36">
        <f>BD40*BD39</f>
        <v/>
      </c>
      <c r="BE41" s="36">
        <f>BE40*BE39</f>
        <v/>
      </c>
      <c r="BF41" s="36">
        <f>BF40*BF39</f>
        <v/>
      </c>
      <c r="BG41" s="36">
        <f>BG40*BG39</f>
        <v/>
      </c>
      <c r="BH41" s="36">
        <f>BH40*BH39</f>
        <v/>
      </c>
      <c r="BI41" s="36">
        <f>BI40*BI39</f>
        <v/>
      </c>
      <c r="BJ41" s="36">
        <f>BJ40*BJ39</f>
        <v/>
      </c>
    </row>
    <row r="42">
      <c r="A42" s="4" t="inlineStr">
        <is>
          <t>ZAR value of 1 unit of Rest of Africa (USD) currency (index)</t>
        </is>
      </c>
      <c r="B42" s="17" t="inlineStr">
        <is>
          <t>x</t>
        </is>
      </c>
      <c r="C42" s="36">
        <f>(1+Pricing!$B$29)^((C$3-1)/12)*IF(C$3&gt;=Assumptions!$B$38,1/(1+Assumptions!$B$37),1)</f>
        <v/>
      </c>
      <c r="D42" s="36">
        <f>(1+Pricing!$B$29)^((D$3-1)/12)*IF(D$3&gt;=Assumptions!$B$38,1/(1+Assumptions!$B$37),1)</f>
        <v/>
      </c>
      <c r="E42" s="36">
        <f>(1+Pricing!$B$29)^((E$3-1)/12)*IF(E$3&gt;=Assumptions!$B$38,1/(1+Assumptions!$B$37),1)</f>
        <v/>
      </c>
      <c r="F42" s="36">
        <f>(1+Pricing!$B$29)^((F$3-1)/12)*IF(F$3&gt;=Assumptions!$B$38,1/(1+Assumptions!$B$37),1)</f>
        <v/>
      </c>
      <c r="G42" s="36">
        <f>(1+Pricing!$B$29)^((G$3-1)/12)*IF(G$3&gt;=Assumptions!$B$38,1/(1+Assumptions!$B$37),1)</f>
        <v/>
      </c>
      <c r="H42" s="36">
        <f>(1+Pricing!$B$29)^((H$3-1)/12)*IF(H$3&gt;=Assumptions!$B$38,1/(1+Assumptions!$B$37),1)</f>
        <v/>
      </c>
      <c r="I42" s="36">
        <f>(1+Pricing!$B$29)^((I$3-1)/12)*IF(I$3&gt;=Assumptions!$B$38,1/(1+Assumptions!$B$37),1)</f>
        <v/>
      </c>
      <c r="J42" s="36">
        <f>(1+Pricing!$B$29)^((J$3-1)/12)*IF(J$3&gt;=Assumptions!$B$38,1/(1+Assumptions!$B$37),1)</f>
        <v/>
      </c>
      <c r="K42" s="36">
        <f>(1+Pricing!$B$29)^((K$3-1)/12)*IF(K$3&gt;=Assumptions!$B$38,1/(1+Assumptions!$B$37),1)</f>
        <v/>
      </c>
      <c r="L42" s="36">
        <f>(1+Pricing!$B$29)^((L$3-1)/12)*IF(L$3&gt;=Assumptions!$B$38,1/(1+Assumptions!$B$37),1)</f>
        <v/>
      </c>
      <c r="M42" s="36">
        <f>(1+Pricing!$B$29)^((M$3-1)/12)*IF(M$3&gt;=Assumptions!$B$38,1/(1+Assumptions!$B$37),1)</f>
        <v/>
      </c>
      <c r="N42" s="36">
        <f>(1+Pricing!$B$29)^((N$3-1)/12)*IF(N$3&gt;=Assumptions!$B$38,1/(1+Assumptions!$B$37),1)</f>
        <v/>
      </c>
      <c r="O42" s="36">
        <f>(1+Pricing!$B$29)^((O$3-1)/12)*IF(O$3&gt;=Assumptions!$B$38,1/(1+Assumptions!$B$37),1)</f>
        <v/>
      </c>
      <c r="P42" s="36">
        <f>(1+Pricing!$B$29)^((P$3-1)/12)*IF(P$3&gt;=Assumptions!$B$38,1/(1+Assumptions!$B$37),1)</f>
        <v/>
      </c>
      <c r="Q42" s="36">
        <f>(1+Pricing!$B$29)^((Q$3-1)/12)*IF(Q$3&gt;=Assumptions!$B$38,1/(1+Assumptions!$B$37),1)</f>
        <v/>
      </c>
      <c r="R42" s="36">
        <f>(1+Pricing!$B$29)^((R$3-1)/12)*IF(R$3&gt;=Assumptions!$B$38,1/(1+Assumptions!$B$37),1)</f>
        <v/>
      </c>
      <c r="S42" s="36">
        <f>(1+Pricing!$B$29)^((S$3-1)/12)*IF(S$3&gt;=Assumptions!$B$38,1/(1+Assumptions!$B$37),1)</f>
        <v/>
      </c>
      <c r="T42" s="36">
        <f>(1+Pricing!$B$29)^((T$3-1)/12)*IF(T$3&gt;=Assumptions!$B$38,1/(1+Assumptions!$B$37),1)</f>
        <v/>
      </c>
      <c r="U42" s="36">
        <f>(1+Pricing!$B$29)^((U$3-1)/12)*IF(U$3&gt;=Assumptions!$B$38,1/(1+Assumptions!$B$37),1)</f>
        <v/>
      </c>
      <c r="V42" s="36">
        <f>(1+Pricing!$B$29)^((V$3-1)/12)*IF(V$3&gt;=Assumptions!$B$38,1/(1+Assumptions!$B$37),1)</f>
        <v/>
      </c>
      <c r="W42" s="36">
        <f>(1+Pricing!$B$29)^((W$3-1)/12)*IF(W$3&gt;=Assumptions!$B$38,1/(1+Assumptions!$B$37),1)</f>
        <v/>
      </c>
      <c r="X42" s="36">
        <f>(1+Pricing!$B$29)^((X$3-1)/12)*IF(X$3&gt;=Assumptions!$B$38,1/(1+Assumptions!$B$37),1)</f>
        <v/>
      </c>
      <c r="Y42" s="36">
        <f>(1+Pricing!$B$29)^((Y$3-1)/12)*IF(Y$3&gt;=Assumptions!$B$38,1/(1+Assumptions!$B$37),1)</f>
        <v/>
      </c>
      <c r="Z42" s="36">
        <f>(1+Pricing!$B$29)^((Z$3-1)/12)*IF(Z$3&gt;=Assumptions!$B$38,1/(1+Assumptions!$B$37),1)</f>
        <v/>
      </c>
      <c r="AA42" s="36">
        <f>(1+Pricing!$B$29)^((AA$3-1)/12)*IF(AA$3&gt;=Assumptions!$B$38,1/(1+Assumptions!$B$37),1)</f>
        <v/>
      </c>
      <c r="AB42" s="36">
        <f>(1+Pricing!$B$29)^((AB$3-1)/12)*IF(AB$3&gt;=Assumptions!$B$38,1/(1+Assumptions!$B$37),1)</f>
        <v/>
      </c>
      <c r="AC42" s="36">
        <f>(1+Pricing!$B$29)^((AC$3-1)/12)*IF(AC$3&gt;=Assumptions!$B$38,1/(1+Assumptions!$B$37),1)</f>
        <v/>
      </c>
      <c r="AD42" s="36">
        <f>(1+Pricing!$B$29)^((AD$3-1)/12)*IF(AD$3&gt;=Assumptions!$B$38,1/(1+Assumptions!$B$37),1)</f>
        <v/>
      </c>
      <c r="AE42" s="36">
        <f>(1+Pricing!$B$29)^((AE$3-1)/12)*IF(AE$3&gt;=Assumptions!$B$38,1/(1+Assumptions!$B$37),1)</f>
        <v/>
      </c>
      <c r="AF42" s="36">
        <f>(1+Pricing!$B$29)^((AF$3-1)/12)*IF(AF$3&gt;=Assumptions!$B$38,1/(1+Assumptions!$B$37),1)</f>
        <v/>
      </c>
      <c r="AG42" s="36">
        <f>(1+Pricing!$B$29)^((AG$3-1)/12)*IF(AG$3&gt;=Assumptions!$B$38,1/(1+Assumptions!$B$37),1)</f>
        <v/>
      </c>
      <c r="AH42" s="36">
        <f>(1+Pricing!$B$29)^((AH$3-1)/12)*IF(AH$3&gt;=Assumptions!$B$38,1/(1+Assumptions!$B$37),1)</f>
        <v/>
      </c>
      <c r="AI42" s="36">
        <f>(1+Pricing!$B$29)^((AI$3-1)/12)*IF(AI$3&gt;=Assumptions!$B$38,1/(1+Assumptions!$B$37),1)</f>
        <v/>
      </c>
      <c r="AJ42" s="36">
        <f>(1+Pricing!$B$29)^((AJ$3-1)/12)*IF(AJ$3&gt;=Assumptions!$B$38,1/(1+Assumptions!$B$37),1)</f>
        <v/>
      </c>
      <c r="AK42" s="36">
        <f>(1+Pricing!$B$29)^((AK$3-1)/12)*IF(AK$3&gt;=Assumptions!$B$38,1/(1+Assumptions!$B$37),1)</f>
        <v/>
      </c>
      <c r="AL42" s="36">
        <f>(1+Pricing!$B$29)^((AL$3-1)/12)*IF(AL$3&gt;=Assumptions!$B$38,1/(1+Assumptions!$B$37),1)</f>
        <v/>
      </c>
      <c r="AM42" s="36">
        <f>(1+Pricing!$B$29)^((AM$3-1)/12)*IF(AM$3&gt;=Assumptions!$B$38,1/(1+Assumptions!$B$37),1)</f>
        <v/>
      </c>
      <c r="AN42" s="36">
        <f>(1+Pricing!$B$29)^((AN$3-1)/12)*IF(AN$3&gt;=Assumptions!$B$38,1/(1+Assumptions!$B$37),1)</f>
        <v/>
      </c>
      <c r="AO42" s="36">
        <f>(1+Pricing!$B$29)^((AO$3-1)/12)*IF(AO$3&gt;=Assumptions!$B$38,1/(1+Assumptions!$B$37),1)</f>
        <v/>
      </c>
      <c r="AP42" s="36">
        <f>(1+Pricing!$B$29)^((AP$3-1)/12)*IF(AP$3&gt;=Assumptions!$B$38,1/(1+Assumptions!$B$37),1)</f>
        <v/>
      </c>
      <c r="AQ42" s="36">
        <f>(1+Pricing!$B$29)^((AQ$3-1)/12)*IF(AQ$3&gt;=Assumptions!$B$38,1/(1+Assumptions!$B$37),1)</f>
        <v/>
      </c>
      <c r="AR42" s="36">
        <f>(1+Pricing!$B$29)^((AR$3-1)/12)*IF(AR$3&gt;=Assumptions!$B$38,1/(1+Assumptions!$B$37),1)</f>
        <v/>
      </c>
      <c r="AS42" s="36">
        <f>(1+Pricing!$B$29)^((AS$3-1)/12)*IF(AS$3&gt;=Assumptions!$B$38,1/(1+Assumptions!$B$37),1)</f>
        <v/>
      </c>
      <c r="AT42" s="36">
        <f>(1+Pricing!$B$29)^((AT$3-1)/12)*IF(AT$3&gt;=Assumptions!$B$38,1/(1+Assumptions!$B$37),1)</f>
        <v/>
      </c>
      <c r="AU42" s="36">
        <f>(1+Pricing!$B$29)^((AU$3-1)/12)*IF(AU$3&gt;=Assumptions!$B$38,1/(1+Assumptions!$B$37),1)</f>
        <v/>
      </c>
      <c r="AV42" s="36">
        <f>(1+Pricing!$B$29)^((AV$3-1)/12)*IF(AV$3&gt;=Assumptions!$B$38,1/(1+Assumptions!$B$37),1)</f>
        <v/>
      </c>
      <c r="AW42" s="36">
        <f>(1+Pricing!$B$29)^((AW$3-1)/12)*IF(AW$3&gt;=Assumptions!$B$38,1/(1+Assumptions!$B$37),1)</f>
        <v/>
      </c>
      <c r="AX42" s="36">
        <f>(1+Pricing!$B$29)^((AX$3-1)/12)*IF(AX$3&gt;=Assumptions!$B$38,1/(1+Assumptions!$B$37),1)</f>
        <v/>
      </c>
      <c r="AY42" s="36">
        <f>(1+Pricing!$B$29)^((AY$3-1)/12)*IF(AY$3&gt;=Assumptions!$B$38,1/(1+Assumptions!$B$37),1)</f>
        <v/>
      </c>
      <c r="AZ42" s="36">
        <f>(1+Pricing!$B$29)^((AZ$3-1)/12)*IF(AZ$3&gt;=Assumptions!$B$38,1/(1+Assumptions!$B$37),1)</f>
        <v/>
      </c>
      <c r="BA42" s="36">
        <f>(1+Pricing!$B$29)^((BA$3-1)/12)*IF(BA$3&gt;=Assumptions!$B$38,1/(1+Assumptions!$B$37),1)</f>
        <v/>
      </c>
      <c r="BB42" s="36">
        <f>(1+Pricing!$B$29)^((BB$3-1)/12)*IF(BB$3&gt;=Assumptions!$B$38,1/(1+Assumptions!$B$37),1)</f>
        <v/>
      </c>
      <c r="BC42" s="36">
        <f>(1+Pricing!$B$29)^((BC$3-1)/12)*IF(BC$3&gt;=Assumptions!$B$38,1/(1+Assumptions!$B$37),1)</f>
        <v/>
      </c>
      <c r="BD42" s="36">
        <f>(1+Pricing!$B$29)^((BD$3-1)/12)*IF(BD$3&gt;=Assumptions!$B$38,1/(1+Assumptions!$B$37),1)</f>
        <v/>
      </c>
      <c r="BE42" s="36">
        <f>(1+Pricing!$B$29)^((BE$3-1)/12)*IF(BE$3&gt;=Assumptions!$B$38,1/(1+Assumptions!$B$37),1)</f>
        <v/>
      </c>
      <c r="BF42" s="36">
        <f>(1+Pricing!$B$29)^((BF$3-1)/12)*IF(BF$3&gt;=Assumptions!$B$38,1/(1+Assumptions!$B$37),1)</f>
        <v/>
      </c>
      <c r="BG42" s="36">
        <f>(1+Pricing!$B$29)^((BG$3-1)/12)*IF(BG$3&gt;=Assumptions!$B$38,1/(1+Assumptions!$B$37),1)</f>
        <v/>
      </c>
      <c r="BH42" s="36">
        <f>(1+Pricing!$B$29)^((BH$3-1)/12)*IF(BH$3&gt;=Assumptions!$B$38,1/(1+Assumptions!$B$37),1)</f>
        <v/>
      </c>
      <c r="BI42" s="36">
        <f>(1+Pricing!$B$29)^((BI$3-1)/12)*IF(BI$3&gt;=Assumptions!$B$38,1/(1+Assumptions!$B$37),1)</f>
        <v/>
      </c>
      <c r="BJ42" s="36">
        <f>(1+Pricing!$B$29)^((BJ$3-1)/12)*IF(BJ$3&gt;=Assumptions!$B$38,1/(1+Assumptions!$B$37),1)</f>
        <v/>
      </c>
    </row>
    <row r="43">
      <c r="A43" s="4" t="inlineStr">
        <is>
          <t>Local price level after repricing: Rest of Africa (USD)</t>
        </is>
      </c>
      <c r="B43" s="17" t="inlineStr">
        <is>
          <t>x</t>
        </is>
      </c>
      <c r="C43" s="36">
        <f>1</f>
        <v/>
      </c>
      <c r="D43" s="36">
        <f>C43</f>
        <v/>
      </c>
      <c r="E43" s="36">
        <f>D43</f>
        <v/>
      </c>
      <c r="F43" s="36">
        <f>IF(AND(Pricing!$B$31=1,MOD(F$3-1,3)=0,ABS(E43*C42-1)&gt;Pricing!$B$30),1/C42,E43)</f>
        <v/>
      </c>
      <c r="G43" s="36">
        <f>IF(AND(Pricing!$B$31=1,MOD(G$3-1,3)=0,ABS(F43*D42-1)&gt;Pricing!$B$30),1/D42,F43)</f>
        <v/>
      </c>
      <c r="H43" s="36">
        <f>IF(AND(Pricing!$B$31=1,MOD(H$3-1,3)=0,ABS(G43*E42-1)&gt;Pricing!$B$30),1/E42,G43)</f>
        <v/>
      </c>
      <c r="I43" s="36">
        <f>IF(AND(Pricing!$B$31=1,MOD(I$3-1,3)=0,ABS(H43*F42-1)&gt;Pricing!$B$30),1/F42,H43)</f>
        <v/>
      </c>
      <c r="J43" s="36">
        <f>IF(AND(Pricing!$B$31=1,MOD(J$3-1,3)=0,ABS(I43*G42-1)&gt;Pricing!$B$30),1/G42,I43)</f>
        <v/>
      </c>
      <c r="K43" s="36">
        <f>IF(AND(Pricing!$B$31=1,MOD(K$3-1,3)=0,ABS(J43*H42-1)&gt;Pricing!$B$30),1/H42,J43)</f>
        <v/>
      </c>
      <c r="L43" s="36">
        <f>IF(AND(Pricing!$B$31=1,MOD(L$3-1,3)=0,ABS(K43*I42-1)&gt;Pricing!$B$30),1/I42,K43)</f>
        <v/>
      </c>
      <c r="M43" s="36">
        <f>IF(AND(Pricing!$B$31=1,MOD(M$3-1,3)=0,ABS(L43*J42-1)&gt;Pricing!$B$30),1/J42,L43)</f>
        <v/>
      </c>
      <c r="N43" s="36">
        <f>IF(AND(Pricing!$B$31=1,MOD(N$3-1,3)=0,ABS(M43*K42-1)&gt;Pricing!$B$30),1/K42,M43)</f>
        <v/>
      </c>
      <c r="O43" s="36">
        <f>IF(AND(Pricing!$B$31=1,MOD(O$3-1,3)=0,ABS(N43*L42-1)&gt;Pricing!$B$30),1/L42,N43)</f>
        <v/>
      </c>
      <c r="P43" s="36">
        <f>IF(AND(Pricing!$B$31=1,MOD(P$3-1,3)=0,ABS(O43*M42-1)&gt;Pricing!$B$30),1/M42,O43)</f>
        <v/>
      </c>
      <c r="Q43" s="36">
        <f>IF(AND(Pricing!$B$31=1,MOD(Q$3-1,3)=0,ABS(P43*N42-1)&gt;Pricing!$B$30),1/N42,P43)</f>
        <v/>
      </c>
      <c r="R43" s="36">
        <f>IF(AND(Pricing!$B$31=1,MOD(R$3-1,3)=0,ABS(Q43*O42-1)&gt;Pricing!$B$30),1/O42,Q43)</f>
        <v/>
      </c>
      <c r="S43" s="36">
        <f>IF(AND(Pricing!$B$31=1,MOD(S$3-1,3)=0,ABS(R43*P42-1)&gt;Pricing!$B$30),1/P42,R43)</f>
        <v/>
      </c>
      <c r="T43" s="36">
        <f>IF(AND(Pricing!$B$31=1,MOD(T$3-1,3)=0,ABS(S43*Q42-1)&gt;Pricing!$B$30),1/Q42,S43)</f>
        <v/>
      </c>
      <c r="U43" s="36">
        <f>IF(AND(Pricing!$B$31=1,MOD(U$3-1,3)=0,ABS(T43*R42-1)&gt;Pricing!$B$30),1/R42,T43)</f>
        <v/>
      </c>
      <c r="V43" s="36">
        <f>IF(AND(Pricing!$B$31=1,MOD(V$3-1,3)=0,ABS(U43*S42-1)&gt;Pricing!$B$30),1/S42,U43)</f>
        <v/>
      </c>
      <c r="W43" s="36">
        <f>IF(AND(Pricing!$B$31=1,MOD(W$3-1,3)=0,ABS(V43*T42-1)&gt;Pricing!$B$30),1/T42,V43)</f>
        <v/>
      </c>
      <c r="X43" s="36">
        <f>IF(AND(Pricing!$B$31=1,MOD(X$3-1,3)=0,ABS(W43*U42-1)&gt;Pricing!$B$30),1/U42,W43)</f>
        <v/>
      </c>
      <c r="Y43" s="36">
        <f>IF(AND(Pricing!$B$31=1,MOD(Y$3-1,3)=0,ABS(X43*V42-1)&gt;Pricing!$B$30),1/V42,X43)</f>
        <v/>
      </c>
      <c r="Z43" s="36">
        <f>IF(AND(Pricing!$B$31=1,MOD(Z$3-1,3)=0,ABS(Y43*W42-1)&gt;Pricing!$B$30),1/W42,Y43)</f>
        <v/>
      </c>
      <c r="AA43" s="36">
        <f>IF(AND(Pricing!$B$31=1,MOD(AA$3-1,3)=0,ABS(Z43*X42-1)&gt;Pricing!$B$30),1/X42,Z43)</f>
        <v/>
      </c>
      <c r="AB43" s="36">
        <f>IF(AND(Pricing!$B$31=1,MOD(AB$3-1,3)=0,ABS(AA43*Y42-1)&gt;Pricing!$B$30),1/Y42,AA43)</f>
        <v/>
      </c>
      <c r="AC43" s="36">
        <f>IF(AND(Pricing!$B$31=1,MOD(AC$3-1,3)=0,ABS(AB43*Z42-1)&gt;Pricing!$B$30),1/Z42,AB43)</f>
        <v/>
      </c>
      <c r="AD43" s="36">
        <f>IF(AND(Pricing!$B$31=1,MOD(AD$3-1,3)=0,ABS(AC43*AA42-1)&gt;Pricing!$B$30),1/AA42,AC43)</f>
        <v/>
      </c>
      <c r="AE43" s="36">
        <f>IF(AND(Pricing!$B$31=1,MOD(AE$3-1,3)=0,ABS(AD43*AB42-1)&gt;Pricing!$B$30),1/AB42,AD43)</f>
        <v/>
      </c>
      <c r="AF43" s="36">
        <f>IF(AND(Pricing!$B$31=1,MOD(AF$3-1,3)=0,ABS(AE43*AC42-1)&gt;Pricing!$B$30),1/AC42,AE43)</f>
        <v/>
      </c>
      <c r="AG43" s="36">
        <f>IF(AND(Pricing!$B$31=1,MOD(AG$3-1,3)=0,ABS(AF43*AD42-1)&gt;Pricing!$B$30),1/AD42,AF43)</f>
        <v/>
      </c>
      <c r="AH43" s="36">
        <f>IF(AND(Pricing!$B$31=1,MOD(AH$3-1,3)=0,ABS(AG43*AE42-1)&gt;Pricing!$B$30),1/AE42,AG43)</f>
        <v/>
      </c>
      <c r="AI43" s="36">
        <f>IF(AND(Pricing!$B$31=1,MOD(AI$3-1,3)=0,ABS(AH43*AF42-1)&gt;Pricing!$B$30),1/AF42,AH43)</f>
        <v/>
      </c>
      <c r="AJ43" s="36">
        <f>IF(AND(Pricing!$B$31=1,MOD(AJ$3-1,3)=0,ABS(AI43*AG42-1)&gt;Pricing!$B$30),1/AG42,AI43)</f>
        <v/>
      </c>
      <c r="AK43" s="36">
        <f>IF(AND(Pricing!$B$31=1,MOD(AK$3-1,3)=0,ABS(AJ43*AH42-1)&gt;Pricing!$B$30),1/AH42,AJ43)</f>
        <v/>
      </c>
      <c r="AL43" s="36">
        <f>IF(AND(Pricing!$B$31=1,MOD(AL$3-1,3)=0,ABS(AK43*AI42-1)&gt;Pricing!$B$30),1/AI42,AK43)</f>
        <v/>
      </c>
      <c r="AM43" s="36">
        <f>IF(AND(Pricing!$B$31=1,MOD(AM$3-1,3)=0,ABS(AL43*AJ42-1)&gt;Pricing!$B$30),1/AJ42,AL43)</f>
        <v/>
      </c>
      <c r="AN43" s="36">
        <f>IF(AND(Pricing!$B$31=1,MOD(AN$3-1,3)=0,ABS(AM43*AK42-1)&gt;Pricing!$B$30),1/AK42,AM43)</f>
        <v/>
      </c>
      <c r="AO43" s="36">
        <f>IF(AND(Pricing!$B$31=1,MOD(AO$3-1,3)=0,ABS(AN43*AL42-1)&gt;Pricing!$B$30),1/AL42,AN43)</f>
        <v/>
      </c>
      <c r="AP43" s="36">
        <f>IF(AND(Pricing!$B$31=1,MOD(AP$3-1,3)=0,ABS(AO43*AM42-1)&gt;Pricing!$B$30),1/AM42,AO43)</f>
        <v/>
      </c>
      <c r="AQ43" s="36">
        <f>IF(AND(Pricing!$B$31=1,MOD(AQ$3-1,3)=0,ABS(AP43*AN42-1)&gt;Pricing!$B$30),1/AN42,AP43)</f>
        <v/>
      </c>
      <c r="AR43" s="36">
        <f>IF(AND(Pricing!$B$31=1,MOD(AR$3-1,3)=0,ABS(AQ43*AO42-1)&gt;Pricing!$B$30),1/AO42,AQ43)</f>
        <v/>
      </c>
      <c r="AS43" s="36">
        <f>IF(AND(Pricing!$B$31=1,MOD(AS$3-1,3)=0,ABS(AR43*AP42-1)&gt;Pricing!$B$30),1/AP42,AR43)</f>
        <v/>
      </c>
      <c r="AT43" s="36">
        <f>IF(AND(Pricing!$B$31=1,MOD(AT$3-1,3)=0,ABS(AS43*AQ42-1)&gt;Pricing!$B$30),1/AQ42,AS43)</f>
        <v/>
      </c>
      <c r="AU43" s="36">
        <f>IF(AND(Pricing!$B$31=1,MOD(AU$3-1,3)=0,ABS(AT43*AR42-1)&gt;Pricing!$B$30),1/AR42,AT43)</f>
        <v/>
      </c>
      <c r="AV43" s="36">
        <f>IF(AND(Pricing!$B$31=1,MOD(AV$3-1,3)=0,ABS(AU43*AS42-1)&gt;Pricing!$B$30),1/AS42,AU43)</f>
        <v/>
      </c>
      <c r="AW43" s="36">
        <f>IF(AND(Pricing!$B$31=1,MOD(AW$3-1,3)=0,ABS(AV43*AT42-1)&gt;Pricing!$B$30),1/AT42,AV43)</f>
        <v/>
      </c>
      <c r="AX43" s="36">
        <f>IF(AND(Pricing!$B$31=1,MOD(AX$3-1,3)=0,ABS(AW43*AU42-1)&gt;Pricing!$B$30),1/AU42,AW43)</f>
        <v/>
      </c>
      <c r="AY43" s="36">
        <f>IF(AND(Pricing!$B$31=1,MOD(AY$3-1,3)=0,ABS(AX43*AV42-1)&gt;Pricing!$B$30),1/AV42,AX43)</f>
        <v/>
      </c>
      <c r="AZ43" s="36">
        <f>IF(AND(Pricing!$B$31=1,MOD(AZ$3-1,3)=0,ABS(AY43*AW42-1)&gt;Pricing!$B$30),1/AW42,AY43)</f>
        <v/>
      </c>
      <c r="BA43" s="36">
        <f>IF(AND(Pricing!$B$31=1,MOD(BA$3-1,3)=0,ABS(AZ43*AX42-1)&gt;Pricing!$B$30),1/AX42,AZ43)</f>
        <v/>
      </c>
      <c r="BB43" s="36">
        <f>IF(AND(Pricing!$B$31=1,MOD(BB$3-1,3)=0,ABS(BA43*AY42-1)&gt;Pricing!$B$30),1/AY42,BA43)</f>
        <v/>
      </c>
      <c r="BC43" s="36">
        <f>IF(AND(Pricing!$B$31=1,MOD(BC$3-1,3)=0,ABS(BB43*AZ42-1)&gt;Pricing!$B$30),1/AZ42,BB43)</f>
        <v/>
      </c>
      <c r="BD43" s="36">
        <f>IF(AND(Pricing!$B$31=1,MOD(BD$3-1,3)=0,ABS(BC43*BA42-1)&gt;Pricing!$B$30),1/BA42,BC43)</f>
        <v/>
      </c>
      <c r="BE43" s="36">
        <f>IF(AND(Pricing!$B$31=1,MOD(BE$3-1,3)=0,ABS(BD43*BB42-1)&gt;Pricing!$B$30),1/BB42,BD43)</f>
        <v/>
      </c>
      <c r="BF43" s="36">
        <f>IF(AND(Pricing!$B$31=1,MOD(BF$3-1,3)=0,ABS(BE43*BC42-1)&gt;Pricing!$B$30),1/BC42,BE43)</f>
        <v/>
      </c>
      <c r="BG43" s="36">
        <f>IF(AND(Pricing!$B$31=1,MOD(BG$3-1,3)=0,ABS(BF43*BD42-1)&gt;Pricing!$B$30),1/BD42,BF43)</f>
        <v/>
      </c>
      <c r="BH43" s="36">
        <f>IF(AND(Pricing!$B$31=1,MOD(BH$3-1,3)=0,ABS(BG43*BE42-1)&gt;Pricing!$B$30),1/BE42,BG43)</f>
        <v/>
      </c>
      <c r="BI43" s="36">
        <f>IF(AND(Pricing!$B$31=1,MOD(BI$3-1,3)=0,ABS(BH43*BF42-1)&gt;Pricing!$B$30),1/BF42,BH43)</f>
        <v/>
      </c>
      <c r="BJ43" s="36">
        <f>IF(AND(Pricing!$B$31=1,MOD(BJ$3-1,3)=0,ABS(BI43*BG42-1)&gt;Pricing!$B$30),1/BG42,BI43)</f>
        <v/>
      </c>
    </row>
    <row r="44">
      <c r="A44" s="4" t="inlineStr">
        <is>
          <t>ZAR value factor of local prices: Rest of Africa (USD)</t>
        </is>
      </c>
      <c r="B44" s="17" t="inlineStr">
        <is>
          <t>x</t>
        </is>
      </c>
      <c r="C44" s="36">
        <f>C43*C42</f>
        <v/>
      </c>
      <c r="D44" s="36">
        <f>D43*D42</f>
        <v/>
      </c>
      <c r="E44" s="36">
        <f>E43*E42</f>
        <v/>
      </c>
      <c r="F44" s="36">
        <f>F43*F42</f>
        <v/>
      </c>
      <c r="G44" s="36">
        <f>G43*G42</f>
        <v/>
      </c>
      <c r="H44" s="36">
        <f>H43*H42</f>
        <v/>
      </c>
      <c r="I44" s="36">
        <f>I43*I42</f>
        <v/>
      </c>
      <c r="J44" s="36">
        <f>J43*J42</f>
        <v/>
      </c>
      <c r="K44" s="36">
        <f>K43*K42</f>
        <v/>
      </c>
      <c r="L44" s="36">
        <f>L43*L42</f>
        <v/>
      </c>
      <c r="M44" s="36">
        <f>M43*M42</f>
        <v/>
      </c>
      <c r="N44" s="36">
        <f>N43*N42</f>
        <v/>
      </c>
      <c r="O44" s="36">
        <f>O43*O42</f>
        <v/>
      </c>
      <c r="P44" s="36">
        <f>P43*P42</f>
        <v/>
      </c>
      <c r="Q44" s="36">
        <f>Q43*Q42</f>
        <v/>
      </c>
      <c r="R44" s="36">
        <f>R43*R42</f>
        <v/>
      </c>
      <c r="S44" s="36">
        <f>S43*S42</f>
        <v/>
      </c>
      <c r="T44" s="36">
        <f>T43*T42</f>
        <v/>
      </c>
      <c r="U44" s="36">
        <f>U43*U42</f>
        <v/>
      </c>
      <c r="V44" s="36">
        <f>V43*V42</f>
        <v/>
      </c>
      <c r="W44" s="36">
        <f>W43*W42</f>
        <v/>
      </c>
      <c r="X44" s="36">
        <f>X43*X42</f>
        <v/>
      </c>
      <c r="Y44" s="36">
        <f>Y43*Y42</f>
        <v/>
      </c>
      <c r="Z44" s="36">
        <f>Z43*Z42</f>
        <v/>
      </c>
      <c r="AA44" s="36">
        <f>AA43*AA42</f>
        <v/>
      </c>
      <c r="AB44" s="36">
        <f>AB43*AB42</f>
        <v/>
      </c>
      <c r="AC44" s="36">
        <f>AC43*AC42</f>
        <v/>
      </c>
      <c r="AD44" s="36">
        <f>AD43*AD42</f>
        <v/>
      </c>
      <c r="AE44" s="36">
        <f>AE43*AE42</f>
        <v/>
      </c>
      <c r="AF44" s="36">
        <f>AF43*AF42</f>
        <v/>
      </c>
      <c r="AG44" s="36">
        <f>AG43*AG42</f>
        <v/>
      </c>
      <c r="AH44" s="36">
        <f>AH43*AH42</f>
        <v/>
      </c>
      <c r="AI44" s="36">
        <f>AI43*AI42</f>
        <v/>
      </c>
      <c r="AJ44" s="36">
        <f>AJ43*AJ42</f>
        <v/>
      </c>
      <c r="AK44" s="36">
        <f>AK43*AK42</f>
        <v/>
      </c>
      <c r="AL44" s="36">
        <f>AL43*AL42</f>
        <v/>
      </c>
      <c r="AM44" s="36">
        <f>AM43*AM42</f>
        <v/>
      </c>
      <c r="AN44" s="36">
        <f>AN43*AN42</f>
        <v/>
      </c>
      <c r="AO44" s="36">
        <f>AO43*AO42</f>
        <v/>
      </c>
      <c r="AP44" s="36">
        <f>AP43*AP42</f>
        <v/>
      </c>
      <c r="AQ44" s="36">
        <f>AQ43*AQ42</f>
        <v/>
      </c>
      <c r="AR44" s="36">
        <f>AR43*AR42</f>
        <v/>
      </c>
      <c r="AS44" s="36">
        <f>AS43*AS42</f>
        <v/>
      </c>
      <c r="AT44" s="36">
        <f>AT43*AT42</f>
        <v/>
      </c>
      <c r="AU44" s="36">
        <f>AU43*AU42</f>
        <v/>
      </c>
      <c r="AV44" s="36">
        <f>AV43*AV42</f>
        <v/>
      </c>
      <c r="AW44" s="36">
        <f>AW43*AW42</f>
        <v/>
      </c>
      <c r="AX44" s="36">
        <f>AX43*AX42</f>
        <v/>
      </c>
      <c r="AY44" s="36">
        <f>AY43*AY42</f>
        <v/>
      </c>
      <c r="AZ44" s="36">
        <f>AZ43*AZ42</f>
        <v/>
      </c>
      <c r="BA44" s="36">
        <f>BA43*BA42</f>
        <v/>
      </c>
      <c r="BB44" s="36">
        <f>BB43*BB42</f>
        <v/>
      </c>
      <c r="BC44" s="36">
        <f>BC43*BC42</f>
        <v/>
      </c>
      <c r="BD44" s="36">
        <f>BD43*BD42</f>
        <v/>
      </c>
      <c r="BE44" s="36">
        <f>BE43*BE42</f>
        <v/>
      </c>
      <c r="BF44" s="36">
        <f>BF43*BF42</f>
        <v/>
      </c>
      <c r="BG44" s="36">
        <f>BG43*BG42</f>
        <v/>
      </c>
      <c r="BH44" s="36">
        <f>BH43*BH42</f>
        <v/>
      </c>
      <c r="BI44" s="36">
        <f>BI43*BI42</f>
        <v/>
      </c>
      <c r="BJ44" s="36">
        <f>BJ43*BJ42</f>
        <v/>
      </c>
    </row>
    <row r="45"/>
    <row r="46">
      <c r="A46" s="19" t="inlineStr">
        <is>
          <t>Self-serve sign-ups (Free + paid) by market (start in each market's launch month; no trials)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</row>
    <row r="47">
      <c r="A47" s="4" t="inlineStr">
        <is>
          <t>Monthly sign-up growth rate (scenario, by fiscal year)</t>
        </is>
      </c>
      <c r="B47" s="17" t="inlineStr">
        <is>
          <t>% m/m</t>
        </is>
      </c>
      <c r="C47" s="9">
        <f>CHOOSE(C$5,Assumptions!$B$40,Assumptions!$B$41,Assumptions!$B$42,Assumptions!$B$43,Assumptions!$B$44)</f>
        <v/>
      </c>
      <c r="D47" s="9">
        <f>CHOOSE(D$5,Assumptions!$B$40,Assumptions!$B$41,Assumptions!$B$42,Assumptions!$B$43,Assumptions!$B$44)</f>
        <v/>
      </c>
      <c r="E47" s="9">
        <f>CHOOSE(E$5,Assumptions!$B$40,Assumptions!$B$41,Assumptions!$B$42,Assumptions!$B$43,Assumptions!$B$44)</f>
        <v/>
      </c>
      <c r="F47" s="9">
        <f>CHOOSE(F$5,Assumptions!$B$40,Assumptions!$B$41,Assumptions!$B$42,Assumptions!$B$43,Assumptions!$B$44)</f>
        <v/>
      </c>
      <c r="G47" s="9">
        <f>CHOOSE(G$5,Assumptions!$B$40,Assumptions!$B$41,Assumptions!$B$42,Assumptions!$B$43,Assumptions!$B$44)</f>
        <v/>
      </c>
      <c r="H47" s="9">
        <f>CHOOSE(H$5,Assumptions!$B$40,Assumptions!$B$41,Assumptions!$B$42,Assumptions!$B$43,Assumptions!$B$44)</f>
        <v/>
      </c>
      <c r="I47" s="9">
        <f>CHOOSE(I$5,Assumptions!$B$40,Assumptions!$B$41,Assumptions!$B$42,Assumptions!$B$43,Assumptions!$B$44)</f>
        <v/>
      </c>
      <c r="J47" s="9">
        <f>CHOOSE(J$5,Assumptions!$B$40,Assumptions!$B$41,Assumptions!$B$42,Assumptions!$B$43,Assumptions!$B$44)</f>
        <v/>
      </c>
      <c r="K47" s="9">
        <f>CHOOSE(K$5,Assumptions!$B$40,Assumptions!$B$41,Assumptions!$B$42,Assumptions!$B$43,Assumptions!$B$44)</f>
        <v/>
      </c>
      <c r="L47" s="9">
        <f>CHOOSE(L$5,Assumptions!$B$40,Assumptions!$B$41,Assumptions!$B$42,Assumptions!$B$43,Assumptions!$B$44)</f>
        <v/>
      </c>
      <c r="M47" s="9">
        <f>CHOOSE(M$5,Assumptions!$B$40,Assumptions!$B$41,Assumptions!$B$42,Assumptions!$B$43,Assumptions!$B$44)</f>
        <v/>
      </c>
      <c r="N47" s="9">
        <f>CHOOSE(N$5,Assumptions!$B$40,Assumptions!$B$41,Assumptions!$B$42,Assumptions!$B$43,Assumptions!$B$44)</f>
        <v/>
      </c>
      <c r="O47" s="9">
        <f>CHOOSE(O$5,Assumptions!$B$40,Assumptions!$B$41,Assumptions!$B$42,Assumptions!$B$43,Assumptions!$B$44)</f>
        <v/>
      </c>
      <c r="P47" s="9">
        <f>CHOOSE(P$5,Assumptions!$B$40,Assumptions!$B$41,Assumptions!$B$42,Assumptions!$B$43,Assumptions!$B$44)</f>
        <v/>
      </c>
      <c r="Q47" s="9">
        <f>CHOOSE(Q$5,Assumptions!$B$40,Assumptions!$B$41,Assumptions!$B$42,Assumptions!$B$43,Assumptions!$B$44)</f>
        <v/>
      </c>
      <c r="R47" s="9">
        <f>CHOOSE(R$5,Assumptions!$B$40,Assumptions!$B$41,Assumptions!$B$42,Assumptions!$B$43,Assumptions!$B$44)</f>
        <v/>
      </c>
      <c r="S47" s="9">
        <f>CHOOSE(S$5,Assumptions!$B$40,Assumptions!$B$41,Assumptions!$B$42,Assumptions!$B$43,Assumptions!$B$44)</f>
        <v/>
      </c>
      <c r="T47" s="9">
        <f>CHOOSE(T$5,Assumptions!$B$40,Assumptions!$B$41,Assumptions!$B$42,Assumptions!$B$43,Assumptions!$B$44)</f>
        <v/>
      </c>
      <c r="U47" s="9">
        <f>CHOOSE(U$5,Assumptions!$B$40,Assumptions!$B$41,Assumptions!$B$42,Assumptions!$B$43,Assumptions!$B$44)</f>
        <v/>
      </c>
      <c r="V47" s="9">
        <f>CHOOSE(V$5,Assumptions!$B$40,Assumptions!$B$41,Assumptions!$B$42,Assumptions!$B$43,Assumptions!$B$44)</f>
        <v/>
      </c>
      <c r="W47" s="9">
        <f>CHOOSE(W$5,Assumptions!$B$40,Assumptions!$B$41,Assumptions!$B$42,Assumptions!$B$43,Assumptions!$B$44)</f>
        <v/>
      </c>
      <c r="X47" s="9">
        <f>CHOOSE(X$5,Assumptions!$B$40,Assumptions!$B$41,Assumptions!$B$42,Assumptions!$B$43,Assumptions!$B$44)</f>
        <v/>
      </c>
      <c r="Y47" s="9">
        <f>CHOOSE(Y$5,Assumptions!$B$40,Assumptions!$B$41,Assumptions!$B$42,Assumptions!$B$43,Assumptions!$B$44)</f>
        <v/>
      </c>
      <c r="Z47" s="9">
        <f>CHOOSE(Z$5,Assumptions!$B$40,Assumptions!$B$41,Assumptions!$B$42,Assumptions!$B$43,Assumptions!$B$44)</f>
        <v/>
      </c>
      <c r="AA47" s="9">
        <f>CHOOSE(AA$5,Assumptions!$B$40,Assumptions!$B$41,Assumptions!$B$42,Assumptions!$B$43,Assumptions!$B$44)</f>
        <v/>
      </c>
      <c r="AB47" s="9">
        <f>CHOOSE(AB$5,Assumptions!$B$40,Assumptions!$B$41,Assumptions!$B$42,Assumptions!$B$43,Assumptions!$B$44)</f>
        <v/>
      </c>
      <c r="AC47" s="9">
        <f>CHOOSE(AC$5,Assumptions!$B$40,Assumptions!$B$41,Assumptions!$B$42,Assumptions!$B$43,Assumptions!$B$44)</f>
        <v/>
      </c>
      <c r="AD47" s="9">
        <f>CHOOSE(AD$5,Assumptions!$B$40,Assumptions!$B$41,Assumptions!$B$42,Assumptions!$B$43,Assumptions!$B$44)</f>
        <v/>
      </c>
      <c r="AE47" s="9">
        <f>CHOOSE(AE$5,Assumptions!$B$40,Assumptions!$B$41,Assumptions!$B$42,Assumptions!$B$43,Assumptions!$B$44)</f>
        <v/>
      </c>
      <c r="AF47" s="9">
        <f>CHOOSE(AF$5,Assumptions!$B$40,Assumptions!$B$41,Assumptions!$B$42,Assumptions!$B$43,Assumptions!$B$44)</f>
        <v/>
      </c>
      <c r="AG47" s="9">
        <f>CHOOSE(AG$5,Assumptions!$B$40,Assumptions!$B$41,Assumptions!$B$42,Assumptions!$B$43,Assumptions!$B$44)</f>
        <v/>
      </c>
      <c r="AH47" s="9">
        <f>CHOOSE(AH$5,Assumptions!$B$40,Assumptions!$B$41,Assumptions!$B$42,Assumptions!$B$43,Assumptions!$B$44)</f>
        <v/>
      </c>
      <c r="AI47" s="9">
        <f>CHOOSE(AI$5,Assumptions!$B$40,Assumptions!$B$41,Assumptions!$B$42,Assumptions!$B$43,Assumptions!$B$44)</f>
        <v/>
      </c>
      <c r="AJ47" s="9">
        <f>CHOOSE(AJ$5,Assumptions!$B$40,Assumptions!$B$41,Assumptions!$B$42,Assumptions!$B$43,Assumptions!$B$44)</f>
        <v/>
      </c>
      <c r="AK47" s="9">
        <f>CHOOSE(AK$5,Assumptions!$B$40,Assumptions!$B$41,Assumptions!$B$42,Assumptions!$B$43,Assumptions!$B$44)</f>
        <v/>
      </c>
      <c r="AL47" s="9">
        <f>CHOOSE(AL$5,Assumptions!$B$40,Assumptions!$B$41,Assumptions!$B$42,Assumptions!$B$43,Assumptions!$B$44)</f>
        <v/>
      </c>
      <c r="AM47" s="9">
        <f>CHOOSE(AM$5,Assumptions!$B$40,Assumptions!$B$41,Assumptions!$B$42,Assumptions!$B$43,Assumptions!$B$44)</f>
        <v/>
      </c>
      <c r="AN47" s="9">
        <f>CHOOSE(AN$5,Assumptions!$B$40,Assumptions!$B$41,Assumptions!$B$42,Assumptions!$B$43,Assumptions!$B$44)</f>
        <v/>
      </c>
      <c r="AO47" s="9">
        <f>CHOOSE(AO$5,Assumptions!$B$40,Assumptions!$B$41,Assumptions!$B$42,Assumptions!$B$43,Assumptions!$B$44)</f>
        <v/>
      </c>
      <c r="AP47" s="9">
        <f>CHOOSE(AP$5,Assumptions!$B$40,Assumptions!$B$41,Assumptions!$B$42,Assumptions!$B$43,Assumptions!$B$44)</f>
        <v/>
      </c>
      <c r="AQ47" s="9">
        <f>CHOOSE(AQ$5,Assumptions!$B$40,Assumptions!$B$41,Assumptions!$B$42,Assumptions!$B$43,Assumptions!$B$44)</f>
        <v/>
      </c>
      <c r="AR47" s="9">
        <f>CHOOSE(AR$5,Assumptions!$B$40,Assumptions!$B$41,Assumptions!$B$42,Assumptions!$B$43,Assumptions!$B$44)</f>
        <v/>
      </c>
      <c r="AS47" s="9">
        <f>CHOOSE(AS$5,Assumptions!$B$40,Assumptions!$B$41,Assumptions!$B$42,Assumptions!$B$43,Assumptions!$B$44)</f>
        <v/>
      </c>
      <c r="AT47" s="9">
        <f>CHOOSE(AT$5,Assumptions!$B$40,Assumptions!$B$41,Assumptions!$B$42,Assumptions!$B$43,Assumptions!$B$44)</f>
        <v/>
      </c>
      <c r="AU47" s="9">
        <f>CHOOSE(AU$5,Assumptions!$B$40,Assumptions!$B$41,Assumptions!$B$42,Assumptions!$B$43,Assumptions!$B$44)</f>
        <v/>
      </c>
      <c r="AV47" s="9">
        <f>CHOOSE(AV$5,Assumptions!$B$40,Assumptions!$B$41,Assumptions!$B$42,Assumptions!$B$43,Assumptions!$B$44)</f>
        <v/>
      </c>
      <c r="AW47" s="9">
        <f>CHOOSE(AW$5,Assumptions!$B$40,Assumptions!$B$41,Assumptions!$B$42,Assumptions!$B$43,Assumptions!$B$44)</f>
        <v/>
      </c>
      <c r="AX47" s="9">
        <f>CHOOSE(AX$5,Assumptions!$B$40,Assumptions!$B$41,Assumptions!$B$42,Assumptions!$B$43,Assumptions!$B$44)</f>
        <v/>
      </c>
      <c r="AY47" s="9">
        <f>CHOOSE(AY$5,Assumptions!$B$40,Assumptions!$B$41,Assumptions!$B$42,Assumptions!$B$43,Assumptions!$B$44)</f>
        <v/>
      </c>
      <c r="AZ47" s="9">
        <f>CHOOSE(AZ$5,Assumptions!$B$40,Assumptions!$B$41,Assumptions!$B$42,Assumptions!$B$43,Assumptions!$B$44)</f>
        <v/>
      </c>
      <c r="BA47" s="9">
        <f>CHOOSE(BA$5,Assumptions!$B$40,Assumptions!$B$41,Assumptions!$B$42,Assumptions!$B$43,Assumptions!$B$44)</f>
        <v/>
      </c>
      <c r="BB47" s="9">
        <f>CHOOSE(BB$5,Assumptions!$B$40,Assumptions!$B$41,Assumptions!$B$42,Assumptions!$B$43,Assumptions!$B$44)</f>
        <v/>
      </c>
      <c r="BC47" s="9">
        <f>CHOOSE(BC$5,Assumptions!$B$40,Assumptions!$B$41,Assumptions!$B$42,Assumptions!$B$43,Assumptions!$B$44)</f>
        <v/>
      </c>
      <c r="BD47" s="9">
        <f>CHOOSE(BD$5,Assumptions!$B$40,Assumptions!$B$41,Assumptions!$B$42,Assumptions!$B$43,Assumptions!$B$44)</f>
        <v/>
      </c>
      <c r="BE47" s="9">
        <f>CHOOSE(BE$5,Assumptions!$B$40,Assumptions!$B$41,Assumptions!$B$42,Assumptions!$B$43,Assumptions!$B$44)</f>
        <v/>
      </c>
      <c r="BF47" s="9">
        <f>CHOOSE(BF$5,Assumptions!$B$40,Assumptions!$B$41,Assumptions!$B$42,Assumptions!$B$43,Assumptions!$B$44)</f>
        <v/>
      </c>
      <c r="BG47" s="9">
        <f>CHOOSE(BG$5,Assumptions!$B$40,Assumptions!$B$41,Assumptions!$B$42,Assumptions!$B$43,Assumptions!$B$44)</f>
        <v/>
      </c>
      <c r="BH47" s="9">
        <f>CHOOSE(BH$5,Assumptions!$B$40,Assumptions!$B$41,Assumptions!$B$42,Assumptions!$B$43,Assumptions!$B$44)</f>
        <v/>
      </c>
      <c r="BI47" s="9">
        <f>CHOOSE(BI$5,Assumptions!$B$40,Assumptions!$B$41,Assumptions!$B$42,Assumptions!$B$43,Assumptions!$B$44)</f>
        <v/>
      </c>
      <c r="BJ47" s="9">
        <f>CHOOSE(BJ$5,Assumptions!$B$40,Assumptions!$B$41,Assumptions!$B$42,Assumptions!$B$43,Assumptions!$B$44)</f>
        <v/>
      </c>
    </row>
    <row r="48">
      <c r="A48" s="4" t="inlineStr">
        <is>
          <t>Self-serve sign-ups: South Africa</t>
        </is>
      </c>
      <c r="B48" s="17" t="inlineStr">
        <is>
          <t>sign-ups</t>
        </is>
      </c>
      <c r="C48" s="10">
        <f>IF(C13=0,0,Assumptions!$B$58*Assumptions!$B$29)</f>
        <v/>
      </c>
      <c r="D48" s="10">
        <f>IF(D13=0,0,IF(C13=0,Assumptions!$B$58*Assumptions!$B$29,C48*(1+D47)))</f>
        <v/>
      </c>
      <c r="E48" s="10">
        <f>IF(E13=0,0,IF(D13=0,Assumptions!$B$58*Assumptions!$B$29,D48*(1+E47)))</f>
        <v/>
      </c>
      <c r="F48" s="10">
        <f>IF(F13=0,0,IF(E13=0,Assumptions!$B$58*Assumptions!$B$29,E48*(1+F47)))</f>
        <v/>
      </c>
      <c r="G48" s="10">
        <f>IF(G13=0,0,IF(F13=0,Assumptions!$B$58*Assumptions!$B$29,F48*(1+G47)))</f>
        <v/>
      </c>
      <c r="H48" s="10">
        <f>IF(H13=0,0,IF(G13=0,Assumptions!$B$58*Assumptions!$B$29,G48*(1+H47)))</f>
        <v/>
      </c>
      <c r="I48" s="10">
        <f>IF(I13=0,0,IF(H13=0,Assumptions!$B$58*Assumptions!$B$29,H48*(1+I47)))</f>
        <v/>
      </c>
      <c r="J48" s="10">
        <f>IF(J13=0,0,IF(I13=0,Assumptions!$B$58*Assumptions!$B$29,I48*(1+J47)))</f>
        <v/>
      </c>
      <c r="K48" s="10">
        <f>IF(K13=0,0,IF(J13=0,Assumptions!$B$58*Assumptions!$B$29,J48*(1+K47)))</f>
        <v/>
      </c>
      <c r="L48" s="10">
        <f>IF(L13=0,0,IF(K13=0,Assumptions!$B$58*Assumptions!$B$29,K48*(1+L47)))</f>
        <v/>
      </c>
      <c r="M48" s="10">
        <f>IF(M13=0,0,IF(L13=0,Assumptions!$B$58*Assumptions!$B$29,L48*(1+M47)))</f>
        <v/>
      </c>
      <c r="N48" s="10">
        <f>IF(N13=0,0,IF(M13=0,Assumptions!$B$58*Assumptions!$B$29,M48*(1+N47)))</f>
        <v/>
      </c>
      <c r="O48" s="10">
        <f>IF(O13=0,0,IF(N13=0,Assumptions!$B$58*Assumptions!$B$29,N48*(1+O47)))</f>
        <v/>
      </c>
      <c r="P48" s="10">
        <f>IF(P13=0,0,IF(O13=0,Assumptions!$B$58*Assumptions!$B$29,O48*(1+P47)))</f>
        <v/>
      </c>
      <c r="Q48" s="10">
        <f>IF(Q13=0,0,IF(P13=0,Assumptions!$B$58*Assumptions!$B$29,P48*(1+Q47)))</f>
        <v/>
      </c>
      <c r="R48" s="10">
        <f>IF(R13=0,0,IF(Q13=0,Assumptions!$B$58*Assumptions!$B$29,Q48*(1+R47)))</f>
        <v/>
      </c>
      <c r="S48" s="10">
        <f>IF(S13=0,0,IF(R13=0,Assumptions!$B$58*Assumptions!$B$29,R48*(1+S47)))</f>
        <v/>
      </c>
      <c r="T48" s="10">
        <f>IF(T13=0,0,IF(S13=0,Assumptions!$B$58*Assumptions!$B$29,S48*(1+T47)))</f>
        <v/>
      </c>
      <c r="U48" s="10">
        <f>IF(U13=0,0,IF(T13=0,Assumptions!$B$58*Assumptions!$B$29,T48*(1+U47)))</f>
        <v/>
      </c>
      <c r="V48" s="10">
        <f>IF(V13=0,0,IF(U13=0,Assumptions!$B$58*Assumptions!$B$29,U48*(1+V47)))</f>
        <v/>
      </c>
      <c r="W48" s="10">
        <f>IF(W13=0,0,IF(V13=0,Assumptions!$B$58*Assumptions!$B$29,V48*(1+W47)))</f>
        <v/>
      </c>
      <c r="X48" s="10">
        <f>IF(X13=0,0,IF(W13=0,Assumptions!$B$58*Assumptions!$B$29,W48*(1+X47)))</f>
        <v/>
      </c>
      <c r="Y48" s="10">
        <f>IF(Y13=0,0,IF(X13=0,Assumptions!$B$58*Assumptions!$B$29,X48*(1+Y47)))</f>
        <v/>
      </c>
      <c r="Z48" s="10">
        <f>IF(Z13=0,0,IF(Y13=0,Assumptions!$B$58*Assumptions!$B$29,Y48*(1+Z47)))</f>
        <v/>
      </c>
      <c r="AA48" s="10">
        <f>IF(AA13=0,0,IF(Z13=0,Assumptions!$B$58*Assumptions!$B$29,Z48*(1+AA47)))</f>
        <v/>
      </c>
      <c r="AB48" s="10">
        <f>IF(AB13=0,0,IF(AA13=0,Assumptions!$B$58*Assumptions!$B$29,AA48*(1+AB47)))</f>
        <v/>
      </c>
      <c r="AC48" s="10">
        <f>IF(AC13=0,0,IF(AB13=0,Assumptions!$B$58*Assumptions!$B$29,AB48*(1+AC47)))</f>
        <v/>
      </c>
      <c r="AD48" s="10">
        <f>IF(AD13=0,0,IF(AC13=0,Assumptions!$B$58*Assumptions!$B$29,AC48*(1+AD47)))</f>
        <v/>
      </c>
      <c r="AE48" s="10">
        <f>IF(AE13=0,0,IF(AD13=0,Assumptions!$B$58*Assumptions!$B$29,AD48*(1+AE47)))</f>
        <v/>
      </c>
      <c r="AF48" s="10">
        <f>IF(AF13=0,0,IF(AE13=0,Assumptions!$B$58*Assumptions!$B$29,AE48*(1+AF47)))</f>
        <v/>
      </c>
      <c r="AG48" s="10">
        <f>IF(AG13=0,0,IF(AF13=0,Assumptions!$B$58*Assumptions!$B$29,AF48*(1+AG47)))</f>
        <v/>
      </c>
      <c r="AH48" s="10">
        <f>IF(AH13=0,0,IF(AG13=0,Assumptions!$B$58*Assumptions!$B$29,AG48*(1+AH47)))</f>
        <v/>
      </c>
      <c r="AI48" s="10">
        <f>IF(AI13=0,0,IF(AH13=0,Assumptions!$B$58*Assumptions!$B$29,AH48*(1+AI47)))</f>
        <v/>
      </c>
      <c r="AJ48" s="10">
        <f>IF(AJ13=0,0,IF(AI13=0,Assumptions!$B$58*Assumptions!$B$29,AI48*(1+AJ47)))</f>
        <v/>
      </c>
      <c r="AK48" s="10">
        <f>IF(AK13=0,0,IF(AJ13=0,Assumptions!$B$58*Assumptions!$B$29,AJ48*(1+AK47)))</f>
        <v/>
      </c>
      <c r="AL48" s="10">
        <f>IF(AL13=0,0,IF(AK13=0,Assumptions!$B$58*Assumptions!$B$29,AK48*(1+AL47)))</f>
        <v/>
      </c>
      <c r="AM48" s="10">
        <f>IF(AM13=0,0,IF(AL13=0,Assumptions!$B$58*Assumptions!$B$29,AL48*(1+AM47)))</f>
        <v/>
      </c>
      <c r="AN48" s="10">
        <f>IF(AN13=0,0,IF(AM13=0,Assumptions!$B$58*Assumptions!$B$29,AM48*(1+AN47)))</f>
        <v/>
      </c>
      <c r="AO48" s="10">
        <f>IF(AO13=0,0,IF(AN13=0,Assumptions!$B$58*Assumptions!$B$29,AN48*(1+AO47)))</f>
        <v/>
      </c>
      <c r="AP48" s="10">
        <f>IF(AP13=0,0,IF(AO13=0,Assumptions!$B$58*Assumptions!$B$29,AO48*(1+AP47)))</f>
        <v/>
      </c>
      <c r="AQ48" s="10">
        <f>IF(AQ13=0,0,IF(AP13=0,Assumptions!$B$58*Assumptions!$B$29,AP48*(1+AQ47)))</f>
        <v/>
      </c>
      <c r="AR48" s="10">
        <f>IF(AR13=0,0,IF(AQ13=0,Assumptions!$B$58*Assumptions!$B$29,AQ48*(1+AR47)))</f>
        <v/>
      </c>
      <c r="AS48" s="10">
        <f>IF(AS13=0,0,IF(AR13=0,Assumptions!$B$58*Assumptions!$B$29,AR48*(1+AS47)))</f>
        <v/>
      </c>
      <c r="AT48" s="10">
        <f>IF(AT13=0,0,IF(AS13=0,Assumptions!$B$58*Assumptions!$B$29,AS48*(1+AT47)))</f>
        <v/>
      </c>
      <c r="AU48" s="10">
        <f>IF(AU13=0,0,IF(AT13=0,Assumptions!$B$58*Assumptions!$B$29,AT48*(1+AU47)))</f>
        <v/>
      </c>
      <c r="AV48" s="10">
        <f>IF(AV13=0,0,IF(AU13=0,Assumptions!$B$58*Assumptions!$B$29,AU48*(1+AV47)))</f>
        <v/>
      </c>
      <c r="AW48" s="10">
        <f>IF(AW13=0,0,IF(AV13=0,Assumptions!$B$58*Assumptions!$B$29,AV48*(1+AW47)))</f>
        <v/>
      </c>
      <c r="AX48" s="10">
        <f>IF(AX13=0,0,IF(AW13=0,Assumptions!$B$58*Assumptions!$B$29,AW48*(1+AX47)))</f>
        <v/>
      </c>
      <c r="AY48" s="10">
        <f>IF(AY13=0,0,IF(AX13=0,Assumptions!$B$58*Assumptions!$B$29,AX48*(1+AY47)))</f>
        <v/>
      </c>
      <c r="AZ48" s="10">
        <f>IF(AZ13=0,0,IF(AY13=0,Assumptions!$B$58*Assumptions!$B$29,AY48*(1+AZ47)))</f>
        <v/>
      </c>
      <c r="BA48" s="10">
        <f>IF(BA13=0,0,IF(AZ13=0,Assumptions!$B$58*Assumptions!$B$29,AZ48*(1+BA47)))</f>
        <v/>
      </c>
      <c r="BB48" s="10">
        <f>IF(BB13=0,0,IF(BA13=0,Assumptions!$B$58*Assumptions!$B$29,BA48*(1+BB47)))</f>
        <v/>
      </c>
      <c r="BC48" s="10">
        <f>IF(BC13=0,0,IF(BB13=0,Assumptions!$B$58*Assumptions!$B$29,BB48*(1+BC47)))</f>
        <v/>
      </c>
      <c r="BD48" s="10">
        <f>IF(BD13=0,0,IF(BC13=0,Assumptions!$B$58*Assumptions!$B$29,BC48*(1+BD47)))</f>
        <v/>
      </c>
      <c r="BE48" s="10">
        <f>IF(BE13=0,0,IF(BD13=0,Assumptions!$B$58*Assumptions!$B$29,BD48*(1+BE47)))</f>
        <v/>
      </c>
      <c r="BF48" s="10">
        <f>IF(BF13=0,0,IF(BE13=0,Assumptions!$B$58*Assumptions!$B$29,BE48*(1+BF47)))</f>
        <v/>
      </c>
      <c r="BG48" s="10">
        <f>IF(BG13=0,0,IF(BF13=0,Assumptions!$B$58*Assumptions!$B$29,BF48*(1+BG47)))</f>
        <v/>
      </c>
      <c r="BH48" s="10">
        <f>IF(BH13=0,0,IF(BG13=0,Assumptions!$B$58*Assumptions!$B$29,BG48*(1+BH47)))</f>
        <v/>
      </c>
      <c r="BI48" s="10">
        <f>IF(BI13=0,0,IF(BH13=0,Assumptions!$B$58*Assumptions!$B$29,BH48*(1+BI47)))</f>
        <v/>
      </c>
      <c r="BJ48" s="10">
        <f>IF(BJ13=0,0,IF(BI13=0,Assumptions!$B$58*Assumptions!$B$29,BI48*(1+BJ47)))</f>
        <v/>
      </c>
    </row>
    <row r="49">
      <c r="A49" s="4" t="inlineStr">
        <is>
          <t>Self-serve sign-ups: Nigeria</t>
        </is>
      </c>
      <c r="B49" s="17" t="inlineStr">
        <is>
          <t>sign-ups</t>
        </is>
      </c>
      <c r="C49" s="10">
        <f>IF(C15=0,0,Assumptions!$B$62*Assumptions!$B$29)</f>
        <v/>
      </c>
      <c r="D49" s="10">
        <f>IF(D15=0,0,IF(C15=0,Assumptions!$B$62*Assumptions!$B$29,C49*(1+D47)))</f>
        <v/>
      </c>
      <c r="E49" s="10">
        <f>IF(E15=0,0,IF(D15=0,Assumptions!$B$62*Assumptions!$B$29,D49*(1+E47)))</f>
        <v/>
      </c>
      <c r="F49" s="10">
        <f>IF(F15=0,0,IF(E15=0,Assumptions!$B$62*Assumptions!$B$29,E49*(1+F47)))</f>
        <v/>
      </c>
      <c r="G49" s="10">
        <f>IF(G15=0,0,IF(F15=0,Assumptions!$B$62*Assumptions!$B$29,F49*(1+G47)))</f>
        <v/>
      </c>
      <c r="H49" s="10">
        <f>IF(H15=0,0,IF(G15=0,Assumptions!$B$62*Assumptions!$B$29,G49*(1+H47)))</f>
        <v/>
      </c>
      <c r="I49" s="10">
        <f>IF(I15=0,0,IF(H15=0,Assumptions!$B$62*Assumptions!$B$29,H49*(1+I47)))</f>
        <v/>
      </c>
      <c r="J49" s="10">
        <f>IF(J15=0,0,IF(I15=0,Assumptions!$B$62*Assumptions!$B$29,I49*(1+J47)))</f>
        <v/>
      </c>
      <c r="K49" s="10">
        <f>IF(K15=0,0,IF(J15=0,Assumptions!$B$62*Assumptions!$B$29,J49*(1+K47)))</f>
        <v/>
      </c>
      <c r="L49" s="10">
        <f>IF(L15=0,0,IF(K15=0,Assumptions!$B$62*Assumptions!$B$29,K49*(1+L47)))</f>
        <v/>
      </c>
      <c r="M49" s="10">
        <f>IF(M15=0,0,IF(L15=0,Assumptions!$B$62*Assumptions!$B$29,L49*(1+M47)))</f>
        <v/>
      </c>
      <c r="N49" s="10">
        <f>IF(N15=0,0,IF(M15=0,Assumptions!$B$62*Assumptions!$B$29,M49*(1+N47)))</f>
        <v/>
      </c>
      <c r="O49" s="10">
        <f>IF(O15=0,0,IF(N15=0,Assumptions!$B$62*Assumptions!$B$29,N49*(1+O47)))</f>
        <v/>
      </c>
      <c r="P49" s="10">
        <f>IF(P15=0,0,IF(O15=0,Assumptions!$B$62*Assumptions!$B$29,O49*(1+P47)))</f>
        <v/>
      </c>
      <c r="Q49" s="10">
        <f>IF(Q15=0,0,IF(P15=0,Assumptions!$B$62*Assumptions!$B$29,P49*(1+Q47)))</f>
        <v/>
      </c>
      <c r="R49" s="10">
        <f>IF(R15=0,0,IF(Q15=0,Assumptions!$B$62*Assumptions!$B$29,Q49*(1+R47)))</f>
        <v/>
      </c>
      <c r="S49" s="10">
        <f>IF(S15=0,0,IF(R15=0,Assumptions!$B$62*Assumptions!$B$29,R49*(1+S47)))</f>
        <v/>
      </c>
      <c r="T49" s="10">
        <f>IF(T15=0,0,IF(S15=0,Assumptions!$B$62*Assumptions!$B$29,S49*(1+T47)))</f>
        <v/>
      </c>
      <c r="U49" s="10">
        <f>IF(U15=0,0,IF(T15=0,Assumptions!$B$62*Assumptions!$B$29,T49*(1+U47)))</f>
        <v/>
      </c>
      <c r="V49" s="10">
        <f>IF(V15=0,0,IF(U15=0,Assumptions!$B$62*Assumptions!$B$29,U49*(1+V47)))</f>
        <v/>
      </c>
      <c r="W49" s="10">
        <f>IF(W15=0,0,IF(V15=0,Assumptions!$B$62*Assumptions!$B$29,V49*(1+W47)))</f>
        <v/>
      </c>
      <c r="X49" s="10">
        <f>IF(X15=0,0,IF(W15=0,Assumptions!$B$62*Assumptions!$B$29,W49*(1+X47)))</f>
        <v/>
      </c>
      <c r="Y49" s="10">
        <f>IF(Y15=0,0,IF(X15=0,Assumptions!$B$62*Assumptions!$B$29,X49*(1+Y47)))</f>
        <v/>
      </c>
      <c r="Z49" s="10">
        <f>IF(Z15=0,0,IF(Y15=0,Assumptions!$B$62*Assumptions!$B$29,Y49*(1+Z47)))</f>
        <v/>
      </c>
      <c r="AA49" s="10">
        <f>IF(AA15=0,0,IF(Z15=0,Assumptions!$B$62*Assumptions!$B$29,Z49*(1+AA47)))</f>
        <v/>
      </c>
      <c r="AB49" s="10">
        <f>IF(AB15=0,0,IF(AA15=0,Assumptions!$B$62*Assumptions!$B$29,AA49*(1+AB47)))</f>
        <v/>
      </c>
      <c r="AC49" s="10">
        <f>IF(AC15=0,0,IF(AB15=0,Assumptions!$B$62*Assumptions!$B$29,AB49*(1+AC47)))</f>
        <v/>
      </c>
      <c r="AD49" s="10">
        <f>IF(AD15=0,0,IF(AC15=0,Assumptions!$B$62*Assumptions!$B$29,AC49*(1+AD47)))</f>
        <v/>
      </c>
      <c r="AE49" s="10">
        <f>IF(AE15=0,0,IF(AD15=0,Assumptions!$B$62*Assumptions!$B$29,AD49*(1+AE47)))</f>
        <v/>
      </c>
      <c r="AF49" s="10">
        <f>IF(AF15=0,0,IF(AE15=0,Assumptions!$B$62*Assumptions!$B$29,AE49*(1+AF47)))</f>
        <v/>
      </c>
      <c r="AG49" s="10">
        <f>IF(AG15=0,0,IF(AF15=0,Assumptions!$B$62*Assumptions!$B$29,AF49*(1+AG47)))</f>
        <v/>
      </c>
      <c r="AH49" s="10">
        <f>IF(AH15=0,0,IF(AG15=0,Assumptions!$B$62*Assumptions!$B$29,AG49*(1+AH47)))</f>
        <v/>
      </c>
      <c r="AI49" s="10">
        <f>IF(AI15=0,0,IF(AH15=0,Assumptions!$B$62*Assumptions!$B$29,AH49*(1+AI47)))</f>
        <v/>
      </c>
      <c r="AJ49" s="10">
        <f>IF(AJ15=0,0,IF(AI15=0,Assumptions!$B$62*Assumptions!$B$29,AI49*(1+AJ47)))</f>
        <v/>
      </c>
      <c r="AK49" s="10">
        <f>IF(AK15=0,0,IF(AJ15=0,Assumptions!$B$62*Assumptions!$B$29,AJ49*(1+AK47)))</f>
        <v/>
      </c>
      <c r="AL49" s="10">
        <f>IF(AL15=0,0,IF(AK15=0,Assumptions!$B$62*Assumptions!$B$29,AK49*(1+AL47)))</f>
        <v/>
      </c>
      <c r="AM49" s="10">
        <f>IF(AM15=0,0,IF(AL15=0,Assumptions!$B$62*Assumptions!$B$29,AL49*(1+AM47)))</f>
        <v/>
      </c>
      <c r="AN49" s="10">
        <f>IF(AN15=0,0,IF(AM15=0,Assumptions!$B$62*Assumptions!$B$29,AM49*(1+AN47)))</f>
        <v/>
      </c>
      <c r="AO49" s="10">
        <f>IF(AO15=0,0,IF(AN15=0,Assumptions!$B$62*Assumptions!$B$29,AN49*(1+AO47)))</f>
        <v/>
      </c>
      <c r="AP49" s="10">
        <f>IF(AP15=0,0,IF(AO15=0,Assumptions!$B$62*Assumptions!$B$29,AO49*(1+AP47)))</f>
        <v/>
      </c>
      <c r="AQ49" s="10">
        <f>IF(AQ15=0,0,IF(AP15=0,Assumptions!$B$62*Assumptions!$B$29,AP49*(1+AQ47)))</f>
        <v/>
      </c>
      <c r="AR49" s="10">
        <f>IF(AR15=0,0,IF(AQ15=0,Assumptions!$B$62*Assumptions!$B$29,AQ49*(1+AR47)))</f>
        <v/>
      </c>
      <c r="AS49" s="10">
        <f>IF(AS15=0,0,IF(AR15=0,Assumptions!$B$62*Assumptions!$B$29,AR49*(1+AS47)))</f>
        <v/>
      </c>
      <c r="AT49" s="10">
        <f>IF(AT15=0,0,IF(AS15=0,Assumptions!$B$62*Assumptions!$B$29,AS49*(1+AT47)))</f>
        <v/>
      </c>
      <c r="AU49" s="10">
        <f>IF(AU15=0,0,IF(AT15=0,Assumptions!$B$62*Assumptions!$B$29,AT49*(1+AU47)))</f>
        <v/>
      </c>
      <c r="AV49" s="10">
        <f>IF(AV15=0,0,IF(AU15=0,Assumptions!$B$62*Assumptions!$B$29,AU49*(1+AV47)))</f>
        <v/>
      </c>
      <c r="AW49" s="10">
        <f>IF(AW15=0,0,IF(AV15=0,Assumptions!$B$62*Assumptions!$B$29,AV49*(1+AW47)))</f>
        <v/>
      </c>
      <c r="AX49" s="10">
        <f>IF(AX15=0,0,IF(AW15=0,Assumptions!$B$62*Assumptions!$B$29,AW49*(1+AX47)))</f>
        <v/>
      </c>
      <c r="AY49" s="10">
        <f>IF(AY15=0,0,IF(AX15=0,Assumptions!$B$62*Assumptions!$B$29,AX49*(1+AY47)))</f>
        <v/>
      </c>
      <c r="AZ49" s="10">
        <f>IF(AZ15=0,0,IF(AY15=0,Assumptions!$B$62*Assumptions!$B$29,AY49*(1+AZ47)))</f>
        <v/>
      </c>
      <c r="BA49" s="10">
        <f>IF(BA15=0,0,IF(AZ15=0,Assumptions!$B$62*Assumptions!$B$29,AZ49*(1+BA47)))</f>
        <v/>
      </c>
      <c r="BB49" s="10">
        <f>IF(BB15=0,0,IF(BA15=0,Assumptions!$B$62*Assumptions!$B$29,BA49*(1+BB47)))</f>
        <v/>
      </c>
      <c r="BC49" s="10">
        <f>IF(BC15=0,0,IF(BB15=0,Assumptions!$B$62*Assumptions!$B$29,BB49*(1+BC47)))</f>
        <v/>
      </c>
      <c r="BD49" s="10">
        <f>IF(BD15=0,0,IF(BC15=0,Assumptions!$B$62*Assumptions!$B$29,BC49*(1+BD47)))</f>
        <v/>
      </c>
      <c r="BE49" s="10">
        <f>IF(BE15=0,0,IF(BD15=0,Assumptions!$B$62*Assumptions!$B$29,BD49*(1+BE47)))</f>
        <v/>
      </c>
      <c r="BF49" s="10">
        <f>IF(BF15=0,0,IF(BE15=0,Assumptions!$B$62*Assumptions!$B$29,BE49*(1+BF47)))</f>
        <v/>
      </c>
      <c r="BG49" s="10">
        <f>IF(BG15=0,0,IF(BF15=0,Assumptions!$B$62*Assumptions!$B$29,BF49*(1+BG47)))</f>
        <v/>
      </c>
      <c r="BH49" s="10">
        <f>IF(BH15=0,0,IF(BG15=0,Assumptions!$B$62*Assumptions!$B$29,BG49*(1+BH47)))</f>
        <v/>
      </c>
      <c r="BI49" s="10">
        <f>IF(BI15=0,0,IF(BH15=0,Assumptions!$B$62*Assumptions!$B$29,BH49*(1+BI47)))</f>
        <v/>
      </c>
      <c r="BJ49" s="10">
        <f>IF(BJ15=0,0,IF(BI15=0,Assumptions!$B$62*Assumptions!$B$29,BI49*(1+BJ47)))</f>
        <v/>
      </c>
    </row>
    <row r="50">
      <c r="A50" s="4" t="inlineStr">
        <is>
          <t>Self-serve sign-ups: Kenya</t>
        </is>
      </c>
      <c r="B50" s="17" t="inlineStr">
        <is>
          <t>sign-ups</t>
        </is>
      </c>
      <c r="C50" s="10">
        <f>IF(C17=0,0,Assumptions!$B$72*Assumptions!$B$29)</f>
        <v/>
      </c>
      <c r="D50" s="10">
        <f>IF(D17=0,0,IF(C17=0,Assumptions!$B$72*Assumptions!$B$29,C50*(1+D47)))</f>
        <v/>
      </c>
      <c r="E50" s="10">
        <f>IF(E17=0,0,IF(D17=0,Assumptions!$B$72*Assumptions!$B$29,D50*(1+E47)))</f>
        <v/>
      </c>
      <c r="F50" s="10">
        <f>IF(F17=0,0,IF(E17=0,Assumptions!$B$72*Assumptions!$B$29,E50*(1+F47)))</f>
        <v/>
      </c>
      <c r="G50" s="10">
        <f>IF(G17=0,0,IF(F17=0,Assumptions!$B$72*Assumptions!$B$29,F50*(1+G47)))</f>
        <v/>
      </c>
      <c r="H50" s="10">
        <f>IF(H17=0,0,IF(G17=0,Assumptions!$B$72*Assumptions!$B$29,G50*(1+H47)))</f>
        <v/>
      </c>
      <c r="I50" s="10">
        <f>IF(I17=0,0,IF(H17=0,Assumptions!$B$72*Assumptions!$B$29,H50*(1+I47)))</f>
        <v/>
      </c>
      <c r="J50" s="10">
        <f>IF(J17=0,0,IF(I17=0,Assumptions!$B$72*Assumptions!$B$29,I50*(1+J47)))</f>
        <v/>
      </c>
      <c r="K50" s="10">
        <f>IF(K17=0,0,IF(J17=0,Assumptions!$B$72*Assumptions!$B$29,J50*(1+K47)))</f>
        <v/>
      </c>
      <c r="L50" s="10">
        <f>IF(L17=0,0,IF(K17=0,Assumptions!$B$72*Assumptions!$B$29,K50*(1+L47)))</f>
        <v/>
      </c>
      <c r="M50" s="10">
        <f>IF(M17=0,0,IF(L17=0,Assumptions!$B$72*Assumptions!$B$29,L50*(1+M47)))</f>
        <v/>
      </c>
      <c r="N50" s="10">
        <f>IF(N17=0,0,IF(M17=0,Assumptions!$B$72*Assumptions!$B$29,M50*(1+N47)))</f>
        <v/>
      </c>
      <c r="O50" s="10">
        <f>IF(O17=0,0,IF(N17=0,Assumptions!$B$72*Assumptions!$B$29,N50*(1+O47)))</f>
        <v/>
      </c>
      <c r="P50" s="10">
        <f>IF(P17=0,0,IF(O17=0,Assumptions!$B$72*Assumptions!$B$29,O50*(1+P47)))</f>
        <v/>
      </c>
      <c r="Q50" s="10">
        <f>IF(Q17=0,0,IF(P17=0,Assumptions!$B$72*Assumptions!$B$29,P50*(1+Q47)))</f>
        <v/>
      </c>
      <c r="R50" s="10">
        <f>IF(R17=0,0,IF(Q17=0,Assumptions!$B$72*Assumptions!$B$29,Q50*(1+R47)))</f>
        <v/>
      </c>
      <c r="S50" s="10">
        <f>IF(S17=0,0,IF(R17=0,Assumptions!$B$72*Assumptions!$B$29,R50*(1+S47)))</f>
        <v/>
      </c>
      <c r="T50" s="10">
        <f>IF(T17=0,0,IF(S17=0,Assumptions!$B$72*Assumptions!$B$29,S50*(1+T47)))</f>
        <v/>
      </c>
      <c r="U50" s="10">
        <f>IF(U17=0,0,IF(T17=0,Assumptions!$B$72*Assumptions!$B$29,T50*(1+U47)))</f>
        <v/>
      </c>
      <c r="V50" s="10">
        <f>IF(V17=0,0,IF(U17=0,Assumptions!$B$72*Assumptions!$B$29,U50*(1+V47)))</f>
        <v/>
      </c>
      <c r="W50" s="10">
        <f>IF(W17=0,0,IF(V17=0,Assumptions!$B$72*Assumptions!$B$29,V50*(1+W47)))</f>
        <v/>
      </c>
      <c r="X50" s="10">
        <f>IF(X17=0,0,IF(W17=0,Assumptions!$B$72*Assumptions!$B$29,W50*(1+X47)))</f>
        <v/>
      </c>
      <c r="Y50" s="10">
        <f>IF(Y17=0,0,IF(X17=0,Assumptions!$B$72*Assumptions!$B$29,X50*(1+Y47)))</f>
        <v/>
      </c>
      <c r="Z50" s="10">
        <f>IF(Z17=0,0,IF(Y17=0,Assumptions!$B$72*Assumptions!$B$29,Y50*(1+Z47)))</f>
        <v/>
      </c>
      <c r="AA50" s="10">
        <f>IF(AA17=0,0,IF(Z17=0,Assumptions!$B$72*Assumptions!$B$29,Z50*(1+AA47)))</f>
        <v/>
      </c>
      <c r="AB50" s="10">
        <f>IF(AB17=0,0,IF(AA17=0,Assumptions!$B$72*Assumptions!$B$29,AA50*(1+AB47)))</f>
        <v/>
      </c>
      <c r="AC50" s="10">
        <f>IF(AC17=0,0,IF(AB17=0,Assumptions!$B$72*Assumptions!$B$29,AB50*(1+AC47)))</f>
        <v/>
      </c>
      <c r="AD50" s="10">
        <f>IF(AD17=0,0,IF(AC17=0,Assumptions!$B$72*Assumptions!$B$29,AC50*(1+AD47)))</f>
        <v/>
      </c>
      <c r="AE50" s="10">
        <f>IF(AE17=0,0,IF(AD17=0,Assumptions!$B$72*Assumptions!$B$29,AD50*(1+AE47)))</f>
        <v/>
      </c>
      <c r="AF50" s="10">
        <f>IF(AF17=0,0,IF(AE17=0,Assumptions!$B$72*Assumptions!$B$29,AE50*(1+AF47)))</f>
        <v/>
      </c>
      <c r="AG50" s="10">
        <f>IF(AG17=0,0,IF(AF17=0,Assumptions!$B$72*Assumptions!$B$29,AF50*(1+AG47)))</f>
        <v/>
      </c>
      <c r="AH50" s="10">
        <f>IF(AH17=0,0,IF(AG17=0,Assumptions!$B$72*Assumptions!$B$29,AG50*(1+AH47)))</f>
        <v/>
      </c>
      <c r="AI50" s="10">
        <f>IF(AI17=0,0,IF(AH17=0,Assumptions!$B$72*Assumptions!$B$29,AH50*(1+AI47)))</f>
        <v/>
      </c>
      <c r="AJ50" s="10">
        <f>IF(AJ17=0,0,IF(AI17=0,Assumptions!$B$72*Assumptions!$B$29,AI50*(1+AJ47)))</f>
        <v/>
      </c>
      <c r="AK50" s="10">
        <f>IF(AK17=0,0,IF(AJ17=0,Assumptions!$B$72*Assumptions!$B$29,AJ50*(1+AK47)))</f>
        <v/>
      </c>
      <c r="AL50" s="10">
        <f>IF(AL17=0,0,IF(AK17=0,Assumptions!$B$72*Assumptions!$B$29,AK50*(1+AL47)))</f>
        <v/>
      </c>
      <c r="AM50" s="10">
        <f>IF(AM17=0,0,IF(AL17=0,Assumptions!$B$72*Assumptions!$B$29,AL50*(1+AM47)))</f>
        <v/>
      </c>
      <c r="AN50" s="10">
        <f>IF(AN17=0,0,IF(AM17=0,Assumptions!$B$72*Assumptions!$B$29,AM50*(1+AN47)))</f>
        <v/>
      </c>
      <c r="AO50" s="10">
        <f>IF(AO17=0,0,IF(AN17=0,Assumptions!$B$72*Assumptions!$B$29,AN50*(1+AO47)))</f>
        <v/>
      </c>
      <c r="AP50" s="10">
        <f>IF(AP17=0,0,IF(AO17=0,Assumptions!$B$72*Assumptions!$B$29,AO50*(1+AP47)))</f>
        <v/>
      </c>
      <c r="AQ50" s="10">
        <f>IF(AQ17=0,0,IF(AP17=0,Assumptions!$B$72*Assumptions!$B$29,AP50*(1+AQ47)))</f>
        <v/>
      </c>
      <c r="AR50" s="10">
        <f>IF(AR17=0,0,IF(AQ17=0,Assumptions!$B$72*Assumptions!$B$29,AQ50*(1+AR47)))</f>
        <v/>
      </c>
      <c r="AS50" s="10">
        <f>IF(AS17=0,0,IF(AR17=0,Assumptions!$B$72*Assumptions!$B$29,AR50*(1+AS47)))</f>
        <v/>
      </c>
      <c r="AT50" s="10">
        <f>IF(AT17=0,0,IF(AS17=0,Assumptions!$B$72*Assumptions!$B$29,AS50*(1+AT47)))</f>
        <v/>
      </c>
      <c r="AU50" s="10">
        <f>IF(AU17=0,0,IF(AT17=0,Assumptions!$B$72*Assumptions!$B$29,AT50*(1+AU47)))</f>
        <v/>
      </c>
      <c r="AV50" s="10">
        <f>IF(AV17=0,0,IF(AU17=0,Assumptions!$B$72*Assumptions!$B$29,AU50*(1+AV47)))</f>
        <v/>
      </c>
      <c r="AW50" s="10">
        <f>IF(AW17=0,0,IF(AV17=0,Assumptions!$B$72*Assumptions!$B$29,AV50*(1+AW47)))</f>
        <v/>
      </c>
      <c r="AX50" s="10">
        <f>IF(AX17=0,0,IF(AW17=0,Assumptions!$B$72*Assumptions!$B$29,AW50*(1+AX47)))</f>
        <v/>
      </c>
      <c r="AY50" s="10">
        <f>IF(AY17=0,0,IF(AX17=0,Assumptions!$B$72*Assumptions!$B$29,AX50*(1+AY47)))</f>
        <v/>
      </c>
      <c r="AZ50" s="10">
        <f>IF(AZ17=0,0,IF(AY17=0,Assumptions!$B$72*Assumptions!$B$29,AY50*(1+AZ47)))</f>
        <v/>
      </c>
      <c r="BA50" s="10">
        <f>IF(BA17=0,0,IF(AZ17=0,Assumptions!$B$72*Assumptions!$B$29,AZ50*(1+BA47)))</f>
        <v/>
      </c>
      <c r="BB50" s="10">
        <f>IF(BB17=0,0,IF(BA17=0,Assumptions!$B$72*Assumptions!$B$29,BA50*(1+BB47)))</f>
        <v/>
      </c>
      <c r="BC50" s="10">
        <f>IF(BC17=0,0,IF(BB17=0,Assumptions!$B$72*Assumptions!$B$29,BB50*(1+BC47)))</f>
        <v/>
      </c>
      <c r="BD50" s="10">
        <f>IF(BD17=0,0,IF(BC17=0,Assumptions!$B$72*Assumptions!$B$29,BC50*(1+BD47)))</f>
        <v/>
      </c>
      <c r="BE50" s="10">
        <f>IF(BE17=0,0,IF(BD17=0,Assumptions!$B$72*Assumptions!$B$29,BD50*(1+BE47)))</f>
        <v/>
      </c>
      <c r="BF50" s="10">
        <f>IF(BF17=0,0,IF(BE17=0,Assumptions!$B$72*Assumptions!$B$29,BE50*(1+BF47)))</f>
        <v/>
      </c>
      <c r="BG50" s="10">
        <f>IF(BG17=0,0,IF(BF17=0,Assumptions!$B$72*Assumptions!$B$29,BF50*(1+BG47)))</f>
        <v/>
      </c>
      <c r="BH50" s="10">
        <f>IF(BH17=0,0,IF(BG17=0,Assumptions!$B$72*Assumptions!$B$29,BG50*(1+BH47)))</f>
        <v/>
      </c>
      <c r="BI50" s="10">
        <f>IF(BI17=0,0,IF(BH17=0,Assumptions!$B$72*Assumptions!$B$29,BH50*(1+BI47)))</f>
        <v/>
      </c>
      <c r="BJ50" s="10">
        <f>IF(BJ17=0,0,IF(BI17=0,Assumptions!$B$72*Assumptions!$B$29,BI50*(1+BJ47)))</f>
        <v/>
      </c>
    </row>
    <row r="51">
      <c r="A51" s="4" t="inlineStr">
        <is>
          <t>Self-serve sign-ups: Ghana</t>
        </is>
      </c>
      <c r="B51" s="17" t="inlineStr">
        <is>
          <t>sign-ups</t>
        </is>
      </c>
      <c r="C51" s="10">
        <f>IF(C19=0,0,Assumptions!$B$82*Assumptions!$B$29)</f>
        <v/>
      </c>
      <c r="D51" s="10">
        <f>IF(D19=0,0,IF(C19=0,Assumptions!$B$82*Assumptions!$B$29,C51*(1+D47)))</f>
        <v/>
      </c>
      <c r="E51" s="10">
        <f>IF(E19=0,0,IF(D19=0,Assumptions!$B$82*Assumptions!$B$29,D51*(1+E47)))</f>
        <v/>
      </c>
      <c r="F51" s="10">
        <f>IF(F19=0,0,IF(E19=0,Assumptions!$B$82*Assumptions!$B$29,E51*(1+F47)))</f>
        <v/>
      </c>
      <c r="G51" s="10">
        <f>IF(G19=0,0,IF(F19=0,Assumptions!$B$82*Assumptions!$B$29,F51*(1+G47)))</f>
        <v/>
      </c>
      <c r="H51" s="10">
        <f>IF(H19=0,0,IF(G19=0,Assumptions!$B$82*Assumptions!$B$29,G51*(1+H47)))</f>
        <v/>
      </c>
      <c r="I51" s="10">
        <f>IF(I19=0,0,IF(H19=0,Assumptions!$B$82*Assumptions!$B$29,H51*(1+I47)))</f>
        <v/>
      </c>
      <c r="J51" s="10">
        <f>IF(J19=0,0,IF(I19=0,Assumptions!$B$82*Assumptions!$B$29,I51*(1+J47)))</f>
        <v/>
      </c>
      <c r="K51" s="10">
        <f>IF(K19=0,0,IF(J19=0,Assumptions!$B$82*Assumptions!$B$29,J51*(1+K47)))</f>
        <v/>
      </c>
      <c r="L51" s="10">
        <f>IF(L19=0,0,IF(K19=0,Assumptions!$B$82*Assumptions!$B$29,K51*(1+L47)))</f>
        <v/>
      </c>
      <c r="M51" s="10">
        <f>IF(M19=0,0,IF(L19=0,Assumptions!$B$82*Assumptions!$B$29,L51*(1+M47)))</f>
        <v/>
      </c>
      <c r="N51" s="10">
        <f>IF(N19=0,0,IF(M19=0,Assumptions!$B$82*Assumptions!$B$29,M51*(1+N47)))</f>
        <v/>
      </c>
      <c r="O51" s="10">
        <f>IF(O19=0,0,IF(N19=0,Assumptions!$B$82*Assumptions!$B$29,N51*(1+O47)))</f>
        <v/>
      </c>
      <c r="P51" s="10">
        <f>IF(P19=0,0,IF(O19=0,Assumptions!$B$82*Assumptions!$B$29,O51*(1+P47)))</f>
        <v/>
      </c>
      <c r="Q51" s="10">
        <f>IF(Q19=0,0,IF(P19=0,Assumptions!$B$82*Assumptions!$B$29,P51*(1+Q47)))</f>
        <v/>
      </c>
      <c r="R51" s="10">
        <f>IF(R19=0,0,IF(Q19=0,Assumptions!$B$82*Assumptions!$B$29,Q51*(1+R47)))</f>
        <v/>
      </c>
      <c r="S51" s="10">
        <f>IF(S19=0,0,IF(R19=0,Assumptions!$B$82*Assumptions!$B$29,R51*(1+S47)))</f>
        <v/>
      </c>
      <c r="T51" s="10">
        <f>IF(T19=0,0,IF(S19=0,Assumptions!$B$82*Assumptions!$B$29,S51*(1+T47)))</f>
        <v/>
      </c>
      <c r="U51" s="10">
        <f>IF(U19=0,0,IF(T19=0,Assumptions!$B$82*Assumptions!$B$29,T51*(1+U47)))</f>
        <v/>
      </c>
      <c r="V51" s="10">
        <f>IF(V19=0,0,IF(U19=0,Assumptions!$B$82*Assumptions!$B$29,U51*(1+V47)))</f>
        <v/>
      </c>
      <c r="W51" s="10">
        <f>IF(W19=0,0,IF(V19=0,Assumptions!$B$82*Assumptions!$B$29,V51*(1+W47)))</f>
        <v/>
      </c>
      <c r="X51" s="10">
        <f>IF(X19=0,0,IF(W19=0,Assumptions!$B$82*Assumptions!$B$29,W51*(1+X47)))</f>
        <v/>
      </c>
      <c r="Y51" s="10">
        <f>IF(Y19=0,0,IF(X19=0,Assumptions!$B$82*Assumptions!$B$29,X51*(1+Y47)))</f>
        <v/>
      </c>
      <c r="Z51" s="10">
        <f>IF(Z19=0,0,IF(Y19=0,Assumptions!$B$82*Assumptions!$B$29,Y51*(1+Z47)))</f>
        <v/>
      </c>
      <c r="AA51" s="10">
        <f>IF(AA19=0,0,IF(Z19=0,Assumptions!$B$82*Assumptions!$B$29,Z51*(1+AA47)))</f>
        <v/>
      </c>
      <c r="AB51" s="10">
        <f>IF(AB19=0,0,IF(AA19=0,Assumptions!$B$82*Assumptions!$B$29,AA51*(1+AB47)))</f>
        <v/>
      </c>
      <c r="AC51" s="10">
        <f>IF(AC19=0,0,IF(AB19=0,Assumptions!$B$82*Assumptions!$B$29,AB51*(1+AC47)))</f>
        <v/>
      </c>
      <c r="AD51" s="10">
        <f>IF(AD19=0,0,IF(AC19=0,Assumptions!$B$82*Assumptions!$B$29,AC51*(1+AD47)))</f>
        <v/>
      </c>
      <c r="AE51" s="10">
        <f>IF(AE19=0,0,IF(AD19=0,Assumptions!$B$82*Assumptions!$B$29,AD51*(1+AE47)))</f>
        <v/>
      </c>
      <c r="AF51" s="10">
        <f>IF(AF19=0,0,IF(AE19=0,Assumptions!$B$82*Assumptions!$B$29,AE51*(1+AF47)))</f>
        <v/>
      </c>
      <c r="AG51" s="10">
        <f>IF(AG19=0,0,IF(AF19=0,Assumptions!$B$82*Assumptions!$B$29,AF51*(1+AG47)))</f>
        <v/>
      </c>
      <c r="AH51" s="10">
        <f>IF(AH19=0,0,IF(AG19=0,Assumptions!$B$82*Assumptions!$B$29,AG51*(1+AH47)))</f>
        <v/>
      </c>
      <c r="AI51" s="10">
        <f>IF(AI19=0,0,IF(AH19=0,Assumptions!$B$82*Assumptions!$B$29,AH51*(1+AI47)))</f>
        <v/>
      </c>
      <c r="AJ51" s="10">
        <f>IF(AJ19=0,0,IF(AI19=0,Assumptions!$B$82*Assumptions!$B$29,AI51*(1+AJ47)))</f>
        <v/>
      </c>
      <c r="AK51" s="10">
        <f>IF(AK19=0,0,IF(AJ19=0,Assumptions!$B$82*Assumptions!$B$29,AJ51*(1+AK47)))</f>
        <v/>
      </c>
      <c r="AL51" s="10">
        <f>IF(AL19=0,0,IF(AK19=0,Assumptions!$B$82*Assumptions!$B$29,AK51*(1+AL47)))</f>
        <v/>
      </c>
      <c r="AM51" s="10">
        <f>IF(AM19=0,0,IF(AL19=0,Assumptions!$B$82*Assumptions!$B$29,AL51*(1+AM47)))</f>
        <v/>
      </c>
      <c r="AN51" s="10">
        <f>IF(AN19=0,0,IF(AM19=0,Assumptions!$B$82*Assumptions!$B$29,AM51*(1+AN47)))</f>
        <v/>
      </c>
      <c r="AO51" s="10">
        <f>IF(AO19=0,0,IF(AN19=0,Assumptions!$B$82*Assumptions!$B$29,AN51*(1+AO47)))</f>
        <v/>
      </c>
      <c r="AP51" s="10">
        <f>IF(AP19=0,0,IF(AO19=0,Assumptions!$B$82*Assumptions!$B$29,AO51*(1+AP47)))</f>
        <v/>
      </c>
      <c r="AQ51" s="10">
        <f>IF(AQ19=0,0,IF(AP19=0,Assumptions!$B$82*Assumptions!$B$29,AP51*(1+AQ47)))</f>
        <v/>
      </c>
      <c r="AR51" s="10">
        <f>IF(AR19=0,0,IF(AQ19=0,Assumptions!$B$82*Assumptions!$B$29,AQ51*(1+AR47)))</f>
        <v/>
      </c>
      <c r="AS51" s="10">
        <f>IF(AS19=0,0,IF(AR19=0,Assumptions!$B$82*Assumptions!$B$29,AR51*(1+AS47)))</f>
        <v/>
      </c>
      <c r="AT51" s="10">
        <f>IF(AT19=0,0,IF(AS19=0,Assumptions!$B$82*Assumptions!$B$29,AS51*(1+AT47)))</f>
        <v/>
      </c>
      <c r="AU51" s="10">
        <f>IF(AU19=0,0,IF(AT19=0,Assumptions!$B$82*Assumptions!$B$29,AT51*(1+AU47)))</f>
        <v/>
      </c>
      <c r="AV51" s="10">
        <f>IF(AV19=0,0,IF(AU19=0,Assumptions!$B$82*Assumptions!$B$29,AU51*(1+AV47)))</f>
        <v/>
      </c>
      <c r="AW51" s="10">
        <f>IF(AW19=0,0,IF(AV19=0,Assumptions!$B$82*Assumptions!$B$29,AV51*(1+AW47)))</f>
        <v/>
      </c>
      <c r="AX51" s="10">
        <f>IF(AX19=0,0,IF(AW19=0,Assumptions!$B$82*Assumptions!$B$29,AW51*(1+AX47)))</f>
        <v/>
      </c>
      <c r="AY51" s="10">
        <f>IF(AY19=0,0,IF(AX19=0,Assumptions!$B$82*Assumptions!$B$29,AX51*(1+AY47)))</f>
        <v/>
      </c>
      <c r="AZ51" s="10">
        <f>IF(AZ19=0,0,IF(AY19=0,Assumptions!$B$82*Assumptions!$B$29,AY51*(1+AZ47)))</f>
        <v/>
      </c>
      <c r="BA51" s="10">
        <f>IF(BA19=0,0,IF(AZ19=0,Assumptions!$B$82*Assumptions!$B$29,AZ51*(1+BA47)))</f>
        <v/>
      </c>
      <c r="BB51" s="10">
        <f>IF(BB19=0,0,IF(BA19=0,Assumptions!$B$82*Assumptions!$B$29,BA51*(1+BB47)))</f>
        <v/>
      </c>
      <c r="BC51" s="10">
        <f>IF(BC19=0,0,IF(BB19=0,Assumptions!$B$82*Assumptions!$B$29,BB51*(1+BC47)))</f>
        <v/>
      </c>
      <c r="BD51" s="10">
        <f>IF(BD19=0,0,IF(BC19=0,Assumptions!$B$82*Assumptions!$B$29,BC51*(1+BD47)))</f>
        <v/>
      </c>
      <c r="BE51" s="10">
        <f>IF(BE19=0,0,IF(BD19=0,Assumptions!$B$82*Assumptions!$B$29,BD51*(1+BE47)))</f>
        <v/>
      </c>
      <c r="BF51" s="10">
        <f>IF(BF19=0,0,IF(BE19=0,Assumptions!$B$82*Assumptions!$B$29,BE51*(1+BF47)))</f>
        <v/>
      </c>
      <c r="BG51" s="10">
        <f>IF(BG19=0,0,IF(BF19=0,Assumptions!$B$82*Assumptions!$B$29,BF51*(1+BG47)))</f>
        <v/>
      </c>
      <c r="BH51" s="10">
        <f>IF(BH19=0,0,IF(BG19=0,Assumptions!$B$82*Assumptions!$B$29,BG51*(1+BH47)))</f>
        <v/>
      </c>
      <c r="BI51" s="10">
        <f>IF(BI19=0,0,IF(BH19=0,Assumptions!$B$82*Assumptions!$B$29,BH51*(1+BI47)))</f>
        <v/>
      </c>
      <c r="BJ51" s="10">
        <f>IF(BJ19=0,0,IF(BI19=0,Assumptions!$B$82*Assumptions!$B$29,BI51*(1+BJ47)))</f>
        <v/>
      </c>
    </row>
    <row r="52">
      <c r="A52" s="4" t="inlineStr">
        <is>
          <t>Self-serve sign-ups: Rest of Africa (USD)</t>
        </is>
      </c>
      <c r="B52" s="17" t="inlineStr">
        <is>
          <t>sign-ups</t>
        </is>
      </c>
      <c r="C52" s="10">
        <f>IF(C21=0,0,Assumptions!$B$92*Assumptions!$B$29)</f>
        <v/>
      </c>
      <c r="D52" s="10">
        <f>IF(D21=0,0,IF(C21=0,Assumptions!$B$92*Assumptions!$B$29,C52*(1+D47)))</f>
        <v/>
      </c>
      <c r="E52" s="10">
        <f>IF(E21=0,0,IF(D21=0,Assumptions!$B$92*Assumptions!$B$29,D52*(1+E47)))</f>
        <v/>
      </c>
      <c r="F52" s="10">
        <f>IF(F21=0,0,IF(E21=0,Assumptions!$B$92*Assumptions!$B$29,E52*(1+F47)))</f>
        <v/>
      </c>
      <c r="G52" s="10">
        <f>IF(G21=0,0,IF(F21=0,Assumptions!$B$92*Assumptions!$B$29,F52*(1+G47)))</f>
        <v/>
      </c>
      <c r="H52" s="10">
        <f>IF(H21=0,0,IF(G21=0,Assumptions!$B$92*Assumptions!$B$29,G52*(1+H47)))</f>
        <v/>
      </c>
      <c r="I52" s="10">
        <f>IF(I21=0,0,IF(H21=0,Assumptions!$B$92*Assumptions!$B$29,H52*(1+I47)))</f>
        <v/>
      </c>
      <c r="J52" s="10">
        <f>IF(J21=0,0,IF(I21=0,Assumptions!$B$92*Assumptions!$B$29,I52*(1+J47)))</f>
        <v/>
      </c>
      <c r="K52" s="10">
        <f>IF(K21=0,0,IF(J21=0,Assumptions!$B$92*Assumptions!$B$29,J52*(1+K47)))</f>
        <v/>
      </c>
      <c r="L52" s="10">
        <f>IF(L21=0,0,IF(K21=0,Assumptions!$B$92*Assumptions!$B$29,K52*(1+L47)))</f>
        <v/>
      </c>
      <c r="M52" s="10">
        <f>IF(M21=0,0,IF(L21=0,Assumptions!$B$92*Assumptions!$B$29,L52*(1+M47)))</f>
        <v/>
      </c>
      <c r="N52" s="10">
        <f>IF(N21=0,0,IF(M21=0,Assumptions!$B$92*Assumptions!$B$29,M52*(1+N47)))</f>
        <v/>
      </c>
      <c r="O52" s="10">
        <f>IF(O21=0,0,IF(N21=0,Assumptions!$B$92*Assumptions!$B$29,N52*(1+O47)))</f>
        <v/>
      </c>
      <c r="P52" s="10">
        <f>IF(P21=0,0,IF(O21=0,Assumptions!$B$92*Assumptions!$B$29,O52*(1+P47)))</f>
        <v/>
      </c>
      <c r="Q52" s="10">
        <f>IF(Q21=0,0,IF(P21=0,Assumptions!$B$92*Assumptions!$B$29,P52*(1+Q47)))</f>
        <v/>
      </c>
      <c r="R52" s="10">
        <f>IF(R21=0,0,IF(Q21=0,Assumptions!$B$92*Assumptions!$B$29,Q52*(1+R47)))</f>
        <v/>
      </c>
      <c r="S52" s="10">
        <f>IF(S21=0,0,IF(R21=0,Assumptions!$B$92*Assumptions!$B$29,R52*(1+S47)))</f>
        <v/>
      </c>
      <c r="T52" s="10">
        <f>IF(T21=0,0,IF(S21=0,Assumptions!$B$92*Assumptions!$B$29,S52*(1+T47)))</f>
        <v/>
      </c>
      <c r="U52" s="10">
        <f>IF(U21=0,0,IF(T21=0,Assumptions!$B$92*Assumptions!$B$29,T52*(1+U47)))</f>
        <v/>
      </c>
      <c r="V52" s="10">
        <f>IF(V21=0,0,IF(U21=0,Assumptions!$B$92*Assumptions!$B$29,U52*(1+V47)))</f>
        <v/>
      </c>
      <c r="W52" s="10">
        <f>IF(W21=0,0,IF(V21=0,Assumptions!$B$92*Assumptions!$B$29,V52*(1+W47)))</f>
        <v/>
      </c>
      <c r="X52" s="10">
        <f>IF(X21=0,0,IF(W21=0,Assumptions!$B$92*Assumptions!$B$29,W52*(1+X47)))</f>
        <v/>
      </c>
      <c r="Y52" s="10">
        <f>IF(Y21=0,0,IF(X21=0,Assumptions!$B$92*Assumptions!$B$29,X52*(1+Y47)))</f>
        <v/>
      </c>
      <c r="Z52" s="10">
        <f>IF(Z21=0,0,IF(Y21=0,Assumptions!$B$92*Assumptions!$B$29,Y52*(1+Z47)))</f>
        <v/>
      </c>
      <c r="AA52" s="10">
        <f>IF(AA21=0,0,IF(Z21=0,Assumptions!$B$92*Assumptions!$B$29,Z52*(1+AA47)))</f>
        <v/>
      </c>
      <c r="AB52" s="10">
        <f>IF(AB21=0,0,IF(AA21=0,Assumptions!$B$92*Assumptions!$B$29,AA52*(1+AB47)))</f>
        <v/>
      </c>
      <c r="AC52" s="10">
        <f>IF(AC21=0,0,IF(AB21=0,Assumptions!$B$92*Assumptions!$B$29,AB52*(1+AC47)))</f>
        <v/>
      </c>
      <c r="AD52" s="10">
        <f>IF(AD21=0,0,IF(AC21=0,Assumptions!$B$92*Assumptions!$B$29,AC52*(1+AD47)))</f>
        <v/>
      </c>
      <c r="AE52" s="10">
        <f>IF(AE21=0,0,IF(AD21=0,Assumptions!$B$92*Assumptions!$B$29,AD52*(1+AE47)))</f>
        <v/>
      </c>
      <c r="AF52" s="10">
        <f>IF(AF21=0,0,IF(AE21=0,Assumptions!$B$92*Assumptions!$B$29,AE52*(1+AF47)))</f>
        <v/>
      </c>
      <c r="AG52" s="10">
        <f>IF(AG21=0,0,IF(AF21=0,Assumptions!$B$92*Assumptions!$B$29,AF52*(1+AG47)))</f>
        <v/>
      </c>
      <c r="AH52" s="10">
        <f>IF(AH21=0,0,IF(AG21=0,Assumptions!$B$92*Assumptions!$B$29,AG52*(1+AH47)))</f>
        <v/>
      </c>
      <c r="AI52" s="10">
        <f>IF(AI21=0,0,IF(AH21=0,Assumptions!$B$92*Assumptions!$B$29,AH52*(1+AI47)))</f>
        <v/>
      </c>
      <c r="AJ52" s="10">
        <f>IF(AJ21=0,0,IF(AI21=0,Assumptions!$B$92*Assumptions!$B$29,AI52*(1+AJ47)))</f>
        <v/>
      </c>
      <c r="AK52" s="10">
        <f>IF(AK21=0,0,IF(AJ21=0,Assumptions!$B$92*Assumptions!$B$29,AJ52*(1+AK47)))</f>
        <v/>
      </c>
      <c r="AL52" s="10">
        <f>IF(AL21=0,0,IF(AK21=0,Assumptions!$B$92*Assumptions!$B$29,AK52*(1+AL47)))</f>
        <v/>
      </c>
      <c r="AM52" s="10">
        <f>IF(AM21=0,0,IF(AL21=0,Assumptions!$B$92*Assumptions!$B$29,AL52*(1+AM47)))</f>
        <v/>
      </c>
      <c r="AN52" s="10">
        <f>IF(AN21=0,0,IF(AM21=0,Assumptions!$B$92*Assumptions!$B$29,AM52*(1+AN47)))</f>
        <v/>
      </c>
      <c r="AO52" s="10">
        <f>IF(AO21=0,0,IF(AN21=0,Assumptions!$B$92*Assumptions!$B$29,AN52*(1+AO47)))</f>
        <v/>
      </c>
      <c r="AP52" s="10">
        <f>IF(AP21=0,0,IF(AO21=0,Assumptions!$B$92*Assumptions!$B$29,AO52*(1+AP47)))</f>
        <v/>
      </c>
      <c r="AQ52" s="10">
        <f>IF(AQ21=0,0,IF(AP21=0,Assumptions!$B$92*Assumptions!$B$29,AP52*(1+AQ47)))</f>
        <v/>
      </c>
      <c r="AR52" s="10">
        <f>IF(AR21=0,0,IF(AQ21=0,Assumptions!$B$92*Assumptions!$B$29,AQ52*(1+AR47)))</f>
        <v/>
      </c>
      <c r="AS52" s="10">
        <f>IF(AS21=0,0,IF(AR21=0,Assumptions!$B$92*Assumptions!$B$29,AR52*(1+AS47)))</f>
        <v/>
      </c>
      <c r="AT52" s="10">
        <f>IF(AT21=0,0,IF(AS21=0,Assumptions!$B$92*Assumptions!$B$29,AS52*(1+AT47)))</f>
        <v/>
      </c>
      <c r="AU52" s="10">
        <f>IF(AU21=0,0,IF(AT21=0,Assumptions!$B$92*Assumptions!$B$29,AT52*(1+AU47)))</f>
        <v/>
      </c>
      <c r="AV52" s="10">
        <f>IF(AV21=0,0,IF(AU21=0,Assumptions!$B$92*Assumptions!$B$29,AU52*(1+AV47)))</f>
        <v/>
      </c>
      <c r="AW52" s="10">
        <f>IF(AW21=0,0,IF(AV21=0,Assumptions!$B$92*Assumptions!$B$29,AV52*(1+AW47)))</f>
        <v/>
      </c>
      <c r="AX52" s="10">
        <f>IF(AX21=0,0,IF(AW21=0,Assumptions!$B$92*Assumptions!$B$29,AW52*(1+AX47)))</f>
        <v/>
      </c>
      <c r="AY52" s="10">
        <f>IF(AY21=0,0,IF(AX21=0,Assumptions!$B$92*Assumptions!$B$29,AX52*(1+AY47)))</f>
        <v/>
      </c>
      <c r="AZ52" s="10">
        <f>IF(AZ21=0,0,IF(AY21=0,Assumptions!$B$92*Assumptions!$B$29,AY52*(1+AZ47)))</f>
        <v/>
      </c>
      <c r="BA52" s="10">
        <f>IF(BA21=0,0,IF(AZ21=0,Assumptions!$B$92*Assumptions!$B$29,AZ52*(1+BA47)))</f>
        <v/>
      </c>
      <c r="BB52" s="10">
        <f>IF(BB21=0,0,IF(BA21=0,Assumptions!$B$92*Assumptions!$B$29,BA52*(1+BB47)))</f>
        <v/>
      </c>
      <c r="BC52" s="10">
        <f>IF(BC21=0,0,IF(BB21=0,Assumptions!$B$92*Assumptions!$B$29,BB52*(1+BC47)))</f>
        <v/>
      </c>
      <c r="BD52" s="10">
        <f>IF(BD21=0,0,IF(BC21=0,Assumptions!$B$92*Assumptions!$B$29,BC52*(1+BD47)))</f>
        <v/>
      </c>
      <c r="BE52" s="10">
        <f>IF(BE21=0,0,IF(BD21=0,Assumptions!$B$92*Assumptions!$B$29,BD52*(1+BE47)))</f>
        <v/>
      </c>
      <c r="BF52" s="10">
        <f>IF(BF21=0,0,IF(BE21=0,Assumptions!$B$92*Assumptions!$B$29,BE52*(1+BF47)))</f>
        <v/>
      </c>
      <c r="BG52" s="10">
        <f>IF(BG21=0,0,IF(BF21=0,Assumptions!$B$92*Assumptions!$B$29,BF52*(1+BG47)))</f>
        <v/>
      </c>
      <c r="BH52" s="10">
        <f>IF(BH21=0,0,IF(BG21=0,Assumptions!$B$92*Assumptions!$B$29,BG52*(1+BH47)))</f>
        <v/>
      </c>
      <c r="BI52" s="10">
        <f>IF(BI21=0,0,IF(BH21=0,Assumptions!$B$92*Assumptions!$B$29,BH52*(1+BI47)))</f>
        <v/>
      </c>
      <c r="BJ52" s="10">
        <f>IF(BJ21=0,0,IF(BI21=0,Assumptions!$B$92*Assumptions!$B$29,BI52*(1+BJ47)))</f>
        <v/>
      </c>
    </row>
    <row r="53">
      <c r="A53" s="4" t="inlineStr">
        <is>
          <t>Self-serve sign-ups: Botswana &amp; Namibia</t>
        </is>
      </c>
      <c r="B53" s="17" t="inlineStr">
        <is>
          <t>sign-ups</t>
        </is>
      </c>
      <c r="C53" s="10">
        <f>IF(C23=0,0,Assumptions!$B$100*Assumptions!$B$29)</f>
        <v/>
      </c>
      <c r="D53" s="10">
        <f>IF(D23=0,0,IF(C23=0,Assumptions!$B$100*Assumptions!$B$29,C53*(1+D47)))</f>
        <v/>
      </c>
      <c r="E53" s="10">
        <f>IF(E23=0,0,IF(D23=0,Assumptions!$B$100*Assumptions!$B$29,D53*(1+E47)))</f>
        <v/>
      </c>
      <c r="F53" s="10">
        <f>IF(F23=0,0,IF(E23=0,Assumptions!$B$100*Assumptions!$B$29,E53*(1+F47)))</f>
        <v/>
      </c>
      <c r="G53" s="10">
        <f>IF(G23=0,0,IF(F23=0,Assumptions!$B$100*Assumptions!$B$29,F53*(1+G47)))</f>
        <v/>
      </c>
      <c r="H53" s="10">
        <f>IF(H23=0,0,IF(G23=0,Assumptions!$B$100*Assumptions!$B$29,G53*(1+H47)))</f>
        <v/>
      </c>
      <c r="I53" s="10">
        <f>IF(I23=0,0,IF(H23=0,Assumptions!$B$100*Assumptions!$B$29,H53*(1+I47)))</f>
        <v/>
      </c>
      <c r="J53" s="10">
        <f>IF(J23=0,0,IF(I23=0,Assumptions!$B$100*Assumptions!$B$29,I53*(1+J47)))</f>
        <v/>
      </c>
      <c r="K53" s="10">
        <f>IF(K23=0,0,IF(J23=0,Assumptions!$B$100*Assumptions!$B$29,J53*(1+K47)))</f>
        <v/>
      </c>
      <c r="L53" s="10">
        <f>IF(L23=0,0,IF(K23=0,Assumptions!$B$100*Assumptions!$B$29,K53*(1+L47)))</f>
        <v/>
      </c>
      <c r="M53" s="10">
        <f>IF(M23=0,0,IF(L23=0,Assumptions!$B$100*Assumptions!$B$29,L53*(1+M47)))</f>
        <v/>
      </c>
      <c r="N53" s="10">
        <f>IF(N23=0,0,IF(M23=0,Assumptions!$B$100*Assumptions!$B$29,M53*(1+N47)))</f>
        <v/>
      </c>
      <c r="O53" s="10">
        <f>IF(O23=0,0,IF(N23=0,Assumptions!$B$100*Assumptions!$B$29,N53*(1+O47)))</f>
        <v/>
      </c>
      <c r="P53" s="10">
        <f>IF(P23=0,0,IF(O23=0,Assumptions!$B$100*Assumptions!$B$29,O53*(1+P47)))</f>
        <v/>
      </c>
      <c r="Q53" s="10">
        <f>IF(Q23=0,0,IF(P23=0,Assumptions!$B$100*Assumptions!$B$29,P53*(1+Q47)))</f>
        <v/>
      </c>
      <c r="R53" s="10">
        <f>IF(R23=0,0,IF(Q23=0,Assumptions!$B$100*Assumptions!$B$29,Q53*(1+R47)))</f>
        <v/>
      </c>
      <c r="S53" s="10">
        <f>IF(S23=0,0,IF(R23=0,Assumptions!$B$100*Assumptions!$B$29,R53*(1+S47)))</f>
        <v/>
      </c>
      <c r="T53" s="10">
        <f>IF(T23=0,0,IF(S23=0,Assumptions!$B$100*Assumptions!$B$29,S53*(1+T47)))</f>
        <v/>
      </c>
      <c r="U53" s="10">
        <f>IF(U23=0,0,IF(T23=0,Assumptions!$B$100*Assumptions!$B$29,T53*(1+U47)))</f>
        <v/>
      </c>
      <c r="V53" s="10">
        <f>IF(V23=0,0,IF(U23=0,Assumptions!$B$100*Assumptions!$B$29,U53*(1+V47)))</f>
        <v/>
      </c>
      <c r="W53" s="10">
        <f>IF(W23=0,0,IF(V23=0,Assumptions!$B$100*Assumptions!$B$29,V53*(1+W47)))</f>
        <v/>
      </c>
      <c r="X53" s="10">
        <f>IF(X23=0,0,IF(W23=0,Assumptions!$B$100*Assumptions!$B$29,W53*(1+X47)))</f>
        <v/>
      </c>
      <c r="Y53" s="10">
        <f>IF(Y23=0,0,IF(X23=0,Assumptions!$B$100*Assumptions!$B$29,X53*(1+Y47)))</f>
        <v/>
      </c>
      <c r="Z53" s="10">
        <f>IF(Z23=0,0,IF(Y23=0,Assumptions!$B$100*Assumptions!$B$29,Y53*(1+Z47)))</f>
        <v/>
      </c>
      <c r="AA53" s="10">
        <f>IF(AA23=0,0,IF(Z23=0,Assumptions!$B$100*Assumptions!$B$29,Z53*(1+AA47)))</f>
        <v/>
      </c>
      <c r="AB53" s="10">
        <f>IF(AB23=0,0,IF(AA23=0,Assumptions!$B$100*Assumptions!$B$29,AA53*(1+AB47)))</f>
        <v/>
      </c>
      <c r="AC53" s="10">
        <f>IF(AC23=0,0,IF(AB23=0,Assumptions!$B$100*Assumptions!$B$29,AB53*(1+AC47)))</f>
        <v/>
      </c>
      <c r="AD53" s="10">
        <f>IF(AD23=0,0,IF(AC23=0,Assumptions!$B$100*Assumptions!$B$29,AC53*(1+AD47)))</f>
        <v/>
      </c>
      <c r="AE53" s="10">
        <f>IF(AE23=0,0,IF(AD23=0,Assumptions!$B$100*Assumptions!$B$29,AD53*(1+AE47)))</f>
        <v/>
      </c>
      <c r="AF53" s="10">
        <f>IF(AF23=0,0,IF(AE23=0,Assumptions!$B$100*Assumptions!$B$29,AE53*(1+AF47)))</f>
        <v/>
      </c>
      <c r="AG53" s="10">
        <f>IF(AG23=0,0,IF(AF23=0,Assumptions!$B$100*Assumptions!$B$29,AF53*(1+AG47)))</f>
        <v/>
      </c>
      <c r="AH53" s="10">
        <f>IF(AH23=0,0,IF(AG23=0,Assumptions!$B$100*Assumptions!$B$29,AG53*(1+AH47)))</f>
        <v/>
      </c>
      <c r="AI53" s="10">
        <f>IF(AI23=0,0,IF(AH23=0,Assumptions!$B$100*Assumptions!$B$29,AH53*(1+AI47)))</f>
        <v/>
      </c>
      <c r="AJ53" s="10">
        <f>IF(AJ23=0,0,IF(AI23=0,Assumptions!$B$100*Assumptions!$B$29,AI53*(1+AJ47)))</f>
        <v/>
      </c>
      <c r="AK53" s="10">
        <f>IF(AK23=0,0,IF(AJ23=0,Assumptions!$B$100*Assumptions!$B$29,AJ53*(1+AK47)))</f>
        <v/>
      </c>
      <c r="AL53" s="10">
        <f>IF(AL23=0,0,IF(AK23=0,Assumptions!$B$100*Assumptions!$B$29,AK53*(1+AL47)))</f>
        <v/>
      </c>
      <c r="AM53" s="10">
        <f>IF(AM23=0,0,IF(AL23=0,Assumptions!$B$100*Assumptions!$B$29,AL53*(1+AM47)))</f>
        <v/>
      </c>
      <c r="AN53" s="10">
        <f>IF(AN23=0,0,IF(AM23=0,Assumptions!$B$100*Assumptions!$B$29,AM53*(1+AN47)))</f>
        <v/>
      </c>
      <c r="AO53" s="10">
        <f>IF(AO23=0,0,IF(AN23=0,Assumptions!$B$100*Assumptions!$B$29,AN53*(1+AO47)))</f>
        <v/>
      </c>
      <c r="AP53" s="10">
        <f>IF(AP23=0,0,IF(AO23=0,Assumptions!$B$100*Assumptions!$B$29,AO53*(1+AP47)))</f>
        <v/>
      </c>
      <c r="AQ53" s="10">
        <f>IF(AQ23=0,0,IF(AP23=0,Assumptions!$B$100*Assumptions!$B$29,AP53*(1+AQ47)))</f>
        <v/>
      </c>
      <c r="AR53" s="10">
        <f>IF(AR23=0,0,IF(AQ23=0,Assumptions!$B$100*Assumptions!$B$29,AQ53*(1+AR47)))</f>
        <v/>
      </c>
      <c r="AS53" s="10">
        <f>IF(AS23=0,0,IF(AR23=0,Assumptions!$B$100*Assumptions!$B$29,AR53*(1+AS47)))</f>
        <v/>
      </c>
      <c r="AT53" s="10">
        <f>IF(AT23=0,0,IF(AS23=0,Assumptions!$B$100*Assumptions!$B$29,AS53*(1+AT47)))</f>
        <v/>
      </c>
      <c r="AU53" s="10">
        <f>IF(AU23=0,0,IF(AT23=0,Assumptions!$B$100*Assumptions!$B$29,AT53*(1+AU47)))</f>
        <v/>
      </c>
      <c r="AV53" s="10">
        <f>IF(AV23=0,0,IF(AU23=0,Assumptions!$B$100*Assumptions!$B$29,AU53*(1+AV47)))</f>
        <v/>
      </c>
      <c r="AW53" s="10">
        <f>IF(AW23=0,0,IF(AV23=0,Assumptions!$B$100*Assumptions!$B$29,AV53*(1+AW47)))</f>
        <v/>
      </c>
      <c r="AX53" s="10">
        <f>IF(AX23=0,0,IF(AW23=0,Assumptions!$B$100*Assumptions!$B$29,AW53*(1+AX47)))</f>
        <v/>
      </c>
      <c r="AY53" s="10">
        <f>IF(AY23=0,0,IF(AX23=0,Assumptions!$B$100*Assumptions!$B$29,AX53*(1+AY47)))</f>
        <v/>
      </c>
      <c r="AZ53" s="10">
        <f>IF(AZ23=0,0,IF(AY23=0,Assumptions!$B$100*Assumptions!$B$29,AY53*(1+AZ47)))</f>
        <v/>
      </c>
      <c r="BA53" s="10">
        <f>IF(BA23=0,0,IF(AZ23=0,Assumptions!$B$100*Assumptions!$B$29,AZ53*(1+BA47)))</f>
        <v/>
      </c>
      <c r="BB53" s="10">
        <f>IF(BB23=0,0,IF(BA23=0,Assumptions!$B$100*Assumptions!$B$29,BA53*(1+BB47)))</f>
        <v/>
      </c>
      <c r="BC53" s="10">
        <f>IF(BC23=0,0,IF(BB23=0,Assumptions!$B$100*Assumptions!$B$29,BB53*(1+BC47)))</f>
        <v/>
      </c>
      <c r="BD53" s="10">
        <f>IF(BD23=0,0,IF(BC23=0,Assumptions!$B$100*Assumptions!$B$29,BC53*(1+BD47)))</f>
        <v/>
      </c>
      <c r="BE53" s="10">
        <f>IF(BE23=0,0,IF(BD23=0,Assumptions!$B$100*Assumptions!$B$29,BD53*(1+BE47)))</f>
        <v/>
      </c>
      <c r="BF53" s="10">
        <f>IF(BF23=0,0,IF(BE23=0,Assumptions!$B$100*Assumptions!$B$29,BE53*(1+BF47)))</f>
        <v/>
      </c>
      <c r="BG53" s="10">
        <f>IF(BG23=0,0,IF(BF23=0,Assumptions!$B$100*Assumptions!$B$29,BF53*(1+BG47)))</f>
        <v/>
      </c>
      <c r="BH53" s="10">
        <f>IF(BH23=0,0,IF(BG23=0,Assumptions!$B$100*Assumptions!$B$29,BG53*(1+BH47)))</f>
        <v/>
      </c>
      <c r="BI53" s="10">
        <f>IF(BI23=0,0,IF(BH23=0,Assumptions!$B$100*Assumptions!$B$29,BH53*(1+BI47)))</f>
        <v/>
      </c>
      <c r="BJ53" s="10">
        <f>IF(BJ23=0,0,IF(BI23=0,Assumptions!$B$100*Assumptions!$B$29,BI53*(1+BJ47)))</f>
        <v/>
      </c>
    </row>
    <row r="54">
      <c r="A54" s="3" t="inlineStr">
        <is>
          <t>Total self-serve sign-ups</t>
        </is>
      </c>
      <c r="B54" s="17" t="inlineStr">
        <is>
          <t>sign-ups</t>
        </is>
      </c>
      <c r="C54" s="40">
        <f>C48+C49+C50+C51+C52+C53</f>
        <v/>
      </c>
      <c r="D54" s="40">
        <f>D48+D49+D50+D51+D52+D53</f>
        <v/>
      </c>
      <c r="E54" s="40">
        <f>E48+E49+E50+E51+E52+E53</f>
        <v/>
      </c>
      <c r="F54" s="40">
        <f>F48+F49+F50+F51+F52+F53</f>
        <v/>
      </c>
      <c r="G54" s="40">
        <f>G48+G49+G50+G51+G52+G53</f>
        <v/>
      </c>
      <c r="H54" s="40">
        <f>H48+H49+H50+H51+H52+H53</f>
        <v/>
      </c>
      <c r="I54" s="40">
        <f>I48+I49+I50+I51+I52+I53</f>
        <v/>
      </c>
      <c r="J54" s="40">
        <f>J48+J49+J50+J51+J52+J53</f>
        <v/>
      </c>
      <c r="K54" s="40">
        <f>K48+K49+K50+K51+K52+K53</f>
        <v/>
      </c>
      <c r="L54" s="40">
        <f>L48+L49+L50+L51+L52+L53</f>
        <v/>
      </c>
      <c r="M54" s="40">
        <f>M48+M49+M50+M51+M52+M53</f>
        <v/>
      </c>
      <c r="N54" s="40">
        <f>N48+N49+N50+N51+N52+N53</f>
        <v/>
      </c>
      <c r="O54" s="40">
        <f>O48+O49+O50+O51+O52+O53</f>
        <v/>
      </c>
      <c r="P54" s="40">
        <f>P48+P49+P50+P51+P52+P53</f>
        <v/>
      </c>
      <c r="Q54" s="40">
        <f>Q48+Q49+Q50+Q51+Q52+Q53</f>
        <v/>
      </c>
      <c r="R54" s="40">
        <f>R48+R49+R50+R51+R52+R53</f>
        <v/>
      </c>
      <c r="S54" s="40">
        <f>S48+S49+S50+S51+S52+S53</f>
        <v/>
      </c>
      <c r="T54" s="40">
        <f>T48+T49+T50+T51+T52+T53</f>
        <v/>
      </c>
      <c r="U54" s="40">
        <f>U48+U49+U50+U51+U52+U53</f>
        <v/>
      </c>
      <c r="V54" s="40">
        <f>V48+V49+V50+V51+V52+V53</f>
        <v/>
      </c>
      <c r="W54" s="40">
        <f>W48+W49+W50+W51+W52+W53</f>
        <v/>
      </c>
      <c r="X54" s="40">
        <f>X48+X49+X50+X51+X52+X53</f>
        <v/>
      </c>
      <c r="Y54" s="40">
        <f>Y48+Y49+Y50+Y51+Y52+Y53</f>
        <v/>
      </c>
      <c r="Z54" s="40">
        <f>Z48+Z49+Z50+Z51+Z52+Z53</f>
        <v/>
      </c>
      <c r="AA54" s="40">
        <f>AA48+AA49+AA50+AA51+AA52+AA53</f>
        <v/>
      </c>
      <c r="AB54" s="40">
        <f>AB48+AB49+AB50+AB51+AB52+AB53</f>
        <v/>
      </c>
      <c r="AC54" s="40">
        <f>AC48+AC49+AC50+AC51+AC52+AC53</f>
        <v/>
      </c>
      <c r="AD54" s="40">
        <f>AD48+AD49+AD50+AD51+AD52+AD53</f>
        <v/>
      </c>
      <c r="AE54" s="40">
        <f>AE48+AE49+AE50+AE51+AE52+AE53</f>
        <v/>
      </c>
      <c r="AF54" s="40">
        <f>AF48+AF49+AF50+AF51+AF52+AF53</f>
        <v/>
      </c>
      <c r="AG54" s="40">
        <f>AG48+AG49+AG50+AG51+AG52+AG53</f>
        <v/>
      </c>
      <c r="AH54" s="40">
        <f>AH48+AH49+AH50+AH51+AH52+AH53</f>
        <v/>
      </c>
      <c r="AI54" s="40">
        <f>AI48+AI49+AI50+AI51+AI52+AI53</f>
        <v/>
      </c>
      <c r="AJ54" s="40">
        <f>AJ48+AJ49+AJ50+AJ51+AJ52+AJ53</f>
        <v/>
      </c>
      <c r="AK54" s="40">
        <f>AK48+AK49+AK50+AK51+AK52+AK53</f>
        <v/>
      </c>
      <c r="AL54" s="40">
        <f>AL48+AL49+AL50+AL51+AL52+AL53</f>
        <v/>
      </c>
      <c r="AM54" s="40">
        <f>AM48+AM49+AM50+AM51+AM52+AM53</f>
        <v/>
      </c>
      <c r="AN54" s="40">
        <f>AN48+AN49+AN50+AN51+AN52+AN53</f>
        <v/>
      </c>
      <c r="AO54" s="40">
        <f>AO48+AO49+AO50+AO51+AO52+AO53</f>
        <v/>
      </c>
      <c r="AP54" s="40">
        <f>AP48+AP49+AP50+AP51+AP52+AP53</f>
        <v/>
      </c>
      <c r="AQ54" s="40">
        <f>AQ48+AQ49+AQ50+AQ51+AQ52+AQ53</f>
        <v/>
      </c>
      <c r="AR54" s="40">
        <f>AR48+AR49+AR50+AR51+AR52+AR53</f>
        <v/>
      </c>
      <c r="AS54" s="40">
        <f>AS48+AS49+AS50+AS51+AS52+AS53</f>
        <v/>
      </c>
      <c r="AT54" s="40">
        <f>AT48+AT49+AT50+AT51+AT52+AT53</f>
        <v/>
      </c>
      <c r="AU54" s="40">
        <f>AU48+AU49+AU50+AU51+AU52+AU53</f>
        <v/>
      </c>
      <c r="AV54" s="40">
        <f>AV48+AV49+AV50+AV51+AV52+AV53</f>
        <v/>
      </c>
      <c r="AW54" s="40">
        <f>AW48+AW49+AW50+AW51+AW52+AW53</f>
        <v/>
      </c>
      <c r="AX54" s="40">
        <f>AX48+AX49+AX50+AX51+AX52+AX53</f>
        <v/>
      </c>
      <c r="AY54" s="40">
        <f>AY48+AY49+AY50+AY51+AY52+AY53</f>
        <v/>
      </c>
      <c r="AZ54" s="40">
        <f>AZ48+AZ49+AZ50+AZ51+AZ52+AZ53</f>
        <v/>
      </c>
      <c r="BA54" s="40">
        <f>BA48+BA49+BA50+BA51+BA52+BA53</f>
        <v/>
      </c>
      <c r="BB54" s="40">
        <f>BB48+BB49+BB50+BB51+BB52+BB53</f>
        <v/>
      </c>
      <c r="BC54" s="40">
        <f>BC48+BC49+BC50+BC51+BC52+BC53</f>
        <v/>
      </c>
      <c r="BD54" s="40">
        <f>BD48+BD49+BD50+BD51+BD52+BD53</f>
        <v/>
      </c>
      <c r="BE54" s="40">
        <f>BE48+BE49+BE50+BE51+BE52+BE53</f>
        <v/>
      </c>
      <c r="BF54" s="40">
        <f>BF48+BF49+BF50+BF51+BF52+BF53</f>
        <v/>
      </c>
      <c r="BG54" s="40">
        <f>BG48+BG49+BG50+BG51+BG52+BG53</f>
        <v/>
      </c>
      <c r="BH54" s="40">
        <f>BH48+BH49+BH50+BH51+BH52+BH53</f>
        <v/>
      </c>
      <c r="BI54" s="40">
        <f>BI48+BI49+BI50+BI51+BI52+BI53</f>
        <v/>
      </c>
      <c r="BJ54" s="40">
        <f>BJ48+BJ49+BJ50+BJ51+BJ52+BJ53</f>
        <v/>
      </c>
    </row>
    <row r="55"/>
    <row r="56">
      <c r="A56" s="19" t="inlineStr">
        <is>
          <t>Direct paid sign-ups wanted before the marketing cap (sign-ups x segment share x pay-at-sign-up rate x Founding Member uplift)</t>
        </is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</row>
    <row r="57">
      <c r="A57" s="4" t="inlineStr">
        <is>
          <t>Solo direct paid sign-ups wanted: South Africa</t>
        </is>
      </c>
      <c r="B57" s="17" t="inlineStr">
        <is>
          <t>workspaces</t>
        </is>
      </c>
      <c r="C57" s="41">
        <f>C48*Assumptions!$B$116*Assumptions!$B$117*Assumptions!$B$45*(1+Assumptions!$B$55*C30)</f>
        <v/>
      </c>
      <c r="D57" s="41">
        <f>D48*Assumptions!$B$116*Assumptions!$B$117*Assumptions!$B$45*(1+Assumptions!$B$55*D30)</f>
        <v/>
      </c>
      <c r="E57" s="41">
        <f>E48*Assumptions!$B$116*Assumptions!$B$117*Assumptions!$B$45*(1+Assumptions!$B$55*E30)</f>
        <v/>
      </c>
      <c r="F57" s="41">
        <f>F48*Assumptions!$B$116*Assumptions!$B$117*Assumptions!$B$45*(1+Assumptions!$B$55*F30)</f>
        <v/>
      </c>
      <c r="G57" s="41">
        <f>G48*Assumptions!$B$116*Assumptions!$B$117*Assumptions!$B$45*(1+Assumptions!$B$55*G30)</f>
        <v/>
      </c>
      <c r="H57" s="41">
        <f>H48*Assumptions!$B$116*Assumptions!$B$117*Assumptions!$B$45*(1+Assumptions!$B$55*H30)</f>
        <v/>
      </c>
      <c r="I57" s="41">
        <f>I48*Assumptions!$B$116*Assumptions!$B$117*Assumptions!$B$45*(1+Assumptions!$B$55*I30)</f>
        <v/>
      </c>
      <c r="J57" s="41">
        <f>J48*Assumptions!$B$116*Assumptions!$B$117*Assumptions!$B$45*(1+Assumptions!$B$55*J30)</f>
        <v/>
      </c>
      <c r="K57" s="41">
        <f>K48*Assumptions!$B$116*Assumptions!$B$117*Assumptions!$B$45*(1+Assumptions!$B$55*K30)</f>
        <v/>
      </c>
      <c r="L57" s="41">
        <f>L48*Assumptions!$B$116*Assumptions!$B$117*Assumptions!$B$45*(1+Assumptions!$B$55*L30)</f>
        <v/>
      </c>
      <c r="M57" s="41">
        <f>M48*Assumptions!$B$116*Assumptions!$B$117*Assumptions!$B$45*(1+Assumptions!$B$55*M30)</f>
        <v/>
      </c>
      <c r="N57" s="41">
        <f>N48*Assumptions!$B$116*Assumptions!$B$117*Assumptions!$B$45*(1+Assumptions!$B$55*N30)</f>
        <v/>
      </c>
      <c r="O57" s="41">
        <f>O48*Assumptions!$B$116*Assumptions!$B$117*Assumptions!$B$45*(1+Assumptions!$B$55*O30)</f>
        <v/>
      </c>
      <c r="P57" s="41">
        <f>P48*Assumptions!$B$116*Assumptions!$B$117*Assumptions!$B$45*(1+Assumptions!$B$55*P30)</f>
        <v/>
      </c>
      <c r="Q57" s="41">
        <f>Q48*Assumptions!$B$116*Assumptions!$B$117*Assumptions!$B$45*(1+Assumptions!$B$55*Q30)</f>
        <v/>
      </c>
      <c r="R57" s="41">
        <f>R48*Assumptions!$B$116*Assumptions!$B$117*Assumptions!$B$45*(1+Assumptions!$B$55*R30)</f>
        <v/>
      </c>
      <c r="S57" s="41">
        <f>S48*Assumptions!$B$116*Assumptions!$B$117*Assumptions!$B$45*(1+Assumptions!$B$55*S30)</f>
        <v/>
      </c>
      <c r="T57" s="41">
        <f>T48*Assumptions!$B$116*Assumptions!$B$117*Assumptions!$B$45*(1+Assumptions!$B$55*T30)</f>
        <v/>
      </c>
      <c r="U57" s="41">
        <f>U48*Assumptions!$B$116*Assumptions!$B$117*Assumptions!$B$45*(1+Assumptions!$B$55*U30)</f>
        <v/>
      </c>
      <c r="V57" s="41">
        <f>V48*Assumptions!$B$116*Assumptions!$B$117*Assumptions!$B$45*(1+Assumptions!$B$55*V30)</f>
        <v/>
      </c>
      <c r="W57" s="41">
        <f>W48*Assumptions!$B$116*Assumptions!$B$117*Assumptions!$B$45*(1+Assumptions!$B$55*W30)</f>
        <v/>
      </c>
      <c r="X57" s="41">
        <f>X48*Assumptions!$B$116*Assumptions!$B$117*Assumptions!$B$45*(1+Assumptions!$B$55*X30)</f>
        <v/>
      </c>
      <c r="Y57" s="41">
        <f>Y48*Assumptions!$B$116*Assumptions!$B$117*Assumptions!$B$45*(1+Assumptions!$B$55*Y30)</f>
        <v/>
      </c>
      <c r="Z57" s="41">
        <f>Z48*Assumptions!$B$116*Assumptions!$B$117*Assumptions!$B$45*(1+Assumptions!$B$55*Z30)</f>
        <v/>
      </c>
      <c r="AA57" s="41">
        <f>AA48*Assumptions!$B$116*Assumptions!$B$117*Assumptions!$B$45*(1+Assumptions!$B$55*AA30)</f>
        <v/>
      </c>
      <c r="AB57" s="41">
        <f>AB48*Assumptions!$B$116*Assumptions!$B$117*Assumptions!$B$45*(1+Assumptions!$B$55*AB30)</f>
        <v/>
      </c>
      <c r="AC57" s="41">
        <f>AC48*Assumptions!$B$116*Assumptions!$B$117*Assumptions!$B$45*(1+Assumptions!$B$55*AC30)</f>
        <v/>
      </c>
      <c r="AD57" s="41">
        <f>AD48*Assumptions!$B$116*Assumptions!$B$117*Assumptions!$B$45*(1+Assumptions!$B$55*AD30)</f>
        <v/>
      </c>
      <c r="AE57" s="41">
        <f>AE48*Assumptions!$B$116*Assumptions!$B$117*Assumptions!$B$45*(1+Assumptions!$B$55*AE30)</f>
        <v/>
      </c>
      <c r="AF57" s="41">
        <f>AF48*Assumptions!$B$116*Assumptions!$B$117*Assumptions!$B$45*(1+Assumptions!$B$55*AF30)</f>
        <v/>
      </c>
      <c r="AG57" s="41">
        <f>AG48*Assumptions!$B$116*Assumptions!$B$117*Assumptions!$B$45*(1+Assumptions!$B$55*AG30)</f>
        <v/>
      </c>
      <c r="AH57" s="41">
        <f>AH48*Assumptions!$B$116*Assumptions!$B$117*Assumptions!$B$45*(1+Assumptions!$B$55*AH30)</f>
        <v/>
      </c>
      <c r="AI57" s="41">
        <f>AI48*Assumptions!$B$116*Assumptions!$B$117*Assumptions!$B$45*(1+Assumptions!$B$55*AI30)</f>
        <v/>
      </c>
      <c r="AJ57" s="41">
        <f>AJ48*Assumptions!$B$116*Assumptions!$B$117*Assumptions!$B$45*(1+Assumptions!$B$55*AJ30)</f>
        <v/>
      </c>
      <c r="AK57" s="41">
        <f>AK48*Assumptions!$B$116*Assumptions!$B$117*Assumptions!$B$45*(1+Assumptions!$B$55*AK30)</f>
        <v/>
      </c>
      <c r="AL57" s="41">
        <f>AL48*Assumptions!$B$116*Assumptions!$B$117*Assumptions!$B$45*(1+Assumptions!$B$55*AL30)</f>
        <v/>
      </c>
      <c r="AM57" s="41">
        <f>AM48*Assumptions!$B$116*Assumptions!$B$117*Assumptions!$B$45*(1+Assumptions!$B$55*AM30)</f>
        <v/>
      </c>
      <c r="AN57" s="41">
        <f>AN48*Assumptions!$B$116*Assumptions!$B$117*Assumptions!$B$45*(1+Assumptions!$B$55*AN30)</f>
        <v/>
      </c>
      <c r="AO57" s="41">
        <f>AO48*Assumptions!$B$116*Assumptions!$B$117*Assumptions!$B$45*(1+Assumptions!$B$55*AO30)</f>
        <v/>
      </c>
      <c r="AP57" s="41">
        <f>AP48*Assumptions!$B$116*Assumptions!$B$117*Assumptions!$B$45*(1+Assumptions!$B$55*AP30)</f>
        <v/>
      </c>
      <c r="AQ57" s="41">
        <f>AQ48*Assumptions!$B$116*Assumptions!$B$117*Assumptions!$B$45*(1+Assumptions!$B$55*AQ30)</f>
        <v/>
      </c>
      <c r="AR57" s="41">
        <f>AR48*Assumptions!$B$116*Assumptions!$B$117*Assumptions!$B$45*(1+Assumptions!$B$55*AR30)</f>
        <v/>
      </c>
      <c r="AS57" s="41">
        <f>AS48*Assumptions!$B$116*Assumptions!$B$117*Assumptions!$B$45*(1+Assumptions!$B$55*AS30)</f>
        <v/>
      </c>
      <c r="AT57" s="41">
        <f>AT48*Assumptions!$B$116*Assumptions!$B$117*Assumptions!$B$45*(1+Assumptions!$B$55*AT30)</f>
        <v/>
      </c>
      <c r="AU57" s="41">
        <f>AU48*Assumptions!$B$116*Assumptions!$B$117*Assumptions!$B$45*(1+Assumptions!$B$55*AU30)</f>
        <v/>
      </c>
      <c r="AV57" s="41">
        <f>AV48*Assumptions!$B$116*Assumptions!$B$117*Assumptions!$B$45*(1+Assumptions!$B$55*AV30)</f>
        <v/>
      </c>
      <c r="AW57" s="41">
        <f>AW48*Assumptions!$B$116*Assumptions!$B$117*Assumptions!$B$45*(1+Assumptions!$B$55*AW30)</f>
        <v/>
      </c>
      <c r="AX57" s="41">
        <f>AX48*Assumptions!$B$116*Assumptions!$B$117*Assumptions!$B$45*(1+Assumptions!$B$55*AX30)</f>
        <v/>
      </c>
      <c r="AY57" s="41">
        <f>AY48*Assumptions!$B$116*Assumptions!$B$117*Assumptions!$B$45*(1+Assumptions!$B$55*AY30)</f>
        <v/>
      </c>
      <c r="AZ57" s="41">
        <f>AZ48*Assumptions!$B$116*Assumptions!$B$117*Assumptions!$B$45*(1+Assumptions!$B$55*AZ30)</f>
        <v/>
      </c>
      <c r="BA57" s="41">
        <f>BA48*Assumptions!$B$116*Assumptions!$B$117*Assumptions!$B$45*(1+Assumptions!$B$55*BA30)</f>
        <v/>
      </c>
      <c r="BB57" s="41">
        <f>BB48*Assumptions!$B$116*Assumptions!$B$117*Assumptions!$B$45*(1+Assumptions!$B$55*BB30)</f>
        <v/>
      </c>
      <c r="BC57" s="41">
        <f>BC48*Assumptions!$B$116*Assumptions!$B$117*Assumptions!$B$45*(1+Assumptions!$B$55*BC30)</f>
        <v/>
      </c>
      <c r="BD57" s="41">
        <f>BD48*Assumptions!$B$116*Assumptions!$B$117*Assumptions!$B$45*(1+Assumptions!$B$55*BD30)</f>
        <v/>
      </c>
      <c r="BE57" s="41">
        <f>BE48*Assumptions!$B$116*Assumptions!$B$117*Assumptions!$B$45*(1+Assumptions!$B$55*BE30)</f>
        <v/>
      </c>
      <c r="BF57" s="41">
        <f>BF48*Assumptions!$B$116*Assumptions!$B$117*Assumptions!$B$45*(1+Assumptions!$B$55*BF30)</f>
        <v/>
      </c>
      <c r="BG57" s="41">
        <f>BG48*Assumptions!$B$116*Assumptions!$B$117*Assumptions!$B$45*(1+Assumptions!$B$55*BG30)</f>
        <v/>
      </c>
      <c r="BH57" s="41">
        <f>BH48*Assumptions!$B$116*Assumptions!$B$117*Assumptions!$B$45*(1+Assumptions!$B$55*BH30)</f>
        <v/>
      </c>
      <c r="BI57" s="41">
        <f>BI48*Assumptions!$B$116*Assumptions!$B$117*Assumptions!$B$45*(1+Assumptions!$B$55*BI30)</f>
        <v/>
      </c>
      <c r="BJ57" s="41">
        <f>BJ48*Assumptions!$B$116*Assumptions!$B$117*Assumptions!$B$45*(1+Assumptions!$B$55*BJ30)</f>
        <v/>
      </c>
    </row>
    <row r="58">
      <c r="A58" s="4" t="inlineStr">
        <is>
          <t>SME direct paid sign-ups wanted: South Africa</t>
        </is>
      </c>
      <c r="B58" s="17" t="inlineStr">
        <is>
          <t>workspaces</t>
        </is>
      </c>
      <c r="C58" s="41">
        <f>C48*(1-Assumptions!$B$116)*Assumptions!$B$118*Assumptions!$B$45*(1+Assumptions!$B$55*C30)</f>
        <v/>
      </c>
      <c r="D58" s="41">
        <f>D48*(1-Assumptions!$B$116)*Assumptions!$B$118*Assumptions!$B$45*(1+Assumptions!$B$55*D30)</f>
        <v/>
      </c>
      <c r="E58" s="41">
        <f>E48*(1-Assumptions!$B$116)*Assumptions!$B$118*Assumptions!$B$45*(1+Assumptions!$B$55*E30)</f>
        <v/>
      </c>
      <c r="F58" s="41">
        <f>F48*(1-Assumptions!$B$116)*Assumptions!$B$118*Assumptions!$B$45*(1+Assumptions!$B$55*F30)</f>
        <v/>
      </c>
      <c r="G58" s="41">
        <f>G48*(1-Assumptions!$B$116)*Assumptions!$B$118*Assumptions!$B$45*(1+Assumptions!$B$55*G30)</f>
        <v/>
      </c>
      <c r="H58" s="41">
        <f>H48*(1-Assumptions!$B$116)*Assumptions!$B$118*Assumptions!$B$45*(1+Assumptions!$B$55*H30)</f>
        <v/>
      </c>
      <c r="I58" s="41">
        <f>I48*(1-Assumptions!$B$116)*Assumptions!$B$118*Assumptions!$B$45*(1+Assumptions!$B$55*I30)</f>
        <v/>
      </c>
      <c r="J58" s="41">
        <f>J48*(1-Assumptions!$B$116)*Assumptions!$B$118*Assumptions!$B$45*(1+Assumptions!$B$55*J30)</f>
        <v/>
      </c>
      <c r="K58" s="41">
        <f>K48*(1-Assumptions!$B$116)*Assumptions!$B$118*Assumptions!$B$45*(1+Assumptions!$B$55*K30)</f>
        <v/>
      </c>
      <c r="L58" s="41">
        <f>L48*(1-Assumptions!$B$116)*Assumptions!$B$118*Assumptions!$B$45*(1+Assumptions!$B$55*L30)</f>
        <v/>
      </c>
      <c r="M58" s="41">
        <f>M48*(1-Assumptions!$B$116)*Assumptions!$B$118*Assumptions!$B$45*(1+Assumptions!$B$55*M30)</f>
        <v/>
      </c>
      <c r="N58" s="41">
        <f>N48*(1-Assumptions!$B$116)*Assumptions!$B$118*Assumptions!$B$45*(1+Assumptions!$B$55*N30)</f>
        <v/>
      </c>
      <c r="O58" s="41">
        <f>O48*(1-Assumptions!$B$116)*Assumptions!$B$118*Assumptions!$B$45*(1+Assumptions!$B$55*O30)</f>
        <v/>
      </c>
      <c r="P58" s="41">
        <f>P48*(1-Assumptions!$B$116)*Assumptions!$B$118*Assumptions!$B$45*(1+Assumptions!$B$55*P30)</f>
        <v/>
      </c>
      <c r="Q58" s="41">
        <f>Q48*(1-Assumptions!$B$116)*Assumptions!$B$118*Assumptions!$B$45*(1+Assumptions!$B$55*Q30)</f>
        <v/>
      </c>
      <c r="R58" s="41">
        <f>R48*(1-Assumptions!$B$116)*Assumptions!$B$118*Assumptions!$B$45*(1+Assumptions!$B$55*R30)</f>
        <v/>
      </c>
      <c r="S58" s="41">
        <f>S48*(1-Assumptions!$B$116)*Assumptions!$B$118*Assumptions!$B$45*(1+Assumptions!$B$55*S30)</f>
        <v/>
      </c>
      <c r="T58" s="41">
        <f>T48*(1-Assumptions!$B$116)*Assumptions!$B$118*Assumptions!$B$45*(1+Assumptions!$B$55*T30)</f>
        <v/>
      </c>
      <c r="U58" s="41">
        <f>U48*(1-Assumptions!$B$116)*Assumptions!$B$118*Assumptions!$B$45*(1+Assumptions!$B$55*U30)</f>
        <v/>
      </c>
      <c r="V58" s="41">
        <f>V48*(1-Assumptions!$B$116)*Assumptions!$B$118*Assumptions!$B$45*(1+Assumptions!$B$55*V30)</f>
        <v/>
      </c>
      <c r="W58" s="41">
        <f>W48*(1-Assumptions!$B$116)*Assumptions!$B$118*Assumptions!$B$45*(1+Assumptions!$B$55*W30)</f>
        <v/>
      </c>
      <c r="X58" s="41">
        <f>X48*(1-Assumptions!$B$116)*Assumptions!$B$118*Assumptions!$B$45*(1+Assumptions!$B$55*X30)</f>
        <v/>
      </c>
      <c r="Y58" s="41">
        <f>Y48*(1-Assumptions!$B$116)*Assumptions!$B$118*Assumptions!$B$45*(1+Assumptions!$B$55*Y30)</f>
        <v/>
      </c>
      <c r="Z58" s="41">
        <f>Z48*(1-Assumptions!$B$116)*Assumptions!$B$118*Assumptions!$B$45*(1+Assumptions!$B$55*Z30)</f>
        <v/>
      </c>
      <c r="AA58" s="41">
        <f>AA48*(1-Assumptions!$B$116)*Assumptions!$B$118*Assumptions!$B$45*(1+Assumptions!$B$55*AA30)</f>
        <v/>
      </c>
      <c r="AB58" s="41">
        <f>AB48*(1-Assumptions!$B$116)*Assumptions!$B$118*Assumptions!$B$45*(1+Assumptions!$B$55*AB30)</f>
        <v/>
      </c>
      <c r="AC58" s="41">
        <f>AC48*(1-Assumptions!$B$116)*Assumptions!$B$118*Assumptions!$B$45*(1+Assumptions!$B$55*AC30)</f>
        <v/>
      </c>
      <c r="AD58" s="41">
        <f>AD48*(1-Assumptions!$B$116)*Assumptions!$B$118*Assumptions!$B$45*(1+Assumptions!$B$55*AD30)</f>
        <v/>
      </c>
      <c r="AE58" s="41">
        <f>AE48*(1-Assumptions!$B$116)*Assumptions!$B$118*Assumptions!$B$45*(1+Assumptions!$B$55*AE30)</f>
        <v/>
      </c>
      <c r="AF58" s="41">
        <f>AF48*(1-Assumptions!$B$116)*Assumptions!$B$118*Assumptions!$B$45*(1+Assumptions!$B$55*AF30)</f>
        <v/>
      </c>
      <c r="AG58" s="41">
        <f>AG48*(1-Assumptions!$B$116)*Assumptions!$B$118*Assumptions!$B$45*(1+Assumptions!$B$55*AG30)</f>
        <v/>
      </c>
      <c r="AH58" s="41">
        <f>AH48*(1-Assumptions!$B$116)*Assumptions!$B$118*Assumptions!$B$45*(1+Assumptions!$B$55*AH30)</f>
        <v/>
      </c>
      <c r="AI58" s="41">
        <f>AI48*(1-Assumptions!$B$116)*Assumptions!$B$118*Assumptions!$B$45*(1+Assumptions!$B$55*AI30)</f>
        <v/>
      </c>
      <c r="AJ58" s="41">
        <f>AJ48*(1-Assumptions!$B$116)*Assumptions!$B$118*Assumptions!$B$45*(1+Assumptions!$B$55*AJ30)</f>
        <v/>
      </c>
      <c r="AK58" s="41">
        <f>AK48*(1-Assumptions!$B$116)*Assumptions!$B$118*Assumptions!$B$45*(1+Assumptions!$B$55*AK30)</f>
        <v/>
      </c>
      <c r="AL58" s="41">
        <f>AL48*(1-Assumptions!$B$116)*Assumptions!$B$118*Assumptions!$B$45*(1+Assumptions!$B$55*AL30)</f>
        <v/>
      </c>
      <c r="AM58" s="41">
        <f>AM48*(1-Assumptions!$B$116)*Assumptions!$B$118*Assumptions!$B$45*(1+Assumptions!$B$55*AM30)</f>
        <v/>
      </c>
      <c r="AN58" s="41">
        <f>AN48*(1-Assumptions!$B$116)*Assumptions!$B$118*Assumptions!$B$45*(1+Assumptions!$B$55*AN30)</f>
        <v/>
      </c>
      <c r="AO58" s="41">
        <f>AO48*(1-Assumptions!$B$116)*Assumptions!$B$118*Assumptions!$B$45*(1+Assumptions!$B$55*AO30)</f>
        <v/>
      </c>
      <c r="AP58" s="41">
        <f>AP48*(1-Assumptions!$B$116)*Assumptions!$B$118*Assumptions!$B$45*(1+Assumptions!$B$55*AP30)</f>
        <v/>
      </c>
      <c r="AQ58" s="41">
        <f>AQ48*(1-Assumptions!$B$116)*Assumptions!$B$118*Assumptions!$B$45*(1+Assumptions!$B$55*AQ30)</f>
        <v/>
      </c>
      <c r="AR58" s="41">
        <f>AR48*(1-Assumptions!$B$116)*Assumptions!$B$118*Assumptions!$B$45*(1+Assumptions!$B$55*AR30)</f>
        <v/>
      </c>
      <c r="AS58" s="41">
        <f>AS48*(1-Assumptions!$B$116)*Assumptions!$B$118*Assumptions!$B$45*(1+Assumptions!$B$55*AS30)</f>
        <v/>
      </c>
      <c r="AT58" s="41">
        <f>AT48*(1-Assumptions!$B$116)*Assumptions!$B$118*Assumptions!$B$45*(1+Assumptions!$B$55*AT30)</f>
        <v/>
      </c>
      <c r="AU58" s="41">
        <f>AU48*(1-Assumptions!$B$116)*Assumptions!$B$118*Assumptions!$B$45*(1+Assumptions!$B$55*AU30)</f>
        <v/>
      </c>
      <c r="AV58" s="41">
        <f>AV48*(1-Assumptions!$B$116)*Assumptions!$B$118*Assumptions!$B$45*(1+Assumptions!$B$55*AV30)</f>
        <v/>
      </c>
      <c r="AW58" s="41">
        <f>AW48*(1-Assumptions!$B$116)*Assumptions!$B$118*Assumptions!$B$45*(1+Assumptions!$B$55*AW30)</f>
        <v/>
      </c>
      <c r="AX58" s="41">
        <f>AX48*(1-Assumptions!$B$116)*Assumptions!$B$118*Assumptions!$B$45*(1+Assumptions!$B$55*AX30)</f>
        <v/>
      </c>
      <c r="AY58" s="41">
        <f>AY48*(1-Assumptions!$B$116)*Assumptions!$B$118*Assumptions!$B$45*(1+Assumptions!$B$55*AY30)</f>
        <v/>
      </c>
      <c r="AZ58" s="41">
        <f>AZ48*(1-Assumptions!$B$116)*Assumptions!$B$118*Assumptions!$B$45*(1+Assumptions!$B$55*AZ30)</f>
        <v/>
      </c>
      <c r="BA58" s="41">
        <f>BA48*(1-Assumptions!$B$116)*Assumptions!$B$118*Assumptions!$B$45*(1+Assumptions!$B$55*BA30)</f>
        <v/>
      </c>
      <c r="BB58" s="41">
        <f>BB48*(1-Assumptions!$B$116)*Assumptions!$B$118*Assumptions!$B$45*(1+Assumptions!$B$55*BB30)</f>
        <v/>
      </c>
      <c r="BC58" s="41">
        <f>BC48*(1-Assumptions!$B$116)*Assumptions!$B$118*Assumptions!$B$45*(1+Assumptions!$B$55*BC30)</f>
        <v/>
      </c>
      <c r="BD58" s="41">
        <f>BD48*(1-Assumptions!$B$116)*Assumptions!$B$118*Assumptions!$B$45*(1+Assumptions!$B$55*BD30)</f>
        <v/>
      </c>
      <c r="BE58" s="41">
        <f>BE48*(1-Assumptions!$B$116)*Assumptions!$B$118*Assumptions!$B$45*(1+Assumptions!$B$55*BE30)</f>
        <v/>
      </c>
      <c r="BF58" s="41">
        <f>BF48*(1-Assumptions!$B$116)*Assumptions!$B$118*Assumptions!$B$45*(1+Assumptions!$B$55*BF30)</f>
        <v/>
      </c>
      <c r="BG58" s="41">
        <f>BG48*(1-Assumptions!$B$116)*Assumptions!$B$118*Assumptions!$B$45*(1+Assumptions!$B$55*BG30)</f>
        <v/>
      </c>
      <c r="BH58" s="41">
        <f>BH48*(1-Assumptions!$B$116)*Assumptions!$B$118*Assumptions!$B$45*(1+Assumptions!$B$55*BH30)</f>
        <v/>
      </c>
      <c r="BI58" s="41">
        <f>BI48*(1-Assumptions!$B$116)*Assumptions!$B$118*Assumptions!$B$45*(1+Assumptions!$B$55*BI30)</f>
        <v/>
      </c>
      <c r="BJ58" s="41">
        <f>BJ48*(1-Assumptions!$B$116)*Assumptions!$B$118*Assumptions!$B$45*(1+Assumptions!$B$55*BJ30)</f>
        <v/>
      </c>
    </row>
    <row r="59">
      <c r="A59" s="4" t="inlineStr">
        <is>
          <t>Solo direct paid sign-ups wanted: Nigeria</t>
        </is>
      </c>
      <c r="B59" s="17" t="inlineStr">
        <is>
          <t>workspaces</t>
        </is>
      </c>
      <c r="C59" s="41">
        <f>C49*Assumptions!$B$116*Assumptions!$B$117*Assumptions!$B$45</f>
        <v/>
      </c>
      <c r="D59" s="41">
        <f>D49*Assumptions!$B$116*Assumptions!$B$117*Assumptions!$B$45</f>
        <v/>
      </c>
      <c r="E59" s="41">
        <f>E49*Assumptions!$B$116*Assumptions!$B$117*Assumptions!$B$45</f>
        <v/>
      </c>
      <c r="F59" s="41">
        <f>F49*Assumptions!$B$116*Assumptions!$B$117*Assumptions!$B$45</f>
        <v/>
      </c>
      <c r="G59" s="41">
        <f>G49*Assumptions!$B$116*Assumptions!$B$117*Assumptions!$B$45</f>
        <v/>
      </c>
      <c r="H59" s="41">
        <f>H49*Assumptions!$B$116*Assumptions!$B$117*Assumptions!$B$45</f>
        <v/>
      </c>
      <c r="I59" s="41">
        <f>I49*Assumptions!$B$116*Assumptions!$B$117*Assumptions!$B$45</f>
        <v/>
      </c>
      <c r="J59" s="41">
        <f>J49*Assumptions!$B$116*Assumptions!$B$117*Assumptions!$B$45</f>
        <v/>
      </c>
      <c r="K59" s="41">
        <f>K49*Assumptions!$B$116*Assumptions!$B$117*Assumptions!$B$45</f>
        <v/>
      </c>
      <c r="L59" s="41">
        <f>L49*Assumptions!$B$116*Assumptions!$B$117*Assumptions!$B$45</f>
        <v/>
      </c>
      <c r="M59" s="41">
        <f>M49*Assumptions!$B$116*Assumptions!$B$117*Assumptions!$B$45</f>
        <v/>
      </c>
      <c r="N59" s="41">
        <f>N49*Assumptions!$B$116*Assumptions!$B$117*Assumptions!$B$45</f>
        <v/>
      </c>
      <c r="O59" s="41">
        <f>O49*Assumptions!$B$116*Assumptions!$B$117*Assumptions!$B$45</f>
        <v/>
      </c>
      <c r="P59" s="41">
        <f>P49*Assumptions!$B$116*Assumptions!$B$117*Assumptions!$B$45</f>
        <v/>
      </c>
      <c r="Q59" s="41">
        <f>Q49*Assumptions!$B$116*Assumptions!$B$117*Assumptions!$B$45</f>
        <v/>
      </c>
      <c r="R59" s="41">
        <f>R49*Assumptions!$B$116*Assumptions!$B$117*Assumptions!$B$45</f>
        <v/>
      </c>
      <c r="S59" s="41">
        <f>S49*Assumptions!$B$116*Assumptions!$B$117*Assumptions!$B$45</f>
        <v/>
      </c>
      <c r="T59" s="41">
        <f>T49*Assumptions!$B$116*Assumptions!$B$117*Assumptions!$B$45</f>
        <v/>
      </c>
      <c r="U59" s="41">
        <f>U49*Assumptions!$B$116*Assumptions!$B$117*Assumptions!$B$45</f>
        <v/>
      </c>
      <c r="V59" s="41">
        <f>V49*Assumptions!$B$116*Assumptions!$B$117*Assumptions!$B$45</f>
        <v/>
      </c>
      <c r="W59" s="41">
        <f>W49*Assumptions!$B$116*Assumptions!$B$117*Assumptions!$B$45</f>
        <v/>
      </c>
      <c r="X59" s="41">
        <f>X49*Assumptions!$B$116*Assumptions!$B$117*Assumptions!$B$45</f>
        <v/>
      </c>
      <c r="Y59" s="41">
        <f>Y49*Assumptions!$B$116*Assumptions!$B$117*Assumptions!$B$45</f>
        <v/>
      </c>
      <c r="Z59" s="41">
        <f>Z49*Assumptions!$B$116*Assumptions!$B$117*Assumptions!$B$45</f>
        <v/>
      </c>
      <c r="AA59" s="41">
        <f>AA49*Assumptions!$B$116*Assumptions!$B$117*Assumptions!$B$45</f>
        <v/>
      </c>
      <c r="AB59" s="41">
        <f>AB49*Assumptions!$B$116*Assumptions!$B$117*Assumptions!$B$45</f>
        <v/>
      </c>
      <c r="AC59" s="41">
        <f>AC49*Assumptions!$B$116*Assumptions!$B$117*Assumptions!$B$45</f>
        <v/>
      </c>
      <c r="AD59" s="41">
        <f>AD49*Assumptions!$B$116*Assumptions!$B$117*Assumptions!$B$45</f>
        <v/>
      </c>
      <c r="AE59" s="41">
        <f>AE49*Assumptions!$B$116*Assumptions!$B$117*Assumptions!$B$45</f>
        <v/>
      </c>
      <c r="AF59" s="41">
        <f>AF49*Assumptions!$B$116*Assumptions!$B$117*Assumptions!$B$45</f>
        <v/>
      </c>
      <c r="AG59" s="41">
        <f>AG49*Assumptions!$B$116*Assumptions!$B$117*Assumptions!$B$45</f>
        <v/>
      </c>
      <c r="AH59" s="41">
        <f>AH49*Assumptions!$B$116*Assumptions!$B$117*Assumptions!$B$45</f>
        <v/>
      </c>
      <c r="AI59" s="41">
        <f>AI49*Assumptions!$B$116*Assumptions!$B$117*Assumptions!$B$45</f>
        <v/>
      </c>
      <c r="AJ59" s="41">
        <f>AJ49*Assumptions!$B$116*Assumptions!$B$117*Assumptions!$B$45</f>
        <v/>
      </c>
      <c r="AK59" s="41">
        <f>AK49*Assumptions!$B$116*Assumptions!$B$117*Assumptions!$B$45</f>
        <v/>
      </c>
      <c r="AL59" s="41">
        <f>AL49*Assumptions!$B$116*Assumptions!$B$117*Assumptions!$B$45</f>
        <v/>
      </c>
      <c r="AM59" s="41">
        <f>AM49*Assumptions!$B$116*Assumptions!$B$117*Assumptions!$B$45</f>
        <v/>
      </c>
      <c r="AN59" s="41">
        <f>AN49*Assumptions!$B$116*Assumptions!$B$117*Assumptions!$B$45</f>
        <v/>
      </c>
      <c r="AO59" s="41">
        <f>AO49*Assumptions!$B$116*Assumptions!$B$117*Assumptions!$B$45</f>
        <v/>
      </c>
      <c r="AP59" s="41">
        <f>AP49*Assumptions!$B$116*Assumptions!$B$117*Assumptions!$B$45</f>
        <v/>
      </c>
      <c r="AQ59" s="41">
        <f>AQ49*Assumptions!$B$116*Assumptions!$B$117*Assumptions!$B$45</f>
        <v/>
      </c>
      <c r="AR59" s="41">
        <f>AR49*Assumptions!$B$116*Assumptions!$B$117*Assumptions!$B$45</f>
        <v/>
      </c>
      <c r="AS59" s="41">
        <f>AS49*Assumptions!$B$116*Assumptions!$B$117*Assumptions!$B$45</f>
        <v/>
      </c>
      <c r="AT59" s="41">
        <f>AT49*Assumptions!$B$116*Assumptions!$B$117*Assumptions!$B$45</f>
        <v/>
      </c>
      <c r="AU59" s="41">
        <f>AU49*Assumptions!$B$116*Assumptions!$B$117*Assumptions!$B$45</f>
        <v/>
      </c>
      <c r="AV59" s="41">
        <f>AV49*Assumptions!$B$116*Assumptions!$B$117*Assumptions!$B$45</f>
        <v/>
      </c>
      <c r="AW59" s="41">
        <f>AW49*Assumptions!$B$116*Assumptions!$B$117*Assumptions!$B$45</f>
        <v/>
      </c>
      <c r="AX59" s="41">
        <f>AX49*Assumptions!$B$116*Assumptions!$B$117*Assumptions!$B$45</f>
        <v/>
      </c>
      <c r="AY59" s="41">
        <f>AY49*Assumptions!$B$116*Assumptions!$B$117*Assumptions!$B$45</f>
        <v/>
      </c>
      <c r="AZ59" s="41">
        <f>AZ49*Assumptions!$B$116*Assumptions!$B$117*Assumptions!$B$45</f>
        <v/>
      </c>
      <c r="BA59" s="41">
        <f>BA49*Assumptions!$B$116*Assumptions!$B$117*Assumptions!$B$45</f>
        <v/>
      </c>
      <c r="BB59" s="41">
        <f>BB49*Assumptions!$B$116*Assumptions!$B$117*Assumptions!$B$45</f>
        <v/>
      </c>
      <c r="BC59" s="41">
        <f>BC49*Assumptions!$B$116*Assumptions!$B$117*Assumptions!$B$45</f>
        <v/>
      </c>
      <c r="BD59" s="41">
        <f>BD49*Assumptions!$B$116*Assumptions!$B$117*Assumptions!$B$45</f>
        <v/>
      </c>
      <c r="BE59" s="41">
        <f>BE49*Assumptions!$B$116*Assumptions!$B$117*Assumptions!$B$45</f>
        <v/>
      </c>
      <c r="BF59" s="41">
        <f>BF49*Assumptions!$B$116*Assumptions!$B$117*Assumptions!$B$45</f>
        <v/>
      </c>
      <c r="BG59" s="41">
        <f>BG49*Assumptions!$B$116*Assumptions!$B$117*Assumptions!$B$45</f>
        <v/>
      </c>
      <c r="BH59" s="41">
        <f>BH49*Assumptions!$B$116*Assumptions!$B$117*Assumptions!$B$45</f>
        <v/>
      </c>
      <c r="BI59" s="41">
        <f>BI49*Assumptions!$B$116*Assumptions!$B$117*Assumptions!$B$45</f>
        <v/>
      </c>
      <c r="BJ59" s="41">
        <f>BJ49*Assumptions!$B$116*Assumptions!$B$117*Assumptions!$B$45</f>
        <v/>
      </c>
    </row>
    <row r="60">
      <c r="A60" s="4" t="inlineStr">
        <is>
          <t>SME direct paid sign-ups wanted: Nigeria</t>
        </is>
      </c>
      <c r="B60" s="17" t="inlineStr">
        <is>
          <t>workspaces</t>
        </is>
      </c>
      <c r="C60" s="41">
        <f>C49*(1-Assumptions!$B$116)*Assumptions!$B$118*Assumptions!$B$45</f>
        <v/>
      </c>
      <c r="D60" s="41">
        <f>D49*(1-Assumptions!$B$116)*Assumptions!$B$118*Assumptions!$B$45</f>
        <v/>
      </c>
      <c r="E60" s="41">
        <f>E49*(1-Assumptions!$B$116)*Assumptions!$B$118*Assumptions!$B$45</f>
        <v/>
      </c>
      <c r="F60" s="41">
        <f>F49*(1-Assumptions!$B$116)*Assumptions!$B$118*Assumptions!$B$45</f>
        <v/>
      </c>
      <c r="G60" s="41">
        <f>G49*(1-Assumptions!$B$116)*Assumptions!$B$118*Assumptions!$B$45</f>
        <v/>
      </c>
      <c r="H60" s="41">
        <f>H49*(1-Assumptions!$B$116)*Assumptions!$B$118*Assumptions!$B$45</f>
        <v/>
      </c>
      <c r="I60" s="41">
        <f>I49*(1-Assumptions!$B$116)*Assumptions!$B$118*Assumptions!$B$45</f>
        <v/>
      </c>
      <c r="J60" s="41">
        <f>J49*(1-Assumptions!$B$116)*Assumptions!$B$118*Assumptions!$B$45</f>
        <v/>
      </c>
      <c r="K60" s="41">
        <f>K49*(1-Assumptions!$B$116)*Assumptions!$B$118*Assumptions!$B$45</f>
        <v/>
      </c>
      <c r="L60" s="41">
        <f>L49*(1-Assumptions!$B$116)*Assumptions!$B$118*Assumptions!$B$45</f>
        <v/>
      </c>
      <c r="M60" s="41">
        <f>M49*(1-Assumptions!$B$116)*Assumptions!$B$118*Assumptions!$B$45</f>
        <v/>
      </c>
      <c r="N60" s="41">
        <f>N49*(1-Assumptions!$B$116)*Assumptions!$B$118*Assumptions!$B$45</f>
        <v/>
      </c>
      <c r="O60" s="41">
        <f>O49*(1-Assumptions!$B$116)*Assumptions!$B$118*Assumptions!$B$45</f>
        <v/>
      </c>
      <c r="P60" s="41">
        <f>P49*(1-Assumptions!$B$116)*Assumptions!$B$118*Assumptions!$B$45</f>
        <v/>
      </c>
      <c r="Q60" s="41">
        <f>Q49*(1-Assumptions!$B$116)*Assumptions!$B$118*Assumptions!$B$45</f>
        <v/>
      </c>
      <c r="R60" s="41">
        <f>R49*(1-Assumptions!$B$116)*Assumptions!$B$118*Assumptions!$B$45</f>
        <v/>
      </c>
      <c r="S60" s="41">
        <f>S49*(1-Assumptions!$B$116)*Assumptions!$B$118*Assumptions!$B$45</f>
        <v/>
      </c>
      <c r="T60" s="41">
        <f>T49*(1-Assumptions!$B$116)*Assumptions!$B$118*Assumptions!$B$45</f>
        <v/>
      </c>
      <c r="U60" s="41">
        <f>U49*(1-Assumptions!$B$116)*Assumptions!$B$118*Assumptions!$B$45</f>
        <v/>
      </c>
      <c r="V60" s="41">
        <f>V49*(1-Assumptions!$B$116)*Assumptions!$B$118*Assumptions!$B$45</f>
        <v/>
      </c>
      <c r="W60" s="41">
        <f>W49*(1-Assumptions!$B$116)*Assumptions!$B$118*Assumptions!$B$45</f>
        <v/>
      </c>
      <c r="X60" s="41">
        <f>X49*(1-Assumptions!$B$116)*Assumptions!$B$118*Assumptions!$B$45</f>
        <v/>
      </c>
      <c r="Y60" s="41">
        <f>Y49*(1-Assumptions!$B$116)*Assumptions!$B$118*Assumptions!$B$45</f>
        <v/>
      </c>
      <c r="Z60" s="41">
        <f>Z49*(1-Assumptions!$B$116)*Assumptions!$B$118*Assumptions!$B$45</f>
        <v/>
      </c>
      <c r="AA60" s="41">
        <f>AA49*(1-Assumptions!$B$116)*Assumptions!$B$118*Assumptions!$B$45</f>
        <v/>
      </c>
      <c r="AB60" s="41">
        <f>AB49*(1-Assumptions!$B$116)*Assumptions!$B$118*Assumptions!$B$45</f>
        <v/>
      </c>
      <c r="AC60" s="41">
        <f>AC49*(1-Assumptions!$B$116)*Assumptions!$B$118*Assumptions!$B$45</f>
        <v/>
      </c>
      <c r="AD60" s="41">
        <f>AD49*(1-Assumptions!$B$116)*Assumptions!$B$118*Assumptions!$B$45</f>
        <v/>
      </c>
      <c r="AE60" s="41">
        <f>AE49*(1-Assumptions!$B$116)*Assumptions!$B$118*Assumptions!$B$45</f>
        <v/>
      </c>
      <c r="AF60" s="41">
        <f>AF49*(1-Assumptions!$B$116)*Assumptions!$B$118*Assumptions!$B$45</f>
        <v/>
      </c>
      <c r="AG60" s="41">
        <f>AG49*(1-Assumptions!$B$116)*Assumptions!$B$118*Assumptions!$B$45</f>
        <v/>
      </c>
      <c r="AH60" s="41">
        <f>AH49*(1-Assumptions!$B$116)*Assumptions!$B$118*Assumptions!$B$45</f>
        <v/>
      </c>
      <c r="AI60" s="41">
        <f>AI49*(1-Assumptions!$B$116)*Assumptions!$B$118*Assumptions!$B$45</f>
        <v/>
      </c>
      <c r="AJ60" s="41">
        <f>AJ49*(1-Assumptions!$B$116)*Assumptions!$B$118*Assumptions!$B$45</f>
        <v/>
      </c>
      <c r="AK60" s="41">
        <f>AK49*(1-Assumptions!$B$116)*Assumptions!$B$118*Assumptions!$B$45</f>
        <v/>
      </c>
      <c r="AL60" s="41">
        <f>AL49*(1-Assumptions!$B$116)*Assumptions!$B$118*Assumptions!$B$45</f>
        <v/>
      </c>
      <c r="AM60" s="41">
        <f>AM49*(1-Assumptions!$B$116)*Assumptions!$B$118*Assumptions!$B$45</f>
        <v/>
      </c>
      <c r="AN60" s="41">
        <f>AN49*(1-Assumptions!$B$116)*Assumptions!$B$118*Assumptions!$B$45</f>
        <v/>
      </c>
      <c r="AO60" s="41">
        <f>AO49*(1-Assumptions!$B$116)*Assumptions!$B$118*Assumptions!$B$45</f>
        <v/>
      </c>
      <c r="AP60" s="41">
        <f>AP49*(1-Assumptions!$B$116)*Assumptions!$B$118*Assumptions!$B$45</f>
        <v/>
      </c>
      <c r="AQ60" s="41">
        <f>AQ49*(1-Assumptions!$B$116)*Assumptions!$B$118*Assumptions!$B$45</f>
        <v/>
      </c>
      <c r="AR60" s="41">
        <f>AR49*(1-Assumptions!$B$116)*Assumptions!$B$118*Assumptions!$B$45</f>
        <v/>
      </c>
      <c r="AS60" s="41">
        <f>AS49*(1-Assumptions!$B$116)*Assumptions!$B$118*Assumptions!$B$45</f>
        <v/>
      </c>
      <c r="AT60" s="41">
        <f>AT49*(1-Assumptions!$B$116)*Assumptions!$B$118*Assumptions!$B$45</f>
        <v/>
      </c>
      <c r="AU60" s="41">
        <f>AU49*(1-Assumptions!$B$116)*Assumptions!$B$118*Assumptions!$B$45</f>
        <v/>
      </c>
      <c r="AV60" s="41">
        <f>AV49*(1-Assumptions!$B$116)*Assumptions!$B$118*Assumptions!$B$45</f>
        <v/>
      </c>
      <c r="AW60" s="41">
        <f>AW49*(1-Assumptions!$B$116)*Assumptions!$B$118*Assumptions!$B$45</f>
        <v/>
      </c>
      <c r="AX60" s="41">
        <f>AX49*(1-Assumptions!$B$116)*Assumptions!$B$118*Assumptions!$B$45</f>
        <v/>
      </c>
      <c r="AY60" s="41">
        <f>AY49*(1-Assumptions!$B$116)*Assumptions!$B$118*Assumptions!$B$45</f>
        <v/>
      </c>
      <c r="AZ60" s="41">
        <f>AZ49*(1-Assumptions!$B$116)*Assumptions!$B$118*Assumptions!$B$45</f>
        <v/>
      </c>
      <c r="BA60" s="41">
        <f>BA49*(1-Assumptions!$B$116)*Assumptions!$B$118*Assumptions!$B$45</f>
        <v/>
      </c>
      <c r="BB60" s="41">
        <f>BB49*(1-Assumptions!$B$116)*Assumptions!$B$118*Assumptions!$B$45</f>
        <v/>
      </c>
      <c r="BC60" s="41">
        <f>BC49*(1-Assumptions!$B$116)*Assumptions!$B$118*Assumptions!$B$45</f>
        <v/>
      </c>
      <c r="BD60" s="41">
        <f>BD49*(1-Assumptions!$B$116)*Assumptions!$B$118*Assumptions!$B$45</f>
        <v/>
      </c>
      <c r="BE60" s="41">
        <f>BE49*(1-Assumptions!$B$116)*Assumptions!$B$118*Assumptions!$B$45</f>
        <v/>
      </c>
      <c r="BF60" s="41">
        <f>BF49*(1-Assumptions!$B$116)*Assumptions!$B$118*Assumptions!$B$45</f>
        <v/>
      </c>
      <c r="BG60" s="41">
        <f>BG49*(1-Assumptions!$B$116)*Assumptions!$B$118*Assumptions!$B$45</f>
        <v/>
      </c>
      <c r="BH60" s="41">
        <f>BH49*(1-Assumptions!$B$116)*Assumptions!$B$118*Assumptions!$B$45</f>
        <v/>
      </c>
      <c r="BI60" s="41">
        <f>BI49*(1-Assumptions!$B$116)*Assumptions!$B$118*Assumptions!$B$45</f>
        <v/>
      </c>
      <c r="BJ60" s="41">
        <f>BJ49*(1-Assumptions!$B$116)*Assumptions!$B$118*Assumptions!$B$45</f>
        <v/>
      </c>
    </row>
    <row r="61">
      <c r="A61" s="4" t="inlineStr">
        <is>
          <t>Solo direct paid sign-ups wanted: Kenya</t>
        </is>
      </c>
      <c r="B61" s="17" t="inlineStr">
        <is>
          <t>workspaces</t>
        </is>
      </c>
      <c r="C61" s="41">
        <f>C50*Assumptions!$B$116*Assumptions!$B$117*Assumptions!$B$45</f>
        <v/>
      </c>
      <c r="D61" s="41">
        <f>D50*Assumptions!$B$116*Assumptions!$B$117*Assumptions!$B$45</f>
        <v/>
      </c>
      <c r="E61" s="41">
        <f>E50*Assumptions!$B$116*Assumptions!$B$117*Assumptions!$B$45</f>
        <v/>
      </c>
      <c r="F61" s="41">
        <f>F50*Assumptions!$B$116*Assumptions!$B$117*Assumptions!$B$45</f>
        <v/>
      </c>
      <c r="G61" s="41">
        <f>G50*Assumptions!$B$116*Assumptions!$B$117*Assumptions!$B$45</f>
        <v/>
      </c>
      <c r="H61" s="41">
        <f>H50*Assumptions!$B$116*Assumptions!$B$117*Assumptions!$B$45</f>
        <v/>
      </c>
      <c r="I61" s="41">
        <f>I50*Assumptions!$B$116*Assumptions!$B$117*Assumptions!$B$45</f>
        <v/>
      </c>
      <c r="J61" s="41">
        <f>J50*Assumptions!$B$116*Assumptions!$B$117*Assumptions!$B$45</f>
        <v/>
      </c>
      <c r="K61" s="41">
        <f>K50*Assumptions!$B$116*Assumptions!$B$117*Assumptions!$B$45</f>
        <v/>
      </c>
      <c r="L61" s="41">
        <f>L50*Assumptions!$B$116*Assumptions!$B$117*Assumptions!$B$45</f>
        <v/>
      </c>
      <c r="M61" s="41">
        <f>M50*Assumptions!$B$116*Assumptions!$B$117*Assumptions!$B$45</f>
        <v/>
      </c>
      <c r="N61" s="41">
        <f>N50*Assumptions!$B$116*Assumptions!$B$117*Assumptions!$B$45</f>
        <v/>
      </c>
      <c r="O61" s="41">
        <f>O50*Assumptions!$B$116*Assumptions!$B$117*Assumptions!$B$45</f>
        <v/>
      </c>
      <c r="P61" s="41">
        <f>P50*Assumptions!$B$116*Assumptions!$B$117*Assumptions!$B$45</f>
        <v/>
      </c>
      <c r="Q61" s="41">
        <f>Q50*Assumptions!$B$116*Assumptions!$B$117*Assumptions!$B$45</f>
        <v/>
      </c>
      <c r="R61" s="41">
        <f>R50*Assumptions!$B$116*Assumptions!$B$117*Assumptions!$B$45</f>
        <v/>
      </c>
      <c r="S61" s="41">
        <f>S50*Assumptions!$B$116*Assumptions!$B$117*Assumptions!$B$45</f>
        <v/>
      </c>
      <c r="T61" s="41">
        <f>T50*Assumptions!$B$116*Assumptions!$B$117*Assumptions!$B$45</f>
        <v/>
      </c>
      <c r="U61" s="41">
        <f>U50*Assumptions!$B$116*Assumptions!$B$117*Assumptions!$B$45</f>
        <v/>
      </c>
      <c r="V61" s="41">
        <f>V50*Assumptions!$B$116*Assumptions!$B$117*Assumptions!$B$45</f>
        <v/>
      </c>
      <c r="W61" s="41">
        <f>W50*Assumptions!$B$116*Assumptions!$B$117*Assumptions!$B$45</f>
        <v/>
      </c>
      <c r="X61" s="41">
        <f>X50*Assumptions!$B$116*Assumptions!$B$117*Assumptions!$B$45</f>
        <v/>
      </c>
      <c r="Y61" s="41">
        <f>Y50*Assumptions!$B$116*Assumptions!$B$117*Assumptions!$B$45</f>
        <v/>
      </c>
      <c r="Z61" s="41">
        <f>Z50*Assumptions!$B$116*Assumptions!$B$117*Assumptions!$B$45</f>
        <v/>
      </c>
      <c r="AA61" s="41">
        <f>AA50*Assumptions!$B$116*Assumptions!$B$117*Assumptions!$B$45</f>
        <v/>
      </c>
      <c r="AB61" s="41">
        <f>AB50*Assumptions!$B$116*Assumptions!$B$117*Assumptions!$B$45</f>
        <v/>
      </c>
      <c r="AC61" s="41">
        <f>AC50*Assumptions!$B$116*Assumptions!$B$117*Assumptions!$B$45</f>
        <v/>
      </c>
      <c r="AD61" s="41">
        <f>AD50*Assumptions!$B$116*Assumptions!$B$117*Assumptions!$B$45</f>
        <v/>
      </c>
      <c r="AE61" s="41">
        <f>AE50*Assumptions!$B$116*Assumptions!$B$117*Assumptions!$B$45</f>
        <v/>
      </c>
      <c r="AF61" s="41">
        <f>AF50*Assumptions!$B$116*Assumptions!$B$117*Assumptions!$B$45</f>
        <v/>
      </c>
      <c r="AG61" s="41">
        <f>AG50*Assumptions!$B$116*Assumptions!$B$117*Assumptions!$B$45</f>
        <v/>
      </c>
      <c r="AH61" s="41">
        <f>AH50*Assumptions!$B$116*Assumptions!$B$117*Assumptions!$B$45</f>
        <v/>
      </c>
      <c r="AI61" s="41">
        <f>AI50*Assumptions!$B$116*Assumptions!$B$117*Assumptions!$B$45</f>
        <v/>
      </c>
      <c r="AJ61" s="41">
        <f>AJ50*Assumptions!$B$116*Assumptions!$B$117*Assumptions!$B$45</f>
        <v/>
      </c>
      <c r="AK61" s="41">
        <f>AK50*Assumptions!$B$116*Assumptions!$B$117*Assumptions!$B$45</f>
        <v/>
      </c>
      <c r="AL61" s="41">
        <f>AL50*Assumptions!$B$116*Assumptions!$B$117*Assumptions!$B$45</f>
        <v/>
      </c>
      <c r="AM61" s="41">
        <f>AM50*Assumptions!$B$116*Assumptions!$B$117*Assumptions!$B$45</f>
        <v/>
      </c>
      <c r="AN61" s="41">
        <f>AN50*Assumptions!$B$116*Assumptions!$B$117*Assumptions!$B$45</f>
        <v/>
      </c>
      <c r="AO61" s="41">
        <f>AO50*Assumptions!$B$116*Assumptions!$B$117*Assumptions!$B$45</f>
        <v/>
      </c>
      <c r="AP61" s="41">
        <f>AP50*Assumptions!$B$116*Assumptions!$B$117*Assumptions!$B$45</f>
        <v/>
      </c>
      <c r="AQ61" s="41">
        <f>AQ50*Assumptions!$B$116*Assumptions!$B$117*Assumptions!$B$45</f>
        <v/>
      </c>
      <c r="AR61" s="41">
        <f>AR50*Assumptions!$B$116*Assumptions!$B$117*Assumptions!$B$45</f>
        <v/>
      </c>
      <c r="AS61" s="41">
        <f>AS50*Assumptions!$B$116*Assumptions!$B$117*Assumptions!$B$45</f>
        <v/>
      </c>
      <c r="AT61" s="41">
        <f>AT50*Assumptions!$B$116*Assumptions!$B$117*Assumptions!$B$45</f>
        <v/>
      </c>
      <c r="AU61" s="41">
        <f>AU50*Assumptions!$B$116*Assumptions!$B$117*Assumptions!$B$45</f>
        <v/>
      </c>
      <c r="AV61" s="41">
        <f>AV50*Assumptions!$B$116*Assumptions!$B$117*Assumptions!$B$45</f>
        <v/>
      </c>
      <c r="AW61" s="41">
        <f>AW50*Assumptions!$B$116*Assumptions!$B$117*Assumptions!$B$45</f>
        <v/>
      </c>
      <c r="AX61" s="41">
        <f>AX50*Assumptions!$B$116*Assumptions!$B$117*Assumptions!$B$45</f>
        <v/>
      </c>
      <c r="AY61" s="41">
        <f>AY50*Assumptions!$B$116*Assumptions!$B$117*Assumptions!$B$45</f>
        <v/>
      </c>
      <c r="AZ61" s="41">
        <f>AZ50*Assumptions!$B$116*Assumptions!$B$117*Assumptions!$B$45</f>
        <v/>
      </c>
      <c r="BA61" s="41">
        <f>BA50*Assumptions!$B$116*Assumptions!$B$117*Assumptions!$B$45</f>
        <v/>
      </c>
      <c r="BB61" s="41">
        <f>BB50*Assumptions!$B$116*Assumptions!$B$117*Assumptions!$B$45</f>
        <v/>
      </c>
      <c r="BC61" s="41">
        <f>BC50*Assumptions!$B$116*Assumptions!$B$117*Assumptions!$B$45</f>
        <v/>
      </c>
      <c r="BD61" s="41">
        <f>BD50*Assumptions!$B$116*Assumptions!$B$117*Assumptions!$B$45</f>
        <v/>
      </c>
      <c r="BE61" s="41">
        <f>BE50*Assumptions!$B$116*Assumptions!$B$117*Assumptions!$B$45</f>
        <v/>
      </c>
      <c r="BF61" s="41">
        <f>BF50*Assumptions!$B$116*Assumptions!$B$117*Assumptions!$B$45</f>
        <v/>
      </c>
      <c r="BG61" s="41">
        <f>BG50*Assumptions!$B$116*Assumptions!$B$117*Assumptions!$B$45</f>
        <v/>
      </c>
      <c r="BH61" s="41">
        <f>BH50*Assumptions!$B$116*Assumptions!$B$117*Assumptions!$B$45</f>
        <v/>
      </c>
      <c r="BI61" s="41">
        <f>BI50*Assumptions!$B$116*Assumptions!$B$117*Assumptions!$B$45</f>
        <v/>
      </c>
      <c r="BJ61" s="41">
        <f>BJ50*Assumptions!$B$116*Assumptions!$B$117*Assumptions!$B$45</f>
        <v/>
      </c>
    </row>
    <row r="62">
      <c r="A62" s="4" t="inlineStr">
        <is>
          <t>SME direct paid sign-ups wanted: Kenya</t>
        </is>
      </c>
      <c r="B62" s="17" t="inlineStr">
        <is>
          <t>workspaces</t>
        </is>
      </c>
      <c r="C62" s="41">
        <f>C50*(1-Assumptions!$B$116)*Assumptions!$B$118*Assumptions!$B$45</f>
        <v/>
      </c>
      <c r="D62" s="41">
        <f>D50*(1-Assumptions!$B$116)*Assumptions!$B$118*Assumptions!$B$45</f>
        <v/>
      </c>
      <c r="E62" s="41">
        <f>E50*(1-Assumptions!$B$116)*Assumptions!$B$118*Assumptions!$B$45</f>
        <v/>
      </c>
      <c r="F62" s="41">
        <f>F50*(1-Assumptions!$B$116)*Assumptions!$B$118*Assumptions!$B$45</f>
        <v/>
      </c>
      <c r="G62" s="41">
        <f>G50*(1-Assumptions!$B$116)*Assumptions!$B$118*Assumptions!$B$45</f>
        <v/>
      </c>
      <c r="H62" s="41">
        <f>H50*(1-Assumptions!$B$116)*Assumptions!$B$118*Assumptions!$B$45</f>
        <v/>
      </c>
      <c r="I62" s="41">
        <f>I50*(1-Assumptions!$B$116)*Assumptions!$B$118*Assumptions!$B$45</f>
        <v/>
      </c>
      <c r="J62" s="41">
        <f>J50*(1-Assumptions!$B$116)*Assumptions!$B$118*Assumptions!$B$45</f>
        <v/>
      </c>
      <c r="K62" s="41">
        <f>K50*(1-Assumptions!$B$116)*Assumptions!$B$118*Assumptions!$B$45</f>
        <v/>
      </c>
      <c r="L62" s="41">
        <f>L50*(1-Assumptions!$B$116)*Assumptions!$B$118*Assumptions!$B$45</f>
        <v/>
      </c>
      <c r="M62" s="41">
        <f>M50*(1-Assumptions!$B$116)*Assumptions!$B$118*Assumptions!$B$45</f>
        <v/>
      </c>
      <c r="N62" s="41">
        <f>N50*(1-Assumptions!$B$116)*Assumptions!$B$118*Assumptions!$B$45</f>
        <v/>
      </c>
      <c r="O62" s="41">
        <f>O50*(1-Assumptions!$B$116)*Assumptions!$B$118*Assumptions!$B$45</f>
        <v/>
      </c>
      <c r="P62" s="41">
        <f>P50*(1-Assumptions!$B$116)*Assumptions!$B$118*Assumptions!$B$45</f>
        <v/>
      </c>
      <c r="Q62" s="41">
        <f>Q50*(1-Assumptions!$B$116)*Assumptions!$B$118*Assumptions!$B$45</f>
        <v/>
      </c>
      <c r="R62" s="41">
        <f>R50*(1-Assumptions!$B$116)*Assumptions!$B$118*Assumptions!$B$45</f>
        <v/>
      </c>
      <c r="S62" s="41">
        <f>S50*(1-Assumptions!$B$116)*Assumptions!$B$118*Assumptions!$B$45</f>
        <v/>
      </c>
      <c r="T62" s="41">
        <f>T50*(1-Assumptions!$B$116)*Assumptions!$B$118*Assumptions!$B$45</f>
        <v/>
      </c>
      <c r="U62" s="41">
        <f>U50*(1-Assumptions!$B$116)*Assumptions!$B$118*Assumptions!$B$45</f>
        <v/>
      </c>
      <c r="V62" s="41">
        <f>V50*(1-Assumptions!$B$116)*Assumptions!$B$118*Assumptions!$B$45</f>
        <v/>
      </c>
      <c r="W62" s="41">
        <f>W50*(1-Assumptions!$B$116)*Assumptions!$B$118*Assumptions!$B$45</f>
        <v/>
      </c>
      <c r="X62" s="41">
        <f>X50*(1-Assumptions!$B$116)*Assumptions!$B$118*Assumptions!$B$45</f>
        <v/>
      </c>
      <c r="Y62" s="41">
        <f>Y50*(1-Assumptions!$B$116)*Assumptions!$B$118*Assumptions!$B$45</f>
        <v/>
      </c>
      <c r="Z62" s="41">
        <f>Z50*(1-Assumptions!$B$116)*Assumptions!$B$118*Assumptions!$B$45</f>
        <v/>
      </c>
      <c r="AA62" s="41">
        <f>AA50*(1-Assumptions!$B$116)*Assumptions!$B$118*Assumptions!$B$45</f>
        <v/>
      </c>
      <c r="AB62" s="41">
        <f>AB50*(1-Assumptions!$B$116)*Assumptions!$B$118*Assumptions!$B$45</f>
        <v/>
      </c>
      <c r="AC62" s="41">
        <f>AC50*(1-Assumptions!$B$116)*Assumptions!$B$118*Assumptions!$B$45</f>
        <v/>
      </c>
      <c r="AD62" s="41">
        <f>AD50*(1-Assumptions!$B$116)*Assumptions!$B$118*Assumptions!$B$45</f>
        <v/>
      </c>
      <c r="AE62" s="41">
        <f>AE50*(1-Assumptions!$B$116)*Assumptions!$B$118*Assumptions!$B$45</f>
        <v/>
      </c>
      <c r="AF62" s="41">
        <f>AF50*(1-Assumptions!$B$116)*Assumptions!$B$118*Assumptions!$B$45</f>
        <v/>
      </c>
      <c r="AG62" s="41">
        <f>AG50*(1-Assumptions!$B$116)*Assumptions!$B$118*Assumptions!$B$45</f>
        <v/>
      </c>
      <c r="AH62" s="41">
        <f>AH50*(1-Assumptions!$B$116)*Assumptions!$B$118*Assumptions!$B$45</f>
        <v/>
      </c>
      <c r="AI62" s="41">
        <f>AI50*(1-Assumptions!$B$116)*Assumptions!$B$118*Assumptions!$B$45</f>
        <v/>
      </c>
      <c r="AJ62" s="41">
        <f>AJ50*(1-Assumptions!$B$116)*Assumptions!$B$118*Assumptions!$B$45</f>
        <v/>
      </c>
      <c r="AK62" s="41">
        <f>AK50*(1-Assumptions!$B$116)*Assumptions!$B$118*Assumptions!$B$45</f>
        <v/>
      </c>
      <c r="AL62" s="41">
        <f>AL50*(1-Assumptions!$B$116)*Assumptions!$B$118*Assumptions!$B$45</f>
        <v/>
      </c>
      <c r="AM62" s="41">
        <f>AM50*(1-Assumptions!$B$116)*Assumptions!$B$118*Assumptions!$B$45</f>
        <v/>
      </c>
      <c r="AN62" s="41">
        <f>AN50*(1-Assumptions!$B$116)*Assumptions!$B$118*Assumptions!$B$45</f>
        <v/>
      </c>
      <c r="AO62" s="41">
        <f>AO50*(1-Assumptions!$B$116)*Assumptions!$B$118*Assumptions!$B$45</f>
        <v/>
      </c>
      <c r="AP62" s="41">
        <f>AP50*(1-Assumptions!$B$116)*Assumptions!$B$118*Assumptions!$B$45</f>
        <v/>
      </c>
      <c r="AQ62" s="41">
        <f>AQ50*(1-Assumptions!$B$116)*Assumptions!$B$118*Assumptions!$B$45</f>
        <v/>
      </c>
      <c r="AR62" s="41">
        <f>AR50*(1-Assumptions!$B$116)*Assumptions!$B$118*Assumptions!$B$45</f>
        <v/>
      </c>
      <c r="AS62" s="41">
        <f>AS50*(1-Assumptions!$B$116)*Assumptions!$B$118*Assumptions!$B$45</f>
        <v/>
      </c>
      <c r="AT62" s="41">
        <f>AT50*(1-Assumptions!$B$116)*Assumptions!$B$118*Assumptions!$B$45</f>
        <v/>
      </c>
      <c r="AU62" s="41">
        <f>AU50*(1-Assumptions!$B$116)*Assumptions!$B$118*Assumptions!$B$45</f>
        <v/>
      </c>
      <c r="AV62" s="41">
        <f>AV50*(1-Assumptions!$B$116)*Assumptions!$B$118*Assumptions!$B$45</f>
        <v/>
      </c>
      <c r="AW62" s="41">
        <f>AW50*(1-Assumptions!$B$116)*Assumptions!$B$118*Assumptions!$B$45</f>
        <v/>
      </c>
      <c r="AX62" s="41">
        <f>AX50*(1-Assumptions!$B$116)*Assumptions!$B$118*Assumptions!$B$45</f>
        <v/>
      </c>
      <c r="AY62" s="41">
        <f>AY50*(1-Assumptions!$B$116)*Assumptions!$B$118*Assumptions!$B$45</f>
        <v/>
      </c>
      <c r="AZ62" s="41">
        <f>AZ50*(1-Assumptions!$B$116)*Assumptions!$B$118*Assumptions!$B$45</f>
        <v/>
      </c>
      <c r="BA62" s="41">
        <f>BA50*(1-Assumptions!$B$116)*Assumptions!$B$118*Assumptions!$B$45</f>
        <v/>
      </c>
      <c r="BB62" s="41">
        <f>BB50*(1-Assumptions!$B$116)*Assumptions!$B$118*Assumptions!$B$45</f>
        <v/>
      </c>
      <c r="BC62" s="41">
        <f>BC50*(1-Assumptions!$B$116)*Assumptions!$B$118*Assumptions!$B$45</f>
        <v/>
      </c>
      <c r="BD62" s="41">
        <f>BD50*(1-Assumptions!$B$116)*Assumptions!$B$118*Assumptions!$B$45</f>
        <v/>
      </c>
      <c r="BE62" s="41">
        <f>BE50*(1-Assumptions!$B$116)*Assumptions!$B$118*Assumptions!$B$45</f>
        <v/>
      </c>
      <c r="BF62" s="41">
        <f>BF50*(1-Assumptions!$B$116)*Assumptions!$B$118*Assumptions!$B$45</f>
        <v/>
      </c>
      <c r="BG62" s="41">
        <f>BG50*(1-Assumptions!$B$116)*Assumptions!$B$118*Assumptions!$B$45</f>
        <v/>
      </c>
      <c r="BH62" s="41">
        <f>BH50*(1-Assumptions!$B$116)*Assumptions!$B$118*Assumptions!$B$45</f>
        <v/>
      </c>
      <c r="BI62" s="41">
        <f>BI50*(1-Assumptions!$B$116)*Assumptions!$B$118*Assumptions!$B$45</f>
        <v/>
      </c>
      <c r="BJ62" s="41">
        <f>BJ50*(1-Assumptions!$B$116)*Assumptions!$B$118*Assumptions!$B$45</f>
        <v/>
      </c>
    </row>
    <row r="63">
      <c r="A63" s="4" t="inlineStr">
        <is>
          <t>Solo direct paid sign-ups wanted: Ghana</t>
        </is>
      </c>
      <c r="B63" s="17" t="inlineStr">
        <is>
          <t>workspaces</t>
        </is>
      </c>
      <c r="C63" s="41">
        <f>C51*Assumptions!$B$116*Assumptions!$B$117*Assumptions!$B$45</f>
        <v/>
      </c>
      <c r="D63" s="41">
        <f>D51*Assumptions!$B$116*Assumptions!$B$117*Assumptions!$B$45</f>
        <v/>
      </c>
      <c r="E63" s="41">
        <f>E51*Assumptions!$B$116*Assumptions!$B$117*Assumptions!$B$45</f>
        <v/>
      </c>
      <c r="F63" s="41">
        <f>F51*Assumptions!$B$116*Assumptions!$B$117*Assumptions!$B$45</f>
        <v/>
      </c>
      <c r="G63" s="41">
        <f>G51*Assumptions!$B$116*Assumptions!$B$117*Assumptions!$B$45</f>
        <v/>
      </c>
      <c r="H63" s="41">
        <f>H51*Assumptions!$B$116*Assumptions!$B$117*Assumptions!$B$45</f>
        <v/>
      </c>
      <c r="I63" s="41">
        <f>I51*Assumptions!$B$116*Assumptions!$B$117*Assumptions!$B$45</f>
        <v/>
      </c>
      <c r="J63" s="41">
        <f>J51*Assumptions!$B$116*Assumptions!$B$117*Assumptions!$B$45</f>
        <v/>
      </c>
      <c r="K63" s="41">
        <f>K51*Assumptions!$B$116*Assumptions!$B$117*Assumptions!$B$45</f>
        <v/>
      </c>
      <c r="L63" s="41">
        <f>L51*Assumptions!$B$116*Assumptions!$B$117*Assumptions!$B$45</f>
        <v/>
      </c>
      <c r="M63" s="41">
        <f>M51*Assumptions!$B$116*Assumptions!$B$117*Assumptions!$B$45</f>
        <v/>
      </c>
      <c r="N63" s="41">
        <f>N51*Assumptions!$B$116*Assumptions!$B$117*Assumptions!$B$45</f>
        <v/>
      </c>
      <c r="O63" s="41">
        <f>O51*Assumptions!$B$116*Assumptions!$B$117*Assumptions!$B$45</f>
        <v/>
      </c>
      <c r="P63" s="41">
        <f>P51*Assumptions!$B$116*Assumptions!$B$117*Assumptions!$B$45</f>
        <v/>
      </c>
      <c r="Q63" s="41">
        <f>Q51*Assumptions!$B$116*Assumptions!$B$117*Assumptions!$B$45</f>
        <v/>
      </c>
      <c r="R63" s="41">
        <f>R51*Assumptions!$B$116*Assumptions!$B$117*Assumptions!$B$45</f>
        <v/>
      </c>
      <c r="S63" s="41">
        <f>S51*Assumptions!$B$116*Assumptions!$B$117*Assumptions!$B$45</f>
        <v/>
      </c>
      <c r="T63" s="41">
        <f>T51*Assumptions!$B$116*Assumptions!$B$117*Assumptions!$B$45</f>
        <v/>
      </c>
      <c r="U63" s="41">
        <f>U51*Assumptions!$B$116*Assumptions!$B$117*Assumptions!$B$45</f>
        <v/>
      </c>
      <c r="V63" s="41">
        <f>V51*Assumptions!$B$116*Assumptions!$B$117*Assumptions!$B$45</f>
        <v/>
      </c>
      <c r="W63" s="41">
        <f>W51*Assumptions!$B$116*Assumptions!$B$117*Assumptions!$B$45</f>
        <v/>
      </c>
      <c r="X63" s="41">
        <f>X51*Assumptions!$B$116*Assumptions!$B$117*Assumptions!$B$45</f>
        <v/>
      </c>
      <c r="Y63" s="41">
        <f>Y51*Assumptions!$B$116*Assumptions!$B$117*Assumptions!$B$45</f>
        <v/>
      </c>
      <c r="Z63" s="41">
        <f>Z51*Assumptions!$B$116*Assumptions!$B$117*Assumptions!$B$45</f>
        <v/>
      </c>
      <c r="AA63" s="41">
        <f>AA51*Assumptions!$B$116*Assumptions!$B$117*Assumptions!$B$45</f>
        <v/>
      </c>
      <c r="AB63" s="41">
        <f>AB51*Assumptions!$B$116*Assumptions!$B$117*Assumptions!$B$45</f>
        <v/>
      </c>
      <c r="AC63" s="41">
        <f>AC51*Assumptions!$B$116*Assumptions!$B$117*Assumptions!$B$45</f>
        <v/>
      </c>
      <c r="AD63" s="41">
        <f>AD51*Assumptions!$B$116*Assumptions!$B$117*Assumptions!$B$45</f>
        <v/>
      </c>
      <c r="AE63" s="41">
        <f>AE51*Assumptions!$B$116*Assumptions!$B$117*Assumptions!$B$45</f>
        <v/>
      </c>
      <c r="AF63" s="41">
        <f>AF51*Assumptions!$B$116*Assumptions!$B$117*Assumptions!$B$45</f>
        <v/>
      </c>
      <c r="AG63" s="41">
        <f>AG51*Assumptions!$B$116*Assumptions!$B$117*Assumptions!$B$45</f>
        <v/>
      </c>
      <c r="AH63" s="41">
        <f>AH51*Assumptions!$B$116*Assumptions!$B$117*Assumptions!$B$45</f>
        <v/>
      </c>
      <c r="AI63" s="41">
        <f>AI51*Assumptions!$B$116*Assumptions!$B$117*Assumptions!$B$45</f>
        <v/>
      </c>
      <c r="AJ63" s="41">
        <f>AJ51*Assumptions!$B$116*Assumptions!$B$117*Assumptions!$B$45</f>
        <v/>
      </c>
      <c r="AK63" s="41">
        <f>AK51*Assumptions!$B$116*Assumptions!$B$117*Assumptions!$B$45</f>
        <v/>
      </c>
      <c r="AL63" s="41">
        <f>AL51*Assumptions!$B$116*Assumptions!$B$117*Assumptions!$B$45</f>
        <v/>
      </c>
      <c r="AM63" s="41">
        <f>AM51*Assumptions!$B$116*Assumptions!$B$117*Assumptions!$B$45</f>
        <v/>
      </c>
      <c r="AN63" s="41">
        <f>AN51*Assumptions!$B$116*Assumptions!$B$117*Assumptions!$B$45</f>
        <v/>
      </c>
      <c r="AO63" s="41">
        <f>AO51*Assumptions!$B$116*Assumptions!$B$117*Assumptions!$B$45</f>
        <v/>
      </c>
      <c r="AP63" s="41">
        <f>AP51*Assumptions!$B$116*Assumptions!$B$117*Assumptions!$B$45</f>
        <v/>
      </c>
      <c r="AQ63" s="41">
        <f>AQ51*Assumptions!$B$116*Assumptions!$B$117*Assumptions!$B$45</f>
        <v/>
      </c>
      <c r="AR63" s="41">
        <f>AR51*Assumptions!$B$116*Assumptions!$B$117*Assumptions!$B$45</f>
        <v/>
      </c>
      <c r="AS63" s="41">
        <f>AS51*Assumptions!$B$116*Assumptions!$B$117*Assumptions!$B$45</f>
        <v/>
      </c>
      <c r="AT63" s="41">
        <f>AT51*Assumptions!$B$116*Assumptions!$B$117*Assumptions!$B$45</f>
        <v/>
      </c>
      <c r="AU63" s="41">
        <f>AU51*Assumptions!$B$116*Assumptions!$B$117*Assumptions!$B$45</f>
        <v/>
      </c>
      <c r="AV63" s="41">
        <f>AV51*Assumptions!$B$116*Assumptions!$B$117*Assumptions!$B$45</f>
        <v/>
      </c>
      <c r="AW63" s="41">
        <f>AW51*Assumptions!$B$116*Assumptions!$B$117*Assumptions!$B$45</f>
        <v/>
      </c>
      <c r="AX63" s="41">
        <f>AX51*Assumptions!$B$116*Assumptions!$B$117*Assumptions!$B$45</f>
        <v/>
      </c>
      <c r="AY63" s="41">
        <f>AY51*Assumptions!$B$116*Assumptions!$B$117*Assumptions!$B$45</f>
        <v/>
      </c>
      <c r="AZ63" s="41">
        <f>AZ51*Assumptions!$B$116*Assumptions!$B$117*Assumptions!$B$45</f>
        <v/>
      </c>
      <c r="BA63" s="41">
        <f>BA51*Assumptions!$B$116*Assumptions!$B$117*Assumptions!$B$45</f>
        <v/>
      </c>
      <c r="BB63" s="41">
        <f>BB51*Assumptions!$B$116*Assumptions!$B$117*Assumptions!$B$45</f>
        <v/>
      </c>
      <c r="BC63" s="41">
        <f>BC51*Assumptions!$B$116*Assumptions!$B$117*Assumptions!$B$45</f>
        <v/>
      </c>
      <c r="BD63" s="41">
        <f>BD51*Assumptions!$B$116*Assumptions!$B$117*Assumptions!$B$45</f>
        <v/>
      </c>
      <c r="BE63" s="41">
        <f>BE51*Assumptions!$B$116*Assumptions!$B$117*Assumptions!$B$45</f>
        <v/>
      </c>
      <c r="BF63" s="41">
        <f>BF51*Assumptions!$B$116*Assumptions!$B$117*Assumptions!$B$45</f>
        <v/>
      </c>
      <c r="BG63" s="41">
        <f>BG51*Assumptions!$B$116*Assumptions!$B$117*Assumptions!$B$45</f>
        <v/>
      </c>
      <c r="BH63" s="41">
        <f>BH51*Assumptions!$B$116*Assumptions!$B$117*Assumptions!$B$45</f>
        <v/>
      </c>
      <c r="BI63" s="41">
        <f>BI51*Assumptions!$B$116*Assumptions!$B$117*Assumptions!$B$45</f>
        <v/>
      </c>
      <c r="BJ63" s="41">
        <f>BJ51*Assumptions!$B$116*Assumptions!$B$117*Assumptions!$B$45</f>
        <v/>
      </c>
    </row>
    <row r="64">
      <c r="A64" s="4" t="inlineStr">
        <is>
          <t>SME direct paid sign-ups wanted: Ghana</t>
        </is>
      </c>
      <c r="B64" s="17" t="inlineStr">
        <is>
          <t>workspaces</t>
        </is>
      </c>
      <c r="C64" s="41">
        <f>C51*(1-Assumptions!$B$116)*Assumptions!$B$118*Assumptions!$B$45</f>
        <v/>
      </c>
      <c r="D64" s="41">
        <f>D51*(1-Assumptions!$B$116)*Assumptions!$B$118*Assumptions!$B$45</f>
        <v/>
      </c>
      <c r="E64" s="41">
        <f>E51*(1-Assumptions!$B$116)*Assumptions!$B$118*Assumptions!$B$45</f>
        <v/>
      </c>
      <c r="F64" s="41">
        <f>F51*(1-Assumptions!$B$116)*Assumptions!$B$118*Assumptions!$B$45</f>
        <v/>
      </c>
      <c r="G64" s="41">
        <f>G51*(1-Assumptions!$B$116)*Assumptions!$B$118*Assumptions!$B$45</f>
        <v/>
      </c>
      <c r="H64" s="41">
        <f>H51*(1-Assumptions!$B$116)*Assumptions!$B$118*Assumptions!$B$45</f>
        <v/>
      </c>
      <c r="I64" s="41">
        <f>I51*(1-Assumptions!$B$116)*Assumptions!$B$118*Assumptions!$B$45</f>
        <v/>
      </c>
      <c r="J64" s="41">
        <f>J51*(1-Assumptions!$B$116)*Assumptions!$B$118*Assumptions!$B$45</f>
        <v/>
      </c>
      <c r="K64" s="41">
        <f>K51*(1-Assumptions!$B$116)*Assumptions!$B$118*Assumptions!$B$45</f>
        <v/>
      </c>
      <c r="L64" s="41">
        <f>L51*(1-Assumptions!$B$116)*Assumptions!$B$118*Assumptions!$B$45</f>
        <v/>
      </c>
      <c r="M64" s="41">
        <f>M51*(1-Assumptions!$B$116)*Assumptions!$B$118*Assumptions!$B$45</f>
        <v/>
      </c>
      <c r="N64" s="41">
        <f>N51*(1-Assumptions!$B$116)*Assumptions!$B$118*Assumptions!$B$45</f>
        <v/>
      </c>
      <c r="O64" s="41">
        <f>O51*(1-Assumptions!$B$116)*Assumptions!$B$118*Assumptions!$B$45</f>
        <v/>
      </c>
      <c r="P64" s="41">
        <f>P51*(1-Assumptions!$B$116)*Assumptions!$B$118*Assumptions!$B$45</f>
        <v/>
      </c>
      <c r="Q64" s="41">
        <f>Q51*(1-Assumptions!$B$116)*Assumptions!$B$118*Assumptions!$B$45</f>
        <v/>
      </c>
      <c r="R64" s="41">
        <f>R51*(1-Assumptions!$B$116)*Assumptions!$B$118*Assumptions!$B$45</f>
        <v/>
      </c>
      <c r="S64" s="41">
        <f>S51*(1-Assumptions!$B$116)*Assumptions!$B$118*Assumptions!$B$45</f>
        <v/>
      </c>
      <c r="T64" s="41">
        <f>T51*(1-Assumptions!$B$116)*Assumptions!$B$118*Assumptions!$B$45</f>
        <v/>
      </c>
      <c r="U64" s="41">
        <f>U51*(1-Assumptions!$B$116)*Assumptions!$B$118*Assumptions!$B$45</f>
        <v/>
      </c>
      <c r="V64" s="41">
        <f>V51*(1-Assumptions!$B$116)*Assumptions!$B$118*Assumptions!$B$45</f>
        <v/>
      </c>
      <c r="W64" s="41">
        <f>W51*(1-Assumptions!$B$116)*Assumptions!$B$118*Assumptions!$B$45</f>
        <v/>
      </c>
      <c r="X64" s="41">
        <f>X51*(1-Assumptions!$B$116)*Assumptions!$B$118*Assumptions!$B$45</f>
        <v/>
      </c>
      <c r="Y64" s="41">
        <f>Y51*(1-Assumptions!$B$116)*Assumptions!$B$118*Assumptions!$B$45</f>
        <v/>
      </c>
      <c r="Z64" s="41">
        <f>Z51*(1-Assumptions!$B$116)*Assumptions!$B$118*Assumptions!$B$45</f>
        <v/>
      </c>
      <c r="AA64" s="41">
        <f>AA51*(1-Assumptions!$B$116)*Assumptions!$B$118*Assumptions!$B$45</f>
        <v/>
      </c>
      <c r="AB64" s="41">
        <f>AB51*(1-Assumptions!$B$116)*Assumptions!$B$118*Assumptions!$B$45</f>
        <v/>
      </c>
      <c r="AC64" s="41">
        <f>AC51*(1-Assumptions!$B$116)*Assumptions!$B$118*Assumptions!$B$45</f>
        <v/>
      </c>
      <c r="AD64" s="41">
        <f>AD51*(1-Assumptions!$B$116)*Assumptions!$B$118*Assumptions!$B$45</f>
        <v/>
      </c>
      <c r="AE64" s="41">
        <f>AE51*(1-Assumptions!$B$116)*Assumptions!$B$118*Assumptions!$B$45</f>
        <v/>
      </c>
      <c r="AF64" s="41">
        <f>AF51*(1-Assumptions!$B$116)*Assumptions!$B$118*Assumptions!$B$45</f>
        <v/>
      </c>
      <c r="AG64" s="41">
        <f>AG51*(1-Assumptions!$B$116)*Assumptions!$B$118*Assumptions!$B$45</f>
        <v/>
      </c>
      <c r="AH64" s="41">
        <f>AH51*(1-Assumptions!$B$116)*Assumptions!$B$118*Assumptions!$B$45</f>
        <v/>
      </c>
      <c r="AI64" s="41">
        <f>AI51*(1-Assumptions!$B$116)*Assumptions!$B$118*Assumptions!$B$45</f>
        <v/>
      </c>
      <c r="AJ64" s="41">
        <f>AJ51*(1-Assumptions!$B$116)*Assumptions!$B$118*Assumptions!$B$45</f>
        <v/>
      </c>
      <c r="AK64" s="41">
        <f>AK51*(1-Assumptions!$B$116)*Assumptions!$B$118*Assumptions!$B$45</f>
        <v/>
      </c>
      <c r="AL64" s="41">
        <f>AL51*(1-Assumptions!$B$116)*Assumptions!$B$118*Assumptions!$B$45</f>
        <v/>
      </c>
      <c r="AM64" s="41">
        <f>AM51*(1-Assumptions!$B$116)*Assumptions!$B$118*Assumptions!$B$45</f>
        <v/>
      </c>
      <c r="AN64" s="41">
        <f>AN51*(1-Assumptions!$B$116)*Assumptions!$B$118*Assumptions!$B$45</f>
        <v/>
      </c>
      <c r="AO64" s="41">
        <f>AO51*(1-Assumptions!$B$116)*Assumptions!$B$118*Assumptions!$B$45</f>
        <v/>
      </c>
      <c r="AP64" s="41">
        <f>AP51*(1-Assumptions!$B$116)*Assumptions!$B$118*Assumptions!$B$45</f>
        <v/>
      </c>
      <c r="AQ64" s="41">
        <f>AQ51*(1-Assumptions!$B$116)*Assumptions!$B$118*Assumptions!$B$45</f>
        <v/>
      </c>
      <c r="AR64" s="41">
        <f>AR51*(1-Assumptions!$B$116)*Assumptions!$B$118*Assumptions!$B$45</f>
        <v/>
      </c>
      <c r="AS64" s="41">
        <f>AS51*(1-Assumptions!$B$116)*Assumptions!$B$118*Assumptions!$B$45</f>
        <v/>
      </c>
      <c r="AT64" s="41">
        <f>AT51*(1-Assumptions!$B$116)*Assumptions!$B$118*Assumptions!$B$45</f>
        <v/>
      </c>
      <c r="AU64" s="41">
        <f>AU51*(1-Assumptions!$B$116)*Assumptions!$B$118*Assumptions!$B$45</f>
        <v/>
      </c>
      <c r="AV64" s="41">
        <f>AV51*(1-Assumptions!$B$116)*Assumptions!$B$118*Assumptions!$B$45</f>
        <v/>
      </c>
      <c r="AW64" s="41">
        <f>AW51*(1-Assumptions!$B$116)*Assumptions!$B$118*Assumptions!$B$45</f>
        <v/>
      </c>
      <c r="AX64" s="41">
        <f>AX51*(1-Assumptions!$B$116)*Assumptions!$B$118*Assumptions!$B$45</f>
        <v/>
      </c>
      <c r="AY64" s="41">
        <f>AY51*(1-Assumptions!$B$116)*Assumptions!$B$118*Assumptions!$B$45</f>
        <v/>
      </c>
      <c r="AZ64" s="41">
        <f>AZ51*(1-Assumptions!$B$116)*Assumptions!$B$118*Assumptions!$B$45</f>
        <v/>
      </c>
      <c r="BA64" s="41">
        <f>BA51*(1-Assumptions!$B$116)*Assumptions!$B$118*Assumptions!$B$45</f>
        <v/>
      </c>
      <c r="BB64" s="41">
        <f>BB51*(1-Assumptions!$B$116)*Assumptions!$B$118*Assumptions!$B$45</f>
        <v/>
      </c>
      <c r="BC64" s="41">
        <f>BC51*(1-Assumptions!$B$116)*Assumptions!$B$118*Assumptions!$B$45</f>
        <v/>
      </c>
      <c r="BD64" s="41">
        <f>BD51*(1-Assumptions!$B$116)*Assumptions!$B$118*Assumptions!$B$45</f>
        <v/>
      </c>
      <c r="BE64" s="41">
        <f>BE51*(1-Assumptions!$B$116)*Assumptions!$B$118*Assumptions!$B$45</f>
        <v/>
      </c>
      <c r="BF64" s="41">
        <f>BF51*(1-Assumptions!$B$116)*Assumptions!$B$118*Assumptions!$B$45</f>
        <v/>
      </c>
      <c r="BG64" s="41">
        <f>BG51*(1-Assumptions!$B$116)*Assumptions!$B$118*Assumptions!$B$45</f>
        <v/>
      </c>
      <c r="BH64" s="41">
        <f>BH51*(1-Assumptions!$B$116)*Assumptions!$B$118*Assumptions!$B$45</f>
        <v/>
      </c>
      <c r="BI64" s="41">
        <f>BI51*(1-Assumptions!$B$116)*Assumptions!$B$118*Assumptions!$B$45</f>
        <v/>
      </c>
      <c r="BJ64" s="41">
        <f>BJ51*(1-Assumptions!$B$116)*Assumptions!$B$118*Assumptions!$B$45</f>
        <v/>
      </c>
    </row>
    <row r="65">
      <c r="A65" s="4" t="inlineStr">
        <is>
          <t>Solo direct paid sign-ups wanted: Rest of Africa (USD)</t>
        </is>
      </c>
      <c r="B65" s="17" t="inlineStr">
        <is>
          <t>workspaces</t>
        </is>
      </c>
      <c r="C65" s="41">
        <f>C52*Assumptions!$B$116*Assumptions!$B$117*Assumptions!$B$45</f>
        <v/>
      </c>
      <c r="D65" s="41">
        <f>D52*Assumptions!$B$116*Assumptions!$B$117*Assumptions!$B$45</f>
        <v/>
      </c>
      <c r="E65" s="41">
        <f>E52*Assumptions!$B$116*Assumptions!$B$117*Assumptions!$B$45</f>
        <v/>
      </c>
      <c r="F65" s="41">
        <f>F52*Assumptions!$B$116*Assumptions!$B$117*Assumptions!$B$45</f>
        <v/>
      </c>
      <c r="G65" s="41">
        <f>G52*Assumptions!$B$116*Assumptions!$B$117*Assumptions!$B$45</f>
        <v/>
      </c>
      <c r="H65" s="41">
        <f>H52*Assumptions!$B$116*Assumptions!$B$117*Assumptions!$B$45</f>
        <v/>
      </c>
      <c r="I65" s="41">
        <f>I52*Assumptions!$B$116*Assumptions!$B$117*Assumptions!$B$45</f>
        <v/>
      </c>
      <c r="J65" s="41">
        <f>J52*Assumptions!$B$116*Assumptions!$B$117*Assumptions!$B$45</f>
        <v/>
      </c>
      <c r="K65" s="41">
        <f>K52*Assumptions!$B$116*Assumptions!$B$117*Assumptions!$B$45</f>
        <v/>
      </c>
      <c r="L65" s="41">
        <f>L52*Assumptions!$B$116*Assumptions!$B$117*Assumptions!$B$45</f>
        <v/>
      </c>
      <c r="M65" s="41">
        <f>M52*Assumptions!$B$116*Assumptions!$B$117*Assumptions!$B$45</f>
        <v/>
      </c>
      <c r="N65" s="41">
        <f>N52*Assumptions!$B$116*Assumptions!$B$117*Assumptions!$B$45</f>
        <v/>
      </c>
      <c r="O65" s="41">
        <f>O52*Assumptions!$B$116*Assumptions!$B$117*Assumptions!$B$45</f>
        <v/>
      </c>
      <c r="P65" s="41">
        <f>P52*Assumptions!$B$116*Assumptions!$B$117*Assumptions!$B$45</f>
        <v/>
      </c>
      <c r="Q65" s="41">
        <f>Q52*Assumptions!$B$116*Assumptions!$B$117*Assumptions!$B$45</f>
        <v/>
      </c>
      <c r="R65" s="41">
        <f>R52*Assumptions!$B$116*Assumptions!$B$117*Assumptions!$B$45</f>
        <v/>
      </c>
      <c r="S65" s="41">
        <f>S52*Assumptions!$B$116*Assumptions!$B$117*Assumptions!$B$45</f>
        <v/>
      </c>
      <c r="T65" s="41">
        <f>T52*Assumptions!$B$116*Assumptions!$B$117*Assumptions!$B$45</f>
        <v/>
      </c>
      <c r="U65" s="41">
        <f>U52*Assumptions!$B$116*Assumptions!$B$117*Assumptions!$B$45</f>
        <v/>
      </c>
      <c r="V65" s="41">
        <f>V52*Assumptions!$B$116*Assumptions!$B$117*Assumptions!$B$45</f>
        <v/>
      </c>
      <c r="W65" s="41">
        <f>W52*Assumptions!$B$116*Assumptions!$B$117*Assumptions!$B$45</f>
        <v/>
      </c>
      <c r="X65" s="41">
        <f>X52*Assumptions!$B$116*Assumptions!$B$117*Assumptions!$B$45</f>
        <v/>
      </c>
      <c r="Y65" s="41">
        <f>Y52*Assumptions!$B$116*Assumptions!$B$117*Assumptions!$B$45</f>
        <v/>
      </c>
      <c r="Z65" s="41">
        <f>Z52*Assumptions!$B$116*Assumptions!$B$117*Assumptions!$B$45</f>
        <v/>
      </c>
      <c r="AA65" s="41">
        <f>AA52*Assumptions!$B$116*Assumptions!$B$117*Assumptions!$B$45</f>
        <v/>
      </c>
      <c r="AB65" s="41">
        <f>AB52*Assumptions!$B$116*Assumptions!$B$117*Assumptions!$B$45</f>
        <v/>
      </c>
      <c r="AC65" s="41">
        <f>AC52*Assumptions!$B$116*Assumptions!$B$117*Assumptions!$B$45</f>
        <v/>
      </c>
      <c r="AD65" s="41">
        <f>AD52*Assumptions!$B$116*Assumptions!$B$117*Assumptions!$B$45</f>
        <v/>
      </c>
      <c r="AE65" s="41">
        <f>AE52*Assumptions!$B$116*Assumptions!$B$117*Assumptions!$B$45</f>
        <v/>
      </c>
      <c r="AF65" s="41">
        <f>AF52*Assumptions!$B$116*Assumptions!$B$117*Assumptions!$B$45</f>
        <v/>
      </c>
      <c r="AG65" s="41">
        <f>AG52*Assumptions!$B$116*Assumptions!$B$117*Assumptions!$B$45</f>
        <v/>
      </c>
      <c r="AH65" s="41">
        <f>AH52*Assumptions!$B$116*Assumptions!$B$117*Assumptions!$B$45</f>
        <v/>
      </c>
      <c r="AI65" s="41">
        <f>AI52*Assumptions!$B$116*Assumptions!$B$117*Assumptions!$B$45</f>
        <v/>
      </c>
      <c r="AJ65" s="41">
        <f>AJ52*Assumptions!$B$116*Assumptions!$B$117*Assumptions!$B$45</f>
        <v/>
      </c>
      <c r="AK65" s="41">
        <f>AK52*Assumptions!$B$116*Assumptions!$B$117*Assumptions!$B$45</f>
        <v/>
      </c>
      <c r="AL65" s="41">
        <f>AL52*Assumptions!$B$116*Assumptions!$B$117*Assumptions!$B$45</f>
        <v/>
      </c>
      <c r="AM65" s="41">
        <f>AM52*Assumptions!$B$116*Assumptions!$B$117*Assumptions!$B$45</f>
        <v/>
      </c>
      <c r="AN65" s="41">
        <f>AN52*Assumptions!$B$116*Assumptions!$B$117*Assumptions!$B$45</f>
        <v/>
      </c>
      <c r="AO65" s="41">
        <f>AO52*Assumptions!$B$116*Assumptions!$B$117*Assumptions!$B$45</f>
        <v/>
      </c>
      <c r="AP65" s="41">
        <f>AP52*Assumptions!$B$116*Assumptions!$B$117*Assumptions!$B$45</f>
        <v/>
      </c>
      <c r="AQ65" s="41">
        <f>AQ52*Assumptions!$B$116*Assumptions!$B$117*Assumptions!$B$45</f>
        <v/>
      </c>
      <c r="AR65" s="41">
        <f>AR52*Assumptions!$B$116*Assumptions!$B$117*Assumptions!$B$45</f>
        <v/>
      </c>
      <c r="AS65" s="41">
        <f>AS52*Assumptions!$B$116*Assumptions!$B$117*Assumptions!$B$45</f>
        <v/>
      </c>
      <c r="AT65" s="41">
        <f>AT52*Assumptions!$B$116*Assumptions!$B$117*Assumptions!$B$45</f>
        <v/>
      </c>
      <c r="AU65" s="41">
        <f>AU52*Assumptions!$B$116*Assumptions!$B$117*Assumptions!$B$45</f>
        <v/>
      </c>
      <c r="AV65" s="41">
        <f>AV52*Assumptions!$B$116*Assumptions!$B$117*Assumptions!$B$45</f>
        <v/>
      </c>
      <c r="AW65" s="41">
        <f>AW52*Assumptions!$B$116*Assumptions!$B$117*Assumptions!$B$45</f>
        <v/>
      </c>
      <c r="AX65" s="41">
        <f>AX52*Assumptions!$B$116*Assumptions!$B$117*Assumptions!$B$45</f>
        <v/>
      </c>
      <c r="AY65" s="41">
        <f>AY52*Assumptions!$B$116*Assumptions!$B$117*Assumptions!$B$45</f>
        <v/>
      </c>
      <c r="AZ65" s="41">
        <f>AZ52*Assumptions!$B$116*Assumptions!$B$117*Assumptions!$B$45</f>
        <v/>
      </c>
      <c r="BA65" s="41">
        <f>BA52*Assumptions!$B$116*Assumptions!$B$117*Assumptions!$B$45</f>
        <v/>
      </c>
      <c r="BB65" s="41">
        <f>BB52*Assumptions!$B$116*Assumptions!$B$117*Assumptions!$B$45</f>
        <v/>
      </c>
      <c r="BC65" s="41">
        <f>BC52*Assumptions!$B$116*Assumptions!$B$117*Assumptions!$B$45</f>
        <v/>
      </c>
      <c r="BD65" s="41">
        <f>BD52*Assumptions!$B$116*Assumptions!$B$117*Assumptions!$B$45</f>
        <v/>
      </c>
      <c r="BE65" s="41">
        <f>BE52*Assumptions!$B$116*Assumptions!$B$117*Assumptions!$B$45</f>
        <v/>
      </c>
      <c r="BF65" s="41">
        <f>BF52*Assumptions!$B$116*Assumptions!$B$117*Assumptions!$B$45</f>
        <v/>
      </c>
      <c r="BG65" s="41">
        <f>BG52*Assumptions!$B$116*Assumptions!$B$117*Assumptions!$B$45</f>
        <v/>
      </c>
      <c r="BH65" s="41">
        <f>BH52*Assumptions!$B$116*Assumptions!$B$117*Assumptions!$B$45</f>
        <v/>
      </c>
      <c r="BI65" s="41">
        <f>BI52*Assumptions!$B$116*Assumptions!$B$117*Assumptions!$B$45</f>
        <v/>
      </c>
      <c r="BJ65" s="41">
        <f>BJ52*Assumptions!$B$116*Assumptions!$B$117*Assumptions!$B$45</f>
        <v/>
      </c>
    </row>
    <row r="66">
      <c r="A66" s="4" t="inlineStr">
        <is>
          <t>SME direct paid sign-ups wanted: Rest of Africa (USD)</t>
        </is>
      </c>
      <c r="B66" s="17" t="inlineStr">
        <is>
          <t>workspaces</t>
        </is>
      </c>
      <c r="C66" s="41">
        <f>C52*(1-Assumptions!$B$116)*Assumptions!$B$118*Assumptions!$B$45</f>
        <v/>
      </c>
      <c r="D66" s="41">
        <f>D52*(1-Assumptions!$B$116)*Assumptions!$B$118*Assumptions!$B$45</f>
        <v/>
      </c>
      <c r="E66" s="41">
        <f>E52*(1-Assumptions!$B$116)*Assumptions!$B$118*Assumptions!$B$45</f>
        <v/>
      </c>
      <c r="F66" s="41">
        <f>F52*(1-Assumptions!$B$116)*Assumptions!$B$118*Assumptions!$B$45</f>
        <v/>
      </c>
      <c r="G66" s="41">
        <f>G52*(1-Assumptions!$B$116)*Assumptions!$B$118*Assumptions!$B$45</f>
        <v/>
      </c>
      <c r="H66" s="41">
        <f>H52*(1-Assumptions!$B$116)*Assumptions!$B$118*Assumptions!$B$45</f>
        <v/>
      </c>
      <c r="I66" s="41">
        <f>I52*(1-Assumptions!$B$116)*Assumptions!$B$118*Assumptions!$B$45</f>
        <v/>
      </c>
      <c r="J66" s="41">
        <f>J52*(1-Assumptions!$B$116)*Assumptions!$B$118*Assumptions!$B$45</f>
        <v/>
      </c>
      <c r="K66" s="41">
        <f>K52*(1-Assumptions!$B$116)*Assumptions!$B$118*Assumptions!$B$45</f>
        <v/>
      </c>
      <c r="L66" s="41">
        <f>L52*(1-Assumptions!$B$116)*Assumptions!$B$118*Assumptions!$B$45</f>
        <v/>
      </c>
      <c r="M66" s="41">
        <f>M52*(1-Assumptions!$B$116)*Assumptions!$B$118*Assumptions!$B$45</f>
        <v/>
      </c>
      <c r="N66" s="41">
        <f>N52*(1-Assumptions!$B$116)*Assumptions!$B$118*Assumptions!$B$45</f>
        <v/>
      </c>
      <c r="O66" s="41">
        <f>O52*(1-Assumptions!$B$116)*Assumptions!$B$118*Assumptions!$B$45</f>
        <v/>
      </c>
      <c r="P66" s="41">
        <f>P52*(1-Assumptions!$B$116)*Assumptions!$B$118*Assumptions!$B$45</f>
        <v/>
      </c>
      <c r="Q66" s="41">
        <f>Q52*(1-Assumptions!$B$116)*Assumptions!$B$118*Assumptions!$B$45</f>
        <v/>
      </c>
      <c r="R66" s="41">
        <f>R52*(1-Assumptions!$B$116)*Assumptions!$B$118*Assumptions!$B$45</f>
        <v/>
      </c>
      <c r="S66" s="41">
        <f>S52*(1-Assumptions!$B$116)*Assumptions!$B$118*Assumptions!$B$45</f>
        <v/>
      </c>
      <c r="T66" s="41">
        <f>T52*(1-Assumptions!$B$116)*Assumptions!$B$118*Assumptions!$B$45</f>
        <v/>
      </c>
      <c r="U66" s="41">
        <f>U52*(1-Assumptions!$B$116)*Assumptions!$B$118*Assumptions!$B$45</f>
        <v/>
      </c>
      <c r="V66" s="41">
        <f>V52*(1-Assumptions!$B$116)*Assumptions!$B$118*Assumptions!$B$45</f>
        <v/>
      </c>
      <c r="W66" s="41">
        <f>W52*(1-Assumptions!$B$116)*Assumptions!$B$118*Assumptions!$B$45</f>
        <v/>
      </c>
      <c r="X66" s="41">
        <f>X52*(1-Assumptions!$B$116)*Assumptions!$B$118*Assumptions!$B$45</f>
        <v/>
      </c>
      <c r="Y66" s="41">
        <f>Y52*(1-Assumptions!$B$116)*Assumptions!$B$118*Assumptions!$B$45</f>
        <v/>
      </c>
      <c r="Z66" s="41">
        <f>Z52*(1-Assumptions!$B$116)*Assumptions!$B$118*Assumptions!$B$45</f>
        <v/>
      </c>
      <c r="AA66" s="41">
        <f>AA52*(1-Assumptions!$B$116)*Assumptions!$B$118*Assumptions!$B$45</f>
        <v/>
      </c>
      <c r="AB66" s="41">
        <f>AB52*(1-Assumptions!$B$116)*Assumptions!$B$118*Assumptions!$B$45</f>
        <v/>
      </c>
      <c r="AC66" s="41">
        <f>AC52*(1-Assumptions!$B$116)*Assumptions!$B$118*Assumptions!$B$45</f>
        <v/>
      </c>
      <c r="AD66" s="41">
        <f>AD52*(1-Assumptions!$B$116)*Assumptions!$B$118*Assumptions!$B$45</f>
        <v/>
      </c>
      <c r="AE66" s="41">
        <f>AE52*(1-Assumptions!$B$116)*Assumptions!$B$118*Assumptions!$B$45</f>
        <v/>
      </c>
      <c r="AF66" s="41">
        <f>AF52*(1-Assumptions!$B$116)*Assumptions!$B$118*Assumptions!$B$45</f>
        <v/>
      </c>
      <c r="AG66" s="41">
        <f>AG52*(1-Assumptions!$B$116)*Assumptions!$B$118*Assumptions!$B$45</f>
        <v/>
      </c>
      <c r="AH66" s="41">
        <f>AH52*(1-Assumptions!$B$116)*Assumptions!$B$118*Assumptions!$B$45</f>
        <v/>
      </c>
      <c r="AI66" s="41">
        <f>AI52*(1-Assumptions!$B$116)*Assumptions!$B$118*Assumptions!$B$45</f>
        <v/>
      </c>
      <c r="AJ66" s="41">
        <f>AJ52*(1-Assumptions!$B$116)*Assumptions!$B$118*Assumptions!$B$45</f>
        <v/>
      </c>
      <c r="AK66" s="41">
        <f>AK52*(1-Assumptions!$B$116)*Assumptions!$B$118*Assumptions!$B$45</f>
        <v/>
      </c>
      <c r="AL66" s="41">
        <f>AL52*(1-Assumptions!$B$116)*Assumptions!$B$118*Assumptions!$B$45</f>
        <v/>
      </c>
      <c r="AM66" s="41">
        <f>AM52*(1-Assumptions!$B$116)*Assumptions!$B$118*Assumptions!$B$45</f>
        <v/>
      </c>
      <c r="AN66" s="41">
        <f>AN52*(1-Assumptions!$B$116)*Assumptions!$B$118*Assumptions!$B$45</f>
        <v/>
      </c>
      <c r="AO66" s="41">
        <f>AO52*(1-Assumptions!$B$116)*Assumptions!$B$118*Assumptions!$B$45</f>
        <v/>
      </c>
      <c r="AP66" s="41">
        <f>AP52*(1-Assumptions!$B$116)*Assumptions!$B$118*Assumptions!$B$45</f>
        <v/>
      </c>
      <c r="AQ66" s="41">
        <f>AQ52*(1-Assumptions!$B$116)*Assumptions!$B$118*Assumptions!$B$45</f>
        <v/>
      </c>
      <c r="AR66" s="41">
        <f>AR52*(1-Assumptions!$B$116)*Assumptions!$B$118*Assumptions!$B$45</f>
        <v/>
      </c>
      <c r="AS66" s="41">
        <f>AS52*(1-Assumptions!$B$116)*Assumptions!$B$118*Assumptions!$B$45</f>
        <v/>
      </c>
      <c r="AT66" s="41">
        <f>AT52*(1-Assumptions!$B$116)*Assumptions!$B$118*Assumptions!$B$45</f>
        <v/>
      </c>
      <c r="AU66" s="41">
        <f>AU52*(1-Assumptions!$B$116)*Assumptions!$B$118*Assumptions!$B$45</f>
        <v/>
      </c>
      <c r="AV66" s="41">
        <f>AV52*(1-Assumptions!$B$116)*Assumptions!$B$118*Assumptions!$B$45</f>
        <v/>
      </c>
      <c r="AW66" s="41">
        <f>AW52*(1-Assumptions!$B$116)*Assumptions!$B$118*Assumptions!$B$45</f>
        <v/>
      </c>
      <c r="AX66" s="41">
        <f>AX52*(1-Assumptions!$B$116)*Assumptions!$B$118*Assumptions!$B$45</f>
        <v/>
      </c>
      <c r="AY66" s="41">
        <f>AY52*(1-Assumptions!$B$116)*Assumptions!$B$118*Assumptions!$B$45</f>
        <v/>
      </c>
      <c r="AZ66" s="41">
        <f>AZ52*(1-Assumptions!$B$116)*Assumptions!$B$118*Assumptions!$B$45</f>
        <v/>
      </c>
      <c r="BA66" s="41">
        <f>BA52*(1-Assumptions!$B$116)*Assumptions!$B$118*Assumptions!$B$45</f>
        <v/>
      </c>
      <c r="BB66" s="41">
        <f>BB52*(1-Assumptions!$B$116)*Assumptions!$B$118*Assumptions!$B$45</f>
        <v/>
      </c>
      <c r="BC66" s="41">
        <f>BC52*(1-Assumptions!$B$116)*Assumptions!$B$118*Assumptions!$B$45</f>
        <v/>
      </c>
      <c r="BD66" s="41">
        <f>BD52*(1-Assumptions!$B$116)*Assumptions!$B$118*Assumptions!$B$45</f>
        <v/>
      </c>
      <c r="BE66" s="41">
        <f>BE52*(1-Assumptions!$B$116)*Assumptions!$B$118*Assumptions!$B$45</f>
        <v/>
      </c>
      <c r="BF66" s="41">
        <f>BF52*(1-Assumptions!$B$116)*Assumptions!$B$118*Assumptions!$B$45</f>
        <v/>
      </c>
      <c r="BG66" s="41">
        <f>BG52*(1-Assumptions!$B$116)*Assumptions!$B$118*Assumptions!$B$45</f>
        <v/>
      </c>
      <c r="BH66" s="41">
        <f>BH52*(1-Assumptions!$B$116)*Assumptions!$B$118*Assumptions!$B$45</f>
        <v/>
      </c>
      <c r="BI66" s="41">
        <f>BI52*(1-Assumptions!$B$116)*Assumptions!$B$118*Assumptions!$B$45</f>
        <v/>
      </c>
      <c r="BJ66" s="41">
        <f>BJ52*(1-Assumptions!$B$116)*Assumptions!$B$118*Assumptions!$B$45</f>
        <v/>
      </c>
    </row>
    <row r="67">
      <c r="A67" s="4" t="inlineStr">
        <is>
          <t>Solo direct paid sign-ups wanted: Botswana &amp; Namibia</t>
        </is>
      </c>
      <c r="B67" s="17" t="inlineStr">
        <is>
          <t>workspaces</t>
        </is>
      </c>
      <c r="C67" s="41">
        <f>C53*Assumptions!$B$116*Assumptions!$B$117*Assumptions!$B$45</f>
        <v/>
      </c>
      <c r="D67" s="41">
        <f>D53*Assumptions!$B$116*Assumptions!$B$117*Assumptions!$B$45</f>
        <v/>
      </c>
      <c r="E67" s="41">
        <f>E53*Assumptions!$B$116*Assumptions!$B$117*Assumptions!$B$45</f>
        <v/>
      </c>
      <c r="F67" s="41">
        <f>F53*Assumptions!$B$116*Assumptions!$B$117*Assumptions!$B$45</f>
        <v/>
      </c>
      <c r="G67" s="41">
        <f>G53*Assumptions!$B$116*Assumptions!$B$117*Assumptions!$B$45</f>
        <v/>
      </c>
      <c r="H67" s="41">
        <f>H53*Assumptions!$B$116*Assumptions!$B$117*Assumptions!$B$45</f>
        <v/>
      </c>
      <c r="I67" s="41">
        <f>I53*Assumptions!$B$116*Assumptions!$B$117*Assumptions!$B$45</f>
        <v/>
      </c>
      <c r="J67" s="41">
        <f>J53*Assumptions!$B$116*Assumptions!$B$117*Assumptions!$B$45</f>
        <v/>
      </c>
      <c r="K67" s="41">
        <f>K53*Assumptions!$B$116*Assumptions!$B$117*Assumptions!$B$45</f>
        <v/>
      </c>
      <c r="L67" s="41">
        <f>L53*Assumptions!$B$116*Assumptions!$B$117*Assumptions!$B$45</f>
        <v/>
      </c>
      <c r="M67" s="41">
        <f>M53*Assumptions!$B$116*Assumptions!$B$117*Assumptions!$B$45</f>
        <v/>
      </c>
      <c r="N67" s="41">
        <f>N53*Assumptions!$B$116*Assumptions!$B$117*Assumptions!$B$45</f>
        <v/>
      </c>
      <c r="O67" s="41">
        <f>O53*Assumptions!$B$116*Assumptions!$B$117*Assumptions!$B$45</f>
        <v/>
      </c>
      <c r="P67" s="41">
        <f>P53*Assumptions!$B$116*Assumptions!$B$117*Assumptions!$B$45</f>
        <v/>
      </c>
      <c r="Q67" s="41">
        <f>Q53*Assumptions!$B$116*Assumptions!$B$117*Assumptions!$B$45</f>
        <v/>
      </c>
      <c r="R67" s="41">
        <f>R53*Assumptions!$B$116*Assumptions!$B$117*Assumptions!$B$45</f>
        <v/>
      </c>
      <c r="S67" s="41">
        <f>S53*Assumptions!$B$116*Assumptions!$B$117*Assumptions!$B$45</f>
        <v/>
      </c>
      <c r="T67" s="41">
        <f>T53*Assumptions!$B$116*Assumptions!$B$117*Assumptions!$B$45</f>
        <v/>
      </c>
      <c r="U67" s="41">
        <f>U53*Assumptions!$B$116*Assumptions!$B$117*Assumptions!$B$45</f>
        <v/>
      </c>
      <c r="V67" s="41">
        <f>V53*Assumptions!$B$116*Assumptions!$B$117*Assumptions!$B$45</f>
        <v/>
      </c>
      <c r="W67" s="41">
        <f>W53*Assumptions!$B$116*Assumptions!$B$117*Assumptions!$B$45</f>
        <v/>
      </c>
      <c r="X67" s="41">
        <f>X53*Assumptions!$B$116*Assumptions!$B$117*Assumptions!$B$45</f>
        <v/>
      </c>
      <c r="Y67" s="41">
        <f>Y53*Assumptions!$B$116*Assumptions!$B$117*Assumptions!$B$45</f>
        <v/>
      </c>
      <c r="Z67" s="41">
        <f>Z53*Assumptions!$B$116*Assumptions!$B$117*Assumptions!$B$45</f>
        <v/>
      </c>
      <c r="AA67" s="41">
        <f>AA53*Assumptions!$B$116*Assumptions!$B$117*Assumptions!$B$45</f>
        <v/>
      </c>
      <c r="AB67" s="41">
        <f>AB53*Assumptions!$B$116*Assumptions!$B$117*Assumptions!$B$45</f>
        <v/>
      </c>
      <c r="AC67" s="41">
        <f>AC53*Assumptions!$B$116*Assumptions!$B$117*Assumptions!$B$45</f>
        <v/>
      </c>
      <c r="AD67" s="41">
        <f>AD53*Assumptions!$B$116*Assumptions!$B$117*Assumptions!$B$45</f>
        <v/>
      </c>
      <c r="AE67" s="41">
        <f>AE53*Assumptions!$B$116*Assumptions!$B$117*Assumptions!$B$45</f>
        <v/>
      </c>
      <c r="AF67" s="41">
        <f>AF53*Assumptions!$B$116*Assumptions!$B$117*Assumptions!$B$45</f>
        <v/>
      </c>
      <c r="AG67" s="41">
        <f>AG53*Assumptions!$B$116*Assumptions!$B$117*Assumptions!$B$45</f>
        <v/>
      </c>
      <c r="AH67" s="41">
        <f>AH53*Assumptions!$B$116*Assumptions!$B$117*Assumptions!$B$45</f>
        <v/>
      </c>
      <c r="AI67" s="41">
        <f>AI53*Assumptions!$B$116*Assumptions!$B$117*Assumptions!$B$45</f>
        <v/>
      </c>
      <c r="AJ67" s="41">
        <f>AJ53*Assumptions!$B$116*Assumptions!$B$117*Assumptions!$B$45</f>
        <v/>
      </c>
      <c r="AK67" s="41">
        <f>AK53*Assumptions!$B$116*Assumptions!$B$117*Assumptions!$B$45</f>
        <v/>
      </c>
      <c r="AL67" s="41">
        <f>AL53*Assumptions!$B$116*Assumptions!$B$117*Assumptions!$B$45</f>
        <v/>
      </c>
      <c r="AM67" s="41">
        <f>AM53*Assumptions!$B$116*Assumptions!$B$117*Assumptions!$B$45</f>
        <v/>
      </c>
      <c r="AN67" s="41">
        <f>AN53*Assumptions!$B$116*Assumptions!$B$117*Assumptions!$B$45</f>
        <v/>
      </c>
      <c r="AO67" s="41">
        <f>AO53*Assumptions!$B$116*Assumptions!$B$117*Assumptions!$B$45</f>
        <v/>
      </c>
      <c r="AP67" s="41">
        <f>AP53*Assumptions!$B$116*Assumptions!$B$117*Assumptions!$B$45</f>
        <v/>
      </c>
      <c r="AQ67" s="41">
        <f>AQ53*Assumptions!$B$116*Assumptions!$B$117*Assumptions!$B$45</f>
        <v/>
      </c>
      <c r="AR67" s="41">
        <f>AR53*Assumptions!$B$116*Assumptions!$B$117*Assumptions!$B$45</f>
        <v/>
      </c>
      <c r="AS67" s="41">
        <f>AS53*Assumptions!$B$116*Assumptions!$B$117*Assumptions!$B$45</f>
        <v/>
      </c>
      <c r="AT67" s="41">
        <f>AT53*Assumptions!$B$116*Assumptions!$B$117*Assumptions!$B$45</f>
        <v/>
      </c>
      <c r="AU67" s="41">
        <f>AU53*Assumptions!$B$116*Assumptions!$B$117*Assumptions!$B$45</f>
        <v/>
      </c>
      <c r="AV67" s="41">
        <f>AV53*Assumptions!$B$116*Assumptions!$B$117*Assumptions!$B$45</f>
        <v/>
      </c>
      <c r="AW67" s="41">
        <f>AW53*Assumptions!$B$116*Assumptions!$B$117*Assumptions!$B$45</f>
        <v/>
      </c>
      <c r="AX67" s="41">
        <f>AX53*Assumptions!$B$116*Assumptions!$B$117*Assumptions!$B$45</f>
        <v/>
      </c>
      <c r="AY67" s="41">
        <f>AY53*Assumptions!$B$116*Assumptions!$B$117*Assumptions!$B$45</f>
        <v/>
      </c>
      <c r="AZ67" s="41">
        <f>AZ53*Assumptions!$B$116*Assumptions!$B$117*Assumptions!$B$45</f>
        <v/>
      </c>
      <c r="BA67" s="41">
        <f>BA53*Assumptions!$B$116*Assumptions!$B$117*Assumptions!$B$45</f>
        <v/>
      </c>
      <c r="BB67" s="41">
        <f>BB53*Assumptions!$B$116*Assumptions!$B$117*Assumptions!$B$45</f>
        <v/>
      </c>
      <c r="BC67" s="41">
        <f>BC53*Assumptions!$B$116*Assumptions!$B$117*Assumptions!$B$45</f>
        <v/>
      </c>
      <c r="BD67" s="41">
        <f>BD53*Assumptions!$B$116*Assumptions!$B$117*Assumptions!$B$45</f>
        <v/>
      </c>
      <c r="BE67" s="41">
        <f>BE53*Assumptions!$B$116*Assumptions!$B$117*Assumptions!$B$45</f>
        <v/>
      </c>
      <c r="BF67" s="41">
        <f>BF53*Assumptions!$B$116*Assumptions!$B$117*Assumptions!$B$45</f>
        <v/>
      </c>
      <c r="BG67" s="41">
        <f>BG53*Assumptions!$B$116*Assumptions!$B$117*Assumptions!$B$45</f>
        <v/>
      </c>
      <c r="BH67" s="41">
        <f>BH53*Assumptions!$B$116*Assumptions!$B$117*Assumptions!$B$45</f>
        <v/>
      </c>
      <c r="BI67" s="41">
        <f>BI53*Assumptions!$B$116*Assumptions!$B$117*Assumptions!$B$45</f>
        <v/>
      </c>
      <c r="BJ67" s="41">
        <f>BJ53*Assumptions!$B$116*Assumptions!$B$117*Assumptions!$B$45</f>
        <v/>
      </c>
    </row>
    <row r="68">
      <c r="A68" s="4" t="inlineStr">
        <is>
          <t>SME direct paid sign-ups wanted: Botswana &amp; Namibia</t>
        </is>
      </c>
      <c r="B68" s="17" t="inlineStr">
        <is>
          <t>workspaces</t>
        </is>
      </c>
      <c r="C68" s="41">
        <f>C53*(1-Assumptions!$B$116)*Assumptions!$B$118*Assumptions!$B$45</f>
        <v/>
      </c>
      <c r="D68" s="41">
        <f>D53*(1-Assumptions!$B$116)*Assumptions!$B$118*Assumptions!$B$45</f>
        <v/>
      </c>
      <c r="E68" s="41">
        <f>E53*(1-Assumptions!$B$116)*Assumptions!$B$118*Assumptions!$B$45</f>
        <v/>
      </c>
      <c r="F68" s="41">
        <f>F53*(1-Assumptions!$B$116)*Assumptions!$B$118*Assumptions!$B$45</f>
        <v/>
      </c>
      <c r="G68" s="41">
        <f>G53*(1-Assumptions!$B$116)*Assumptions!$B$118*Assumptions!$B$45</f>
        <v/>
      </c>
      <c r="H68" s="41">
        <f>H53*(1-Assumptions!$B$116)*Assumptions!$B$118*Assumptions!$B$45</f>
        <v/>
      </c>
      <c r="I68" s="41">
        <f>I53*(1-Assumptions!$B$116)*Assumptions!$B$118*Assumptions!$B$45</f>
        <v/>
      </c>
      <c r="J68" s="41">
        <f>J53*(1-Assumptions!$B$116)*Assumptions!$B$118*Assumptions!$B$45</f>
        <v/>
      </c>
      <c r="K68" s="41">
        <f>K53*(1-Assumptions!$B$116)*Assumptions!$B$118*Assumptions!$B$45</f>
        <v/>
      </c>
      <c r="L68" s="41">
        <f>L53*(1-Assumptions!$B$116)*Assumptions!$B$118*Assumptions!$B$45</f>
        <v/>
      </c>
      <c r="M68" s="41">
        <f>M53*(1-Assumptions!$B$116)*Assumptions!$B$118*Assumptions!$B$45</f>
        <v/>
      </c>
      <c r="N68" s="41">
        <f>N53*(1-Assumptions!$B$116)*Assumptions!$B$118*Assumptions!$B$45</f>
        <v/>
      </c>
      <c r="O68" s="41">
        <f>O53*(1-Assumptions!$B$116)*Assumptions!$B$118*Assumptions!$B$45</f>
        <v/>
      </c>
      <c r="P68" s="41">
        <f>P53*(1-Assumptions!$B$116)*Assumptions!$B$118*Assumptions!$B$45</f>
        <v/>
      </c>
      <c r="Q68" s="41">
        <f>Q53*(1-Assumptions!$B$116)*Assumptions!$B$118*Assumptions!$B$45</f>
        <v/>
      </c>
      <c r="R68" s="41">
        <f>R53*(1-Assumptions!$B$116)*Assumptions!$B$118*Assumptions!$B$45</f>
        <v/>
      </c>
      <c r="S68" s="41">
        <f>S53*(1-Assumptions!$B$116)*Assumptions!$B$118*Assumptions!$B$45</f>
        <v/>
      </c>
      <c r="T68" s="41">
        <f>T53*(1-Assumptions!$B$116)*Assumptions!$B$118*Assumptions!$B$45</f>
        <v/>
      </c>
      <c r="U68" s="41">
        <f>U53*(1-Assumptions!$B$116)*Assumptions!$B$118*Assumptions!$B$45</f>
        <v/>
      </c>
      <c r="V68" s="41">
        <f>V53*(1-Assumptions!$B$116)*Assumptions!$B$118*Assumptions!$B$45</f>
        <v/>
      </c>
      <c r="W68" s="41">
        <f>W53*(1-Assumptions!$B$116)*Assumptions!$B$118*Assumptions!$B$45</f>
        <v/>
      </c>
      <c r="X68" s="41">
        <f>X53*(1-Assumptions!$B$116)*Assumptions!$B$118*Assumptions!$B$45</f>
        <v/>
      </c>
      <c r="Y68" s="41">
        <f>Y53*(1-Assumptions!$B$116)*Assumptions!$B$118*Assumptions!$B$45</f>
        <v/>
      </c>
      <c r="Z68" s="41">
        <f>Z53*(1-Assumptions!$B$116)*Assumptions!$B$118*Assumptions!$B$45</f>
        <v/>
      </c>
      <c r="AA68" s="41">
        <f>AA53*(1-Assumptions!$B$116)*Assumptions!$B$118*Assumptions!$B$45</f>
        <v/>
      </c>
      <c r="AB68" s="41">
        <f>AB53*(1-Assumptions!$B$116)*Assumptions!$B$118*Assumptions!$B$45</f>
        <v/>
      </c>
      <c r="AC68" s="41">
        <f>AC53*(1-Assumptions!$B$116)*Assumptions!$B$118*Assumptions!$B$45</f>
        <v/>
      </c>
      <c r="AD68" s="41">
        <f>AD53*(1-Assumptions!$B$116)*Assumptions!$B$118*Assumptions!$B$45</f>
        <v/>
      </c>
      <c r="AE68" s="41">
        <f>AE53*(1-Assumptions!$B$116)*Assumptions!$B$118*Assumptions!$B$45</f>
        <v/>
      </c>
      <c r="AF68" s="41">
        <f>AF53*(1-Assumptions!$B$116)*Assumptions!$B$118*Assumptions!$B$45</f>
        <v/>
      </c>
      <c r="AG68" s="41">
        <f>AG53*(1-Assumptions!$B$116)*Assumptions!$B$118*Assumptions!$B$45</f>
        <v/>
      </c>
      <c r="AH68" s="41">
        <f>AH53*(1-Assumptions!$B$116)*Assumptions!$B$118*Assumptions!$B$45</f>
        <v/>
      </c>
      <c r="AI68" s="41">
        <f>AI53*(1-Assumptions!$B$116)*Assumptions!$B$118*Assumptions!$B$45</f>
        <v/>
      </c>
      <c r="AJ68" s="41">
        <f>AJ53*(1-Assumptions!$B$116)*Assumptions!$B$118*Assumptions!$B$45</f>
        <v/>
      </c>
      <c r="AK68" s="41">
        <f>AK53*(1-Assumptions!$B$116)*Assumptions!$B$118*Assumptions!$B$45</f>
        <v/>
      </c>
      <c r="AL68" s="41">
        <f>AL53*(1-Assumptions!$B$116)*Assumptions!$B$118*Assumptions!$B$45</f>
        <v/>
      </c>
      <c r="AM68" s="41">
        <f>AM53*(1-Assumptions!$B$116)*Assumptions!$B$118*Assumptions!$B$45</f>
        <v/>
      </c>
      <c r="AN68" s="41">
        <f>AN53*(1-Assumptions!$B$116)*Assumptions!$B$118*Assumptions!$B$45</f>
        <v/>
      </c>
      <c r="AO68" s="41">
        <f>AO53*(1-Assumptions!$B$116)*Assumptions!$B$118*Assumptions!$B$45</f>
        <v/>
      </c>
      <c r="AP68" s="41">
        <f>AP53*(1-Assumptions!$B$116)*Assumptions!$B$118*Assumptions!$B$45</f>
        <v/>
      </c>
      <c r="AQ68" s="41">
        <f>AQ53*(1-Assumptions!$B$116)*Assumptions!$B$118*Assumptions!$B$45</f>
        <v/>
      </c>
      <c r="AR68" s="41">
        <f>AR53*(1-Assumptions!$B$116)*Assumptions!$B$118*Assumptions!$B$45</f>
        <v/>
      </c>
      <c r="AS68" s="41">
        <f>AS53*(1-Assumptions!$B$116)*Assumptions!$B$118*Assumptions!$B$45</f>
        <v/>
      </c>
      <c r="AT68" s="41">
        <f>AT53*(1-Assumptions!$B$116)*Assumptions!$B$118*Assumptions!$B$45</f>
        <v/>
      </c>
      <c r="AU68" s="41">
        <f>AU53*(1-Assumptions!$B$116)*Assumptions!$B$118*Assumptions!$B$45</f>
        <v/>
      </c>
      <c r="AV68" s="41">
        <f>AV53*(1-Assumptions!$B$116)*Assumptions!$B$118*Assumptions!$B$45</f>
        <v/>
      </c>
      <c r="AW68" s="41">
        <f>AW53*(1-Assumptions!$B$116)*Assumptions!$B$118*Assumptions!$B$45</f>
        <v/>
      </c>
      <c r="AX68" s="41">
        <f>AX53*(1-Assumptions!$B$116)*Assumptions!$B$118*Assumptions!$B$45</f>
        <v/>
      </c>
      <c r="AY68" s="41">
        <f>AY53*(1-Assumptions!$B$116)*Assumptions!$B$118*Assumptions!$B$45</f>
        <v/>
      </c>
      <c r="AZ68" s="41">
        <f>AZ53*(1-Assumptions!$B$116)*Assumptions!$B$118*Assumptions!$B$45</f>
        <v/>
      </c>
      <c r="BA68" s="41">
        <f>BA53*(1-Assumptions!$B$116)*Assumptions!$B$118*Assumptions!$B$45</f>
        <v/>
      </c>
      <c r="BB68" s="41">
        <f>BB53*(1-Assumptions!$B$116)*Assumptions!$B$118*Assumptions!$B$45</f>
        <v/>
      </c>
      <c r="BC68" s="41">
        <f>BC53*(1-Assumptions!$B$116)*Assumptions!$B$118*Assumptions!$B$45</f>
        <v/>
      </c>
      <c r="BD68" s="41">
        <f>BD53*(1-Assumptions!$B$116)*Assumptions!$B$118*Assumptions!$B$45</f>
        <v/>
      </c>
      <c r="BE68" s="41">
        <f>BE53*(1-Assumptions!$B$116)*Assumptions!$B$118*Assumptions!$B$45</f>
        <v/>
      </c>
      <c r="BF68" s="41">
        <f>BF53*(1-Assumptions!$B$116)*Assumptions!$B$118*Assumptions!$B$45</f>
        <v/>
      </c>
      <c r="BG68" s="41">
        <f>BG53*(1-Assumptions!$B$116)*Assumptions!$B$118*Assumptions!$B$45</f>
        <v/>
      </c>
      <c r="BH68" s="41">
        <f>BH53*(1-Assumptions!$B$116)*Assumptions!$B$118*Assumptions!$B$45</f>
        <v/>
      </c>
      <c r="BI68" s="41">
        <f>BI53*(1-Assumptions!$B$116)*Assumptions!$B$118*Assumptions!$B$45</f>
        <v/>
      </c>
      <c r="BJ68" s="41">
        <f>BJ53*(1-Assumptions!$B$116)*Assumptions!$B$118*Assumptions!$B$45</f>
        <v/>
      </c>
    </row>
    <row r="69"/>
    <row r="70">
      <c r="A70" s="19" t="inlineStr">
        <is>
          <t>Free plan funnel: sign-ups who don't pay join Free (60 AI credits/month); active Free users upgrade or go dormant</t>
        </is>
      </c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</row>
    <row r="71">
      <c r="A71" s="4" t="inlineStr">
        <is>
          <t>Active Free users: South Africa: opening</t>
        </is>
      </c>
      <c r="B71" s="17" t="inlineStr">
        <is>
          <t>users</t>
        </is>
      </c>
      <c r="C71" s="10">
        <f>0</f>
        <v/>
      </c>
      <c r="D71" s="10">
        <f>C75</f>
        <v/>
      </c>
      <c r="E71" s="10">
        <f>D75</f>
        <v/>
      </c>
      <c r="F71" s="10">
        <f>E75</f>
        <v/>
      </c>
      <c r="G71" s="10">
        <f>F75</f>
        <v/>
      </c>
      <c r="H71" s="10">
        <f>G75</f>
        <v/>
      </c>
      <c r="I71" s="10">
        <f>H75</f>
        <v/>
      </c>
      <c r="J71" s="10">
        <f>I75</f>
        <v/>
      </c>
      <c r="K71" s="10">
        <f>J75</f>
        <v/>
      </c>
      <c r="L71" s="10">
        <f>K75</f>
        <v/>
      </c>
      <c r="M71" s="10">
        <f>L75</f>
        <v/>
      </c>
      <c r="N71" s="10">
        <f>M75</f>
        <v/>
      </c>
      <c r="O71" s="10">
        <f>N75</f>
        <v/>
      </c>
      <c r="P71" s="10">
        <f>O75</f>
        <v/>
      </c>
      <c r="Q71" s="10">
        <f>P75</f>
        <v/>
      </c>
      <c r="R71" s="10">
        <f>Q75</f>
        <v/>
      </c>
      <c r="S71" s="10">
        <f>R75</f>
        <v/>
      </c>
      <c r="T71" s="10">
        <f>S75</f>
        <v/>
      </c>
      <c r="U71" s="10">
        <f>T75</f>
        <v/>
      </c>
      <c r="V71" s="10">
        <f>U75</f>
        <v/>
      </c>
      <c r="W71" s="10">
        <f>V75</f>
        <v/>
      </c>
      <c r="X71" s="10">
        <f>W75</f>
        <v/>
      </c>
      <c r="Y71" s="10">
        <f>X75</f>
        <v/>
      </c>
      <c r="Z71" s="10">
        <f>Y75</f>
        <v/>
      </c>
      <c r="AA71" s="10">
        <f>Z75</f>
        <v/>
      </c>
      <c r="AB71" s="10">
        <f>AA75</f>
        <v/>
      </c>
      <c r="AC71" s="10">
        <f>AB75</f>
        <v/>
      </c>
      <c r="AD71" s="10">
        <f>AC75</f>
        <v/>
      </c>
      <c r="AE71" s="10">
        <f>AD75</f>
        <v/>
      </c>
      <c r="AF71" s="10">
        <f>AE75</f>
        <v/>
      </c>
      <c r="AG71" s="10">
        <f>AF75</f>
        <v/>
      </c>
      <c r="AH71" s="10">
        <f>AG75</f>
        <v/>
      </c>
      <c r="AI71" s="10">
        <f>AH75</f>
        <v/>
      </c>
      <c r="AJ71" s="10">
        <f>AI75</f>
        <v/>
      </c>
      <c r="AK71" s="10">
        <f>AJ75</f>
        <v/>
      </c>
      <c r="AL71" s="10">
        <f>AK75</f>
        <v/>
      </c>
      <c r="AM71" s="10">
        <f>AL75</f>
        <v/>
      </c>
      <c r="AN71" s="10">
        <f>AM75</f>
        <v/>
      </c>
      <c r="AO71" s="10">
        <f>AN75</f>
        <v/>
      </c>
      <c r="AP71" s="10">
        <f>AO75</f>
        <v/>
      </c>
      <c r="AQ71" s="10">
        <f>AP75</f>
        <v/>
      </c>
      <c r="AR71" s="10">
        <f>AQ75</f>
        <v/>
      </c>
      <c r="AS71" s="10">
        <f>AR75</f>
        <v/>
      </c>
      <c r="AT71" s="10">
        <f>AS75</f>
        <v/>
      </c>
      <c r="AU71" s="10">
        <f>AT75</f>
        <v/>
      </c>
      <c r="AV71" s="10">
        <f>AU75</f>
        <v/>
      </c>
      <c r="AW71" s="10">
        <f>AV75</f>
        <v/>
      </c>
      <c r="AX71" s="10">
        <f>AW75</f>
        <v/>
      </c>
      <c r="AY71" s="10">
        <f>AX75</f>
        <v/>
      </c>
      <c r="AZ71" s="10">
        <f>AY75</f>
        <v/>
      </c>
      <c r="BA71" s="10">
        <f>AZ75</f>
        <v/>
      </c>
      <c r="BB71" s="10">
        <f>BA75</f>
        <v/>
      </c>
      <c r="BC71" s="10">
        <f>BB75</f>
        <v/>
      </c>
      <c r="BD71" s="10">
        <f>BC75</f>
        <v/>
      </c>
      <c r="BE71" s="10">
        <f>BD75</f>
        <v/>
      </c>
      <c r="BF71" s="10">
        <f>BE75</f>
        <v/>
      </c>
      <c r="BG71" s="10">
        <f>BF75</f>
        <v/>
      </c>
      <c r="BH71" s="10">
        <f>BG75</f>
        <v/>
      </c>
      <c r="BI71" s="10">
        <f>BH75</f>
        <v/>
      </c>
      <c r="BJ71" s="10">
        <f>BI75</f>
        <v/>
      </c>
    </row>
    <row r="72">
      <c r="A72" s="4" t="inlineStr">
        <is>
          <t>New Free users: South Africa</t>
        </is>
      </c>
      <c r="B72" s="17" t="inlineStr">
        <is>
          <t>users</t>
        </is>
      </c>
      <c r="C72" s="10">
        <f>C48*(1-Assumptions!$B$119)</f>
        <v/>
      </c>
      <c r="D72" s="10">
        <f>D48*(1-Assumptions!$B$119)</f>
        <v/>
      </c>
      <c r="E72" s="10">
        <f>E48*(1-Assumptions!$B$119)</f>
        <v/>
      </c>
      <c r="F72" s="10">
        <f>F48*(1-Assumptions!$B$119)</f>
        <v/>
      </c>
      <c r="G72" s="10">
        <f>G48*(1-Assumptions!$B$119)</f>
        <v/>
      </c>
      <c r="H72" s="10">
        <f>H48*(1-Assumptions!$B$119)</f>
        <v/>
      </c>
      <c r="I72" s="10">
        <f>I48*(1-Assumptions!$B$119)</f>
        <v/>
      </c>
      <c r="J72" s="10">
        <f>J48*(1-Assumptions!$B$119)</f>
        <v/>
      </c>
      <c r="K72" s="10">
        <f>K48*(1-Assumptions!$B$119)</f>
        <v/>
      </c>
      <c r="L72" s="10">
        <f>L48*(1-Assumptions!$B$119)</f>
        <v/>
      </c>
      <c r="M72" s="10">
        <f>M48*(1-Assumptions!$B$119)</f>
        <v/>
      </c>
      <c r="N72" s="10">
        <f>N48*(1-Assumptions!$B$119)</f>
        <v/>
      </c>
      <c r="O72" s="10">
        <f>O48*(1-Assumptions!$B$119)</f>
        <v/>
      </c>
      <c r="P72" s="10">
        <f>P48*(1-Assumptions!$B$119)</f>
        <v/>
      </c>
      <c r="Q72" s="10">
        <f>Q48*(1-Assumptions!$B$119)</f>
        <v/>
      </c>
      <c r="R72" s="10">
        <f>R48*(1-Assumptions!$B$119)</f>
        <v/>
      </c>
      <c r="S72" s="10">
        <f>S48*(1-Assumptions!$B$119)</f>
        <v/>
      </c>
      <c r="T72" s="10">
        <f>T48*(1-Assumptions!$B$119)</f>
        <v/>
      </c>
      <c r="U72" s="10">
        <f>U48*(1-Assumptions!$B$119)</f>
        <v/>
      </c>
      <c r="V72" s="10">
        <f>V48*(1-Assumptions!$B$119)</f>
        <v/>
      </c>
      <c r="W72" s="10">
        <f>W48*(1-Assumptions!$B$119)</f>
        <v/>
      </c>
      <c r="X72" s="10">
        <f>X48*(1-Assumptions!$B$119)</f>
        <v/>
      </c>
      <c r="Y72" s="10">
        <f>Y48*(1-Assumptions!$B$119)</f>
        <v/>
      </c>
      <c r="Z72" s="10">
        <f>Z48*(1-Assumptions!$B$119)</f>
        <v/>
      </c>
      <c r="AA72" s="10">
        <f>AA48*(1-Assumptions!$B$119)</f>
        <v/>
      </c>
      <c r="AB72" s="10">
        <f>AB48*(1-Assumptions!$B$119)</f>
        <v/>
      </c>
      <c r="AC72" s="10">
        <f>AC48*(1-Assumptions!$B$119)</f>
        <v/>
      </c>
      <c r="AD72" s="10">
        <f>AD48*(1-Assumptions!$B$119)</f>
        <v/>
      </c>
      <c r="AE72" s="10">
        <f>AE48*(1-Assumptions!$B$119)</f>
        <v/>
      </c>
      <c r="AF72" s="10">
        <f>AF48*(1-Assumptions!$B$119)</f>
        <v/>
      </c>
      <c r="AG72" s="10">
        <f>AG48*(1-Assumptions!$B$119)</f>
        <v/>
      </c>
      <c r="AH72" s="10">
        <f>AH48*(1-Assumptions!$B$119)</f>
        <v/>
      </c>
      <c r="AI72" s="10">
        <f>AI48*(1-Assumptions!$B$119)</f>
        <v/>
      </c>
      <c r="AJ72" s="10">
        <f>AJ48*(1-Assumptions!$B$119)</f>
        <v/>
      </c>
      <c r="AK72" s="10">
        <f>AK48*(1-Assumptions!$B$119)</f>
        <v/>
      </c>
      <c r="AL72" s="10">
        <f>AL48*(1-Assumptions!$B$119)</f>
        <v/>
      </c>
      <c r="AM72" s="10">
        <f>AM48*(1-Assumptions!$B$119)</f>
        <v/>
      </c>
      <c r="AN72" s="10">
        <f>AN48*(1-Assumptions!$B$119)</f>
        <v/>
      </c>
      <c r="AO72" s="10">
        <f>AO48*(1-Assumptions!$B$119)</f>
        <v/>
      </c>
      <c r="AP72" s="10">
        <f>AP48*(1-Assumptions!$B$119)</f>
        <v/>
      </c>
      <c r="AQ72" s="10">
        <f>AQ48*(1-Assumptions!$B$119)</f>
        <v/>
      </c>
      <c r="AR72" s="10">
        <f>AR48*(1-Assumptions!$B$119)</f>
        <v/>
      </c>
      <c r="AS72" s="10">
        <f>AS48*(1-Assumptions!$B$119)</f>
        <v/>
      </c>
      <c r="AT72" s="10">
        <f>AT48*(1-Assumptions!$B$119)</f>
        <v/>
      </c>
      <c r="AU72" s="10">
        <f>AU48*(1-Assumptions!$B$119)</f>
        <v/>
      </c>
      <c r="AV72" s="10">
        <f>AV48*(1-Assumptions!$B$119)</f>
        <v/>
      </c>
      <c r="AW72" s="10">
        <f>AW48*(1-Assumptions!$B$119)</f>
        <v/>
      </c>
      <c r="AX72" s="10">
        <f>AX48*(1-Assumptions!$B$119)</f>
        <v/>
      </c>
      <c r="AY72" s="10">
        <f>AY48*(1-Assumptions!$B$119)</f>
        <v/>
      </c>
      <c r="AZ72" s="10">
        <f>AZ48*(1-Assumptions!$B$119)</f>
        <v/>
      </c>
      <c r="BA72" s="10">
        <f>BA48*(1-Assumptions!$B$119)</f>
        <v/>
      </c>
      <c r="BB72" s="10">
        <f>BB48*(1-Assumptions!$B$119)</f>
        <v/>
      </c>
      <c r="BC72" s="10">
        <f>BC48*(1-Assumptions!$B$119)</f>
        <v/>
      </c>
      <c r="BD72" s="10">
        <f>BD48*(1-Assumptions!$B$119)</f>
        <v/>
      </c>
      <c r="BE72" s="10">
        <f>BE48*(1-Assumptions!$B$119)</f>
        <v/>
      </c>
      <c r="BF72" s="10">
        <f>BF48*(1-Assumptions!$B$119)</f>
        <v/>
      </c>
      <c r="BG72" s="10">
        <f>BG48*(1-Assumptions!$B$119)</f>
        <v/>
      </c>
      <c r="BH72" s="10">
        <f>BH48*(1-Assumptions!$B$119)</f>
        <v/>
      </c>
      <c r="BI72" s="10">
        <f>BI48*(1-Assumptions!$B$119)</f>
        <v/>
      </c>
      <c r="BJ72" s="10">
        <f>BJ48*(1-Assumptions!$B$119)</f>
        <v/>
      </c>
    </row>
    <row r="73">
      <c r="A73" s="4" t="inlineStr">
        <is>
          <t>Free users upgrading to a paid plan: South Africa</t>
        </is>
      </c>
      <c r="B73" s="17" t="inlineStr">
        <is>
          <t>workspaces</t>
        </is>
      </c>
      <c r="C73" s="41">
        <f>C71*Assumptions!$B$120*Assumptions!$B$45</f>
        <v/>
      </c>
      <c r="D73" s="41">
        <f>D71*Assumptions!$B$120*Assumptions!$B$45</f>
        <v/>
      </c>
      <c r="E73" s="41">
        <f>E71*Assumptions!$B$120*Assumptions!$B$45</f>
        <v/>
      </c>
      <c r="F73" s="41">
        <f>F71*Assumptions!$B$120*Assumptions!$B$45</f>
        <v/>
      </c>
      <c r="G73" s="41">
        <f>G71*Assumptions!$B$120*Assumptions!$B$45</f>
        <v/>
      </c>
      <c r="H73" s="41">
        <f>H71*Assumptions!$B$120*Assumptions!$B$45</f>
        <v/>
      </c>
      <c r="I73" s="41">
        <f>I71*Assumptions!$B$120*Assumptions!$B$45</f>
        <v/>
      </c>
      <c r="J73" s="41">
        <f>J71*Assumptions!$B$120*Assumptions!$B$45</f>
        <v/>
      </c>
      <c r="K73" s="41">
        <f>K71*Assumptions!$B$120*Assumptions!$B$45</f>
        <v/>
      </c>
      <c r="L73" s="41">
        <f>L71*Assumptions!$B$120*Assumptions!$B$45</f>
        <v/>
      </c>
      <c r="M73" s="41">
        <f>M71*Assumptions!$B$120*Assumptions!$B$45</f>
        <v/>
      </c>
      <c r="N73" s="41">
        <f>N71*Assumptions!$B$120*Assumptions!$B$45</f>
        <v/>
      </c>
      <c r="O73" s="41">
        <f>O71*Assumptions!$B$120*Assumptions!$B$45</f>
        <v/>
      </c>
      <c r="P73" s="41">
        <f>P71*Assumptions!$B$120*Assumptions!$B$45</f>
        <v/>
      </c>
      <c r="Q73" s="41">
        <f>Q71*Assumptions!$B$120*Assumptions!$B$45</f>
        <v/>
      </c>
      <c r="R73" s="41">
        <f>R71*Assumptions!$B$120*Assumptions!$B$45</f>
        <v/>
      </c>
      <c r="S73" s="41">
        <f>S71*Assumptions!$B$120*Assumptions!$B$45</f>
        <v/>
      </c>
      <c r="T73" s="41">
        <f>T71*Assumptions!$B$120*Assumptions!$B$45</f>
        <v/>
      </c>
      <c r="U73" s="41">
        <f>U71*Assumptions!$B$120*Assumptions!$B$45</f>
        <v/>
      </c>
      <c r="V73" s="41">
        <f>V71*Assumptions!$B$120*Assumptions!$B$45</f>
        <v/>
      </c>
      <c r="W73" s="41">
        <f>W71*Assumptions!$B$120*Assumptions!$B$45</f>
        <v/>
      </c>
      <c r="X73" s="41">
        <f>X71*Assumptions!$B$120*Assumptions!$B$45</f>
        <v/>
      </c>
      <c r="Y73" s="41">
        <f>Y71*Assumptions!$B$120*Assumptions!$B$45</f>
        <v/>
      </c>
      <c r="Z73" s="41">
        <f>Z71*Assumptions!$B$120*Assumptions!$B$45</f>
        <v/>
      </c>
      <c r="AA73" s="41">
        <f>AA71*Assumptions!$B$120*Assumptions!$B$45</f>
        <v/>
      </c>
      <c r="AB73" s="41">
        <f>AB71*Assumptions!$B$120*Assumptions!$B$45</f>
        <v/>
      </c>
      <c r="AC73" s="41">
        <f>AC71*Assumptions!$B$120*Assumptions!$B$45</f>
        <v/>
      </c>
      <c r="AD73" s="41">
        <f>AD71*Assumptions!$B$120*Assumptions!$B$45</f>
        <v/>
      </c>
      <c r="AE73" s="41">
        <f>AE71*Assumptions!$B$120*Assumptions!$B$45</f>
        <v/>
      </c>
      <c r="AF73" s="41">
        <f>AF71*Assumptions!$B$120*Assumptions!$B$45</f>
        <v/>
      </c>
      <c r="AG73" s="41">
        <f>AG71*Assumptions!$B$120*Assumptions!$B$45</f>
        <v/>
      </c>
      <c r="AH73" s="41">
        <f>AH71*Assumptions!$B$120*Assumptions!$B$45</f>
        <v/>
      </c>
      <c r="AI73" s="41">
        <f>AI71*Assumptions!$B$120*Assumptions!$B$45</f>
        <v/>
      </c>
      <c r="AJ73" s="41">
        <f>AJ71*Assumptions!$B$120*Assumptions!$B$45</f>
        <v/>
      </c>
      <c r="AK73" s="41">
        <f>AK71*Assumptions!$B$120*Assumptions!$B$45</f>
        <v/>
      </c>
      <c r="AL73" s="41">
        <f>AL71*Assumptions!$B$120*Assumptions!$B$45</f>
        <v/>
      </c>
      <c r="AM73" s="41">
        <f>AM71*Assumptions!$B$120*Assumptions!$B$45</f>
        <v/>
      </c>
      <c r="AN73" s="41">
        <f>AN71*Assumptions!$B$120*Assumptions!$B$45</f>
        <v/>
      </c>
      <c r="AO73" s="41">
        <f>AO71*Assumptions!$B$120*Assumptions!$B$45</f>
        <v/>
      </c>
      <c r="AP73" s="41">
        <f>AP71*Assumptions!$B$120*Assumptions!$B$45</f>
        <v/>
      </c>
      <c r="AQ73" s="41">
        <f>AQ71*Assumptions!$B$120*Assumptions!$B$45</f>
        <v/>
      </c>
      <c r="AR73" s="41">
        <f>AR71*Assumptions!$B$120*Assumptions!$B$45</f>
        <v/>
      </c>
      <c r="AS73" s="41">
        <f>AS71*Assumptions!$B$120*Assumptions!$B$45</f>
        <v/>
      </c>
      <c r="AT73" s="41">
        <f>AT71*Assumptions!$B$120*Assumptions!$B$45</f>
        <v/>
      </c>
      <c r="AU73" s="41">
        <f>AU71*Assumptions!$B$120*Assumptions!$B$45</f>
        <v/>
      </c>
      <c r="AV73" s="41">
        <f>AV71*Assumptions!$B$120*Assumptions!$B$45</f>
        <v/>
      </c>
      <c r="AW73" s="41">
        <f>AW71*Assumptions!$B$120*Assumptions!$B$45</f>
        <v/>
      </c>
      <c r="AX73" s="41">
        <f>AX71*Assumptions!$B$120*Assumptions!$B$45</f>
        <v/>
      </c>
      <c r="AY73" s="41">
        <f>AY71*Assumptions!$B$120*Assumptions!$B$45</f>
        <v/>
      </c>
      <c r="AZ73" s="41">
        <f>AZ71*Assumptions!$B$120*Assumptions!$B$45</f>
        <v/>
      </c>
      <c r="BA73" s="41">
        <f>BA71*Assumptions!$B$120*Assumptions!$B$45</f>
        <v/>
      </c>
      <c r="BB73" s="41">
        <f>BB71*Assumptions!$B$120*Assumptions!$B$45</f>
        <v/>
      </c>
      <c r="BC73" s="41">
        <f>BC71*Assumptions!$B$120*Assumptions!$B$45</f>
        <v/>
      </c>
      <c r="BD73" s="41">
        <f>BD71*Assumptions!$B$120*Assumptions!$B$45</f>
        <v/>
      </c>
      <c r="BE73" s="41">
        <f>BE71*Assumptions!$B$120*Assumptions!$B$45</f>
        <v/>
      </c>
      <c r="BF73" s="41">
        <f>BF71*Assumptions!$B$120*Assumptions!$B$45</f>
        <v/>
      </c>
      <c r="BG73" s="41">
        <f>BG71*Assumptions!$B$120*Assumptions!$B$45</f>
        <v/>
      </c>
      <c r="BH73" s="41">
        <f>BH71*Assumptions!$B$120*Assumptions!$B$45</f>
        <v/>
      </c>
      <c r="BI73" s="41">
        <f>BI71*Assumptions!$B$120*Assumptions!$B$45</f>
        <v/>
      </c>
      <c r="BJ73" s="41">
        <f>BJ71*Assumptions!$B$120*Assumptions!$B$45</f>
        <v/>
      </c>
    </row>
    <row r="74">
      <c r="A74" s="4" t="inlineStr">
        <is>
          <t>Free users going dormant: South Africa</t>
        </is>
      </c>
      <c r="B74" s="17" t="inlineStr">
        <is>
          <t>users</t>
        </is>
      </c>
      <c r="C74" s="10">
        <f>C71*Assumptions!$B$121</f>
        <v/>
      </c>
      <c r="D74" s="10">
        <f>D71*Assumptions!$B$121</f>
        <v/>
      </c>
      <c r="E74" s="10">
        <f>E71*Assumptions!$B$121</f>
        <v/>
      </c>
      <c r="F74" s="10">
        <f>F71*Assumptions!$B$121</f>
        <v/>
      </c>
      <c r="G74" s="10">
        <f>G71*Assumptions!$B$121</f>
        <v/>
      </c>
      <c r="H74" s="10">
        <f>H71*Assumptions!$B$121</f>
        <v/>
      </c>
      <c r="I74" s="10">
        <f>I71*Assumptions!$B$121</f>
        <v/>
      </c>
      <c r="J74" s="10">
        <f>J71*Assumptions!$B$121</f>
        <v/>
      </c>
      <c r="K74" s="10">
        <f>K71*Assumptions!$B$121</f>
        <v/>
      </c>
      <c r="L74" s="10">
        <f>L71*Assumptions!$B$121</f>
        <v/>
      </c>
      <c r="M74" s="10">
        <f>M71*Assumptions!$B$121</f>
        <v/>
      </c>
      <c r="N74" s="10">
        <f>N71*Assumptions!$B$121</f>
        <v/>
      </c>
      <c r="O74" s="10">
        <f>O71*Assumptions!$B$121</f>
        <v/>
      </c>
      <c r="P74" s="10">
        <f>P71*Assumptions!$B$121</f>
        <v/>
      </c>
      <c r="Q74" s="10">
        <f>Q71*Assumptions!$B$121</f>
        <v/>
      </c>
      <c r="R74" s="10">
        <f>R71*Assumptions!$B$121</f>
        <v/>
      </c>
      <c r="S74" s="10">
        <f>S71*Assumptions!$B$121</f>
        <v/>
      </c>
      <c r="T74" s="10">
        <f>T71*Assumptions!$B$121</f>
        <v/>
      </c>
      <c r="U74" s="10">
        <f>U71*Assumptions!$B$121</f>
        <v/>
      </c>
      <c r="V74" s="10">
        <f>V71*Assumptions!$B$121</f>
        <v/>
      </c>
      <c r="W74" s="10">
        <f>W71*Assumptions!$B$121</f>
        <v/>
      </c>
      <c r="X74" s="10">
        <f>X71*Assumptions!$B$121</f>
        <v/>
      </c>
      <c r="Y74" s="10">
        <f>Y71*Assumptions!$B$121</f>
        <v/>
      </c>
      <c r="Z74" s="10">
        <f>Z71*Assumptions!$B$121</f>
        <v/>
      </c>
      <c r="AA74" s="10">
        <f>AA71*Assumptions!$B$121</f>
        <v/>
      </c>
      <c r="AB74" s="10">
        <f>AB71*Assumptions!$B$121</f>
        <v/>
      </c>
      <c r="AC74" s="10">
        <f>AC71*Assumptions!$B$121</f>
        <v/>
      </c>
      <c r="AD74" s="10">
        <f>AD71*Assumptions!$B$121</f>
        <v/>
      </c>
      <c r="AE74" s="10">
        <f>AE71*Assumptions!$B$121</f>
        <v/>
      </c>
      <c r="AF74" s="10">
        <f>AF71*Assumptions!$B$121</f>
        <v/>
      </c>
      <c r="AG74" s="10">
        <f>AG71*Assumptions!$B$121</f>
        <v/>
      </c>
      <c r="AH74" s="10">
        <f>AH71*Assumptions!$B$121</f>
        <v/>
      </c>
      <c r="AI74" s="10">
        <f>AI71*Assumptions!$B$121</f>
        <v/>
      </c>
      <c r="AJ74" s="10">
        <f>AJ71*Assumptions!$B$121</f>
        <v/>
      </c>
      <c r="AK74" s="10">
        <f>AK71*Assumptions!$B$121</f>
        <v/>
      </c>
      <c r="AL74" s="10">
        <f>AL71*Assumptions!$B$121</f>
        <v/>
      </c>
      <c r="AM74" s="10">
        <f>AM71*Assumptions!$B$121</f>
        <v/>
      </c>
      <c r="AN74" s="10">
        <f>AN71*Assumptions!$B$121</f>
        <v/>
      </c>
      <c r="AO74" s="10">
        <f>AO71*Assumptions!$B$121</f>
        <v/>
      </c>
      <c r="AP74" s="10">
        <f>AP71*Assumptions!$B$121</f>
        <v/>
      </c>
      <c r="AQ74" s="10">
        <f>AQ71*Assumptions!$B$121</f>
        <v/>
      </c>
      <c r="AR74" s="10">
        <f>AR71*Assumptions!$B$121</f>
        <v/>
      </c>
      <c r="AS74" s="10">
        <f>AS71*Assumptions!$B$121</f>
        <v/>
      </c>
      <c r="AT74" s="10">
        <f>AT71*Assumptions!$B$121</f>
        <v/>
      </c>
      <c r="AU74" s="10">
        <f>AU71*Assumptions!$B$121</f>
        <v/>
      </c>
      <c r="AV74" s="10">
        <f>AV71*Assumptions!$B$121</f>
        <v/>
      </c>
      <c r="AW74" s="10">
        <f>AW71*Assumptions!$B$121</f>
        <v/>
      </c>
      <c r="AX74" s="10">
        <f>AX71*Assumptions!$B$121</f>
        <v/>
      </c>
      <c r="AY74" s="10">
        <f>AY71*Assumptions!$B$121</f>
        <v/>
      </c>
      <c r="AZ74" s="10">
        <f>AZ71*Assumptions!$B$121</f>
        <v/>
      </c>
      <c r="BA74" s="10">
        <f>BA71*Assumptions!$B$121</f>
        <v/>
      </c>
      <c r="BB74" s="10">
        <f>BB71*Assumptions!$B$121</f>
        <v/>
      </c>
      <c r="BC74" s="10">
        <f>BC71*Assumptions!$B$121</f>
        <v/>
      </c>
      <c r="BD74" s="10">
        <f>BD71*Assumptions!$B$121</f>
        <v/>
      </c>
      <c r="BE74" s="10">
        <f>BE71*Assumptions!$B$121</f>
        <v/>
      </c>
      <c r="BF74" s="10">
        <f>BF71*Assumptions!$B$121</f>
        <v/>
      </c>
      <c r="BG74" s="10">
        <f>BG71*Assumptions!$B$121</f>
        <v/>
      </c>
      <c r="BH74" s="10">
        <f>BH71*Assumptions!$B$121</f>
        <v/>
      </c>
      <c r="BI74" s="10">
        <f>BI71*Assumptions!$B$121</f>
        <v/>
      </c>
      <c r="BJ74" s="10">
        <f>BJ71*Assumptions!$B$121</f>
        <v/>
      </c>
    </row>
    <row r="75">
      <c r="A75" s="3" t="inlineStr">
        <is>
          <t>Active Free users: South Africa: closing</t>
        </is>
      </c>
      <c r="B75" s="17" t="inlineStr">
        <is>
          <t>users</t>
        </is>
      </c>
      <c r="C75" s="40">
        <f>C71+C72-C73-C74</f>
        <v/>
      </c>
      <c r="D75" s="40">
        <f>D71+D72-D73-D74</f>
        <v/>
      </c>
      <c r="E75" s="40">
        <f>E71+E72-E73-E74</f>
        <v/>
      </c>
      <c r="F75" s="40">
        <f>F71+F72-F73-F74</f>
        <v/>
      </c>
      <c r="G75" s="40">
        <f>G71+G72-G73-G74</f>
        <v/>
      </c>
      <c r="H75" s="40">
        <f>H71+H72-H73-H74</f>
        <v/>
      </c>
      <c r="I75" s="40">
        <f>I71+I72-I73-I74</f>
        <v/>
      </c>
      <c r="J75" s="40">
        <f>J71+J72-J73-J74</f>
        <v/>
      </c>
      <c r="K75" s="40">
        <f>K71+K72-K73-K74</f>
        <v/>
      </c>
      <c r="L75" s="40">
        <f>L71+L72-L73-L74</f>
        <v/>
      </c>
      <c r="M75" s="40">
        <f>M71+M72-M73-M74</f>
        <v/>
      </c>
      <c r="N75" s="40">
        <f>N71+N72-N73-N74</f>
        <v/>
      </c>
      <c r="O75" s="40">
        <f>O71+O72-O73-O74</f>
        <v/>
      </c>
      <c r="P75" s="40">
        <f>P71+P72-P73-P74</f>
        <v/>
      </c>
      <c r="Q75" s="40">
        <f>Q71+Q72-Q73-Q74</f>
        <v/>
      </c>
      <c r="R75" s="40">
        <f>R71+R72-R73-R74</f>
        <v/>
      </c>
      <c r="S75" s="40">
        <f>S71+S72-S73-S74</f>
        <v/>
      </c>
      <c r="T75" s="40">
        <f>T71+T72-T73-T74</f>
        <v/>
      </c>
      <c r="U75" s="40">
        <f>U71+U72-U73-U74</f>
        <v/>
      </c>
      <c r="V75" s="40">
        <f>V71+V72-V73-V74</f>
        <v/>
      </c>
      <c r="W75" s="40">
        <f>W71+W72-W73-W74</f>
        <v/>
      </c>
      <c r="X75" s="40">
        <f>X71+X72-X73-X74</f>
        <v/>
      </c>
      <c r="Y75" s="40">
        <f>Y71+Y72-Y73-Y74</f>
        <v/>
      </c>
      <c r="Z75" s="40">
        <f>Z71+Z72-Z73-Z74</f>
        <v/>
      </c>
      <c r="AA75" s="40">
        <f>AA71+AA72-AA73-AA74</f>
        <v/>
      </c>
      <c r="AB75" s="40">
        <f>AB71+AB72-AB73-AB74</f>
        <v/>
      </c>
      <c r="AC75" s="40">
        <f>AC71+AC72-AC73-AC74</f>
        <v/>
      </c>
      <c r="AD75" s="40">
        <f>AD71+AD72-AD73-AD74</f>
        <v/>
      </c>
      <c r="AE75" s="40">
        <f>AE71+AE72-AE73-AE74</f>
        <v/>
      </c>
      <c r="AF75" s="40">
        <f>AF71+AF72-AF73-AF74</f>
        <v/>
      </c>
      <c r="AG75" s="40">
        <f>AG71+AG72-AG73-AG74</f>
        <v/>
      </c>
      <c r="AH75" s="40">
        <f>AH71+AH72-AH73-AH74</f>
        <v/>
      </c>
      <c r="AI75" s="40">
        <f>AI71+AI72-AI73-AI74</f>
        <v/>
      </c>
      <c r="AJ75" s="40">
        <f>AJ71+AJ72-AJ73-AJ74</f>
        <v/>
      </c>
      <c r="AK75" s="40">
        <f>AK71+AK72-AK73-AK74</f>
        <v/>
      </c>
      <c r="AL75" s="40">
        <f>AL71+AL72-AL73-AL74</f>
        <v/>
      </c>
      <c r="AM75" s="40">
        <f>AM71+AM72-AM73-AM74</f>
        <v/>
      </c>
      <c r="AN75" s="40">
        <f>AN71+AN72-AN73-AN74</f>
        <v/>
      </c>
      <c r="AO75" s="40">
        <f>AO71+AO72-AO73-AO74</f>
        <v/>
      </c>
      <c r="AP75" s="40">
        <f>AP71+AP72-AP73-AP74</f>
        <v/>
      </c>
      <c r="AQ75" s="40">
        <f>AQ71+AQ72-AQ73-AQ74</f>
        <v/>
      </c>
      <c r="AR75" s="40">
        <f>AR71+AR72-AR73-AR74</f>
        <v/>
      </c>
      <c r="AS75" s="40">
        <f>AS71+AS72-AS73-AS74</f>
        <v/>
      </c>
      <c r="AT75" s="40">
        <f>AT71+AT72-AT73-AT74</f>
        <v/>
      </c>
      <c r="AU75" s="40">
        <f>AU71+AU72-AU73-AU74</f>
        <v/>
      </c>
      <c r="AV75" s="40">
        <f>AV71+AV72-AV73-AV74</f>
        <v/>
      </c>
      <c r="AW75" s="40">
        <f>AW71+AW72-AW73-AW74</f>
        <v/>
      </c>
      <c r="AX75" s="40">
        <f>AX71+AX72-AX73-AX74</f>
        <v/>
      </c>
      <c r="AY75" s="40">
        <f>AY71+AY72-AY73-AY74</f>
        <v/>
      </c>
      <c r="AZ75" s="40">
        <f>AZ71+AZ72-AZ73-AZ74</f>
        <v/>
      </c>
      <c r="BA75" s="40">
        <f>BA71+BA72-BA73-BA74</f>
        <v/>
      </c>
      <c r="BB75" s="40">
        <f>BB71+BB72-BB73-BB74</f>
        <v/>
      </c>
      <c r="BC75" s="40">
        <f>BC71+BC72-BC73-BC74</f>
        <v/>
      </c>
      <c r="BD75" s="40">
        <f>BD71+BD72-BD73-BD74</f>
        <v/>
      </c>
      <c r="BE75" s="40">
        <f>BE71+BE72-BE73-BE74</f>
        <v/>
      </c>
      <c r="BF75" s="40">
        <f>BF71+BF72-BF73-BF74</f>
        <v/>
      </c>
      <c r="BG75" s="40">
        <f>BG71+BG72-BG73-BG74</f>
        <v/>
      </c>
      <c r="BH75" s="40">
        <f>BH71+BH72-BH73-BH74</f>
        <v/>
      </c>
      <c r="BI75" s="40">
        <f>BI71+BI72-BI73-BI74</f>
        <v/>
      </c>
      <c r="BJ75" s="40">
        <f>BJ71+BJ72-BJ73-BJ74</f>
        <v/>
      </c>
    </row>
    <row r="76">
      <c r="A76" s="4" t="inlineStr">
        <is>
          <t>Active Free users: Nigeria: opening</t>
        </is>
      </c>
      <c r="B76" s="17" t="inlineStr">
        <is>
          <t>users</t>
        </is>
      </c>
      <c r="C76" s="10">
        <f>0</f>
        <v/>
      </c>
      <c r="D76" s="10">
        <f>C80</f>
        <v/>
      </c>
      <c r="E76" s="10">
        <f>D80</f>
        <v/>
      </c>
      <c r="F76" s="10">
        <f>E80</f>
        <v/>
      </c>
      <c r="G76" s="10">
        <f>F80</f>
        <v/>
      </c>
      <c r="H76" s="10">
        <f>G80</f>
        <v/>
      </c>
      <c r="I76" s="10">
        <f>H80</f>
        <v/>
      </c>
      <c r="J76" s="10">
        <f>I80</f>
        <v/>
      </c>
      <c r="K76" s="10">
        <f>J80</f>
        <v/>
      </c>
      <c r="L76" s="10">
        <f>K80</f>
        <v/>
      </c>
      <c r="M76" s="10">
        <f>L80</f>
        <v/>
      </c>
      <c r="N76" s="10">
        <f>M80</f>
        <v/>
      </c>
      <c r="O76" s="10">
        <f>N80</f>
        <v/>
      </c>
      <c r="P76" s="10">
        <f>O80</f>
        <v/>
      </c>
      <c r="Q76" s="10">
        <f>P80</f>
        <v/>
      </c>
      <c r="R76" s="10">
        <f>Q80</f>
        <v/>
      </c>
      <c r="S76" s="10">
        <f>R80</f>
        <v/>
      </c>
      <c r="T76" s="10">
        <f>S80</f>
        <v/>
      </c>
      <c r="U76" s="10">
        <f>T80</f>
        <v/>
      </c>
      <c r="V76" s="10">
        <f>U80</f>
        <v/>
      </c>
      <c r="W76" s="10">
        <f>V80</f>
        <v/>
      </c>
      <c r="X76" s="10">
        <f>W80</f>
        <v/>
      </c>
      <c r="Y76" s="10">
        <f>X80</f>
        <v/>
      </c>
      <c r="Z76" s="10">
        <f>Y80</f>
        <v/>
      </c>
      <c r="AA76" s="10">
        <f>Z80</f>
        <v/>
      </c>
      <c r="AB76" s="10">
        <f>AA80</f>
        <v/>
      </c>
      <c r="AC76" s="10">
        <f>AB80</f>
        <v/>
      </c>
      <c r="AD76" s="10">
        <f>AC80</f>
        <v/>
      </c>
      <c r="AE76" s="10">
        <f>AD80</f>
        <v/>
      </c>
      <c r="AF76" s="10">
        <f>AE80</f>
        <v/>
      </c>
      <c r="AG76" s="10">
        <f>AF80</f>
        <v/>
      </c>
      <c r="AH76" s="10">
        <f>AG80</f>
        <v/>
      </c>
      <c r="AI76" s="10">
        <f>AH80</f>
        <v/>
      </c>
      <c r="AJ76" s="10">
        <f>AI80</f>
        <v/>
      </c>
      <c r="AK76" s="10">
        <f>AJ80</f>
        <v/>
      </c>
      <c r="AL76" s="10">
        <f>AK80</f>
        <v/>
      </c>
      <c r="AM76" s="10">
        <f>AL80</f>
        <v/>
      </c>
      <c r="AN76" s="10">
        <f>AM80</f>
        <v/>
      </c>
      <c r="AO76" s="10">
        <f>AN80</f>
        <v/>
      </c>
      <c r="AP76" s="10">
        <f>AO80</f>
        <v/>
      </c>
      <c r="AQ76" s="10">
        <f>AP80</f>
        <v/>
      </c>
      <c r="AR76" s="10">
        <f>AQ80</f>
        <v/>
      </c>
      <c r="AS76" s="10">
        <f>AR80</f>
        <v/>
      </c>
      <c r="AT76" s="10">
        <f>AS80</f>
        <v/>
      </c>
      <c r="AU76" s="10">
        <f>AT80</f>
        <v/>
      </c>
      <c r="AV76" s="10">
        <f>AU80</f>
        <v/>
      </c>
      <c r="AW76" s="10">
        <f>AV80</f>
        <v/>
      </c>
      <c r="AX76" s="10">
        <f>AW80</f>
        <v/>
      </c>
      <c r="AY76" s="10">
        <f>AX80</f>
        <v/>
      </c>
      <c r="AZ76" s="10">
        <f>AY80</f>
        <v/>
      </c>
      <c r="BA76" s="10">
        <f>AZ80</f>
        <v/>
      </c>
      <c r="BB76" s="10">
        <f>BA80</f>
        <v/>
      </c>
      <c r="BC76" s="10">
        <f>BB80</f>
        <v/>
      </c>
      <c r="BD76" s="10">
        <f>BC80</f>
        <v/>
      </c>
      <c r="BE76" s="10">
        <f>BD80</f>
        <v/>
      </c>
      <c r="BF76" s="10">
        <f>BE80</f>
        <v/>
      </c>
      <c r="BG76" s="10">
        <f>BF80</f>
        <v/>
      </c>
      <c r="BH76" s="10">
        <f>BG80</f>
        <v/>
      </c>
      <c r="BI76" s="10">
        <f>BH80</f>
        <v/>
      </c>
      <c r="BJ76" s="10">
        <f>BI80</f>
        <v/>
      </c>
    </row>
    <row r="77">
      <c r="A77" s="4" t="inlineStr">
        <is>
          <t>New Free users: Nigeria</t>
        </is>
      </c>
      <c r="B77" s="17" t="inlineStr">
        <is>
          <t>users</t>
        </is>
      </c>
      <c r="C77" s="10">
        <f>C49*(1-Assumptions!$B$119)</f>
        <v/>
      </c>
      <c r="D77" s="10">
        <f>D49*(1-Assumptions!$B$119)</f>
        <v/>
      </c>
      <c r="E77" s="10">
        <f>E49*(1-Assumptions!$B$119)</f>
        <v/>
      </c>
      <c r="F77" s="10">
        <f>F49*(1-Assumptions!$B$119)</f>
        <v/>
      </c>
      <c r="G77" s="10">
        <f>G49*(1-Assumptions!$B$119)</f>
        <v/>
      </c>
      <c r="H77" s="10">
        <f>H49*(1-Assumptions!$B$119)</f>
        <v/>
      </c>
      <c r="I77" s="10">
        <f>I49*(1-Assumptions!$B$119)</f>
        <v/>
      </c>
      <c r="J77" s="10">
        <f>J49*(1-Assumptions!$B$119)</f>
        <v/>
      </c>
      <c r="K77" s="10">
        <f>K49*(1-Assumptions!$B$119)</f>
        <v/>
      </c>
      <c r="L77" s="10">
        <f>L49*(1-Assumptions!$B$119)</f>
        <v/>
      </c>
      <c r="M77" s="10">
        <f>M49*(1-Assumptions!$B$119)</f>
        <v/>
      </c>
      <c r="N77" s="10">
        <f>N49*(1-Assumptions!$B$119)</f>
        <v/>
      </c>
      <c r="O77" s="10">
        <f>O49*(1-Assumptions!$B$119)</f>
        <v/>
      </c>
      <c r="P77" s="10">
        <f>P49*(1-Assumptions!$B$119)</f>
        <v/>
      </c>
      <c r="Q77" s="10">
        <f>Q49*(1-Assumptions!$B$119)</f>
        <v/>
      </c>
      <c r="R77" s="10">
        <f>R49*(1-Assumptions!$B$119)</f>
        <v/>
      </c>
      <c r="S77" s="10">
        <f>S49*(1-Assumptions!$B$119)</f>
        <v/>
      </c>
      <c r="T77" s="10">
        <f>T49*(1-Assumptions!$B$119)</f>
        <v/>
      </c>
      <c r="U77" s="10">
        <f>U49*(1-Assumptions!$B$119)</f>
        <v/>
      </c>
      <c r="V77" s="10">
        <f>V49*(1-Assumptions!$B$119)</f>
        <v/>
      </c>
      <c r="W77" s="10">
        <f>W49*(1-Assumptions!$B$119)</f>
        <v/>
      </c>
      <c r="X77" s="10">
        <f>X49*(1-Assumptions!$B$119)</f>
        <v/>
      </c>
      <c r="Y77" s="10">
        <f>Y49*(1-Assumptions!$B$119)</f>
        <v/>
      </c>
      <c r="Z77" s="10">
        <f>Z49*(1-Assumptions!$B$119)</f>
        <v/>
      </c>
      <c r="AA77" s="10">
        <f>AA49*(1-Assumptions!$B$119)</f>
        <v/>
      </c>
      <c r="AB77" s="10">
        <f>AB49*(1-Assumptions!$B$119)</f>
        <v/>
      </c>
      <c r="AC77" s="10">
        <f>AC49*(1-Assumptions!$B$119)</f>
        <v/>
      </c>
      <c r="AD77" s="10">
        <f>AD49*(1-Assumptions!$B$119)</f>
        <v/>
      </c>
      <c r="AE77" s="10">
        <f>AE49*(1-Assumptions!$B$119)</f>
        <v/>
      </c>
      <c r="AF77" s="10">
        <f>AF49*(1-Assumptions!$B$119)</f>
        <v/>
      </c>
      <c r="AG77" s="10">
        <f>AG49*(1-Assumptions!$B$119)</f>
        <v/>
      </c>
      <c r="AH77" s="10">
        <f>AH49*(1-Assumptions!$B$119)</f>
        <v/>
      </c>
      <c r="AI77" s="10">
        <f>AI49*(1-Assumptions!$B$119)</f>
        <v/>
      </c>
      <c r="AJ77" s="10">
        <f>AJ49*(1-Assumptions!$B$119)</f>
        <v/>
      </c>
      <c r="AK77" s="10">
        <f>AK49*(1-Assumptions!$B$119)</f>
        <v/>
      </c>
      <c r="AL77" s="10">
        <f>AL49*(1-Assumptions!$B$119)</f>
        <v/>
      </c>
      <c r="AM77" s="10">
        <f>AM49*(1-Assumptions!$B$119)</f>
        <v/>
      </c>
      <c r="AN77" s="10">
        <f>AN49*(1-Assumptions!$B$119)</f>
        <v/>
      </c>
      <c r="AO77" s="10">
        <f>AO49*(1-Assumptions!$B$119)</f>
        <v/>
      </c>
      <c r="AP77" s="10">
        <f>AP49*(1-Assumptions!$B$119)</f>
        <v/>
      </c>
      <c r="AQ77" s="10">
        <f>AQ49*(1-Assumptions!$B$119)</f>
        <v/>
      </c>
      <c r="AR77" s="10">
        <f>AR49*(1-Assumptions!$B$119)</f>
        <v/>
      </c>
      <c r="AS77" s="10">
        <f>AS49*(1-Assumptions!$B$119)</f>
        <v/>
      </c>
      <c r="AT77" s="10">
        <f>AT49*(1-Assumptions!$B$119)</f>
        <v/>
      </c>
      <c r="AU77" s="10">
        <f>AU49*(1-Assumptions!$B$119)</f>
        <v/>
      </c>
      <c r="AV77" s="10">
        <f>AV49*(1-Assumptions!$B$119)</f>
        <v/>
      </c>
      <c r="AW77" s="10">
        <f>AW49*(1-Assumptions!$B$119)</f>
        <v/>
      </c>
      <c r="AX77" s="10">
        <f>AX49*(1-Assumptions!$B$119)</f>
        <v/>
      </c>
      <c r="AY77" s="10">
        <f>AY49*(1-Assumptions!$B$119)</f>
        <v/>
      </c>
      <c r="AZ77" s="10">
        <f>AZ49*(1-Assumptions!$B$119)</f>
        <v/>
      </c>
      <c r="BA77" s="10">
        <f>BA49*(1-Assumptions!$B$119)</f>
        <v/>
      </c>
      <c r="BB77" s="10">
        <f>BB49*(1-Assumptions!$B$119)</f>
        <v/>
      </c>
      <c r="BC77" s="10">
        <f>BC49*(1-Assumptions!$B$119)</f>
        <v/>
      </c>
      <c r="BD77" s="10">
        <f>BD49*(1-Assumptions!$B$119)</f>
        <v/>
      </c>
      <c r="BE77" s="10">
        <f>BE49*(1-Assumptions!$B$119)</f>
        <v/>
      </c>
      <c r="BF77" s="10">
        <f>BF49*(1-Assumptions!$B$119)</f>
        <v/>
      </c>
      <c r="BG77" s="10">
        <f>BG49*(1-Assumptions!$B$119)</f>
        <v/>
      </c>
      <c r="BH77" s="10">
        <f>BH49*(1-Assumptions!$B$119)</f>
        <v/>
      </c>
      <c r="BI77" s="10">
        <f>BI49*(1-Assumptions!$B$119)</f>
        <v/>
      </c>
      <c r="BJ77" s="10">
        <f>BJ49*(1-Assumptions!$B$119)</f>
        <v/>
      </c>
    </row>
    <row r="78">
      <c r="A78" s="4" t="inlineStr">
        <is>
          <t>Free users upgrading to a paid plan: Nigeria</t>
        </is>
      </c>
      <c r="B78" s="17" t="inlineStr">
        <is>
          <t>workspaces</t>
        </is>
      </c>
      <c r="C78" s="41">
        <f>C76*Assumptions!$B$120*Assumptions!$B$45</f>
        <v/>
      </c>
      <c r="D78" s="41">
        <f>D76*Assumptions!$B$120*Assumptions!$B$45</f>
        <v/>
      </c>
      <c r="E78" s="41">
        <f>E76*Assumptions!$B$120*Assumptions!$B$45</f>
        <v/>
      </c>
      <c r="F78" s="41">
        <f>F76*Assumptions!$B$120*Assumptions!$B$45</f>
        <v/>
      </c>
      <c r="G78" s="41">
        <f>G76*Assumptions!$B$120*Assumptions!$B$45</f>
        <v/>
      </c>
      <c r="H78" s="41">
        <f>H76*Assumptions!$B$120*Assumptions!$B$45</f>
        <v/>
      </c>
      <c r="I78" s="41">
        <f>I76*Assumptions!$B$120*Assumptions!$B$45</f>
        <v/>
      </c>
      <c r="J78" s="41">
        <f>J76*Assumptions!$B$120*Assumptions!$B$45</f>
        <v/>
      </c>
      <c r="K78" s="41">
        <f>K76*Assumptions!$B$120*Assumptions!$B$45</f>
        <v/>
      </c>
      <c r="L78" s="41">
        <f>L76*Assumptions!$B$120*Assumptions!$B$45</f>
        <v/>
      </c>
      <c r="M78" s="41">
        <f>M76*Assumptions!$B$120*Assumptions!$B$45</f>
        <v/>
      </c>
      <c r="N78" s="41">
        <f>N76*Assumptions!$B$120*Assumptions!$B$45</f>
        <v/>
      </c>
      <c r="O78" s="41">
        <f>O76*Assumptions!$B$120*Assumptions!$B$45</f>
        <v/>
      </c>
      <c r="P78" s="41">
        <f>P76*Assumptions!$B$120*Assumptions!$B$45</f>
        <v/>
      </c>
      <c r="Q78" s="41">
        <f>Q76*Assumptions!$B$120*Assumptions!$B$45</f>
        <v/>
      </c>
      <c r="R78" s="41">
        <f>R76*Assumptions!$B$120*Assumptions!$B$45</f>
        <v/>
      </c>
      <c r="S78" s="41">
        <f>S76*Assumptions!$B$120*Assumptions!$B$45</f>
        <v/>
      </c>
      <c r="T78" s="41">
        <f>T76*Assumptions!$B$120*Assumptions!$B$45</f>
        <v/>
      </c>
      <c r="U78" s="41">
        <f>U76*Assumptions!$B$120*Assumptions!$B$45</f>
        <v/>
      </c>
      <c r="V78" s="41">
        <f>V76*Assumptions!$B$120*Assumptions!$B$45</f>
        <v/>
      </c>
      <c r="W78" s="41">
        <f>W76*Assumptions!$B$120*Assumptions!$B$45</f>
        <v/>
      </c>
      <c r="X78" s="41">
        <f>X76*Assumptions!$B$120*Assumptions!$B$45</f>
        <v/>
      </c>
      <c r="Y78" s="41">
        <f>Y76*Assumptions!$B$120*Assumptions!$B$45</f>
        <v/>
      </c>
      <c r="Z78" s="41">
        <f>Z76*Assumptions!$B$120*Assumptions!$B$45</f>
        <v/>
      </c>
      <c r="AA78" s="41">
        <f>AA76*Assumptions!$B$120*Assumptions!$B$45</f>
        <v/>
      </c>
      <c r="AB78" s="41">
        <f>AB76*Assumptions!$B$120*Assumptions!$B$45</f>
        <v/>
      </c>
      <c r="AC78" s="41">
        <f>AC76*Assumptions!$B$120*Assumptions!$B$45</f>
        <v/>
      </c>
      <c r="AD78" s="41">
        <f>AD76*Assumptions!$B$120*Assumptions!$B$45</f>
        <v/>
      </c>
      <c r="AE78" s="41">
        <f>AE76*Assumptions!$B$120*Assumptions!$B$45</f>
        <v/>
      </c>
      <c r="AF78" s="41">
        <f>AF76*Assumptions!$B$120*Assumptions!$B$45</f>
        <v/>
      </c>
      <c r="AG78" s="41">
        <f>AG76*Assumptions!$B$120*Assumptions!$B$45</f>
        <v/>
      </c>
      <c r="AH78" s="41">
        <f>AH76*Assumptions!$B$120*Assumptions!$B$45</f>
        <v/>
      </c>
      <c r="AI78" s="41">
        <f>AI76*Assumptions!$B$120*Assumptions!$B$45</f>
        <v/>
      </c>
      <c r="AJ78" s="41">
        <f>AJ76*Assumptions!$B$120*Assumptions!$B$45</f>
        <v/>
      </c>
      <c r="AK78" s="41">
        <f>AK76*Assumptions!$B$120*Assumptions!$B$45</f>
        <v/>
      </c>
      <c r="AL78" s="41">
        <f>AL76*Assumptions!$B$120*Assumptions!$B$45</f>
        <v/>
      </c>
      <c r="AM78" s="41">
        <f>AM76*Assumptions!$B$120*Assumptions!$B$45</f>
        <v/>
      </c>
      <c r="AN78" s="41">
        <f>AN76*Assumptions!$B$120*Assumptions!$B$45</f>
        <v/>
      </c>
      <c r="AO78" s="41">
        <f>AO76*Assumptions!$B$120*Assumptions!$B$45</f>
        <v/>
      </c>
      <c r="AP78" s="41">
        <f>AP76*Assumptions!$B$120*Assumptions!$B$45</f>
        <v/>
      </c>
      <c r="AQ78" s="41">
        <f>AQ76*Assumptions!$B$120*Assumptions!$B$45</f>
        <v/>
      </c>
      <c r="AR78" s="41">
        <f>AR76*Assumptions!$B$120*Assumptions!$B$45</f>
        <v/>
      </c>
      <c r="AS78" s="41">
        <f>AS76*Assumptions!$B$120*Assumptions!$B$45</f>
        <v/>
      </c>
      <c r="AT78" s="41">
        <f>AT76*Assumptions!$B$120*Assumptions!$B$45</f>
        <v/>
      </c>
      <c r="AU78" s="41">
        <f>AU76*Assumptions!$B$120*Assumptions!$B$45</f>
        <v/>
      </c>
      <c r="AV78" s="41">
        <f>AV76*Assumptions!$B$120*Assumptions!$B$45</f>
        <v/>
      </c>
      <c r="AW78" s="41">
        <f>AW76*Assumptions!$B$120*Assumptions!$B$45</f>
        <v/>
      </c>
      <c r="AX78" s="41">
        <f>AX76*Assumptions!$B$120*Assumptions!$B$45</f>
        <v/>
      </c>
      <c r="AY78" s="41">
        <f>AY76*Assumptions!$B$120*Assumptions!$B$45</f>
        <v/>
      </c>
      <c r="AZ78" s="41">
        <f>AZ76*Assumptions!$B$120*Assumptions!$B$45</f>
        <v/>
      </c>
      <c r="BA78" s="41">
        <f>BA76*Assumptions!$B$120*Assumptions!$B$45</f>
        <v/>
      </c>
      <c r="BB78" s="41">
        <f>BB76*Assumptions!$B$120*Assumptions!$B$45</f>
        <v/>
      </c>
      <c r="BC78" s="41">
        <f>BC76*Assumptions!$B$120*Assumptions!$B$45</f>
        <v/>
      </c>
      <c r="BD78" s="41">
        <f>BD76*Assumptions!$B$120*Assumptions!$B$45</f>
        <v/>
      </c>
      <c r="BE78" s="41">
        <f>BE76*Assumptions!$B$120*Assumptions!$B$45</f>
        <v/>
      </c>
      <c r="BF78" s="41">
        <f>BF76*Assumptions!$B$120*Assumptions!$B$45</f>
        <v/>
      </c>
      <c r="BG78" s="41">
        <f>BG76*Assumptions!$B$120*Assumptions!$B$45</f>
        <v/>
      </c>
      <c r="BH78" s="41">
        <f>BH76*Assumptions!$B$120*Assumptions!$B$45</f>
        <v/>
      </c>
      <c r="BI78" s="41">
        <f>BI76*Assumptions!$B$120*Assumptions!$B$45</f>
        <v/>
      </c>
      <c r="BJ78" s="41">
        <f>BJ76*Assumptions!$B$120*Assumptions!$B$45</f>
        <v/>
      </c>
    </row>
    <row r="79">
      <c r="A79" s="4" t="inlineStr">
        <is>
          <t>Free users going dormant: Nigeria</t>
        </is>
      </c>
      <c r="B79" s="17" t="inlineStr">
        <is>
          <t>users</t>
        </is>
      </c>
      <c r="C79" s="10">
        <f>C76*Assumptions!$B$121</f>
        <v/>
      </c>
      <c r="D79" s="10">
        <f>D76*Assumptions!$B$121</f>
        <v/>
      </c>
      <c r="E79" s="10">
        <f>E76*Assumptions!$B$121</f>
        <v/>
      </c>
      <c r="F79" s="10">
        <f>F76*Assumptions!$B$121</f>
        <v/>
      </c>
      <c r="G79" s="10">
        <f>G76*Assumptions!$B$121</f>
        <v/>
      </c>
      <c r="H79" s="10">
        <f>H76*Assumptions!$B$121</f>
        <v/>
      </c>
      <c r="I79" s="10">
        <f>I76*Assumptions!$B$121</f>
        <v/>
      </c>
      <c r="J79" s="10">
        <f>J76*Assumptions!$B$121</f>
        <v/>
      </c>
      <c r="K79" s="10">
        <f>K76*Assumptions!$B$121</f>
        <v/>
      </c>
      <c r="L79" s="10">
        <f>L76*Assumptions!$B$121</f>
        <v/>
      </c>
      <c r="M79" s="10">
        <f>M76*Assumptions!$B$121</f>
        <v/>
      </c>
      <c r="N79" s="10">
        <f>N76*Assumptions!$B$121</f>
        <v/>
      </c>
      <c r="O79" s="10">
        <f>O76*Assumptions!$B$121</f>
        <v/>
      </c>
      <c r="P79" s="10">
        <f>P76*Assumptions!$B$121</f>
        <v/>
      </c>
      <c r="Q79" s="10">
        <f>Q76*Assumptions!$B$121</f>
        <v/>
      </c>
      <c r="R79" s="10">
        <f>R76*Assumptions!$B$121</f>
        <v/>
      </c>
      <c r="S79" s="10">
        <f>S76*Assumptions!$B$121</f>
        <v/>
      </c>
      <c r="T79" s="10">
        <f>T76*Assumptions!$B$121</f>
        <v/>
      </c>
      <c r="U79" s="10">
        <f>U76*Assumptions!$B$121</f>
        <v/>
      </c>
      <c r="V79" s="10">
        <f>V76*Assumptions!$B$121</f>
        <v/>
      </c>
      <c r="W79" s="10">
        <f>W76*Assumptions!$B$121</f>
        <v/>
      </c>
      <c r="X79" s="10">
        <f>X76*Assumptions!$B$121</f>
        <v/>
      </c>
      <c r="Y79" s="10">
        <f>Y76*Assumptions!$B$121</f>
        <v/>
      </c>
      <c r="Z79" s="10">
        <f>Z76*Assumptions!$B$121</f>
        <v/>
      </c>
      <c r="AA79" s="10">
        <f>AA76*Assumptions!$B$121</f>
        <v/>
      </c>
      <c r="AB79" s="10">
        <f>AB76*Assumptions!$B$121</f>
        <v/>
      </c>
      <c r="AC79" s="10">
        <f>AC76*Assumptions!$B$121</f>
        <v/>
      </c>
      <c r="AD79" s="10">
        <f>AD76*Assumptions!$B$121</f>
        <v/>
      </c>
      <c r="AE79" s="10">
        <f>AE76*Assumptions!$B$121</f>
        <v/>
      </c>
      <c r="AF79" s="10">
        <f>AF76*Assumptions!$B$121</f>
        <v/>
      </c>
      <c r="AG79" s="10">
        <f>AG76*Assumptions!$B$121</f>
        <v/>
      </c>
      <c r="AH79" s="10">
        <f>AH76*Assumptions!$B$121</f>
        <v/>
      </c>
      <c r="AI79" s="10">
        <f>AI76*Assumptions!$B$121</f>
        <v/>
      </c>
      <c r="AJ79" s="10">
        <f>AJ76*Assumptions!$B$121</f>
        <v/>
      </c>
      <c r="AK79" s="10">
        <f>AK76*Assumptions!$B$121</f>
        <v/>
      </c>
      <c r="AL79" s="10">
        <f>AL76*Assumptions!$B$121</f>
        <v/>
      </c>
      <c r="AM79" s="10">
        <f>AM76*Assumptions!$B$121</f>
        <v/>
      </c>
      <c r="AN79" s="10">
        <f>AN76*Assumptions!$B$121</f>
        <v/>
      </c>
      <c r="AO79" s="10">
        <f>AO76*Assumptions!$B$121</f>
        <v/>
      </c>
      <c r="AP79" s="10">
        <f>AP76*Assumptions!$B$121</f>
        <v/>
      </c>
      <c r="AQ79" s="10">
        <f>AQ76*Assumptions!$B$121</f>
        <v/>
      </c>
      <c r="AR79" s="10">
        <f>AR76*Assumptions!$B$121</f>
        <v/>
      </c>
      <c r="AS79" s="10">
        <f>AS76*Assumptions!$B$121</f>
        <v/>
      </c>
      <c r="AT79" s="10">
        <f>AT76*Assumptions!$B$121</f>
        <v/>
      </c>
      <c r="AU79" s="10">
        <f>AU76*Assumptions!$B$121</f>
        <v/>
      </c>
      <c r="AV79" s="10">
        <f>AV76*Assumptions!$B$121</f>
        <v/>
      </c>
      <c r="AW79" s="10">
        <f>AW76*Assumptions!$B$121</f>
        <v/>
      </c>
      <c r="AX79" s="10">
        <f>AX76*Assumptions!$B$121</f>
        <v/>
      </c>
      <c r="AY79" s="10">
        <f>AY76*Assumptions!$B$121</f>
        <v/>
      </c>
      <c r="AZ79" s="10">
        <f>AZ76*Assumptions!$B$121</f>
        <v/>
      </c>
      <c r="BA79" s="10">
        <f>BA76*Assumptions!$B$121</f>
        <v/>
      </c>
      <c r="BB79" s="10">
        <f>BB76*Assumptions!$B$121</f>
        <v/>
      </c>
      <c r="BC79" s="10">
        <f>BC76*Assumptions!$B$121</f>
        <v/>
      </c>
      <c r="BD79" s="10">
        <f>BD76*Assumptions!$B$121</f>
        <v/>
      </c>
      <c r="BE79" s="10">
        <f>BE76*Assumptions!$B$121</f>
        <v/>
      </c>
      <c r="BF79" s="10">
        <f>BF76*Assumptions!$B$121</f>
        <v/>
      </c>
      <c r="BG79" s="10">
        <f>BG76*Assumptions!$B$121</f>
        <v/>
      </c>
      <c r="BH79" s="10">
        <f>BH76*Assumptions!$B$121</f>
        <v/>
      </c>
      <c r="BI79" s="10">
        <f>BI76*Assumptions!$B$121</f>
        <v/>
      </c>
      <c r="BJ79" s="10">
        <f>BJ76*Assumptions!$B$121</f>
        <v/>
      </c>
    </row>
    <row r="80">
      <c r="A80" s="3" t="inlineStr">
        <is>
          <t>Active Free users: Nigeria: closing</t>
        </is>
      </c>
      <c r="B80" s="17" t="inlineStr">
        <is>
          <t>users</t>
        </is>
      </c>
      <c r="C80" s="40">
        <f>C76+C77-C78-C79</f>
        <v/>
      </c>
      <c r="D80" s="40">
        <f>D76+D77-D78-D79</f>
        <v/>
      </c>
      <c r="E80" s="40">
        <f>E76+E77-E78-E79</f>
        <v/>
      </c>
      <c r="F80" s="40">
        <f>F76+F77-F78-F79</f>
        <v/>
      </c>
      <c r="G80" s="40">
        <f>G76+G77-G78-G79</f>
        <v/>
      </c>
      <c r="H80" s="40">
        <f>H76+H77-H78-H79</f>
        <v/>
      </c>
      <c r="I80" s="40">
        <f>I76+I77-I78-I79</f>
        <v/>
      </c>
      <c r="J80" s="40">
        <f>J76+J77-J78-J79</f>
        <v/>
      </c>
      <c r="K80" s="40">
        <f>K76+K77-K78-K79</f>
        <v/>
      </c>
      <c r="L80" s="40">
        <f>L76+L77-L78-L79</f>
        <v/>
      </c>
      <c r="M80" s="40">
        <f>M76+M77-M78-M79</f>
        <v/>
      </c>
      <c r="N80" s="40">
        <f>N76+N77-N78-N79</f>
        <v/>
      </c>
      <c r="O80" s="40">
        <f>O76+O77-O78-O79</f>
        <v/>
      </c>
      <c r="P80" s="40">
        <f>P76+P77-P78-P79</f>
        <v/>
      </c>
      <c r="Q80" s="40">
        <f>Q76+Q77-Q78-Q79</f>
        <v/>
      </c>
      <c r="R80" s="40">
        <f>R76+R77-R78-R79</f>
        <v/>
      </c>
      <c r="S80" s="40">
        <f>S76+S77-S78-S79</f>
        <v/>
      </c>
      <c r="T80" s="40">
        <f>T76+T77-T78-T79</f>
        <v/>
      </c>
      <c r="U80" s="40">
        <f>U76+U77-U78-U79</f>
        <v/>
      </c>
      <c r="V80" s="40">
        <f>V76+V77-V78-V79</f>
        <v/>
      </c>
      <c r="W80" s="40">
        <f>W76+W77-W78-W79</f>
        <v/>
      </c>
      <c r="X80" s="40">
        <f>X76+X77-X78-X79</f>
        <v/>
      </c>
      <c r="Y80" s="40">
        <f>Y76+Y77-Y78-Y79</f>
        <v/>
      </c>
      <c r="Z80" s="40">
        <f>Z76+Z77-Z78-Z79</f>
        <v/>
      </c>
      <c r="AA80" s="40">
        <f>AA76+AA77-AA78-AA79</f>
        <v/>
      </c>
      <c r="AB80" s="40">
        <f>AB76+AB77-AB78-AB79</f>
        <v/>
      </c>
      <c r="AC80" s="40">
        <f>AC76+AC77-AC78-AC79</f>
        <v/>
      </c>
      <c r="AD80" s="40">
        <f>AD76+AD77-AD78-AD79</f>
        <v/>
      </c>
      <c r="AE80" s="40">
        <f>AE76+AE77-AE78-AE79</f>
        <v/>
      </c>
      <c r="AF80" s="40">
        <f>AF76+AF77-AF78-AF79</f>
        <v/>
      </c>
      <c r="AG80" s="40">
        <f>AG76+AG77-AG78-AG79</f>
        <v/>
      </c>
      <c r="AH80" s="40">
        <f>AH76+AH77-AH78-AH79</f>
        <v/>
      </c>
      <c r="AI80" s="40">
        <f>AI76+AI77-AI78-AI79</f>
        <v/>
      </c>
      <c r="AJ80" s="40">
        <f>AJ76+AJ77-AJ78-AJ79</f>
        <v/>
      </c>
      <c r="AK80" s="40">
        <f>AK76+AK77-AK78-AK79</f>
        <v/>
      </c>
      <c r="AL80" s="40">
        <f>AL76+AL77-AL78-AL79</f>
        <v/>
      </c>
      <c r="AM80" s="40">
        <f>AM76+AM77-AM78-AM79</f>
        <v/>
      </c>
      <c r="AN80" s="40">
        <f>AN76+AN77-AN78-AN79</f>
        <v/>
      </c>
      <c r="AO80" s="40">
        <f>AO76+AO77-AO78-AO79</f>
        <v/>
      </c>
      <c r="AP80" s="40">
        <f>AP76+AP77-AP78-AP79</f>
        <v/>
      </c>
      <c r="AQ80" s="40">
        <f>AQ76+AQ77-AQ78-AQ79</f>
        <v/>
      </c>
      <c r="AR80" s="40">
        <f>AR76+AR77-AR78-AR79</f>
        <v/>
      </c>
      <c r="AS80" s="40">
        <f>AS76+AS77-AS78-AS79</f>
        <v/>
      </c>
      <c r="AT80" s="40">
        <f>AT76+AT77-AT78-AT79</f>
        <v/>
      </c>
      <c r="AU80" s="40">
        <f>AU76+AU77-AU78-AU79</f>
        <v/>
      </c>
      <c r="AV80" s="40">
        <f>AV76+AV77-AV78-AV79</f>
        <v/>
      </c>
      <c r="AW80" s="40">
        <f>AW76+AW77-AW78-AW79</f>
        <v/>
      </c>
      <c r="AX80" s="40">
        <f>AX76+AX77-AX78-AX79</f>
        <v/>
      </c>
      <c r="AY80" s="40">
        <f>AY76+AY77-AY78-AY79</f>
        <v/>
      </c>
      <c r="AZ80" s="40">
        <f>AZ76+AZ77-AZ78-AZ79</f>
        <v/>
      </c>
      <c r="BA80" s="40">
        <f>BA76+BA77-BA78-BA79</f>
        <v/>
      </c>
      <c r="BB80" s="40">
        <f>BB76+BB77-BB78-BB79</f>
        <v/>
      </c>
      <c r="BC80" s="40">
        <f>BC76+BC77-BC78-BC79</f>
        <v/>
      </c>
      <c r="BD80" s="40">
        <f>BD76+BD77-BD78-BD79</f>
        <v/>
      </c>
      <c r="BE80" s="40">
        <f>BE76+BE77-BE78-BE79</f>
        <v/>
      </c>
      <c r="BF80" s="40">
        <f>BF76+BF77-BF78-BF79</f>
        <v/>
      </c>
      <c r="BG80" s="40">
        <f>BG76+BG77-BG78-BG79</f>
        <v/>
      </c>
      <c r="BH80" s="40">
        <f>BH76+BH77-BH78-BH79</f>
        <v/>
      </c>
      <c r="BI80" s="40">
        <f>BI76+BI77-BI78-BI79</f>
        <v/>
      </c>
      <c r="BJ80" s="40">
        <f>BJ76+BJ77-BJ78-BJ79</f>
        <v/>
      </c>
    </row>
    <row r="81">
      <c r="A81" s="4" t="inlineStr">
        <is>
          <t>Active Free users: Kenya: opening</t>
        </is>
      </c>
      <c r="B81" s="17" t="inlineStr">
        <is>
          <t>users</t>
        </is>
      </c>
      <c r="C81" s="10">
        <f>0</f>
        <v/>
      </c>
      <c r="D81" s="10">
        <f>C85</f>
        <v/>
      </c>
      <c r="E81" s="10">
        <f>D85</f>
        <v/>
      </c>
      <c r="F81" s="10">
        <f>E85</f>
        <v/>
      </c>
      <c r="G81" s="10">
        <f>F85</f>
        <v/>
      </c>
      <c r="H81" s="10">
        <f>G85</f>
        <v/>
      </c>
      <c r="I81" s="10">
        <f>H85</f>
        <v/>
      </c>
      <c r="J81" s="10">
        <f>I85</f>
        <v/>
      </c>
      <c r="K81" s="10">
        <f>J85</f>
        <v/>
      </c>
      <c r="L81" s="10">
        <f>K85</f>
        <v/>
      </c>
      <c r="M81" s="10">
        <f>L85</f>
        <v/>
      </c>
      <c r="N81" s="10">
        <f>M85</f>
        <v/>
      </c>
      <c r="O81" s="10">
        <f>N85</f>
        <v/>
      </c>
      <c r="P81" s="10">
        <f>O85</f>
        <v/>
      </c>
      <c r="Q81" s="10">
        <f>P85</f>
        <v/>
      </c>
      <c r="R81" s="10">
        <f>Q85</f>
        <v/>
      </c>
      <c r="S81" s="10">
        <f>R85</f>
        <v/>
      </c>
      <c r="T81" s="10">
        <f>S85</f>
        <v/>
      </c>
      <c r="U81" s="10">
        <f>T85</f>
        <v/>
      </c>
      <c r="V81" s="10">
        <f>U85</f>
        <v/>
      </c>
      <c r="W81" s="10">
        <f>V85</f>
        <v/>
      </c>
      <c r="X81" s="10">
        <f>W85</f>
        <v/>
      </c>
      <c r="Y81" s="10">
        <f>X85</f>
        <v/>
      </c>
      <c r="Z81" s="10">
        <f>Y85</f>
        <v/>
      </c>
      <c r="AA81" s="10">
        <f>Z85</f>
        <v/>
      </c>
      <c r="AB81" s="10">
        <f>AA85</f>
        <v/>
      </c>
      <c r="AC81" s="10">
        <f>AB85</f>
        <v/>
      </c>
      <c r="AD81" s="10">
        <f>AC85</f>
        <v/>
      </c>
      <c r="AE81" s="10">
        <f>AD85</f>
        <v/>
      </c>
      <c r="AF81" s="10">
        <f>AE85</f>
        <v/>
      </c>
      <c r="AG81" s="10">
        <f>AF85</f>
        <v/>
      </c>
      <c r="AH81" s="10">
        <f>AG85</f>
        <v/>
      </c>
      <c r="AI81" s="10">
        <f>AH85</f>
        <v/>
      </c>
      <c r="AJ81" s="10">
        <f>AI85</f>
        <v/>
      </c>
      <c r="AK81" s="10">
        <f>AJ85</f>
        <v/>
      </c>
      <c r="AL81" s="10">
        <f>AK85</f>
        <v/>
      </c>
      <c r="AM81" s="10">
        <f>AL85</f>
        <v/>
      </c>
      <c r="AN81" s="10">
        <f>AM85</f>
        <v/>
      </c>
      <c r="AO81" s="10">
        <f>AN85</f>
        <v/>
      </c>
      <c r="AP81" s="10">
        <f>AO85</f>
        <v/>
      </c>
      <c r="AQ81" s="10">
        <f>AP85</f>
        <v/>
      </c>
      <c r="AR81" s="10">
        <f>AQ85</f>
        <v/>
      </c>
      <c r="AS81" s="10">
        <f>AR85</f>
        <v/>
      </c>
      <c r="AT81" s="10">
        <f>AS85</f>
        <v/>
      </c>
      <c r="AU81" s="10">
        <f>AT85</f>
        <v/>
      </c>
      <c r="AV81" s="10">
        <f>AU85</f>
        <v/>
      </c>
      <c r="AW81" s="10">
        <f>AV85</f>
        <v/>
      </c>
      <c r="AX81" s="10">
        <f>AW85</f>
        <v/>
      </c>
      <c r="AY81" s="10">
        <f>AX85</f>
        <v/>
      </c>
      <c r="AZ81" s="10">
        <f>AY85</f>
        <v/>
      </c>
      <c r="BA81" s="10">
        <f>AZ85</f>
        <v/>
      </c>
      <c r="BB81" s="10">
        <f>BA85</f>
        <v/>
      </c>
      <c r="BC81" s="10">
        <f>BB85</f>
        <v/>
      </c>
      <c r="BD81" s="10">
        <f>BC85</f>
        <v/>
      </c>
      <c r="BE81" s="10">
        <f>BD85</f>
        <v/>
      </c>
      <c r="BF81" s="10">
        <f>BE85</f>
        <v/>
      </c>
      <c r="BG81" s="10">
        <f>BF85</f>
        <v/>
      </c>
      <c r="BH81" s="10">
        <f>BG85</f>
        <v/>
      </c>
      <c r="BI81" s="10">
        <f>BH85</f>
        <v/>
      </c>
      <c r="BJ81" s="10">
        <f>BI85</f>
        <v/>
      </c>
    </row>
    <row r="82">
      <c r="A82" s="4" t="inlineStr">
        <is>
          <t>New Free users: Kenya</t>
        </is>
      </c>
      <c r="B82" s="17" t="inlineStr">
        <is>
          <t>users</t>
        </is>
      </c>
      <c r="C82" s="10">
        <f>C50*(1-Assumptions!$B$119)</f>
        <v/>
      </c>
      <c r="D82" s="10">
        <f>D50*(1-Assumptions!$B$119)</f>
        <v/>
      </c>
      <c r="E82" s="10">
        <f>E50*(1-Assumptions!$B$119)</f>
        <v/>
      </c>
      <c r="F82" s="10">
        <f>F50*(1-Assumptions!$B$119)</f>
        <v/>
      </c>
      <c r="G82" s="10">
        <f>G50*(1-Assumptions!$B$119)</f>
        <v/>
      </c>
      <c r="H82" s="10">
        <f>H50*(1-Assumptions!$B$119)</f>
        <v/>
      </c>
      <c r="I82" s="10">
        <f>I50*(1-Assumptions!$B$119)</f>
        <v/>
      </c>
      <c r="J82" s="10">
        <f>J50*(1-Assumptions!$B$119)</f>
        <v/>
      </c>
      <c r="K82" s="10">
        <f>K50*(1-Assumptions!$B$119)</f>
        <v/>
      </c>
      <c r="L82" s="10">
        <f>L50*(1-Assumptions!$B$119)</f>
        <v/>
      </c>
      <c r="M82" s="10">
        <f>M50*(1-Assumptions!$B$119)</f>
        <v/>
      </c>
      <c r="N82" s="10">
        <f>N50*(1-Assumptions!$B$119)</f>
        <v/>
      </c>
      <c r="O82" s="10">
        <f>O50*(1-Assumptions!$B$119)</f>
        <v/>
      </c>
      <c r="P82" s="10">
        <f>P50*(1-Assumptions!$B$119)</f>
        <v/>
      </c>
      <c r="Q82" s="10">
        <f>Q50*(1-Assumptions!$B$119)</f>
        <v/>
      </c>
      <c r="R82" s="10">
        <f>R50*(1-Assumptions!$B$119)</f>
        <v/>
      </c>
      <c r="S82" s="10">
        <f>S50*(1-Assumptions!$B$119)</f>
        <v/>
      </c>
      <c r="T82" s="10">
        <f>T50*(1-Assumptions!$B$119)</f>
        <v/>
      </c>
      <c r="U82" s="10">
        <f>U50*(1-Assumptions!$B$119)</f>
        <v/>
      </c>
      <c r="V82" s="10">
        <f>V50*(1-Assumptions!$B$119)</f>
        <v/>
      </c>
      <c r="W82" s="10">
        <f>W50*(1-Assumptions!$B$119)</f>
        <v/>
      </c>
      <c r="X82" s="10">
        <f>X50*(1-Assumptions!$B$119)</f>
        <v/>
      </c>
      <c r="Y82" s="10">
        <f>Y50*(1-Assumptions!$B$119)</f>
        <v/>
      </c>
      <c r="Z82" s="10">
        <f>Z50*(1-Assumptions!$B$119)</f>
        <v/>
      </c>
      <c r="AA82" s="10">
        <f>AA50*(1-Assumptions!$B$119)</f>
        <v/>
      </c>
      <c r="AB82" s="10">
        <f>AB50*(1-Assumptions!$B$119)</f>
        <v/>
      </c>
      <c r="AC82" s="10">
        <f>AC50*(1-Assumptions!$B$119)</f>
        <v/>
      </c>
      <c r="AD82" s="10">
        <f>AD50*(1-Assumptions!$B$119)</f>
        <v/>
      </c>
      <c r="AE82" s="10">
        <f>AE50*(1-Assumptions!$B$119)</f>
        <v/>
      </c>
      <c r="AF82" s="10">
        <f>AF50*(1-Assumptions!$B$119)</f>
        <v/>
      </c>
      <c r="AG82" s="10">
        <f>AG50*(1-Assumptions!$B$119)</f>
        <v/>
      </c>
      <c r="AH82" s="10">
        <f>AH50*(1-Assumptions!$B$119)</f>
        <v/>
      </c>
      <c r="AI82" s="10">
        <f>AI50*(1-Assumptions!$B$119)</f>
        <v/>
      </c>
      <c r="AJ82" s="10">
        <f>AJ50*(1-Assumptions!$B$119)</f>
        <v/>
      </c>
      <c r="AK82" s="10">
        <f>AK50*(1-Assumptions!$B$119)</f>
        <v/>
      </c>
      <c r="AL82" s="10">
        <f>AL50*(1-Assumptions!$B$119)</f>
        <v/>
      </c>
      <c r="AM82" s="10">
        <f>AM50*(1-Assumptions!$B$119)</f>
        <v/>
      </c>
      <c r="AN82" s="10">
        <f>AN50*(1-Assumptions!$B$119)</f>
        <v/>
      </c>
      <c r="AO82" s="10">
        <f>AO50*(1-Assumptions!$B$119)</f>
        <v/>
      </c>
      <c r="AP82" s="10">
        <f>AP50*(1-Assumptions!$B$119)</f>
        <v/>
      </c>
      <c r="AQ82" s="10">
        <f>AQ50*(1-Assumptions!$B$119)</f>
        <v/>
      </c>
      <c r="AR82" s="10">
        <f>AR50*(1-Assumptions!$B$119)</f>
        <v/>
      </c>
      <c r="AS82" s="10">
        <f>AS50*(1-Assumptions!$B$119)</f>
        <v/>
      </c>
      <c r="AT82" s="10">
        <f>AT50*(1-Assumptions!$B$119)</f>
        <v/>
      </c>
      <c r="AU82" s="10">
        <f>AU50*(1-Assumptions!$B$119)</f>
        <v/>
      </c>
      <c r="AV82" s="10">
        <f>AV50*(1-Assumptions!$B$119)</f>
        <v/>
      </c>
      <c r="AW82" s="10">
        <f>AW50*(1-Assumptions!$B$119)</f>
        <v/>
      </c>
      <c r="AX82" s="10">
        <f>AX50*(1-Assumptions!$B$119)</f>
        <v/>
      </c>
      <c r="AY82" s="10">
        <f>AY50*(1-Assumptions!$B$119)</f>
        <v/>
      </c>
      <c r="AZ82" s="10">
        <f>AZ50*(1-Assumptions!$B$119)</f>
        <v/>
      </c>
      <c r="BA82" s="10">
        <f>BA50*(1-Assumptions!$B$119)</f>
        <v/>
      </c>
      <c r="BB82" s="10">
        <f>BB50*(1-Assumptions!$B$119)</f>
        <v/>
      </c>
      <c r="BC82" s="10">
        <f>BC50*(1-Assumptions!$B$119)</f>
        <v/>
      </c>
      <c r="BD82" s="10">
        <f>BD50*(1-Assumptions!$B$119)</f>
        <v/>
      </c>
      <c r="BE82" s="10">
        <f>BE50*(1-Assumptions!$B$119)</f>
        <v/>
      </c>
      <c r="BF82" s="10">
        <f>BF50*(1-Assumptions!$B$119)</f>
        <v/>
      </c>
      <c r="BG82" s="10">
        <f>BG50*(1-Assumptions!$B$119)</f>
        <v/>
      </c>
      <c r="BH82" s="10">
        <f>BH50*(1-Assumptions!$B$119)</f>
        <v/>
      </c>
      <c r="BI82" s="10">
        <f>BI50*(1-Assumptions!$B$119)</f>
        <v/>
      </c>
      <c r="BJ82" s="10">
        <f>BJ50*(1-Assumptions!$B$119)</f>
        <v/>
      </c>
    </row>
    <row r="83">
      <c r="A83" s="4" t="inlineStr">
        <is>
          <t>Free users upgrading to a paid plan: Kenya</t>
        </is>
      </c>
      <c r="B83" s="17" t="inlineStr">
        <is>
          <t>workspaces</t>
        </is>
      </c>
      <c r="C83" s="41">
        <f>C81*Assumptions!$B$120*Assumptions!$B$45</f>
        <v/>
      </c>
      <c r="D83" s="41">
        <f>D81*Assumptions!$B$120*Assumptions!$B$45</f>
        <v/>
      </c>
      <c r="E83" s="41">
        <f>E81*Assumptions!$B$120*Assumptions!$B$45</f>
        <v/>
      </c>
      <c r="F83" s="41">
        <f>F81*Assumptions!$B$120*Assumptions!$B$45</f>
        <v/>
      </c>
      <c r="G83" s="41">
        <f>G81*Assumptions!$B$120*Assumptions!$B$45</f>
        <v/>
      </c>
      <c r="H83" s="41">
        <f>H81*Assumptions!$B$120*Assumptions!$B$45</f>
        <v/>
      </c>
      <c r="I83" s="41">
        <f>I81*Assumptions!$B$120*Assumptions!$B$45</f>
        <v/>
      </c>
      <c r="J83" s="41">
        <f>J81*Assumptions!$B$120*Assumptions!$B$45</f>
        <v/>
      </c>
      <c r="K83" s="41">
        <f>K81*Assumptions!$B$120*Assumptions!$B$45</f>
        <v/>
      </c>
      <c r="L83" s="41">
        <f>L81*Assumptions!$B$120*Assumptions!$B$45</f>
        <v/>
      </c>
      <c r="M83" s="41">
        <f>M81*Assumptions!$B$120*Assumptions!$B$45</f>
        <v/>
      </c>
      <c r="N83" s="41">
        <f>N81*Assumptions!$B$120*Assumptions!$B$45</f>
        <v/>
      </c>
      <c r="O83" s="41">
        <f>O81*Assumptions!$B$120*Assumptions!$B$45</f>
        <v/>
      </c>
      <c r="P83" s="41">
        <f>P81*Assumptions!$B$120*Assumptions!$B$45</f>
        <v/>
      </c>
      <c r="Q83" s="41">
        <f>Q81*Assumptions!$B$120*Assumptions!$B$45</f>
        <v/>
      </c>
      <c r="R83" s="41">
        <f>R81*Assumptions!$B$120*Assumptions!$B$45</f>
        <v/>
      </c>
      <c r="S83" s="41">
        <f>S81*Assumptions!$B$120*Assumptions!$B$45</f>
        <v/>
      </c>
      <c r="T83" s="41">
        <f>T81*Assumptions!$B$120*Assumptions!$B$45</f>
        <v/>
      </c>
      <c r="U83" s="41">
        <f>U81*Assumptions!$B$120*Assumptions!$B$45</f>
        <v/>
      </c>
      <c r="V83" s="41">
        <f>V81*Assumptions!$B$120*Assumptions!$B$45</f>
        <v/>
      </c>
      <c r="W83" s="41">
        <f>W81*Assumptions!$B$120*Assumptions!$B$45</f>
        <v/>
      </c>
      <c r="X83" s="41">
        <f>X81*Assumptions!$B$120*Assumptions!$B$45</f>
        <v/>
      </c>
      <c r="Y83" s="41">
        <f>Y81*Assumptions!$B$120*Assumptions!$B$45</f>
        <v/>
      </c>
      <c r="Z83" s="41">
        <f>Z81*Assumptions!$B$120*Assumptions!$B$45</f>
        <v/>
      </c>
      <c r="AA83" s="41">
        <f>AA81*Assumptions!$B$120*Assumptions!$B$45</f>
        <v/>
      </c>
      <c r="AB83" s="41">
        <f>AB81*Assumptions!$B$120*Assumptions!$B$45</f>
        <v/>
      </c>
      <c r="AC83" s="41">
        <f>AC81*Assumptions!$B$120*Assumptions!$B$45</f>
        <v/>
      </c>
      <c r="AD83" s="41">
        <f>AD81*Assumptions!$B$120*Assumptions!$B$45</f>
        <v/>
      </c>
      <c r="AE83" s="41">
        <f>AE81*Assumptions!$B$120*Assumptions!$B$45</f>
        <v/>
      </c>
      <c r="AF83" s="41">
        <f>AF81*Assumptions!$B$120*Assumptions!$B$45</f>
        <v/>
      </c>
      <c r="AG83" s="41">
        <f>AG81*Assumptions!$B$120*Assumptions!$B$45</f>
        <v/>
      </c>
      <c r="AH83" s="41">
        <f>AH81*Assumptions!$B$120*Assumptions!$B$45</f>
        <v/>
      </c>
      <c r="AI83" s="41">
        <f>AI81*Assumptions!$B$120*Assumptions!$B$45</f>
        <v/>
      </c>
      <c r="AJ83" s="41">
        <f>AJ81*Assumptions!$B$120*Assumptions!$B$45</f>
        <v/>
      </c>
      <c r="AK83" s="41">
        <f>AK81*Assumptions!$B$120*Assumptions!$B$45</f>
        <v/>
      </c>
      <c r="AL83" s="41">
        <f>AL81*Assumptions!$B$120*Assumptions!$B$45</f>
        <v/>
      </c>
      <c r="AM83" s="41">
        <f>AM81*Assumptions!$B$120*Assumptions!$B$45</f>
        <v/>
      </c>
      <c r="AN83" s="41">
        <f>AN81*Assumptions!$B$120*Assumptions!$B$45</f>
        <v/>
      </c>
      <c r="AO83" s="41">
        <f>AO81*Assumptions!$B$120*Assumptions!$B$45</f>
        <v/>
      </c>
      <c r="AP83" s="41">
        <f>AP81*Assumptions!$B$120*Assumptions!$B$45</f>
        <v/>
      </c>
      <c r="AQ83" s="41">
        <f>AQ81*Assumptions!$B$120*Assumptions!$B$45</f>
        <v/>
      </c>
      <c r="AR83" s="41">
        <f>AR81*Assumptions!$B$120*Assumptions!$B$45</f>
        <v/>
      </c>
      <c r="AS83" s="41">
        <f>AS81*Assumptions!$B$120*Assumptions!$B$45</f>
        <v/>
      </c>
      <c r="AT83" s="41">
        <f>AT81*Assumptions!$B$120*Assumptions!$B$45</f>
        <v/>
      </c>
      <c r="AU83" s="41">
        <f>AU81*Assumptions!$B$120*Assumptions!$B$45</f>
        <v/>
      </c>
      <c r="AV83" s="41">
        <f>AV81*Assumptions!$B$120*Assumptions!$B$45</f>
        <v/>
      </c>
      <c r="AW83" s="41">
        <f>AW81*Assumptions!$B$120*Assumptions!$B$45</f>
        <v/>
      </c>
      <c r="AX83" s="41">
        <f>AX81*Assumptions!$B$120*Assumptions!$B$45</f>
        <v/>
      </c>
      <c r="AY83" s="41">
        <f>AY81*Assumptions!$B$120*Assumptions!$B$45</f>
        <v/>
      </c>
      <c r="AZ83" s="41">
        <f>AZ81*Assumptions!$B$120*Assumptions!$B$45</f>
        <v/>
      </c>
      <c r="BA83" s="41">
        <f>BA81*Assumptions!$B$120*Assumptions!$B$45</f>
        <v/>
      </c>
      <c r="BB83" s="41">
        <f>BB81*Assumptions!$B$120*Assumptions!$B$45</f>
        <v/>
      </c>
      <c r="BC83" s="41">
        <f>BC81*Assumptions!$B$120*Assumptions!$B$45</f>
        <v/>
      </c>
      <c r="BD83" s="41">
        <f>BD81*Assumptions!$B$120*Assumptions!$B$45</f>
        <v/>
      </c>
      <c r="BE83" s="41">
        <f>BE81*Assumptions!$B$120*Assumptions!$B$45</f>
        <v/>
      </c>
      <c r="BF83" s="41">
        <f>BF81*Assumptions!$B$120*Assumptions!$B$45</f>
        <v/>
      </c>
      <c r="BG83" s="41">
        <f>BG81*Assumptions!$B$120*Assumptions!$B$45</f>
        <v/>
      </c>
      <c r="BH83" s="41">
        <f>BH81*Assumptions!$B$120*Assumptions!$B$45</f>
        <v/>
      </c>
      <c r="BI83" s="41">
        <f>BI81*Assumptions!$B$120*Assumptions!$B$45</f>
        <v/>
      </c>
      <c r="BJ83" s="41">
        <f>BJ81*Assumptions!$B$120*Assumptions!$B$45</f>
        <v/>
      </c>
    </row>
    <row r="84">
      <c r="A84" s="4" t="inlineStr">
        <is>
          <t>Free users going dormant: Kenya</t>
        </is>
      </c>
      <c r="B84" s="17" t="inlineStr">
        <is>
          <t>users</t>
        </is>
      </c>
      <c r="C84" s="10">
        <f>C81*Assumptions!$B$121</f>
        <v/>
      </c>
      <c r="D84" s="10">
        <f>D81*Assumptions!$B$121</f>
        <v/>
      </c>
      <c r="E84" s="10">
        <f>E81*Assumptions!$B$121</f>
        <v/>
      </c>
      <c r="F84" s="10">
        <f>F81*Assumptions!$B$121</f>
        <v/>
      </c>
      <c r="G84" s="10">
        <f>G81*Assumptions!$B$121</f>
        <v/>
      </c>
      <c r="H84" s="10">
        <f>H81*Assumptions!$B$121</f>
        <v/>
      </c>
      <c r="I84" s="10">
        <f>I81*Assumptions!$B$121</f>
        <v/>
      </c>
      <c r="J84" s="10">
        <f>J81*Assumptions!$B$121</f>
        <v/>
      </c>
      <c r="K84" s="10">
        <f>K81*Assumptions!$B$121</f>
        <v/>
      </c>
      <c r="L84" s="10">
        <f>L81*Assumptions!$B$121</f>
        <v/>
      </c>
      <c r="M84" s="10">
        <f>M81*Assumptions!$B$121</f>
        <v/>
      </c>
      <c r="N84" s="10">
        <f>N81*Assumptions!$B$121</f>
        <v/>
      </c>
      <c r="O84" s="10">
        <f>O81*Assumptions!$B$121</f>
        <v/>
      </c>
      <c r="P84" s="10">
        <f>P81*Assumptions!$B$121</f>
        <v/>
      </c>
      <c r="Q84" s="10">
        <f>Q81*Assumptions!$B$121</f>
        <v/>
      </c>
      <c r="R84" s="10">
        <f>R81*Assumptions!$B$121</f>
        <v/>
      </c>
      <c r="S84" s="10">
        <f>S81*Assumptions!$B$121</f>
        <v/>
      </c>
      <c r="T84" s="10">
        <f>T81*Assumptions!$B$121</f>
        <v/>
      </c>
      <c r="U84" s="10">
        <f>U81*Assumptions!$B$121</f>
        <v/>
      </c>
      <c r="V84" s="10">
        <f>V81*Assumptions!$B$121</f>
        <v/>
      </c>
      <c r="W84" s="10">
        <f>W81*Assumptions!$B$121</f>
        <v/>
      </c>
      <c r="X84" s="10">
        <f>X81*Assumptions!$B$121</f>
        <v/>
      </c>
      <c r="Y84" s="10">
        <f>Y81*Assumptions!$B$121</f>
        <v/>
      </c>
      <c r="Z84" s="10">
        <f>Z81*Assumptions!$B$121</f>
        <v/>
      </c>
      <c r="AA84" s="10">
        <f>AA81*Assumptions!$B$121</f>
        <v/>
      </c>
      <c r="AB84" s="10">
        <f>AB81*Assumptions!$B$121</f>
        <v/>
      </c>
      <c r="AC84" s="10">
        <f>AC81*Assumptions!$B$121</f>
        <v/>
      </c>
      <c r="AD84" s="10">
        <f>AD81*Assumptions!$B$121</f>
        <v/>
      </c>
      <c r="AE84" s="10">
        <f>AE81*Assumptions!$B$121</f>
        <v/>
      </c>
      <c r="AF84" s="10">
        <f>AF81*Assumptions!$B$121</f>
        <v/>
      </c>
      <c r="AG84" s="10">
        <f>AG81*Assumptions!$B$121</f>
        <v/>
      </c>
      <c r="AH84" s="10">
        <f>AH81*Assumptions!$B$121</f>
        <v/>
      </c>
      <c r="AI84" s="10">
        <f>AI81*Assumptions!$B$121</f>
        <v/>
      </c>
      <c r="AJ84" s="10">
        <f>AJ81*Assumptions!$B$121</f>
        <v/>
      </c>
      <c r="AK84" s="10">
        <f>AK81*Assumptions!$B$121</f>
        <v/>
      </c>
      <c r="AL84" s="10">
        <f>AL81*Assumptions!$B$121</f>
        <v/>
      </c>
      <c r="AM84" s="10">
        <f>AM81*Assumptions!$B$121</f>
        <v/>
      </c>
      <c r="AN84" s="10">
        <f>AN81*Assumptions!$B$121</f>
        <v/>
      </c>
      <c r="AO84" s="10">
        <f>AO81*Assumptions!$B$121</f>
        <v/>
      </c>
      <c r="AP84" s="10">
        <f>AP81*Assumptions!$B$121</f>
        <v/>
      </c>
      <c r="AQ84" s="10">
        <f>AQ81*Assumptions!$B$121</f>
        <v/>
      </c>
      <c r="AR84" s="10">
        <f>AR81*Assumptions!$B$121</f>
        <v/>
      </c>
      <c r="AS84" s="10">
        <f>AS81*Assumptions!$B$121</f>
        <v/>
      </c>
      <c r="AT84" s="10">
        <f>AT81*Assumptions!$B$121</f>
        <v/>
      </c>
      <c r="AU84" s="10">
        <f>AU81*Assumptions!$B$121</f>
        <v/>
      </c>
      <c r="AV84" s="10">
        <f>AV81*Assumptions!$B$121</f>
        <v/>
      </c>
      <c r="AW84" s="10">
        <f>AW81*Assumptions!$B$121</f>
        <v/>
      </c>
      <c r="AX84" s="10">
        <f>AX81*Assumptions!$B$121</f>
        <v/>
      </c>
      <c r="AY84" s="10">
        <f>AY81*Assumptions!$B$121</f>
        <v/>
      </c>
      <c r="AZ84" s="10">
        <f>AZ81*Assumptions!$B$121</f>
        <v/>
      </c>
      <c r="BA84" s="10">
        <f>BA81*Assumptions!$B$121</f>
        <v/>
      </c>
      <c r="BB84" s="10">
        <f>BB81*Assumptions!$B$121</f>
        <v/>
      </c>
      <c r="BC84" s="10">
        <f>BC81*Assumptions!$B$121</f>
        <v/>
      </c>
      <c r="BD84" s="10">
        <f>BD81*Assumptions!$B$121</f>
        <v/>
      </c>
      <c r="BE84" s="10">
        <f>BE81*Assumptions!$B$121</f>
        <v/>
      </c>
      <c r="BF84" s="10">
        <f>BF81*Assumptions!$B$121</f>
        <v/>
      </c>
      <c r="BG84" s="10">
        <f>BG81*Assumptions!$B$121</f>
        <v/>
      </c>
      <c r="BH84" s="10">
        <f>BH81*Assumptions!$B$121</f>
        <v/>
      </c>
      <c r="BI84" s="10">
        <f>BI81*Assumptions!$B$121</f>
        <v/>
      </c>
      <c r="BJ84" s="10">
        <f>BJ81*Assumptions!$B$121</f>
        <v/>
      </c>
    </row>
    <row r="85">
      <c r="A85" s="3" t="inlineStr">
        <is>
          <t>Active Free users: Kenya: closing</t>
        </is>
      </c>
      <c r="B85" s="17" t="inlineStr">
        <is>
          <t>users</t>
        </is>
      </c>
      <c r="C85" s="40">
        <f>C81+C82-C83-C84</f>
        <v/>
      </c>
      <c r="D85" s="40">
        <f>D81+D82-D83-D84</f>
        <v/>
      </c>
      <c r="E85" s="40">
        <f>E81+E82-E83-E84</f>
        <v/>
      </c>
      <c r="F85" s="40">
        <f>F81+F82-F83-F84</f>
        <v/>
      </c>
      <c r="G85" s="40">
        <f>G81+G82-G83-G84</f>
        <v/>
      </c>
      <c r="H85" s="40">
        <f>H81+H82-H83-H84</f>
        <v/>
      </c>
      <c r="I85" s="40">
        <f>I81+I82-I83-I84</f>
        <v/>
      </c>
      <c r="J85" s="40">
        <f>J81+J82-J83-J84</f>
        <v/>
      </c>
      <c r="K85" s="40">
        <f>K81+K82-K83-K84</f>
        <v/>
      </c>
      <c r="L85" s="40">
        <f>L81+L82-L83-L84</f>
        <v/>
      </c>
      <c r="M85" s="40">
        <f>M81+M82-M83-M84</f>
        <v/>
      </c>
      <c r="N85" s="40">
        <f>N81+N82-N83-N84</f>
        <v/>
      </c>
      <c r="O85" s="40">
        <f>O81+O82-O83-O84</f>
        <v/>
      </c>
      <c r="P85" s="40">
        <f>P81+P82-P83-P84</f>
        <v/>
      </c>
      <c r="Q85" s="40">
        <f>Q81+Q82-Q83-Q84</f>
        <v/>
      </c>
      <c r="R85" s="40">
        <f>R81+R82-R83-R84</f>
        <v/>
      </c>
      <c r="S85" s="40">
        <f>S81+S82-S83-S84</f>
        <v/>
      </c>
      <c r="T85" s="40">
        <f>T81+T82-T83-T84</f>
        <v/>
      </c>
      <c r="U85" s="40">
        <f>U81+U82-U83-U84</f>
        <v/>
      </c>
      <c r="V85" s="40">
        <f>V81+V82-V83-V84</f>
        <v/>
      </c>
      <c r="W85" s="40">
        <f>W81+W82-W83-W84</f>
        <v/>
      </c>
      <c r="X85" s="40">
        <f>X81+X82-X83-X84</f>
        <v/>
      </c>
      <c r="Y85" s="40">
        <f>Y81+Y82-Y83-Y84</f>
        <v/>
      </c>
      <c r="Z85" s="40">
        <f>Z81+Z82-Z83-Z84</f>
        <v/>
      </c>
      <c r="AA85" s="40">
        <f>AA81+AA82-AA83-AA84</f>
        <v/>
      </c>
      <c r="AB85" s="40">
        <f>AB81+AB82-AB83-AB84</f>
        <v/>
      </c>
      <c r="AC85" s="40">
        <f>AC81+AC82-AC83-AC84</f>
        <v/>
      </c>
      <c r="AD85" s="40">
        <f>AD81+AD82-AD83-AD84</f>
        <v/>
      </c>
      <c r="AE85" s="40">
        <f>AE81+AE82-AE83-AE84</f>
        <v/>
      </c>
      <c r="AF85" s="40">
        <f>AF81+AF82-AF83-AF84</f>
        <v/>
      </c>
      <c r="AG85" s="40">
        <f>AG81+AG82-AG83-AG84</f>
        <v/>
      </c>
      <c r="AH85" s="40">
        <f>AH81+AH82-AH83-AH84</f>
        <v/>
      </c>
      <c r="AI85" s="40">
        <f>AI81+AI82-AI83-AI84</f>
        <v/>
      </c>
      <c r="AJ85" s="40">
        <f>AJ81+AJ82-AJ83-AJ84</f>
        <v/>
      </c>
      <c r="AK85" s="40">
        <f>AK81+AK82-AK83-AK84</f>
        <v/>
      </c>
      <c r="AL85" s="40">
        <f>AL81+AL82-AL83-AL84</f>
        <v/>
      </c>
      <c r="AM85" s="40">
        <f>AM81+AM82-AM83-AM84</f>
        <v/>
      </c>
      <c r="AN85" s="40">
        <f>AN81+AN82-AN83-AN84</f>
        <v/>
      </c>
      <c r="AO85" s="40">
        <f>AO81+AO82-AO83-AO84</f>
        <v/>
      </c>
      <c r="AP85" s="40">
        <f>AP81+AP82-AP83-AP84</f>
        <v/>
      </c>
      <c r="AQ85" s="40">
        <f>AQ81+AQ82-AQ83-AQ84</f>
        <v/>
      </c>
      <c r="AR85" s="40">
        <f>AR81+AR82-AR83-AR84</f>
        <v/>
      </c>
      <c r="AS85" s="40">
        <f>AS81+AS82-AS83-AS84</f>
        <v/>
      </c>
      <c r="AT85" s="40">
        <f>AT81+AT82-AT83-AT84</f>
        <v/>
      </c>
      <c r="AU85" s="40">
        <f>AU81+AU82-AU83-AU84</f>
        <v/>
      </c>
      <c r="AV85" s="40">
        <f>AV81+AV82-AV83-AV84</f>
        <v/>
      </c>
      <c r="AW85" s="40">
        <f>AW81+AW82-AW83-AW84</f>
        <v/>
      </c>
      <c r="AX85" s="40">
        <f>AX81+AX82-AX83-AX84</f>
        <v/>
      </c>
      <c r="AY85" s="40">
        <f>AY81+AY82-AY83-AY84</f>
        <v/>
      </c>
      <c r="AZ85" s="40">
        <f>AZ81+AZ82-AZ83-AZ84</f>
        <v/>
      </c>
      <c r="BA85" s="40">
        <f>BA81+BA82-BA83-BA84</f>
        <v/>
      </c>
      <c r="BB85" s="40">
        <f>BB81+BB82-BB83-BB84</f>
        <v/>
      </c>
      <c r="BC85" s="40">
        <f>BC81+BC82-BC83-BC84</f>
        <v/>
      </c>
      <c r="BD85" s="40">
        <f>BD81+BD82-BD83-BD84</f>
        <v/>
      </c>
      <c r="BE85" s="40">
        <f>BE81+BE82-BE83-BE84</f>
        <v/>
      </c>
      <c r="BF85" s="40">
        <f>BF81+BF82-BF83-BF84</f>
        <v/>
      </c>
      <c r="BG85" s="40">
        <f>BG81+BG82-BG83-BG84</f>
        <v/>
      </c>
      <c r="BH85" s="40">
        <f>BH81+BH82-BH83-BH84</f>
        <v/>
      </c>
      <c r="BI85" s="40">
        <f>BI81+BI82-BI83-BI84</f>
        <v/>
      </c>
      <c r="BJ85" s="40">
        <f>BJ81+BJ82-BJ83-BJ84</f>
        <v/>
      </c>
    </row>
    <row r="86">
      <c r="A86" s="4" t="inlineStr">
        <is>
          <t>Active Free users: Ghana: opening</t>
        </is>
      </c>
      <c r="B86" s="17" t="inlineStr">
        <is>
          <t>users</t>
        </is>
      </c>
      <c r="C86" s="10">
        <f>0</f>
        <v/>
      </c>
      <c r="D86" s="10">
        <f>C90</f>
        <v/>
      </c>
      <c r="E86" s="10">
        <f>D90</f>
        <v/>
      </c>
      <c r="F86" s="10">
        <f>E90</f>
        <v/>
      </c>
      <c r="G86" s="10">
        <f>F90</f>
        <v/>
      </c>
      <c r="H86" s="10">
        <f>G90</f>
        <v/>
      </c>
      <c r="I86" s="10">
        <f>H90</f>
        <v/>
      </c>
      <c r="J86" s="10">
        <f>I90</f>
        <v/>
      </c>
      <c r="K86" s="10">
        <f>J90</f>
        <v/>
      </c>
      <c r="L86" s="10">
        <f>K90</f>
        <v/>
      </c>
      <c r="M86" s="10">
        <f>L90</f>
        <v/>
      </c>
      <c r="N86" s="10">
        <f>M90</f>
        <v/>
      </c>
      <c r="O86" s="10">
        <f>N90</f>
        <v/>
      </c>
      <c r="P86" s="10">
        <f>O90</f>
        <v/>
      </c>
      <c r="Q86" s="10">
        <f>P90</f>
        <v/>
      </c>
      <c r="R86" s="10">
        <f>Q90</f>
        <v/>
      </c>
      <c r="S86" s="10">
        <f>R90</f>
        <v/>
      </c>
      <c r="T86" s="10">
        <f>S90</f>
        <v/>
      </c>
      <c r="U86" s="10">
        <f>T90</f>
        <v/>
      </c>
      <c r="V86" s="10">
        <f>U90</f>
        <v/>
      </c>
      <c r="W86" s="10">
        <f>V90</f>
        <v/>
      </c>
      <c r="X86" s="10">
        <f>W90</f>
        <v/>
      </c>
      <c r="Y86" s="10">
        <f>X90</f>
        <v/>
      </c>
      <c r="Z86" s="10">
        <f>Y90</f>
        <v/>
      </c>
      <c r="AA86" s="10">
        <f>Z90</f>
        <v/>
      </c>
      <c r="AB86" s="10">
        <f>AA90</f>
        <v/>
      </c>
      <c r="AC86" s="10">
        <f>AB90</f>
        <v/>
      </c>
      <c r="AD86" s="10">
        <f>AC90</f>
        <v/>
      </c>
      <c r="AE86" s="10">
        <f>AD90</f>
        <v/>
      </c>
      <c r="AF86" s="10">
        <f>AE90</f>
        <v/>
      </c>
      <c r="AG86" s="10">
        <f>AF90</f>
        <v/>
      </c>
      <c r="AH86" s="10">
        <f>AG90</f>
        <v/>
      </c>
      <c r="AI86" s="10">
        <f>AH90</f>
        <v/>
      </c>
      <c r="AJ86" s="10">
        <f>AI90</f>
        <v/>
      </c>
      <c r="AK86" s="10">
        <f>AJ90</f>
        <v/>
      </c>
      <c r="AL86" s="10">
        <f>AK90</f>
        <v/>
      </c>
      <c r="AM86" s="10">
        <f>AL90</f>
        <v/>
      </c>
      <c r="AN86" s="10">
        <f>AM90</f>
        <v/>
      </c>
      <c r="AO86" s="10">
        <f>AN90</f>
        <v/>
      </c>
      <c r="AP86" s="10">
        <f>AO90</f>
        <v/>
      </c>
      <c r="AQ86" s="10">
        <f>AP90</f>
        <v/>
      </c>
      <c r="AR86" s="10">
        <f>AQ90</f>
        <v/>
      </c>
      <c r="AS86" s="10">
        <f>AR90</f>
        <v/>
      </c>
      <c r="AT86" s="10">
        <f>AS90</f>
        <v/>
      </c>
      <c r="AU86" s="10">
        <f>AT90</f>
        <v/>
      </c>
      <c r="AV86" s="10">
        <f>AU90</f>
        <v/>
      </c>
      <c r="AW86" s="10">
        <f>AV90</f>
        <v/>
      </c>
      <c r="AX86" s="10">
        <f>AW90</f>
        <v/>
      </c>
      <c r="AY86" s="10">
        <f>AX90</f>
        <v/>
      </c>
      <c r="AZ86" s="10">
        <f>AY90</f>
        <v/>
      </c>
      <c r="BA86" s="10">
        <f>AZ90</f>
        <v/>
      </c>
      <c r="BB86" s="10">
        <f>BA90</f>
        <v/>
      </c>
      <c r="BC86" s="10">
        <f>BB90</f>
        <v/>
      </c>
      <c r="BD86" s="10">
        <f>BC90</f>
        <v/>
      </c>
      <c r="BE86" s="10">
        <f>BD90</f>
        <v/>
      </c>
      <c r="BF86" s="10">
        <f>BE90</f>
        <v/>
      </c>
      <c r="BG86" s="10">
        <f>BF90</f>
        <v/>
      </c>
      <c r="BH86" s="10">
        <f>BG90</f>
        <v/>
      </c>
      <c r="BI86" s="10">
        <f>BH90</f>
        <v/>
      </c>
      <c r="BJ86" s="10">
        <f>BI90</f>
        <v/>
      </c>
    </row>
    <row r="87">
      <c r="A87" s="4" t="inlineStr">
        <is>
          <t>New Free users: Ghana</t>
        </is>
      </c>
      <c r="B87" s="17" t="inlineStr">
        <is>
          <t>users</t>
        </is>
      </c>
      <c r="C87" s="10">
        <f>C51*(1-Assumptions!$B$119)</f>
        <v/>
      </c>
      <c r="D87" s="10">
        <f>D51*(1-Assumptions!$B$119)</f>
        <v/>
      </c>
      <c r="E87" s="10">
        <f>E51*(1-Assumptions!$B$119)</f>
        <v/>
      </c>
      <c r="F87" s="10">
        <f>F51*(1-Assumptions!$B$119)</f>
        <v/>
      </c>
      <c r="G87" s="10">
        <f>G51*(1-Assumptions!$B$119)</f>
        <v/>
      </c>
      <c r="H87" s="10">
        <f>H51*(1-Assumptions!$B$119)</f>
        <v/>
      </c>
      <c r="I87" s="10">
        <f>I51*(1-Assumptions!$B$119)</f>
        <v/>
      </c>
      <c r="J87" s="10">
        <f>J51*(1-Assumptions!$B$119)</f>
        <v/>
      </c>
      <c r="K87" s="10">
        <f>K51*(1-Assumptions!$B$119)</f>
        <v/>
      </c>
      <c r="L87" s="10">
        <f>L51*(1-Assumptions!$B$119)</f>
        <v/>
      </c>
      <c r="M87" s="10">
        <f>M51*(1-Assumptions!$B$119)</f>
        <v/>
      </c>
      <c r="N87" s="10">
        <f>N51*(1-Assumptions!$B$119)</f>
        <v/>
      </c>
      <c r="O87" s="10">
        <f>O51*(1-Assumptions!$B$119)</f>
        <v/>
      </c>
      <c r="P87" s="10">
        <f>P51*(1-Assumptions!$B$119)</f>
        <v/>
      </c>
      <c r="Q87" s="10">
        <f>Q51*(1-Assumptions!$B$119)</f>
        <v/>
      </c>
      <c r="R87" s="10">
        <f>R51*(1-Assumptions!$B$119)</f>
        <v/>
      </c>
      <c r="S87" s="10">
        <f>S51*(1-Assumptions!$B$119)</f>
        <v/>
      </c>
      <c r="T87" s="10">
        <f>T51*(1-Assumptions!$B$119)</f>
        <v/>
      </c>
      <c r="U87" s="10">
        <f>U51*(1-Assumptions!$B$119)</f>
        <v/>
      </c>
      <c r="V87" s="10">
        <f>V51*(1-Assumptions!$B$119)</f>
        <v/>
      </c>
      <c r="W87" s="10">
        <f>W51*(1-Assumptions!$B$119)</f>
        <v/>
      </c>
      <c r="X87" s="10">
        <f>X51*(1-Assumptions!$B$119)</f>
        <v/>
      </c>
      <c r="Y87" s="10">
        <f>Y51*(1-Assumptions!$B$119)</f>
        <v/>
      </c>
      <c r="Z87" s="10">
        <f>Z51*(1-Assumptions!$B$119)</f>
        <v/>
      </c>
      <c r="AA87" s="10">
        <f>AA51*(1-Assumptions!$B$119)</f>
        <v/>
      </c>
      <c r="AB87" s="10">
        <f>AB51*(1-Assumptions!$B$119)</f>
        <v/>
      </c>
      <c r="AC87" s="10">
        <f>AC51*(1-Assumptions!$B$119)</f>
        <v/>
      </c>
      <c r="AD87" s="10">
        <f>AD51*(1-Assumptions!$B$119)</f>
        <v/>
      </c>
      <c r="AE87" s="10">
        <f>AE51*(1-Assumptions!$B$119)</f>
        <v/>
      </c>
      <c r="AF87" s="10">
        <f>AF51*(1-Assumptions!$B$119)</f>
        <v/>
      </c>
      <c r="AG87" s="10">
        <f>AG51*(1-Assumptions!$B$119)</f>
        <v/>
      </c>
      <c r="AH87" s="10">
        <f>AH51*(1-Assumptions!$B$119)</f>
        <v/>
      </c>
      <c r="AI87" s="10">
        <f>AI51*(1-Assumptions!$B$119)</f>
        <v/>
      </c>
      <c r="AJ87" s="10">
        <f>AJ51*(1-Assumptions!$B$119)</f>
        <v/>
      </c>
      <c r="AK87" s="10">
        <f>AK51*(1-Assumptions!$B$119)</f>
        <v/>
      </c>
      <c r="AL87" s="10">
        <f>AL51*(1-Assumptions!$B$119)</f>
        <v/>
      </c>
      <c r="AM87" s="10">
        <f>AM51*(1-Assumptions!$B$119)</f>
        <v/>
      </c>
      <c r="AN87" s="10">
        <f>AN51*(1-Assumptions!$B$119)</f>
        <v/>
      </c>
      <c r="AO87" s="10">
        <f>AO51*(1-Assumptions!$B$119)</f>
        <v/>
      </c>
      <c r="AP87" s="10">
        <f>AP51*(1-Assumptions!$B$119)</f>
        <v/>
      </c>
      <c r="AQ87" s="10">
        <f>AQ51*(1-Assumptions!$B$119)</f>
        <v/>
      </c>
      <c r="AR87" s="10">
        <f>AR51*(1-Assumptions!$B$119)</f>
        <v/>
      </c>
      <c r="AS87" s="10">
        <f>AS51*(1-Assumptions!$B$119)</f>
        <v/>
      </c>
      <c r="AT87" s="10">
        <f>AT51*(1-Assumptions!$B$119)</f>
        <v/>
      </c>
      <c r="AU87" s="10">
        <f>AU51*(1-Assumptions!$B$119)</f>
        <v/>
      </c>
      <c r="AV87" s="10">
        <f>AV51*(1-Assumptions!$B$119)</f>
        <v/>
      </c>
      <c r="AW87" s="10">
        <f>AW51*(1-Assumptions!$B$119)</f>
        <v/>
      </c>
      <c r="AX87" s="10">
        <f>AX51*(1-Assumptions!$B$119)</f>
        <v/>
      </c>
      <c r="AY87" s="10">
        <f>AY51*(1-Assumptions!$B$119)</f>
        <v/>
      </c>
      <c r="AZ87" s="10">
        <f>AZ51*(1-Assumptions!$B$119)</f>
        <v/>
      </c>
      <c r="BA87" s="10">
        <f>BA51*(1-Assumptions!$B$119)</f>
        <v/>
      </c>
      <c r="BB87" s="10">
        <f>BB51*(1-Assumptions!$B$119)</f>
        <v/>
      </c>
      <c r="BC87" s="10">
        <f>BC51*(1-Assumptions!$B$119)</f>
        <v/>
      </c>
      <c r="BD87" s="10">
        <f>BD51*(1-Assumptions!$B$119)</f>
        <v/>
      </c>
      <c r="BE87" s="10">
        <f>BE51*(1-Assumptions!$B$119)</f>
        <v/>
      </c>
      <c r="BF87" s="10">
        <f>BF51*(1-Assumptions!$B$119)</f>
        <v/>
      </c>
      <c r="BG87" s="10">
        <f>BG51*(1-Assumptions!$B$119)</f>
        <v/>
      </c>
      <c r="BH87" s="10">
        <f>BH51*(1-Assumptions!$B$119)</f>
        <v/>
      </c>
      <c r="BI87" s="10">
        <f>BI51*(1-Assumptions!$B$119)</f>
        <v/>
      </c>
      <c r="BJ87" s="10">
        <f>BJ51*(1-Assumptions!$B$119)</f>
        <v/>
      </c>
    </row>
    <row r="88">
      <c r="A88" s="4" t="inlineStr">
        <is>
          <t>Free users upgrading to a paid plan: Ghana</t>
        </is>
      </c>
      <c r="B88" s="17" t="inlineStr">
        <is>
          <t>workspaces</t>
        </is>
      </c>
      <c r="C88" s="41">
        <f>C86*Assumptions!$B$120*Assumptions!$B$45</f>
        <v/>
      </c>
      <c r="D88" s="41">
        <f>D86*Assumptions!$B$120*Assumptions!$B$45</f>
        <v/>
      </c>
      <c r="E88" s="41">
        <f>E86*Assumptions!$B$120*Assumptions!$B$45</f>
        <v/>
      </c>
      <c r="F88" s="41">
        <f>F86*Assumptions!$B$120*Assumptions!$B$45</f>
        <v/>
      </c>
      <c r="G88" s="41">
        <f>G86*Assumptions!$B$120*Assumptions!$B$45</f>
        <v/>
      </c>
      <c r="H88" s="41">
        <f>H86*Assumptions!$B$120*Assumptions!$B$45</f>
        <v/>
      </c>
      <c r="I88" s="41">
        <f>I86*Assumptions!$B$120*Assumptions!$B$45</f>
        <v/>
      </c>
      <c r="J88" s="41">
        <f>J86*Assumptions!$B$120*Assumptions!$B$45</f>
        <v/>
      </c>
      <c r="K88" s="41">
        <f>K86*Assumptions!$B$120*Assumptions!$B$45</f>
        <v/>
      </c>
      <c r="L88" s="41">
        <f>L86*Assumptions!$B$120*Assumptions!$B$45</f>
        <v/>
      </c>
      <c r="M88" s="41">
        <f>M86*Assumptions!$B$120*Assumptions!$B$45</f>
        <v/>
      </c>
      <c r="N88" s="41">
        <f>N86*Assumptions!$B$120*Assumptions!$B$45</f>
        <v/>
      </c>
      <c r="O88" s="41">
        <f>O86*Assumptions!$B$120*Assumptions!$B$45</f>
        <v/>
      </c>
      <c r="P88" s="41">
        <f>P86*Assumptions!$B$120*Assumptions!$B$45</f>
        <v/>
      </c>
      <c r="Q88" s="41">
        <f>Q86*Assumptions!$B$120*Assumptions!$B$45</f>
        <v/>
      </c>
      <c r="R88" s="41">
        <f>R86*Assumptions!$B$120*Assumptions!$B$45</f>
        <v/>
      </c>
      <c r="S88" s="41">
        <f>S86*Assumptions!$B$120*Assumptions!$B$45</f>
        <v/>
      </c>
      <c r="T88" s="41">
        <f>T86*Assumptions!$B$120*Assumptions!$B$45</f>
        <v/>
      </c>
      <c r="U88" s="41">
        <f>U86*Assumptions!$B$120*Assumptions!$B$45</f>
        <v/>
      </c>
      <c r="V88" s="41">
        <f>V86*Assumptions!$B$120*Assumptions!$B$45</f>
        <v/>
      </c>
      <c r="W88" s="41">
        <f>W86*Assumptions!$B$120*Assumptions!$B$45</f>
        <v/>
      </c>
      <c r="X88" s="41">
        <f>X86*Assumptions!$B$120*Assumptions!$B$45</f>
        <v/>
      </c>
      <c r="Y88" s="41">
        <f>Y86*Assumptions!$B$120*Assumptions!$B$45</f>
        <v/>
      </c>
      <c r="Z88" s="41">
        <f>Z86*Assumptions!$B$120*Assumptions!$B$45</f>
        <v/>
      </c>
      <c r="AA88" s="41">
        <f>AA86*Assumptions!$B$120*Assumptions!$B$45</f>
        <v/>
      </c>
      <c r="AB88" s="41">
        <f>AB86*Assumptions!$B$120*Assumptions!$B$45</f>
        <v/>
      </c>
      <c r="AC88" s="41">
        <f>AC86*Assumptions!$B$120*Assumptions!$B$45</f>
        <v/>
      </c>
      <c r="AD88" s="41">
        <f>AD86*Assumptions!$B$120*Assumptions!$B$45</f>
        <v/>
      </c>
      <c r="AE88" s="41">
        <f>AE86*Assumptions!$B$120*Assumptions!$B$45</f>
        <v/>
      </c>
      <c r="AF88" s="41">
        <f>AF86*Assumptions!$B$120*Assumptions!$B$45</f>
        <v/>
      </c>
      <c r="AG88" s="41">
        <f>AG86*Assumptions!$B$120*Assumptions!$B$45</f>
        <v/>
      </c>
      <c r="AH88" s="41">
        <f>AH86*Assumptions!$B$120*Assumptions!$B$45</f>
        <v/>
      </c>
      <c r="AI88" s="41">
        <f>AI86*Assumptions!$B$120*Assumptions!$B$45</f>
        <v/>
      </c>
      <c r="AJ88" s="41">
        <f>AJ86*Assumptions!$B$120*Assumptions!$B$45</f>
        <v/>
      </c>
      <c r="AK88" s="41">
        <f>AK86*Assumptions!$B$120*Assumptions!$B$45</f>
        <v/>
      </c>
      <c r="AL88" s="41">
        <f>AL86*Assumptions!$B$120*Assumptions!$B$45</f>
        <v/>
      </c>
      <c r="AM88" s="41">
        <f>AM86*Assumptions!$B$120*Assumptions!$B$45</f>
        <v/>
      </c>
      <c r="AN88" s="41">
        <f>AN86*Assumptions!$B$120*Assumptions!$B$45</f>
        <v/>
      </c>
      <c r="AO88" s="41">
        <f>AO86*Assumptions!$B$120*Assumptions!$B$45</f>
        <v/>
      </c>
      <c r="AP88" s="41">
        <f>AP86*Assumptions!$B$120*Assumptions!$B$45</f>
        <v/>
      </c>
      <c r="AQ88" s="41">
        <f>AQ86*Assumptions!$B$120*Assumptions!$B$45</f>
        <v/>
      </c>
      <c r="AR88" s="41">
        <f>AR86*Assumptions!$B$120*Assumptions!$B$45</f>
        <v/>
      </c>
      <c r="AS88" s="41">
        <f>AS86*Assumptions!$B$120*Assumptions!$B$45</f>
        <v/>
      </c>
      <c r="AT88" s="41">
        <f>AT86*Assumptions!$B$120*Assumptions!$B$45</f>
        <v/>
      </c>
      <c r="AU88" s="41">
        <f>AU86*Assumptions!$B$120*Assumptions!$B$45</f>
        <v/>
      </c>
      <c r="AV88" s="41">
        <f>AV86*Assumptions!$B$120*Assumptions!$B$45</f>
        <v/>
      </c>
      <c r="AW88" s="41">
        <f>AW86*Assumptions!$B$120*Assumptions!$B$45</f>
        <v/>
      </c>
      <c r="AX88" s="41">
        <f>AX86*Assumptions!$B$120*Assumptions!$B$45</f>
        <v/>
      </c>
      <c r="AY88" s="41">
        <f>AY86*Assumptions!$B$120*Assumptions!$B$45</f>
        <v/>
      </c>
      <c r="AZ88" s="41">
        <f>AZ86*Assumptions!$B$120*Assumptions!$B$45</f>
        <v/>
      </c>
      <c r="BA88" s="41">
        <f>BA86*Assumptions!$B$120*Assumptions!$B$45</f>
        <v/>
      </c>
      <c r="BB88" s="41">
        <f>BB86*Assumptions!$B$120*Assumptions!$B$45</f>
        <v/>
      </c>
      <c r="BC88" s="41">
        <f>BC86*Assumptions!$B$120*Assumptions!$B$45</f>
        <v/>
      </c>
      <c r="BD88" s="41">
        <f>BD86*Assumptions!$B$120*Assumptions!$B$45</f>
        <v/>
      </c>
      <c r="BE88" s="41">
        <f>BE86*Assumptions!$B$120*Assumptions!$B$45</f>
        <v/>
      </c>
      <c r="BF88" s="41">
        <f>BF86*Assumptions!$B$120*Assumptions!$B$45</f>
        <v/>
      </c>
      <c r="BG88" s="41">
        <f>BG86*Assumptions!$B$120*Assumptions!$B$45</f>
        <v/>
      </c>
      <c r="BH88" s="41">
        <f>BH86*Assumptions!$B$120*Assumptions!$B$45</f>
        <v/>
      </c>
      <c r="BI88" s="41">
        <f>BI86*Assumptions!$B$120*Assumptions!$B$45</f>
        <v/>
      </c>
      <c r="BJ88" s="41">
        <f>BJ86*Assumptions!$B$120*Assumptions!$B$45</f>
        <v/>
      </c>
    </row>
    <row r="89">
      <c r="A89" s="4" t="inlineStr">
        <is>
          <t>Free users going dormant: Ghana</t>
        </is>
      </c>
      <c r="B89" s="17" t="inlineStr">
        <is>
          <t>users</t>
        </is>
      </c>
      <c r="C89" s="10">
        <f>C86*Assumptions!$B$121</f>
        <v/>
      </c>
      <c r="D89" s="10">
        <f>D86*Assumptions!$B$121</f>
        <v/>
      </c>
      <c r="E89" s="10">
        <f>E86*Assumptions!$B$121</f>
        <v/>
      </c>
      <c r="F89" s="10">
        <f>F86*Assumptions!$B$121</f>
        <v/>
      </c>
      <c r="G89" s="10">
        <f>G86*Assumptions!$B$121</f>
        <v/>
      </c>
      <c r="H89" s="10">
        <f>H86*Assumptions!$B$121</f>
        <v/>
      </c>
      <c r="I89" s="10">
        <f>I86*Assumptions!$B$121</f>
        <v/>
      </c>
      <c r="J89" s="10">
        <f>J86*Assumptions!$B$121</f>
        <v/>
      </c>
      <c r="K89" s="10">
        <f>K86*Assumptions!$B$121</f>
        <v/>
      </c>
      <c r="L89" s="10">
        <f>L86*Assumptions!$B$121</f>
        <v/>
      </c>
      <c r="M89" s="10">
        <f>M86*Assumptions!$B$121</f>
        <v/>
      </c>
      <c r="N89" s="10">
        <f>N86*Assumptions!$B$121</f>
        <v/>
      </c>
      <c r="O89" s="10">
        <f>O86*Assumptions!$B$121</f>
        <v/>
      </c>
      <c r="P89" s="10">
        <f>P86*Assumptions!$B$121</f>
        <v/>
      </c>
      <c r="Q89" s="10">
        <f>Q86*Assumptions!$B$121</f>
        <v/>
      </c>
      <c r="R89" s="10">
        <f>R86*Assumptions!$B$121</f>
        <v/>
      </c>
      <c r="S89" s="10">
        <f>S86*Assumptions!$B$121</f>
        <v/>
      </c>
      <c r="T89" s="10">
        <f>T86*Assumptions!$B$121</f>
        <v/>
      </c>
      <c r="U89" s="10">
        <f>U86*Assumptions!$B$121</f>
        <v/>
      </c>
      <c r="V89" s="10">
        <f>V86*Assumptions!$B$121</f>
        <v/>
      </c>
      <c r="W89" s="10">
        <f>W86*Assumptions!$B$121</f>
        <v/>
      </c>
      <c r="X89" s="10">
        <f>X86*Assumptions!$B$121</f>
        <v/>
      </c>
      <c r="Y89" s="10">
        <f>Y86*Assumptions!$B$121</f>
        <v/>
      </c>
      <c r="Z89" s="10">
        <f>Z86*Assumptions!$B$121</f>
        <v/>
      </c>
      <c r="AA89" s="10">
        <f>AA86*Assumptions!$B$121</f>
        <v/>
      </c>
      <c r="AB89" s="10">
        <f>AB86*Assumptions!$B$121</f>
        <v/>
      </c>
      <c r="AC89" s="10">
        <f>AC86*Assumptions!$B$121</f>
        <v/>
      </c>
      <c r="AD89" s="10">
        <f>AD86*Assumptions!$B$121</f>
        <v/>
      </c>
      <c r="AE89" s="10">
        <f>AE86*Assumptions!$B$121</f>
        <v/>
      </c>
      <c r="AF89" s="10">
        <f>AF86*Assumptions!$B$121</f>
        <v/>
      </c>
      <c r="AG89" s="10">
        <f>AG86*Assumptions!$B$121</f>
        <v/>
      </c>
      <c r="AH89" s="10">
        <f>AH86*Assumptions!$B$121</f>
        <v/>
      </c>
      <c r="AI89" s="10">
        <f>AI86*Assumptions!$B$121</f>
        <v/>
      </c>
      <c r="AJ89" s="10">
        <f>AJ86*Assumptions!$B$121</f>
        <v/>
      </c>
      <c r="AK89" s="10">
        <f>AK86*Assumptions!$B$121</f>
        <v/>
      </c>
      <c r="AL89" s="10">
        <f>AL86*Assumptions!$B$121</f>
        <v/>
      </c>
      <c r="AM89" s="10">
        <f>AM86*Assumptions!$B$121</f>
        <v/>
      </c>
      <c r="AN89" s="10">
        <f>AN86*Assumptions!$B$121</f>
        <v/>
      </c>
      <c r="AO89" s="10">
        <f>AO86*Assumptions!$B$121</f>
        <v/>
      </c>
      <c r="AP89" s="10">
        <f>AP86*Assumptions!$B$121</f>
        <v/>
      </c>
      <c r="AQ89" s="10">
        <f>AQ86*Assumptions!$B$121</f>
        <v/>
      </c>
      <c r="AR89" s="10">
        <f>AR86*Assumptions!$B$121</f>
        <v/>
      </c>
      <c r="AS89" s="10">
        <f>AS86*Assumptions!$B$121</f>
        <v/>
      </c>
      <c r="AT89" s="10">
        <f>AT86*Assumptions!$B$121</f>
        <v/>
      </c>
      <c r="AU89" s="10">
        <f>AU86*Assumptions!$B$121</f>
        <v/>
      </c>
      <c r="AV89" s="10">
        <f>AV86*Assumptions!$B$121</f>
        <v/>
      </c>
      <c r="AW89" s="10">
        <f>AW86*Assumptions!$B$121</f>
        <v/>
      </c>
      <c r="AX89" s="10">
        <f>AX86*Assumptions!$B$121</f>
        <v/>
      </c>
      <c r="AY89" s="10">
        <f>AY86*Assumptions!$B$121</f>
        <v/>
      </c>
      <c r="AZ89" s="10">
        <f>AZ86*Assumptions!$B$121</f>
        <v/>
      </c>
      <c r="BA89" s="10">
        <f>BA86*Assumptions!$B$121</f>
        <v/>
      </c>
      <c r="BB89" s="10">
        <f>BB86*Assumptions!$B$121</f>
        <v/>
      </c>
      <c r="BC89" s="10">
        <f>BC86*Assumptions!$B$121</f>
        <v/>
      </c>
      <c r="BD89" s="10">
        <f>BD86*Assumptions!$B$121</f>
        <v/>
      </c>
      <c r="BE89" s="10">
        <f>BE86*Assumptions!$B$121</f>
        <v/>
      </c>
      <c r="BF89" s="10">
        <f>BF86*Assumptions!$B$121</f>
        <v/>
      </c>
      <c r="BG89" s="10">
        <f>BG86*Assumptions!$B$121</f>
        <v/>
      </c>
      <c r="BH89" s="10">
        <f>BH86*Assumptions!$B$121</f>
        <v/>
      </c>
      <c r="BI89" s="10">
        <f>BI86*Assumptions!$B$121</f>
        <v/>
      </c>
      <c r="BJ89" s="10">
        <f>BJ86*Assumptions!$B$121</f>
        <v/>
      </c>
    </row>
    <row r="90">
      <c r="A90" s="3" t="inlineStr">
        <is>
          <t>Active Free users: Ghana: closing</t>
        </is>
      </c>
      <c r="B90" s="17" t="inlineStr">
        <is>
          <t>users</t>
        </is>
      </c>
      <c r="C90" s="40">
        <f>C86+C87-C88-C89</f>
        <v/>
      </c>
      <c r="D90" s="40">
        <f>D86+D87-D88-D89</f>
        <v/>
      </c>
      <c r="E90" s="40">
        <f>E86+E87-E88-E89</f>
        <v/>
      </c>
      <c r="F90" s="40">
        <f>F86+F87-F88-F89</f>
        <v/>
      </c>
      <c r="G90" s="40">
        <f>G86+G87-G88-G89</f>
        <v/>
      </c>
      <c r="H90" s="40">
        <f>H86+H87-H88-H89</f>
        <v/>
      </c>
      <c r="I90" s="40">
        <f>I86+I87-I88-I89</f>
        <v/>
      </c>
      <c r="J90" s="40">
        <f>J86+J87-J88-J89</f>
        <v/>
      </c>
      <c r="K90" s="40">
        <f>K86+K87-K88-K89</f>
        <v/>
      </c>
      <c r="L90" s="40">
        <f>L86+L87-L88-L89</f>
        <v/>
      </c>
      <c r="M90" s="40">
        <f>M86+M87-M88-M89</f>
        <v/>
      </c>
      <c r="N90" s="40">
        <f>N86+N87-N88-N89</f>
        <v/>
      </c>
      <c r="O90" s="40">
        <f>O86+O87-O88-O89</f>
        <v/>
      </c>
      <c r="P90" s="40">
        <f>P86+P87-P88-P89</f>
        <v/>
      </c>
      <c r="Q90" s="40">
        <f>Q86+Q87-Q88-Q89</f>
        <v/>
      </c>
      <c r="R90" s="40">
        <f>R86+R87-R88-R89</f>
        <v/>
      </c>
      <c r="S90" s="40">
        <f>S86+S87-S88-S89</f>
        <v/>
      </c>
      <c r="T90" s="40">
        <f>T86+T87-T88-T89</f>
        <v/>
      </c>
      <c r="U90" s="40">
        <f>U86+U87-U88-U89</f>
        <v/>
      </c>
      <c r="V90" s="40">
        <f>V86+V87-V88-V89</f>
        <v/>
      </c>
      <c r="W90" s="40">
        <f>W86+W87-W88-W89</f>
        <v/>
      </c>
      <c r="X90" s="40">
        <f>X86+X87-X88-X89</f>
        <v/>
      </c>
      <c r="Y90" s="40">
        <f>Y86+Y87-Y88-Y89</f>
        <v/>
      </c>
      <c r="Z90" s="40">
        <f>Z86+Z87-Z88-Z89</f>
        <v/>
      </c>
      <c r="AA90" s="40">
        <f>AA86+AA87-AA88-AA89</f>
        <v/>
      </c>
      <c r="AB90" s="40">
        <f>AB86+AB87-AB88-AB89</f>
        <v/>
      </c>
      <c r="AC90" s="40">
        <f>AC86+AC87-AC88-AC89</f>
        <v/>
      </c>
      <c r="AD90" s="40">
        <f>AD86+AD87-AD88-AD89</f>
        <v/>
      </c>
      <c r="AE90" s="40">
        <f>AE86+AE87-AE88-AE89</f>
        <v/>
      </c>
      <c r="AF90" s="40">
        <f>AF86+AF87-AF88-AF89</f>
        <v/>
      </c>
      <c r="AG90" s="40">
        <f>AG86+AG87-AG88-AG89</f>
        <v/>
      </c>
      <c r="AH90" s="40">
        <f>AH86+AH87-AH88-AH89</f>
        <v/>
      </c>
      <c r="AI90" s="40">
        <f>AI86+AI87-AI88-AI89</f>
        <v/>
      </c>
      <c r="AJ90" s="40">
        <f>AJ86+AJ87-AJ88-AJ89</f>
        <v/>
      </c>
      <c r="AK90" s="40">
        <f>AK86+AK87-AK88-AK89</f>
        <v/>
      </c>
      <c r="AL90" s="40">
        <f>AL86+AL87-AL88-AL89</f>
        <v/>
      </c>
      <c r="AM90" s="40">
        <f>AM86+AM87-AM88-AM89</f>
        <v/>
      </c>
      <c r="AN90" s="40">
        <f>AN86+AN87-AN88-AN89</f>
        <v/>
      </c>
      <c r="AO90" s="40">
        <f>AO86+AO87-AO88-AO89</f>
        <v/>
      </c>
      <c r="AP90" s="40">
        <f>AP86+AP87-AP88-AP89</f>
        <v/>
      </c>
      <c r="AQ90" s="40">
        <f>AQ86+AQ87-AQ88-AQ89</f>
        <v/>
      </c>
      <c r="AR90" s="40">
        <f>AR86+AR87-AR88-AR89</f>
        <v/>
      </c>
      <c r="AS90" s="40">
        <f>AS86+AS87-AS88-AS89</f>
        <v/>
      </c>
      <c r="AT90" s="40">
        <f>AT86+AT87-AT88-AT89</f>
        <v/>
      </c>
      <c r="AU90" s="40">
        <f>AU86+AU87-AU88-AU89</f>
        <v/>
      </c>
      <c r="AV90" s="40">
        <f>AV86+AV87-AV88-AV89</f>
        <v/>
      </c>
      <c r="AW90" s="40">
        <f>AW86+AW87-AW88-AW89</f>
        <v/>
      </c>
      <c r="AX90" s="40">
        <f>AX86+AX87-AX88-AX89</f>
        <v/>
      </c>
      <c r="AY90" s="40">
        <f>AY86+AY87-AY88-AY89</f>
        <v/>
      </c>
      <c r="AZ90" s="40">
        <f>AZ86+AZ87-AZ88-AZ89</f>
        <v/>
      </c>
      <c r="BA90" s="40">
        <f>BA86+BA87-BA88-BA89</f>
        <v/>
      </c>
      <c r="BB90" s="40">
        <f>BB86+BB87-BB88-BB89</f>
        <v/>
      </c>
      <c r="BC90" s="40">
        <f>BC86+BC87-BC88-BC89</f>
        <v/>
      </c>
      <c r="BD90" s="40">
        <f>BD86+BD87-BD88-BD89</f>
        <v/>
      </c>
      <c r="BE90" s="40">
        <f>BE86+BE87-BE88-BE89</f>
        <v/>
      </c>
      <c r="BF90" s="40">
        <f>BF86+BF87-BF88-BF89</f>
        <v/>
      </c>
      <c r="BG90" s="40">
        <f>BG86+BG87-BG88-BG89</f>
        <v/>
      </c>
      <c r="BH90" s="40">
        <f>BH86+BH87-BH88-BH89</f>
        <v/>
      </c>
      <c r="BI90" s="40">
        <f>BI86+BI87-BI88-BI89</f>
        <v/>
      </c>
      <c r="BJ90" s="40">
        <f>BJ86+BJ87-BJ88-BJ89</f>
        <v/>
      </c>
    </row>
    <row r="91">
      <c r="A91" s="4" t="inlineStr">
        <is>
          <t>Active Free users: Rest of Africa (USD): opening</t>
        </is>
      </c>
      <c r="B91" s="17" t="inlineStr">
        <is>
          <t>users</t>
        </is>
      </c>
      <c r="C91" s="10">
        <f>0</f>
        <v/>
      </c>
      <c r="D91" s="10">
        <f>C95</f>
        <v/>
      </c>
      <c r="E91" s="10">
        <f>D95</f>
        <v/>
      </c>
      <c r="F91" s="10">
        <f>E95</f>
        <v/>
      </c>
      <c r="G91" s="10">
        <f>F95</f>
        <v/>
      </c>
      <c r="H91" s="10">
        <f>G95</f>
        <v/>
      </c>
      <c r="I91" s="10">
        <f>H95</f>
        <v/>
      </c>
      <c r="J91" s="10">
        <f>I95</f>
        <v/>
      </c>
      <c r="K91" s="10">
        <f>J95</f>
        <v/>
      </c>
      <c r="L91" s="10">
        <f>K95</f>
        <v/>
      </c>
      <c r="M91" s="10">
        <f>L95</f>
        <v/>
      </c>
      <c r="N91" s="10">
        <f>M95</f>
        <v/>
      </c>
      <c r="O91" s="10">
        <f>N95</f>
        <v/>
      </c>
      <c r="P91" s="10">
        <f>O95</f>
        <v/>
      </c>
      <c r="Q91" s="10">
        <f>P95</f>
        <v/>
      </c>
      <c r="R91" s="10">
        <f>Q95</f>
        <v/>
      </c>
      <c r="S91" s="10">
        <f>R95</f>
        <v/>
      </c>
      <c r="T91" s="10">
        <f>S95</f>
        <v/>
      </c>
      <c r="U91" s="10">
        <f>T95</f>
        <v/>
      </c>
      <c r="V91" s="10">
        <f>U95</f>
        <v/>
      </c>
      <c r="W91" s="10">
        <f>V95</f>
        <v/>
      </c>
      <c r="X91" s="10">
        <f>W95</f>
        <v/>
      </c>
      <c r="Y91" s="10">
        <f>X95</f>
        <v/>
      </c>
      <c r="Z91" s="10">
        <f>Y95</f>
        <v/>
      </c>
      <c r="AA91" s="10">
        <f>Z95</f>
        <v/>
      </c>
      <c r="AB91" s="10">
        <f>AA95</f>
        <v/>
      </c>
      <c r="AC91" s="10">
        <f>AB95</f>
        <v/>
      </c>
      <c r="AD91" s="10">
        <f>AC95</f>
        <v/>
      </c>
      <c r="AE91" s="10">
        <f>AD95</f>
        <v/>
      </c>
      <c r="AF91" s="10">
        <f>AE95</f>
        <v/>
      </c>
      <c r="AG91" s="10">
        <f>AF95</f>
        <v/>
      </c>
      <c r="AH91" s="10">
        <f>AG95</f>
        <v/>
      </c>
      <c r="AI91" s="10">
        <f>AH95</f>
        <v/>
      </c>
      <c r="AJ91" s="10">
        <f>AI95</f>
        <v/>
      </c>
      <c r="AK91" s="10">
        <f>AJ95</f>
        <v/>
      </c>
      <c r="AL91" s="10">
        <f>AK95</f>
        <v/>
      </c>
      <c r="AM91" s="10">
        <f>AL95</f>
        <v/>
      </c>
      <c r="AN91" s="10">
        <f>AM95</f>
        <v/>
      </c>
      <c r="AO91" s="10">
        <f>AN95</f>
        <v/>
      </c>
      <c r="AP91" s="10">
        <f>AO95</f>
        <v/>
      </c>
      <c r="AQ91" s="10">
        <f>AP95</f>
        <v/>
      </c>
      <c r="AR91" s="10">
        <f>AQ95</f>
        <v/>
      </c>
      <c r="AS91" s="10">
        <f>AR95</f>
        <v/>
      </c>
      <c r="AT91" s="10">
        <f>AS95</f>
        <v/>
      </c>
      <c r="AU91" s="10">
        <f>AT95</f>
        <v/>
      </c>
      <c r="AV91" s="10">
        <f>AU95</f>
        <v/>
      </c>
      <c r="AW91" s="10">
        <f>AV95</f>
        <v/>
      </c>
      <c r="AX91" s="10">
        <f>AW95</f>
        <v/>
      </c>
      <c r="AY91" s="10">
        <f>AX95</f>
        <v/>
      </c>
      <c r="AZ91" s="10">
        <f>AY95</f>
        <v/>
      </c>
      <c r="BA91" s="10">
        <f>AZ95</f>
        <v/>
      </c>
      <c r="BB91" s="10">
        <f>BA95</f>
        <v/>
      </c>
      <c r="BC91" s="10">
        <f>BB95</f>
        <v/>
      </c>
      <c r="BD91" s="10">
        <f>BC95</f>
        <v/>
      </c>
      <c r="BE91" s="10">
        <f>BD95</f>
        <v/>
      </c>
      <c r="BF91" s="10">
        <f>BE95</f>
        <v/>
      </c>
      <c r="BG91" s="10">
        <f>BF95</f>
        <v/>
      </c>
      <c r="BH91" s="10">
        <f>BG95</f>
        <v/>
      </c>
      <c r="BI91" s="10">
        <f>BH95</f>
        <v/>
      </c>
      <c r="BJ91" s="10">
        <f>BI95</f>
        <v/>
      </c>
    </row>
    <row r="92">
      <c r="A92" s="4" t="inlineStr">
        <is>
          <t>New Free users: Rest of Africa (USD)</t>
        </is>
      </c>
      <c r="B92" s="17" t="inlineStr">
        <is>
          <t>users</t>
        </is>
      </c>
      <c r="C92" s="10">
        <f>C52*(1-Assumptions!$B$119)</f>
        <v/>
      </c>
      <c r="D92" s="10">
        <f>D52*(1-Assumptions!$B$119)</f>
        <v/>
      </c>
      <c r="E92" s="10">
        <f>E52*(1-Assumptions!$B$119)</f>
        <v/>
      </c>
      <c r="F92" s="10">
        <f>F52*(1-Assumptions!$B$119)</f>
        <v/>
      </c>
      <c r="G92" s="10">
        <f>G52*(1-Assumptions!$B$119)</f>
        <v/>
      </c>
      <c r="H92" s="10">
        <f>H52*(1-Assumptions!$B$119)</f>
        <v/>
      </c>
      <c r="I92" s="10">
        <f>I52*(1-Assumptions!$B$119)</f>
        <v/>
      </c>
      <c r="J92" s="10">
        <f>J52*(1-Assumptions!$B$119)</f>
        <v/>
      </c>
      <c r="K92" s="10">
        <f>K52*(1-Assumptions!$B$119)</f>
        <v/>
      </c>
      <c r="L92" s="10">
        <f>L52*(1-Assumptions!$B$119)</f>
        <v/>
      </c>
      <c r="M92" s="10">
        <f>M52*(1-Assumptions!$B$119)</f>
        <v/>
      </c>
      <c r="N92" s="10">
        <f>N52*(1-Assumptions!$B$119)</f>
        <v/>
      </c>
      <c r="O92" s="10">
        <f>O52*(1-Assumptions!$B$119)</f>
        <v/>
      </c>
      <c r="P92" s="10">
        <f>P52*(1-Assumptions!$B$119)</f>
        <v/>
      </c>
      <c r="Q92" s="10">
        <f>Q52*(1-Assumptions!$B$119)</f>
        <v/>
      </c>
      <c r="R92" s="10">
        <f>R52*(1-Assumptions!$B$119)</f>
        <v/>
      </c>
      <c r="S92" s="10">
        <f>S52*(1-Assumptions!$B$119)</f>
        <v/>
      </c>
      <c r="T92" s="10">
        <f>T52*(1-Assumptions!$B$119)</f>
        <v/>
      </c>
      <c r="U92" s="10">
        <f>U52*(1-Assumptions!$B$119)</f>
        <v/>
      </c>
      <c r="V92" s="10">
        <f>V52*(1-Assumptions!$B$119)</f>
        <v/>
      </c>
      <c r="W92" s="10">
        <f>W52*(1-Assumptions!$B$119)</f>
        <v/>
      </c>
      <c r="X92" s="10">
        <f>X52*(1-Assumptions!$B$119)</f>
        <v/>
      </c>
      <c r="Y92" s="10">
        <f>Y52*(1-Assumptions!$B$119)</f>
        <v/>
      </c>
      <c r="Z92" s="10">
        <f>Z52*(1-Assumptions!$B$119)</f>
        <v/>
      </c>
      <c r="AA92" s="10">
        <f>AA52*(1-Assumptions!$B$119)</f>
        <v/>
      </c>
      <c r="AB92" s="10">
        <f>AB52*(1-Assumptions!$B$119)</f>
        <v/>
      </c>
      <c r="AC92" s="10">
        <f>AC52*(1-Assumptions!$B$119)</f>
        <v/>
      </c>
      <c r="AD92" s="10">
        <f>AD52*(1-Assumptions!$B$119)</f>
        <v/>
      </c>
      <c r="AE92" s="10">
        <f>AE52*(1-Assumptions!$B$119)</f>
        <v/>
      </c>
      <c r="AF92" s="10">
        <f>AF52*(1-Assumptions!$B$119)</f>
        <v/>
      </c>
      <c r="AG92" s="10">
        <f>AG52*(1-Assumptions!$B$119)</f>
        <v/>
      </c>
      <c r="AH92" s="10">
        <f>AH52*(1-Assumptions!$B$119)</f>
        <v/>
      </c>
      <c r="AI92" s="10">
        <f>AI52*(1-Assumptions!$B$119)</f>
        <v/>
      </c>
      <c r="AJ92" s="10">
        <f>AJ52*(1-Assumptions!$B$119)</f>
        <v/>
      </c>
      <c r="AK92" s="10">
        <f>AK52*(1-Assumptions!$B$119)</f>
        <v/>
      </c>
      <c r="AL92" s="10">
        <f>AL52*(1-Assumptions!$B$119)</f>
        <v/>
      </c>
      <c r="AM92" s="10">
        <f>AM52*(1-Assumptions!$B$119)</f>
        <v/>
      </c>
      <c r="AN92" s="10">
        <f>AN52*(1-Assumptions!$B$119)</f>
        <v/>
      </c>
      <c r="AO92" s="10">
        <f>AO52*(1-Assumptions!$B$119)</f>
        <v/>
      </c>
      <c r="AP92" s="10">
        <f>AP52*(1-Assumptions!$B$119)</f>
        <v/>
      </c>
      <c r="AQ92" s="10">
        <f>AQ52*(1-Assumptions!$B$119)</f>
        <v/>
      </c>
      <c r="AR92" s="10">
        <f>AR52*(1-Assumptions!$B$119)</f>
        <v/>
      </c>
      <c r="AS92" s="10">
        <f>AS52*(1-Assumptions!$B$119)</f>
        <v/>
      </c>
      <c r="AT92" s="10">
        <f>AT52*(1-Assumptions!$B$119)</f>
        <v/>
      </c>
      <c r="AU92" s="10">
        <f>AU52*(1-Assumptions!$B$119)</f>
        <v/>
      </c>
      <c r="AV92" s="10">
        <f>AV52*(1-Assumptions!$B$119)</f>
        <v/>
      </c>
      <c r="AW92" s="10">
        <f>AW52*(1-Assumptions!$B$119)</f>
        <v/>
      </c>
      <c r="AX92" s="10">
        <f>AX52*(1-Assumptions!$B$119)</f>
        <v/>
      </c>
      <c r="AY92" s="10">
        <f>AY52*(1-Assumptions!$B$119)</f>
        <v/>
      </c>
      <c r="AZ92" s="10">
        <f>AZ52*(1-Assumptions!$B$119)</f>
        <v/>
      </c>
      <c r="BA92" s="10">
        <f>BA52*(1-Assumptions!$B$119)</f>
        <v/>
      </c>
      <c r="BB92" s="10">
        <f>BB52*(1-Assumptions!$B$119)</f>
        <v/>
      </c>
      <c r="BC92" s="10">
        <f>BC52*(1-Assumptions!$B$119)</f>
        <v/>
      </c>
      <c r="BD92" s="10">
        <f>BD52*(1-Assumptions!$B$119)</f>
        <v/>
      </c>
      <c r="BE92" s="10">
        <f>BE52*(1-Assumptions!$B$119)</f>
        <v/>
      </c>
      <c r="BF92" s="10">
        <f>BF52*(1-Assumptions!$B$119)</f>
        <v/>
      </c>
      <c r="BG92" s="10">
        <f>BG52*(1-Assumptions!$B$119)</f>
        <v/>
      </c>
      <c r="BH92" s="10">
        <f>BH52*(1-Assumptions!$B$119)</f>
        <v/>
      </c>
      <c r="BI92" s="10">
        <f>BI52*(1-Assumptions!$B$119)</f>
        <v/>
      </c>
      <c r="BJ92" s="10">
        <f>BJ52*(1-Assumptions!$B$119)</f>
        <v/>
      </c>
    </row>
    <row r="93">
      <c r="A93" s="4" t="inlineStr">
        <is>
          <t>Free users upgrading to a paid plan: Rest of Africa (USD)</t>
        </is>
      </c>
      <c r="B93" s="17" t="inlineStr">
        <is>
          <t>workspaces</t>
        </is>
      </c>
      <c r="C93" s="41">
        <f>C91*Assumptions!$B$120*Assumptions!$B$45</f>
        <v/>
      </c>
      <c r="D93" s="41">
        <f>D91*Assumptions!$B$120*Assumptions!$B$45</f>
        <v/>
      </c>
      <c r="E93" s="41">
        <f>E91*Assumptions!$B$120*Assumptions!$B$45</f>
        <v/>
      </c>
      <c r="F93" s="41">
        <f>F91*Assumptions!$B$120*Assumptions!$B$45</f>
        <v/>
      </c>
      <c r="G93" s="41">
        <f>G91*Assumptions!$B$120*Assumptions!$B$45</f>
        <v/>
      </c>
      <c r="H93" s="41">
        <f>H91*Assumptions!$B$120*Assumptions!$B$45</f>
        <v/>
      </c>
      <c r="I93" s="41">
        <f>I91*Assumptions!$B$120*Assumptions!$B$45</f>
        <v/>
      </c>
      <c r="J93" s="41">
        <f>J91*Assumptions!$B$120*Assumptions!$B$45</f>
        <v/>
      </c>
      <c r="K93" s="41">
        <f>K91*Assumptions!$B$120*Assumptions!$B$45</f>
        <v/>
      </c>
      <c r="L93" s="41">
        <f>L91*Assumptions!$B$120*Assumptions!$B$45</f>
        <v/>
      </c>
      <c r="M93" s="41">
        <f>M91*Assumptions!$B$120*Assumptions!$B$45</f>
        <v/>
      </c>
      <c r="N93" s="41">
        <f>N91*Assumptions!$B$120*Assumptions!$B$45</f>
        <v/>
      </c>
      <c r="O93" s="41">
        <f>O91*Assumptions!$B$120*Assumptions!$B$45</f>
        <v/>
      </c>
      <c r="P93" s="41">
        <f>P91*Assumptions!$B$120*Assumptions!$B$45</f>
        <v/>
      </c>
      <c r="Q93" s="41">
        <f>Q91*Assumptions!$B$120*Assumptions!$B$45</f>
        <v/>
      </c>
      <c r="R93" s="41">
        <f>R91*Assumptions!$B$120*Assumptions!$B$45</f>
        <v/>
      </c>
      <c r="S93" s="41">
        <f>S91*Assumptions!$B$120*Assumptions!$B$45</f>
        <v/>
      </c>
      <c r="T93" s="41">
        <f>T91*Assumptions!$B$120*Assumptions!$B$45</f>
        <v/>
      </c>
      <c r="U93" s="41">
        <f>U91*Assumptions!$B$120*Assumptions!$B$45</f>
        <v/>
      </c>
      <c r="V93" s="41">
        <f>V91*Assumptions!$B$120*Assumptions!$B$45</f>
        <v/>
      </c>
      <c r="W93" s="41">
        <f>W91*Assumptions!$B$120*Assumptions!$B$45</f>
        <v/>
      </c>
      <c r="X93" s="41">
        <f>X91*Assumptions!$B$120*Assumptions!$B$45</f>
        <v/>
      </c>
      <c r="Y93" s="41">
        <f>Y91*Assumptions!$B$120*Assumptions!$B$45</f>
        <v/>
      </c>
      <c r="Z93" s="41">
        <f>Z91*Assumptions!$B$120*Assumptions!$B$45</f>
        <v/>
      </c>
      <c r="AA93" s="41">
        <f>AA91*Assumptions!$B$120*Assumptions!$B$45</f>
        <v/>
      </c>
      <c r="AB93" s="41">
        <f>AB91*Assumptions!$B$120*Assumptions!$B$45</f>
        <v/>
      </c>
      <c r="AC93" s="41">
        <f>AC91*Assumptions!$B$120*Assumptions!$B$45</f>
        <v/>
      </c>
      <c r="AD93" s="41">
        <f>AD91*Assumptions!$B$120*Assumptions!$B$45</f>
        <v/>
      </c>
      <c r="AE93" s="41">
        <f>AE91*Assumptions!$B$120*Assumptions!$B$45</f>
        <v/>
      </c>
      <c r="AF93" s="41">
        <f>AF91*Assumptions!$B$120*Assumptions!$B$45</f>
        <v/>
      </c>
      <c r="AG93" s="41">
        <f>AG91*Assumptions!$B$120*Assumptions!$B$45</f>
        <v/>
      </c>
      <c r="AH93" s="41">
        <f>AH91*Assumptions!$B$120*Assumptions!$B$45</f>
        <v/>
      </c>
      <c r="AI93" s="41">
        <f>AI91*Assumptions!$B$120*Assumptions!$B$45</f>
        <v/>
      </c>
      <c r="AJ93" s="41">
        <f>AJ91*Assumptions!$B$120*Assumptions!$B$45</f>
        <v/>
      </c>
      <c r="AK93" s="41">
        <f>AK91*Assumptions!$B$120*Assumptions!$B$45</f>
        <v/>
      </c>
      <c r="AL93" s="41">
        <f>AL91*Assumptions!$B$120*Assumptions!$B$45</f>
        <v/>
      </c>
      <c r="AM93" s="41">
        <f>AM91*Assumptions!$B$120*Assumptions!$B$45</f>
        <v/>
      </c>
      <c r="AN93" s="41">
        <f>AN91*Assumptions!$B$120*Assumptions!$B$45</f>
        <v/>
      </c>
      <c r="AO93" s="41">
        <f>AO91*Assumptions!$B$120*Assumptions!$B$45</f>
        <v/>
      </c>
      <c r="AP93" s="41">
        <f>AP91*Assumptions!$B$120*Assumptions!$B$45</f>
        <v/>
      </c>
      <c r="AQ93" s="41">
        <f>AQ91*Assumptions!$B$120*Assumptions!$B$45</f>
        <v/>
      </c>
      <c r="AR93" s="41">
        <f>AR91*Assumptions!$B$120*Assumptions!$B$45</f>
        <v/>
      </c>
      <c r="AS93" s="41">
        <f>AS91*Assumptions!$B$120*Assumptions!$B$45</f>
        <v/>
      </c>
      <c r="AT93" s="41">
        <f>AT91*Assumptions!$B$120*Assumptions!$B$45</f>
        <v/>
      </c>
      <c r="AU93" s="41">
        <f>AU91*Assumptions!$B$120*Assumptions!$B$45</f>
        <v/>
      </c>
      <c r="AV93" s="41">
        <f>AV91*Assumptions!$B$120*Assumptions!$B$45</f>
        <v/>
      </c>
      <c r="AW93" s="41">
        <f>AW91*Assumptions!$B$120*Assumptions!$B$45</f>
        <v/>
      </c>
      <c r="AX93" s="41">
        <f>AX91*Assumptions!$B$120*Assumptions!$B$45</f>
        <v/>
      </c>
      <c r="AY93" s="41">
        <f>AY91*Assumptions!$B$120*Assumptions!$B$45</f>
        <v/>
      </c>
      <c r="AZ93" s="41">
        <f>AZ91*Assumptions!$B$120*Assumptions!$B$45</f>
        <v/>
      </c>
      <c r="BA93" s="41">
        <f>BA91*Assumptions!$B$120*Assumptions!$B$45</f>
        <v/>
      </c>
      <c r="BB93" s="41">
        <f>BB91*Assumptions!$B$120*Assumptions!$B$45</f>
        <v/>
      </c>
      <c r="BC93" s="41">
        <f>BC91*Assumptions!$B$120*Assumptions!$B$45</f>
        <v/>
      </c>
      <c r="BD93" s="41">
        <f>BD91*Assumptions!$B$120*Assumptions!$B$45</f>
        <v/>
      </c>
      <c r="BE93" s="41">
        <f>BE91*Assumptions!$B$120*Assumptions!$B$45</f>
        <v/>
      </c>
      <c r="BF93" s="41">
        <f>BF91*Assumptions!$B$120*Assumptions!$B$45</f>
        <v/>
      </c>
      <c r="BG93" s="41">
        <f>BG91*Assumptions!$B$120*Assumptions!$B$45</f>
        <v/>
      </c>
      <c r="BH93" s="41">
        <f>BH91*Assumptions!$B$120*Assumptions!$B$45</f>
        <v/>
      </c>
      <c r="BI93" s="41">
        <f>BI91*Assumptions!$B$120*Assumptions!$B$45</f>
        <v/>
      </c>
      <c r="BJ93" s="41">
        <f>BJ91*Assumptions!$B$120*Assumptions!$B$45</f>
        <v/>
      </c>
    </row>
    <row r="94">
      <c r="A94" s="4" t="inlineStr">
        <is>
          <t>Free users going dormant: Rest of Africa (USD)</t>
        </is>
      </c>
      <c r="B94" s="17" t="inlineStr">
        <is>
          <t>users</t>
        </is>
      </c>
      <c r="C94" s="10">
        <f>C91*Assumptions!$B$121</f>
        <v/>
      </c>
      <c r="D94" s="10">
        <f>D91*Assumptions!$B$121</f>
        <v/>
      </c>
      <c r="E94" s="10">
        <f>E91*Assumptions!$B$121</f>
        <v/>
      </c>
      <c r="F94" s="10">
        <f>F91*Assumptions!$B$121</f>
        <v/>
      </c>
      <c r="G94" s="10">
        <f>G91*Assumptions!$B$121</f>
        <v/>
      </c>
      <c r="H94" s="10">
        <f>H91*Assumptions!$B$121</f>
        <v/>
      </c>
      <c r="I94" s="10">
        <f>I91*Assumptions!$B$121</f>
        <v/>
      </c>
      <c r="J94" s="10">
        <f>J91*Assumptions!$B$121</f>
        <v/>
      </c>
      <c r="K94" s="10">
        <f>K91*Assumptions!$B$121</f>
        <v/>
      </c>
      <c r="L94" s="10">
        <f>L91*Assumptions!$B$121</f>
        <v/>
      </c>
      <c r="M94" s="10">
        <f>M91*Assumptions!$B$121</f>
        <v/>
      </c>
      <c r="N94" s="10">
        <f>N91*Assumptions!$B$121</f>
        <v/>
      </c>
      <c r="O94" s="10">
        <f>O91*Assumptions!$B$121</f>
        <v/>
      </c>
      <c r="P94" s="10">
        <f>P91*Assumptions!$B$121</f>
        <v/>
      </c>
      <c r="Q94" s="10">
        <f>Q91*Assumptions!$B$121</f>
        <v/>
      </c>
      <c r="R94" s="10">
        <f>R91*Assumptions!$B$121</f>
        <v/>
      </c>
      <c r="S94" s="10">
        <f>S91*Assumptions!$B$121</f>
        <v/>
      </c>
      <c r="T94" s="10">
        <f>T91*Assumptions!$B$121</f>
        <v/>
      </c>
      <c r="U94" s="10">
        <f>U91*Assumptions!$B$121</f>
        <v/>
      </c>
      <c r="V94" s="10">
        <f>V91*Assumptions!$B$121</f>
        <v/>
      </c>
      <c r="W94" s="10">
        <f>W91*Assumptions!$B$121</f>
        <v/>
      </c>
      <c r="X94" s="10">
        <f>X91*Assumptions!$B$121</f>
        <v/>
      </c>
      <c r="Y94" s="10">
        <f>Y91*Assumptions!$B$121</f>
        <v/>
      </c>
      <c r="Z94" s="10">
        <f>Z91*Assumptions!$B$121</f>
        <v/>
      </c>
      <c r="AA94" s="10">
        <f>AA91*Assumptions!$B$121</f>
        <v/>
      </c>
      <c r="AB94" s="10">
        <f>AB91*Assumptions!$B$121</f>
        <v/>
      </c>
      <c r="AC94" s="10">
        <f>AC91*Assumptions!$B$121</f>
        <v/>
      </c>
      <c r="AD94" s="10">
        <f>AD91*Assumptions!$B$121</f>
        <v/>
      </c>
      <c r="AE94" s="10">
        <f>AE91*Assumptions!$B$121</f>
        <v/>
      </c>
      <c r="AF94" s="10">
        <f>AF91*Assumptions!$B$121</f>
        <v/>
      </c>
      <c r="AG94" s="10">
        <f>AG91*Assumptions!$B$121</f>
        <v/>
      </c>
      <c r="AH94" s="10">
        <f>AH91*Assumptions!$B$121</f>
        <v/>
      </c>
      <c r="AI94" s="10">
        <f>AI91*Assumptions!$B$121</f>
        <v/>
      </c>
      <c r="AJ94" s="10">
        <f>AJ91*Assumptions!$B$121</f>
        <v/>
      </c>
      <c r="AK94" s="10">
        <f>AK91*Assumptions!$B$121</f>
        <v/>
      </c>
      <c r="AL94" s="10">
        <f>AL91*Assumptions!$B$121</f>
        <v/>
      </c>
      <c r="AM94" s="10">
        <f>AM91*Assumptions!$B$121</f>
        <v/>
      </c>
      <c r="AN94" s="10">
        <f>AN91*Assumptions!$B$121</f>
        <v/>
      </c>
      <c r="AO94" s="10">
        <f>AO91*Assumptions!$B$121</f>
        <v/>
      </c>
      <c r="AP94" s="10">
        <f>AP91*Assumptions!$B$121</f>
        <v/>
      </c>
      <c r="AQ94" s="10">
        <f>AQ91*Assumptions!$B$121</f>
        <v/>
      </c>
      <c r="AR94" s="10">
        <f>AR91*Assumptions!$B$121</f>
        <v/>
      </c>
      <c r="AS94" s="10">
        <f>AS91*Assumptions!$B$121</f>
        <v/>
      </c>
      <c r="AT94" s="10">
        <f>AT91*Assumptions!$B$121</f>
        <v/>
      </c>
      <c r="AU94" s="10">
        <f>AU91*Assumptions!$B$121</f>
        <v/>
      </c>
      <c r="AV94" s="10">
        <f>AV91*Assumptions!$B$121</f>
        <v/>
      </c>
      <c r="AW94" s="10">
        <f>AW91*Assumptions!$B$121</f>
        <v/>
      </c>
      <c r="AX94" s="10">
        <f>AX91*Assumptions!$B$121</f>
        <v/>
      </c>
      <c r="AY94" s="10">
        <f>AY91*Assumptions!$B$121</f>
        <v/>
      </c>
      <c r="AZ94" s="10">
        <f>AZ91*Assumptions!$B$121</f>
        <v/>
      </c>
      <c r="BA94" s="10">
        <f>BA91*Assumptions!$B$121</f>
        <v/>
      </c>
      <c r="BB94" s="10">
        <f>BB91*Assumptions!$B$121</f>
        <v/>
      </c>
      <c r="BC94" s="10">
        <f>BC91*Assumptions!$B$121</f>
        <v/>
      </c>
      <c r="BD94" s="10">
        <f>BD91*Assumptions!$B$121</f>
        <v/>
      </c>
      <c r="BE94" s="10">
        <f>BE91*Assumptions!$B$121</f>
        <v/>
      </c>
      <c r="BF94" s="10">
        <f>BF91*Assumptions!$B$121</f>
        <v/>
      </c>
      <c r="BG94" s="10">
        <f>BG91*Assumptions!$B$121</f>
        <v/>
      </c>
      <c r="BH94" s="10">
        <f>BH91*Assumptions!$B$121</f>
        <v/>
      </c>
      <c r="BI94" s="10">
        <f>BI91*Assumptions!$B$121</f>
        <v/>
      </c>
      <c r="BJ94" s="10">
        <f>BJ91*Assumptions!$B$121</f>
        <v/>
      </c>
    </row>
    <row r="95">
      <c r="A95" s="3" t="inlineStr">
        <is>
          <t>Active Free users: Rest of Africa (USD): closing</t>
        </is>
      </c>
      <c r="B95" s="17" t="inlineStr">
        <is>
          <t>users</t>
        </is>
      </c>
      <c r="C95" s="40">
        <f>C91+C92-C93-C94</f>
        <v/>
      </c>
      <c r="D95" s="40">
        <f>D91+D92-D93-D94</f>
        <v/>
      </c>
      <c r="E95" s="40">
        <f>E91+E92-E93-E94</f>
        <v/>
      </c>
      <c r="F95" s="40">
        <f>F91+F92-F93-F94</f>
        <v/>
      </c>
      <c r="G95" s="40">
        <f>G91+G92-G93-G94</f>
        <v/>
      </c>
      <c r="H95" s="40">
        <f>H91+H92-H93-H94</f>
        <v/>
      </c>
      <c r="I95" s="40">
        <f>I91+I92-I93-I94</f>
        <v/>
      </c>
      <c r="J95" s="40">
        <f>J91+J92-J93-J94</f>
        <v/>
      </c>
      <c r="K95" s="40">
        <f>K91+K92-K93-K94</f>
        <v/>
      </c>
      <c r="L95" s="40">
        <f>L91+L92-L93-L94</f>
        <v/>
      </c>
      <c r="M95" s="40">
        <f>M91+M92-M93-M94</f>
        <v/>
      </c>
      <c r="N95" s="40">
        <f>N91+N92-N93-N94</f>
        <v/>
      </c>
      <c r="O95" s="40">
        <f>O91+O92-O93-O94</f>
        <v/>
      </c>
      <c r="P95" s="40">
        <f>P91+P92-P93-P94</f>
        <v/>
      </c>
      <c r="Q95" s="40">
        <f>Q91+Q92-Q93-Q94</f>
        <v/>
      </c>
      <c r="R95" s="40">
        <f>R91+R92-R93-R94</f>
        <v/>
      </c>
      <c r="S95" s="40">
        <f>S91+S92-S93-S94</f>
        <v/>
      </c>
      <c r="T95" s="40">
        <f>T91+T92-T93-T94</f>
        <v/>
      </c>
      <c r="U95" s="40">
        <f>U91+U92-U93-U94</f>
        <v/>
      </c>
      <c r="V95" s="40">
        <f>V91+V92-V93-V94</f>
        <v/>
      </c>
      <c r="W95" s="40">
        <f>W91+W92-W93-W94</f>
        <v/>
      </c>
      <c r="X95" s="40">
        <f>X91+X92-X93-X94</f>
        <v/>
      </c>
      <c r="Y95" s="40">
        <f>Y91+Y92-Y93-Y94</f>
        <v/>
      </c>
      <c r="Z95" s="40">
        <f>Z91+Z92-Z93-Z94</f>
        <v/>
      </c>
      <c r="AA95" s="40">
        <f>AA91+AA92-AA93-AA94</f>
        <v/>
      </c>
      <c r="AB95" s="40">
        <f>AB91+AB92-AB93-AB94</f>
        <v/>
      </c>
      <c r="AC95" s="40">
        <f>AC91+AC92-AC93-AC94</f>
        <v/>
      </c>
      <c r="AD95" s="40">
        <f>AD91+AD92-AD93-AD94</f>
        <v/>
      </c>
      <c r="AE95" s="40">
        <f>AE91+AE92-AE93-AE94</f>
        <v/>
      </c>
      <c r="AF95" s="40">
        <f>AF91+AF92-AF93-AF94</f>
        <v/>
      </c>
      <c r="AG95" s="40">
        <f>AG91+AG92-AG93-AG94</f>
        <v/>
      </c>
      <c r="AH95" s="40">
        <f>AH91+AH92-AH93-AH94</f>
        <v/>
      </c>
      <c r="AI95" s="40">
        <f>AI91+AI92-AI93-AI94</f>
        <v/>
      </c>
      <c r="AJ95" s="40">
        <f>AJ91+AJ92-AJ93-AJ94</f>
        <v/>
      </c>
      <c r="AK95" s="40">
        <f>AK91+AK92-AK93-AK94</f>
        <v/>
      </c>
      <c r="AL95" s="40">
        <f>AL91+AL92-AL93-AL94</f>
        <v/>
      </c>
      <c r="AM95" s="40">
        <f>AM91+AM92-AM93-AM94</f>
        <v/>
      </c>
      <c r="AN95" s="40">
        <f>AN91+AN92-AN93-AN94</f>
        <v/>
      </c>
      <c r="AO95" s="40">
        <f>AO91+AO92-AO93-AO94</f>
        <v/>
      </c>
      <c r="AP95" s="40">
        <f>AP91+AP92-AP93-AP94</f>
        <v/>
      </c>
      <c r="AQ95" s="40">
        <f>AQ91+AQ92-AQ93-AQ94</f>
        <v/>
      </c>
      <c r="AR95" s="40">
        <f>AR91+AR92-AR93-AR94</f>
        <v/>
      </c>
      <c r="AS95" s="40">
        <f>AS91+AS92-AS93-AS94</f>
        <v/>
      </c>
      <c r="AT95" s="40">
        <f>AT91+AT92-AT93-AT94</f>
        <v/>
      </c>
      <c r="AU95" s="40">
        <f>AU91+AU92-AU93-AU94</f>
        <v/>
      </c>
      <c r="AV95" s="40">
        <f>AV91+AV92-AV93-AV94</f>
        <v/>
      </c>
      <c r="AW95" s="40">
        <f>AW91+AW92-AW93-AW94</f>
        <v/>
      </c>
      <c r="AX95" s="40">
        <f>AX91+AX92-AX93-AX94</f>
        <v/>
      </c>
      <c r="AY95" s="40">
        <f>AY91+AY92-AY93-AY94</f>
        <v/>
      </c>
      <c r="AZ95" s="40">
        <f>AZ91+AZ92-AZ93-AZ94</f>
        <v/>
      </c>
      <c r="BA95" s="40">
        <f>BA91+BA92-BA93-BA94</f>
        <v/>
      </c>
      <c r="BB95" s="40">
        <f>BB91+BB92-BB93-BB94</f>
        <v/>
      </c>
      <c r="BC95" s="40">
        <f>BC91+BC92-BC93-BC94</f>
        <v/>
      </c>
      <c r="BD95" s="40">
        <f>BD91+BD92-BD93-BD94</f>
        <v/>
      </c>
      <c r="BE95" s="40">
        <f>BE91+BE92-BE93-BE94</f>
        <v/>
      </c>
      <c r="BF95" s="40">
        <f>BF91+BF92-BF93-BF94</f>
        <v/>
      </c>
      <c r="BG95" s="40">
        <f>BG91+BG92-BG93-BG94</f>
        <v/>
      </c>
      <c r="BH95" s="40">
        <f>BH91+BH92-BH93-BH94</f>
        <v/>
      </c>
      <c r="BI95" s="40">
        <f>BI91+BI92-BI93-BI94</f>
        <v/>
      </c>
      <c r="BJ95" s="40">
        <f>BJ91+BJ92-BJ93-BJ94</f>
        <v/>
      </c>
    </row>
    <row r="96">
      <c r="A96" s="4" t="inlineStr">
        <is>
          <t>Active Free users: Botswana &amp; Namibia: opening</t>
        </is>
      </c>
      <c r="B96" s="17" t="inlineStr">
        <is>
          <t>users</t>
        </is>
      </c>
      <c r="C96" s="10">
        <f>0</f>
        <v/>
      </c>
      <c r="D96" s="10">
        <f>C100</f>
        <v/>
      </c>
      <c r="E96" s="10">
        <f>D100</f>
        <v/>
      </c>
      <c r="F96" s="10">
        <f>E100</f>
        <v/>
      </c>
      <c r="G96" s="10">
        <f>F100</f>
        <v/>
      </c>
      <c r="H96" s="10">
        <f>G100</f>
        <v/>
      </c>
      <c r="I96" s="10">
        <f>H100</f>
        <v/>
      </c>
      <c r="J96" s="10">
        <f>I100</f>
        <v/>
      </c>
      <c r="K96" s="10">
        <f>J100</f>
        <v/>
      </c>
      <c r="L96" s="10">
        <f>K100</f>
        <v/>
      </c>
      <c r="M96" s="10">
        <f>L100</f>
        <v/>
      </c>
      <c r="N96" s="10">
        <f>M100</f>
        <v/>
      </c>
      <c r="O96" s="10">
        <f>N100</f>
        <v/>
      </c>
      <c r="P96" s="10">
        <f>O100</f>
        <v/>
      </c>
      <c r="Q96" s="10">
        <f>P100</f>
        <v/>
      </c>
      <c r="R96" s="10">
        <f>Q100</f>
        <v/>
      </c>
      <c r="S96" s="10">
        <f>R100</f>
        <v/>
      </c>
      <c r="T96" s="10">
        <f>S100</f>
        <v/>
      </c>
      <c r="U96" s="10">
        <f>T100</f>
        <v/>
      </c>
      <c r="V96" s="10">
        <f>U100</f>
        <v/>
      </c>
      <c r="W96" s="10">
        <f>V100</f>
        <v/>
      </c>
      <c r="X96" s="10">
        <f>W100</f>
        <v/>
      </c>
      <c r="Y96" s="10">
        <f>X100</f>
        <v/>
      </c>
      <c r="Z96" s="10">
        <f>Y100</f>
        <v/>
      </c>
      <c r="AA96" s="10">
        <f>Z100</f>
        <v/>
      </c>
      <c r="AB96" s="10">
        <f>AA100</f>
        <v/>
      </c>
      <c r="AC96" s="10">
        <f>AB100</f>
        <v/>
      </c>
      <c r="AD96" s="10">
        <f>AC100</f>
        <v/>
      </c>
      <c r="AE96" s="10">
        <f>AD100</f>
        <v/>
      </c>
      <c r="AF96" s="10">
        <f>AE100</f>
        <v/>
      </c>
      <c r="AG96" s="10">
        <f>AF100</f>
        <v/>
      </c>
      <c r="AH96" s="10">
        <f>AG100</f>
        <v/>
      </c>
      <c r="AI96" s="10">
        <f>AH100</f>
        <v/>
      </c>
      <c r="AJ96" s="10">
        <f>AI100</f>
        <v/>
      </c>
      <c r="AK96" s="10">
        <f>AJ100</f>
        <v/>
      </c>
      <c r="AL96" s="10">
        <f>AK100</f>
        <v/>
      </c>
      <c r="AM96" s="10">
        <f>AL100</f>
        <v/>
      </c>
      <c r="AN96" s="10">
        <f>AM100</f>
        <v/>
      </c>
      <c r="AO96" s="10">
        <f>AN100</f>
        <v/>
      </c>
      <c r="AP96" s="10">
        <f>AO100</f>
        <v/>
      </c>
      <c r="AQ96" s="10">
        <f>AP100</f>
        <v/>
      </c>
      <c r="AR96" s="10">
        <f>AQ100</f>
        <v/>
      </c>
      <c r="AS96" s="10">
        <f>AR100</f>
        <v/>
      </c>
      <c r="AT96" s="10">
        <f>AS100</f>
        <v/>
      </c>
      <c r="AU96" s="10">
        <f>AT100</f>
        <v/>
      </c>
      <c r="AV96" s="10">
        <f>AU100</f>
        <v/>
      </c>
      <c r="AW96" s="10">
        <f>AV100</f>
        <v/>
      </c>
      <c r="AX96" s="10">
        <f>AW100</f>
        <v/>
      </c>
      <c r="AY96" s="10">
        <f>AX100</f>
        <v/>
      </c>
      <c r="AZ96" s="10">
        <f>AY100</f>
        <v/>
      </c>
      <c r="BA96" s="10">
        <f>AZ100</f>
        <v/>
      </c>
      <c r="BB96" s="10">
        <f>BA100</f>
        <v/>
      </c>
      <c r="BC96" s="10">
        <f>BB100</f>
        <v/>
      </c>
      <c r="BD96" s="10">
        <f>BC100</f>
        <v/>
      </c>
      <c r="BE96" s="10">
        <f>BD100</f>
        <v/>
      </c>
      <c r="BF96" s="10">
        <f>BE100</f>
        <v/>
      </c>
      <c r="BG96" s="10">
        <f>BF100</f>
        <v/>
      </c>
      <c r="BH96" s="10">
        <f>BG100</f>
        <v/>
      </c>
      <c r="BI96" s="10">
        <f>BH100</f>
        <v/>
      </c>
      <c r="BJ96" s="10">
        <f>BI100</f>
        <v/>
      </c>
    </row>
    <row r="97">
      <c r="A97" s="4" t="inlineStr">
        <is>
          <t>New Free users: Botswana &amp; Namibia</t>
        </is>
      </c>
      <c r="B97" s="17" t="inlineStr">
        <is>
          <t>users</t>
        </is>
      </c>
      <c r="C97" s="10">
        <f>C53*(1-Assumptions!$B$119)</f>
        <v/>
      </c>
      <c r="D97" s="10">
        <f>D53*(1-Assumptions!$B$119)</f>
        <v/>
      </c>
      <c r="E97" s="10">
        <f>E53*(1-Assumptions!$B$119)</f>
        <v/>
      </c>
      <c r="F97" s="10">
        <f>F53*(1-Assumptions!$B$119)</f>
        <v/>
      </c>
      <c r="G97" s="10">
        <f>G53*(1-Assumptions!$B$119)</f>
        <v/>
      </c>
      <c r="H97" s="10">
        <f>H53*(1-Assumptions!$B$119)</f>
        <v/>
      </c>
      <c r="I97" s="10">
        <f>I53*(1-Assumptions!$B$119)</f>
        <v/>
      </c>
      <c r="J97" s="10">
        <f>J53*(1-Assumptions!$B$119)</f>
        <v/>
      </c>
      <c r="K97" s="10">
        <f>K53*(1-Assumptions!$B$119)</f>
        <v/>
      </c>
      <c r="L97" s="10">
        <f>L53*(1-Assumptions!$B$119)</f>
        <v/>
      </c>
      <c r="M97" s="10">
        <f>M53*(1-Assumptions!$B$119)</f>
        <v/>
      </c>
      <c r="N97" s="10">
        <f>N53*(1-Assumptions!$B$119)</f>
        <v/>
      </c>
      <c r="O97" s="10">
        <f>O53*(1-Assumptions!$B$119)</f>
        <v/>
      </c>
      <c r="P97" s="10">
        <f>P53*(1-Assumptions!$B$119)</f>
        <v/>
      </c>
      <c r="Q97" s="10">
        <f>Q53*(1-Assumptions!$B$119)</f>
        <v/>
      </c>
      <c r="R97" s="10">
        <f>R53*(1-Assumptions!$B$119)</f>
        <v/>
      </c>
      <c r="S97" s="10">
        <f>S53*(1-Assumptions!$B$119)</f>
        <v/>
      </c>
      <c r="T97" s="10">
        <f>T53*(1-Assumptions!$B$119)</f>
        <v/>
      </c>
      <c r="U97" s="10">
        <f>U53*(1-Assumptions!$B$119)</f>
        <v/>
      </c>
      <c r="V97" s="10">
        <f>V53*(1-Assumptions!$B$119)</f>
        <v/>
      </c>
      <c r="W97" s="10">
        <f>W53*(1-Assumptions!$B$119)</f>
        <v/>
      </c>
      <c r="X97" s="10">
        <f>X53*(1-Assumptions!$B$119)</f>
        <v/>
      </c>
      <c r="Y97" s="10">
        <f>Y53*(1-Assumptions!$B$119)</f>
        <v/>
      </c>
      <c r="Z97" s="10">
        <f>Z53*(1-Assumptions!$B$119)</f>
        <v/>
      </c>
      <c r="AA97" s="10">
        <f>AA53*(1-Assumptions!$B$119)</f>
        <v/>
      </c>
      <c r="AB97" s="10">
        <f>AB53*(1-Assumptions!$B$119)</f>
        <v/>
      </c>
      <c r="AC97" s="10">
        <f>AC53*(1-Assumptions!$B$119)</f>
        <v/>
      </c>
      <c r="AD97" s="10">
        <f>AD53*(1-Assumptions!$B$119)</f>
        <v/>
      </c>
      <c r="AE97" s="10">
        <f>AE53*(1-Assumptions!$B$119)</f>
        <v/>
      </c>
      <c r="AF97" s="10">
        <f>AF53*(1-Assumptions!$B$119)</f>
        <v/>
      </c>
      <c r="AG97" s="10">
        <f>AG53*(1-Assumptions!$B$119)</f>
        <v/>
      </c>
      <c r="AH97" s="10">
        <f>AH53*(1-Assumptions!$B$119)</f>
        <v/>
      </c>
      <c r="AI97" s="10">
        <f>AI53*(1-Assumptions!$B$119)</f>
        <v/>
      </c>
      <c r="AJ97" s="10">
        <f>AJ53*(1-Assumptions!$B$119)</f>
        <v/>
      </c>
      <c r="AK97" s="10">
        <f>AK53*(1-Assumptions!$B$119)</f>
        <v/>
      </c>
      <c r="AL97" s="10">
        <f>AL53*(1-Assumptions!$B$119)</f>
        <v/>
      </c>
      <c r="AM97" s="10">
        <f>AM53*(1-Assumptions!$B$119)</f>
        <v/>
      </c>
      <c r="AN97" s="10">
        <f>AN53*(1-Assumptions!$B$119)</f>
        <v/>
      </c>
      <c r="AO97" s="10">
        <f>AO53*(1-Assumptions!$B$119)</f>
        <v/>
      </c>
      <c r="AP97" s="10">
        <f>AP53*(1-Assumptions!$B$119)</f>
        <v/>
      </c>
      <c r="AQ97" s="10">
        <f>AQ53*(1-Assumptions!$B$119)</f>
        <v/>
      </c>
      <c r="AR97" s="10">
        <f>AR53*(1-Assumptions!$B$119)</f>
        <v/>
      </c>
      <c r="AS97" s="10">
        <f>AS53*(1-Assumptions!$B$119)</f>
        <v/>
      </c>
      <c r="AT97" s="10">
        <f>AT53*(1-Assumptions!$B$119)</f>
        <v/>
      </c>
      <c r="AU97" s="10">
        <f>AU53*(1-Assumptions!$B$119)</f>
        <v/>
      </c>
      <c r="AV97" s="10">
        <f>AV53*(1-Assumptions!$B$119)</f>
        <v/>
      </c>
      <c r="AW97" s="10">
        <f>AW53*(1-Assumptions!$B$119)</f>
        <v/>
      </c>
      <c r="AX97" s="10">
        <f>AX53*(1-Assumptions!$B$119)</f>
        <v/>
      </c>
      <c r="AY97" s="10">
        <f>AY53*(1-Assumptions!$B$119)</f>
        <v/>
      </c>
      <c r="AZ97" s="10">
        <f>AZ53*(1-Assumptions!$B$119)</f>
        <v/>
      </c>
      <c r="BA97" s="10">
        <f>BA53*(1-Assumptions!$B$119)</f>
        <v/>
      </c>
      <c r="BB97" s="10">
        <f>BB53*(1-Assumptions!$B$119)</f>
        <v/>
      </c>
      <c r="BC97" s="10">
        <f>BC53*(1-Assumptions!$B$119)</f>
        <v/>
      </c>
      <c r="BD97" s="10">
        <f>BD53*(1-Assumptions!$B$119)</f>
        <v/>
      </c>
      <c r="BE97" s="10">
        <f>BE53*(1-Assumptions!$B$119)</f>
        <v/>
      </c>
      <c r="BF97" s="10">
        <f>BF53*(1-Assumptions!$B$119)</f>
        <v/>
      </c>
      <c r="BG97" s="10">
        <f>BG53*(1-Assumptions!$B$119)</f>
        <v/>
      </c>
      <c r="BH97" s="10">
        <f>BH53*(1-Assumptions!$B$119)</f>
        <v/>
      </c>
      <c r="BI97" s="10">
        <f>BI53*(1-Assumptions!$B$119)</f>
        <v/>
      </c>
      <c r="BJ97" s="10">
        <f>BJ53*(1-Assumptions!$B$119)</f>
        <v/>
      </c>
    </row>
    <row r="98">
      <c r="A98" s="4" t="inlineStr">
        <is>
          <t>Free users upgrading to a paid plan: Botswana &amp; Namibia</t>
        </is>
      </c>
      <c r="B98" s="17" t="inlineStr">
        <is>
          <t>workspaces</t>
        </is>
      </c>
      <c r="C98" s="41">
        <f>C96*Assumptions!$B$120*Assumptions!$B$45</f>
        <v/>
      </c>
      <c r="D98" s="41">
        <f>D96*Assumptions!$B$120*Assumptions!$B$45</f>
        <v/>
      </c>
      <c r="E98" s="41">
        <f>E96*Assumptions!$B$120*Assumptions!$B$45</f>
        <v/>
      </c>
      <c r="F98" s="41">
        <f>F96*Assumptions!$B$120*Assumptions!$B$45</f>
        <v/>
      </c>
      <c r="G98" s="41">
        <f>G96*Assumptions!$B$120*Assumptions!$B$45</f>
        <v/>
      </c>
      <c r="H98" s="41">
        <f>H96*Assumptions!$B$120*Assumptions!$B$45</f>
        <v/>
      </c>
      <c r="I98" s="41">
        <f>I96*Assumptions!$B$120*Assumptions!$B$45</f>
        <v/>
      </c>
      <c r="J98" s="41">
        <f>J96*Assumptions!$B$120*Assumptions!$B$45</f>
        <v/>
      </c>
      <c r="K98" s="41">
        <f>K96*Assumptions!$B$120*Assumptions!$B$45</f>
        <v/>
      </c>
      <c r="L98" s="41">
        <f>L96*Assumptions!$B$120*Assumptions!$B$45</f>
        <v/>
      </c>
      <c r="M98" s="41">
        <f>M96*Assumptions!$B$120*Assumptions!$B$45</f>
        <v/>
      </c>
      <c r="N98" s="41">
        <f>N96*Assumptions!$B$120*Assumptions!$B$45</f>
        <v/>
      </c>
      <c r="O98" s="41">
        <f>O96*Assumptions!$B$120*Assumptions!$B$45</f>
        <v/>
      </c>
      <c r="P98" s="41">
        <f>P96*Assumptions!$B$120*Assumptions!$B$45</f>
        <v/>
      </c>
      <c r="Q98" s="41">
        <f>Q96*Assumptions!$B$120*Assumptions!$B$45</f>
        <v/>
      </c>
      <c r="R98" s="41">
        <f>R96*Assumptions!$B$120*Assumptions!$B$45</f>
        <v/>
      </c>
      <c r="S98" s="41">
        <f>S96*Assumptions!$B$120*Assumptions!$B$45</f>
        <v/>
      </c>
      <c r="T98" s="41">
        <f>T96*Assumptions!$B$120*Assumptions!$B$45</f>
        <v/>
      </c>
      <c r="U98" s="41">
        <f>U96*Assumptions!$B$120*Assumptions!$B$45</f>
        <v/>
      </c>
      <c r="V98" s="41">
        <f>V96*Assumptions!$B$120*Assumptions!$B$45</f>
        <v/>
      </c>
      <c r="W98" s="41">
        <f>W96*Assumptions!$B$120*Assumptions!$B$45</f>
        <v/>
      </c>
      <c r="X98" s="41">
        <f>X96*Assumptions!$B$120*Assumptions!$B$45</f>
        <v/>
      </c>
      <c r="Y98" s="41">
        <f>Y96*Assumptions!$B$120*Assumptions!$B$45</f>
        <v/>
      </c>
      <c r="Z98" s="41">
        <f>Z96*Assumptions!$B$120*Assumptions!$B$45</f>
        <v/>
      </c>
      <c r="AA98" s="41">
        <f>AA96*Assumptions!$B$120*Assumptions!$B$45</f>
        <v/>
      </c>
      <c r="AB98" s="41">
        <f>AB96*Assumptions!$B$120*Assumptions!$B$45</f>
        <v/>
      </c>
      <c r="AC98" s="41">
        <f>AC96*Assumptions!$B$120*Assumptions!$B$45</f>
        <v/>
      </c>
      <c r="AD98" s="41">
        <f>AD96*Assumptions!$B$120*Assumptions!$B$45</f>
        <v/>
      </c>
      <c r="AE98" s="41">
        <f>AE96*Assumptions!$B$120*Assumptions!$B$45</f>
        <v/>
      </c>
      <c r="AF98" s="41">
        <f>AF96*Assumptions!$B$120*Assumptions!$B$45</f>
        <v/>
      </c>
      <c r="AG98" s="41">
        <f>AG96*Assumptions!$B$120*Assumptions!$B$45</f>
        <v/>
      </c>
      <c r="AH98" s="41">
        <f>AH96*Assumptions!$B$120*Assumptions!$B$45</f>
        <v/>
      </c>
      <c r="AI98" s="41">
        <f>AI96*Assumptions!$B$120*Assumptions!$B$45</f>
        <v/>
      </c>
      <c r="AJ98" s="41">
        <f>AJ96*Assumptions!$B$120*Assumptions!$B$45</f>
        <v/>
      </c>
      <c r="AK98" s="41">
        <f>AK96*Assumptions!$B$120*Assumptions!$B$45</f>
        <v/>
      </c>
      <c r="AL98" s="41">
        <f>AL96*Assumptions!$B$120*Assumptions!$B$45</f>
        <v/>
      </c>
      <c r="AM98" s="41">
        <f>AM96*Assumptions!$B$120*Assumptions!$B$45</f>
        <v/>
      </c>
      <c r="AN98" s="41">
        <f>AN96*Assumptions!$B$120*Assumptions!$B$45</f>
        <v/>
      </c>
      <c r="AO98" s="41">
        <f>AO96*Assumptions!$B$120*Assumptions!$B$45</f>
        <v/>
      </c>
      <c r="AP98" s="41">
        <f>AP96*Assumptions!$B$120*Assumptions!$B$45</f>
        <v/>
      </c>
      <c r="AQ98" s="41">
        <f>AQ96*Assumptions!$B$120*Assumptions!$B$45</f>
        <v/>
      </c>
      <c r="AR98" s="41">
        <f>AR96*Assumptions!$B$120*Assumptions!$B$45</f>
        <v/>
      </c>
      <c r="AS98" s="41">
        <f>AS96*Assumptions!$B$120*Assumptions!$B$45</f>
        <v/>
      </c>
      <c r="AT98" s="41">
        <f>AT96*Assumptions!$B$120*Assumptions!$B$45</f>
        <v/>
      </c>
      <c r="AU98" s="41">
        <f>AU96*Assumptions!$B$120*Assumptions!$B$45</f>
        <v/>
      </c>
      <c r="AV98" s="41">
        <f>AV96*Assumptions!$B$120*Assumptions!$B$45</f>
        <v/>
      </c>
      <c r="AW98" s="41">
        <f>AW96*Assumptions!$B$120*Assumptions!$B$45</f>
        <v/>
      </c>
      <c r="AX98" s="41">
        <f>AX96*Assumptions!$B$120*Assumptions!$B$45</f>
        <v/>
      </c>
      <c r="AY98" s="41">
        <f>AY96*Assumptions!$B$120*Assumptions!$B$45</f>
        <v/>
      </c>
      <c r="AZ98" s="41">
        <f>AZ96*Assumptions!$B$120*Assumptions!$B$45</f>
        <v/>
      </c>
      <c r="BA98" s="41">
        <f>BA96*Assumptions!$B$120*Assumptions!$B$45</f>
        <v/>
      </c>
      <c r="BB98" s="41">
        <f>BB96*Assumptions!$B$120*Assumptions!$B$45</f>
        <v/>
      </c>
      <c r="BC98" s="41">
        <f>BC96*Assumptions!$B$120*Assumptions!$B$45</f>
        <v/>
      </c>
      <c r="BD98" s="41">
        <f>BD96*Assumptions!$B$120*Assumptions!$B$45</f>
        <v/>
      </c>
      <c r="BE98" s="41">
        <f>BE96*Assumptions!$B$120*Assumptions!$B$45</f>
        <v/>
      </c>
      <c r="BF98" s="41">
        <f>BF96*Assumptions!$B$120*Assumptions!$B$45</f>
        <v/>
      </c>
      <c r="BG98" s="41">
        <f>BG96*Assumptions!$B$120*Assumptions!$B$45</f>
        <v/>
      </c>
      <c r="BH98" s="41">
        <f>BH96*Assumptions!$B$120*Assumptions!$B$45</f>
        <v/>
      </c>
      <c r="BI98" s="41">
        <f>BI96*Assumptions!$B$120*Assumptions!$B$45</f>
        <v/>
      </c>
      <c r="BJ98" s="41">
        <f>BJ96*Assumptions!$B$120*Assumptions!$B$45</f>
        <v/>
      </c>
    </row>
    <row r="99">
      <c r="A99" s="4" t="inlineStr">
        <is>
          <t>Free users going dormant: Botswana &amp; Namibia</t>
        </is>
      </c>
      <c r="B99" s="17" t="inlineStr">
        <is>
          <t>users</t>
        </is>
      </c>
      <c r="C99" s="10">
        <f>C96*Assumptions!$B$121</f>
        <v/>
      </c>
      <c r="D99" s="10">
        <f>D96*Assumptions!$B$121</f>
        <v/>
      </c>
      <c r="E99" s="10">
        <f>E96*Assumptions!$B$121</f>
        <v/>
      </c>
      <c r="F99" s="10">
        <f>F96*Assumptions!$B$121</f>
        <v/>
      </c>
      <c r="G99" s="10">
        <f>G96*Assumptions!$B$121</f>
        <v/>
      </c>
      <c r="H99" s="10">
        <f>H96*Assumptions!$B$121</f>
        <v/>
      </c>
      <c r="I99" s="10">
        <f>I96*Assumptions!$B$121</f>
        <v/>
      </c>
      <c r="J99" s="10">
        <f>J96*Assumptions!$B$121</f>
        <v/>
      </c>
      <c r="K99" s="10">
        <f>K96*Assumptions!$B$121</f>
        <v/>
      </c>
      <c r="L99" s="10">
        <f>L96*Assumptions!$B$121</f>
        <v/>
      </c>
      <c r="M99" s="10">
        <f>M96*Assumptions!$B$121</f>
        <v/>
      </c>
      <c r="N99" s="10">
        <f>N96*Assumptions!$B$121</f>
        <v/>
      </c>
      <c r="O99" s="10">
        <f>O96*Assumptions!$B$121</f>
        <v/>
      </c>
      <c r="P99" s="10">
        <f>P96*Assumptions!$B$121</f>
        <v/>
      </c>
      <c r="Q99" s="10">
        <f>Q96*Assumptions!$B$121</f>
        <v/>
      </c>
      <c r="R99" s="10">
        <f>R96*Assumptions!$B$121</f>
        <v/>
      </c>
      <c r="S99" s="10">
        <f>S96*Assumptions!$B$121</f>
        <v/>
      </c>
      <c r="T99" s="10">
        <f>T96*Assumptions!$B$121</f>
        <v/>
      </c>
      <c r="U99" s="10">
        <f>U96*Assumptions!$B$121</f>
        <v/>
      </c>
      <c r="V99" s="10">
        <f>V96*Assumptions!$B$121</f>
        <v/>
      </c>
      <c r="W99" s="10">
        <f>W96*Assumptions!$B$121</f>
        <v/>
      </c>
      <c r="X99" s="10">
        <f>X96*Assumptions!$B$121</f>
        <v/>
      </c>
      <c r="Y99" s="10">
        <f>Y96*Assumptions!$B$121</f>
        <v/>
      </c>
      <c r="Z99" s="10">
        <f>Z96*Assumptions!$B$121</f>
        <v/>
      </c>
      <c r="AA99" s="10">
        <f>AA96*Assumptions!$B$121</f>
        <v/>
      </c>
      <c r="AB99" s="10">
        <f>AB96*Assumptions!$B$121</f>
        <v/>
      </c>
      <c r="AC99" s="10">
        <f>AC96*Assumptions!$B$121</f>
        <v/>
      </c>
      <c r="AD99" s="10">
        <f>AD96*Assumptions!$B$121</f>
        <v/>
      </c>
      <c r="AE99" s="10">
        <f>AE96*Assumptions!$B$121</f>
        <v/>
      </c>
      <c r="AF99" s="10">
        <f>AF96*Assumptions!$B$121</f>
        <v/>
      </c>
      <c r="AG99" s="10">
        <f>AG96*Assumptions!$B$121</f>
        <v/>
      </c>
      <c r="AH99" s="10">
        <f>AH96*Assumptions!$B$121</f>
        <v/>
      </c>
      <c r="AI99" s="10">
        <f>AI96*Assumptions!$B$121</f>
        <v/>
      </c>
      <c r="AJ99" s="10">
        <f>AJ96*Assumptions!$B$121</f>
        <v/>
      </c>
      <c r="AK99" s="10">
        <f>AK96*Assumptions!$B$121</f>
        <v/>
      </c>
      <c r="AL99" s="10">
        <f>AL96*Assumptions!$B$121</f>
        <v/>
      </c>
      <c r="AM99" s="10">
        <f>AM96*Assumptions!$B$121</f>
        <v/>
      </c>
      <c r="AN99" s="10">
        <f>AN96*Assumptions!$B$121</f>
        <v/>
      </c>
      <c r="AO99" s="10">
        <f>AO96*Assumptions!$B$121</f>
        <v/>
      </c>
      <c r="AP99" s="10">
        <f>AP96*Assumptions!$B$121</f>
        <v/>
      </c>
      <c r="AQ99" s="10">
        <f>AQ96*Assumptions!$B$121</f>
        <v/>
      </c>
      <c r="AR99" s="10">
        <f>AR96*Assumptions!$B$121</f>
        <v/>
      </c>
      <c r="AS99" s="10">
        <f>AS96*Assumptions!$B$121</f>
        <v/>
      </c>
      <c r="AT99" s="10">
        <f>AT96*Assumptions!$B$121</f>
        <v/>
      </c>
      <c r="AU99" s="10">
        <f>AU96*Assumptions!$B$121</f>
        <v/>
      </c>
      <c r="AV99" s="10">
        <f>AV96*Assumptions!$B$121</f>
        <v/>
      </c>
      <c r="AW99" s="10">
        <f>AW96*Assumptions!$B$121</f>
        <v/>
      </c>
      <c r="AX99" s="10">
        <f>AX96*Assumptions!$B$121</f>
        <v/>
      </c>
      <c r="AY99" s="10">
        <f>AY96*Assumptions!$B$121</f>
        <v/>
      </c>
      <c r="AZ99" s="10">
        <f>AZ96*Assumptions!$B$121</f>
        <v/>
      </c>
      <c r="BA99" s="10">
        <f>BA96*Assumptions!$B$121</f>
        <v/>
      </c>
      <c r="BB99" s="10">
        <f>BB96*Assumptions!$B$121</f>
        <v/>
      </c>
      <c r="BC99" s="10">
        <f>BC96*Assumptions!$B$121</f>
        <v/>
      </c>
      <c r="BD99" s="10">
        <f>BD96*Assumptions!$B$121</f>
        <v/>
      </c>
      <c r="BE99" s="10">
        <f>BE96*Assumptions!$B$121</f>
        <v/>
      </c>
      <c r="BF99" s="10">
        <f>BF96*Assumptions!$B$121</f>
        <v/>
      </c>
      <c r="BG99" s="10">
        <f>BG96*Assumptions!$B$121</f>
        <v/>
      </c>
      <c r="BH99" s="10">
        <f>BH96*Assumptions!$B$121</f>
        <v/>
      </c>
      <c r="BI99" s="10">
        <f>BI96*Assumptions!$B$121</f>
        <v/>
      </c>
      <c r="BJ99" s="10">
        <f>BJ96*Assumptions!$B$121</f>
        <v/>
      </c>
    </row>
    <row r="100">
      <c r="A100" s="3" t="inlineStr">
        <is>
          <t>Active Free users: Botswana &amp; Namibia: closing</t>
        </is>
      </c>
      <c r="B100" s="17" t="inlineStr">
        <is>
          <t>users</t>
        </is>
      </c>
      <c r="C100" s="40">
        <f>C96+C97-C98-C99</f>
        <v/>
      </c>
      <c r="D100" s="40">
        <f>D96+D97-D98-D99</f>
        <v/>
      </c>
      <c r="E100" s="40">
        <f>E96+E97-E98-E99</f>
        <v/>
      </c>
      <c r="F100" s="40">
        <f>F96+F97-F98-F99</f>
        <v/>
      </c>
      <c r="G100" s="40">
        <f>G96+G97-G98-G99</f>
        <v/>
      </c>
      <c r="H100" s="40">
        <f>H96+H97-H98-H99</f>
        <v/>
      </c>
      <c r="I100" s="40">
        <f>I96+I97-I98-I99</f>
        <v/>
      </c>
      <c r="J100" s="40">
        <f>J96+J97-J98-J99</f>
        <v/>
      </c>
      <c r="K100" s="40">
        <f>K96+K97-K98-K99</f>
        <v/>
      </c>
      <c r="L100" s="40">
        <f>L96+L97-L98-L99</f>
        <v/>
      </c>
      <c r="M100" s="40">
        <f>M96+M97-M98-M99</f>
        <v/>
      </c>
      <c r="N100" s="40">
        <f>N96+N97-N98-N99</f>
        <v/>
      </c>
      <c r="O100" s="40">
        <f>O96+O97-O98-O99</f>
        <v/>
      </c>
      <c r="P100" s="40">
        <f>P96+P97-P98-P99</f>
        <v/>
      </c>
      <c r="Q100" s="40">
        <f>Q96+Q97-Q98-Q99</f>
        <v/>
      </c>
      <c r="R100" s="40">
        <f>R96+R97-R98-R99</f>
        <v/>
      </c>
      <c r="S100" s="40">
        <f>S96+S97-S98-S99</f>
        <v/>
      </c>
      <c r="T100" s="40">
        <f>T96+T97-T98-T99</f>
        <v/>
      </c>
      <c r="U100" s="40">
        <f>U96+U97-U98-U99</f>
        <v/>
      </c>
      <c r="V100" s="40">
        <f>V96+V97-V98-V99</f>
        <v/>
      </c>
      <c r="W100" s="40">
        <f>W96+W97-W98-W99</f>
        <v/>
      </c>
      <c r="X100" s="40">
        <f>X96+X97-X98-X99</f>
        <v/>
      </c>
      <c r="Y100" s="40">
        <f>Y96+Y97-Y98-Y99</f>
        <v/>
      </c>
      <c r="Z100" s="40">
        <f>Z96+Z97-Z98-Z99</f>
        <v/>
      </c>
      <c r="AA100" s="40">
        <f>AA96+AA97-AA98-AA99</f>
        <v/>
      </c>
      <c r="AB100" s="40">
        <f>AB96+AB97-AB98-AB99</f>
        <v/>
      </c>
      <c r="AC100" s="40">
        <f>AC96+AC97-AC98-AC99</f>
        <v/>
      </c>
      <c r="AD100" s="40">
        <f>AD96+AD97-AD98-AD99</f>
        <v/>
      </c>
      <c r="AE100" s="40">
        <f>AE96+AE97-AE98-AE99</f>
        <v/>
      </c>
      <c r="AF100" s="40">
        <f>AF96+AF97-AF98-AF99</f>
        <v/>
      </c>
      <c r="AG100" s="40">
        <f>AG96+AG97-AG98-AG99</f>
        <v/>
      </c>
      <c r="AH100" s="40">
        <f>AH96+AH97-AH98-AH99</f>
        <v/>
      </c>
      <c r="AI100" s="40">
        <f>AI96+AI97-AI98-AI99</f>
        <v/>
      </c>
      <c r="AJ100" s="40">
        <f>AJ96+AJ97-AJ98-AJ99</f>
        <v/>
      </c>
      <c r="AK100" s="40">
        <f>AK96+AK97-AK98-AK99</f>
        <v/>
      </c>
      <c r="AL100" s="40">
        <f>AL96+AL97-AL98-AL99</f>
        <v/>
      </c>
      <c r="AM100" s="40">
        <f>AM96+AM97-AM98-AM99</f>
        <v/>
      </c>
      <c r="AN100" s="40">
        <f>AN96+AN97-AN98-AN99</f>
        <v/>
      </c>
      <c r="AO100" s="40">
        <f>AO96+AO97-AO98-AO99</f>
        <v/>
      </c>
      <c r="AP100" s="40">
        <f>AP96+AP97-AP98-AP99</f>
        <v/>
      </c>
      <c r="AQ100" s="40">
        <f>AQ96+AQ97-AQ98-AQ99</f>
        <v/>
      </c>
      <c r="AR100" s="40">
        <f>AR96+AR97-AR98-AR99</f>
        <v/>
      </c>
      <c r="AS100" s="40">
        <f>AS96+AS97-AS98-AS99</f>
        <v/>
      </c>
      <c r="AT100" s="40">
        <f>AT96+AT97-AT98-AT99</f>
        <v/>
      </c>
      <c r="AU100" s="40">
        <f>AU96+AU97-AU98-AU99</f>
        <v/>
      </c>
      <c r="AV100" s="40">
        <f>AV96+AV97-AV98-AV99</f>
        <v/>
      </c>
      <c r="AW100" s="40">
        <f>AW96+AW97-AW98-AW99</f>
        <v/>
      </c>
      <c r="AX100" s="40">
        <f>AX96+AX97-AX98-AX99</f>
        <v/>
      </c>
      <c r="AY100" s="40">
        <f>AY96+AY97-AY98-AY99</f>
        <v/>
      </c>
      <c r="AZ100" s="40">
        <f>AZ96+AZ97-AZ98-AZ99</f>
        <v/>
      </c>
      <c r="BA100" s="40">
        <f>BA96+BA97-BA98-BA99</f>
        <v/>
      </c>
      <c r="BB100" s="40">
        <f>BB96+BB97-BB98-BB99</f>
        <v/>
      </c>
      <c r="BC100" s="40">
        <f>BC96+BC97-BC98-BC99</f>
        <v/>
      </c>
      <c r="BD100" s="40">
        <f>BD96+BD97-BD98-BD99</f>
        <v/>
      </c>
      <c r="BE100" s="40">
        <f>BE96+BE97-BE98-BE99</f>
        <v/>
      </c>
      <c r="BF100" s="40">
        <f>BF96+BF97-BF98-BF99</f>
        <v/>
      </c>
      <c r="BG100" s="40">
        <f>BG96+BG97-BG98-BG99</f>
        <v/>
      </c>
      <c r="BH100" s="40">
        <f>BH96+BH97-BH98-BH99</f>
        <v/>
      </c>
      <c r="BI100" s="40">
        <f>BI96+BI97-BI98-BI99</f>
        <v/>
      </c>
      <c r="BJ100" s="40">
        <f>BJ96+BJ97-BJ98-BJ99</f>
        <v/>
      </c>
    </row>
    <row r="101">
      <c r="A101" s="3" t="inlineStr">
        <is>
          <t>Active Free users: all markets</t>
        </is>
      </c>
      <c r="B101" s="17" t="inlineStr">
        <is>
          <t>users</t>
        </is>
      </c>
      <c r="C101" s="40">
        <f>C75+C80+C85+C90+C95+C100</f>
        <v/>
      </c>
      <c r="D101" s="40">
        <f>D75+D80+D85+D90+D95+D100</f>
        <v/>
      </c>
      <c r="E101" s="40">
        <f>E75+E80+E85+E90+E95+E100</f>
        <v/>
      </c>
      <c r="F101" s="40">
        <f>F75+F80+F85+F90+F95+F100</f>
        <v/>
      </c>
      <c r="G101" s="40">
        <f>G75+G80+G85+G90+G95+G100</f>
        <v/>
      </c>
      <c r="H101" s="40">
        <f>H75+H80+H85+H90+H95+H100</f>
        <v/>
      </c>
      <c r="I101" s="40">
        <f>I75+I80+I85+I90+I95+I100</f>
        <v/>
      </c>
      <c r="J101" s="40">
        <f>J75+J80+J85+J90+J95+J100</f>
        <v/>
      </c>
      <c r="K101" s="40">
        <f>K75+K80+K85+K90+K95+K100</f>
        <v/>
      </c>
      <c r="L101" s="40">
        <f>L75+L80+L85+L90+L95+L100</f>
        <v/>
      </c>
      <c r="M101" s="40">
        <f>M75+M80+M85+M90+M95+M100</f>
        <v/>
      </c>
      <c r="N101" s="40">
        <f>N75+N80+N85+N90+N95+N100</f>
        <v/>
      </c>
      <c r="O101" s="40">
        <f>O75+O80+O85+O90+O95+O100</f>
        <v/>
      </c>
      <c r="P101" s="40">
        <f>P75+P80+P85+P90+P95+P100</f>
        <v/>
      </c>
      <c r="Q101" s="40">
        <f>Q75+Q80+Q85+Q90+Q95+Q100</f>
        <v/>
      </c>
      <c r="R101" s="40">
        <f>R75+R80+R85+R90+R95+R100</f>
        <v/>
      </c>
      <c r="S101" s="40">
        <f>S75+S80+S85+S90+S95+S100</f>
        <v/>
      </c>
      <c r="T101" s="40">
        <f>T75+T80+T85+T90+T95+T100</f>
        <v/>
      </c>
      <c r="U101" s="40">
        <f>U75+U80+U85+U90+U95+U100</f>
        <v/>
      </c>
      <c r="V101" s="40">
        <f>V75+V80+V85+V90+V95+V100</f>
        <v/>
      </c>
      <c r="W101" s="40">
        <f>W75+W80+W85+W90+W95+W100</f>
        <v/>
      </c>
      <c r="X101" s="40">
        <f>X75+X80+X85+X90+X95+X100</f>
        <v/>
      </c>
      <c r="Y101" s="40">
        <f>Y75+Y80+Y85+Y90+Y95+Y100</f>
        <v/>
      </c>
      <c r="Z101" s="40">
        <f>Z75+Z80+Z85+Z90+Z95+Z100</f>
        <v/>
      </c>
      <c r="AA101" s="40">
        <f>AA75+AA80+AA85+AA90+AA95+AA100</f>
        <v/>
      </c>
      <c r="AB101" s="40">
        <f>AB75+AB80+AB85+AB90+AB95+AB100</f>
        <v/>
      </c>
      <c r="AC101" s="40">
        <f>AC75+AC80+AC85+AC90+AC95+AC100</f>
        <v/>
      </c>
      <c r="AD101" s="40">
        <f>AD75+AD80+AD85+AD90+AD95+AD100</f>
        <v/>
      </c>
      <c r="AE101" s="40">
        <f>AE75+AE80+AE85+AE90+AE95+AE100</f>
        <v/>
      </c>
      <c r="AF101" s="40">
        <f>AF75+AF80+AF85+AF90+AF95+AF100</f>
        <v/>
      </c>
      <c r="AG101" s="40">
        <f>AG75+AG80+AG85+AG90+AG95+AG100</f>
        <v/>
      </c>
      <c r="AH101" s="40">
        <f>AH75+AH80+AH85+AH90+AH95+AH100</f>
        <v/>
      </c>
      <c r="AI101" s="40">
        <f>AI75+AI80+AI85+AI90+AI95+AI100</f>
        <v/>
      </c>
      <c r="AJ101" s="40">
        <f>AJ75+AJ80+AJ85+AJ90+AJ95+AJ100</f>
        <v/>
      </c>
      <c r="AK101" s="40">
        <f>AK75+AK80+AK85+AK90+AK95+AK100</f>
        <v/>
      </c>
      <c r="AL101" s="40">
        <f>AL75+AL80+AL85+AL90+AL95+AL100</f>
        <v/>
      </c>
      <c r="AM101" s="40">
        <f>AM75+AM80+AM85+AM90+AM95+AM100</f>
        <v/>
      </c>
      <c r="AN101" s="40">
        <f>AN75+AN80+AN85+AN90+AN95+AN100</f>
        <v/>
      </c>
      <c r="AO101" s="40">
        <f>AO75+AO80+AO85+AO90+AO95+AO100</f>
        <v/>
      </c>
      <c r="AP101" s="40">
        <f>AP75+AP80+AP85+AP90+AP95+AP100</f>
        <v/>
      </c>
      <c r="AQ101" s="40">
        <f>AQ75+AQ80+AQ85+AQ90+AQ95+AQ100</f>
        <v/>
      </c>
      <c r="AR101" s="40">
        <f>AR75+AR80+AR85+AR90+AR95+AR100</f>
        <v/>
      </c>
      <c r="AS101" s="40">
        <f>AS75+AS80+AS85+AS90+AS95+AS100</f>
        <v/>
      </c>
      <c r="AT101" s="40">
        <f>AT75+AT80+AT85+AT90+AT95+AT100</f>
        <v/>
      </c>
      <c r="AU101" s="40">
        <f>AU75+AU80+AU85+AU90+AU95+AU100</f>
        <v/>
      </c>
      <c r="AV101" s="40">
        <f>AV75+AV80+AV85+AV90+AV95+AV100</f>
        <v/>
      </c>
      <c r="AW101" s="40">
        <f>AW75+AW80+AW85+AW90+AW95+AW100</f>
        <v/>
      </c>
      <c r="AX101" s="40">
        <f>AX75+AX80+AX85+AX90+AX95+AX100</f>
        <v/>
      </c>
      <c r="AY101" s="40">
        <f>AY75+AY80+AY85+AY90+AY95+AY100</f>
        <v/>
      </c>
      <c r="AZ101" s="40">
        <f>AZ75+AZ80+AZ85+AZ90+AZ95+AZ100</f>
        <v/>
      </c>
      <c r="BA101" s="40">
        <f>BA75+BA80+BA85+BA90+BA95+BA100</f>
        <v/>
      </c>
      <c r="BB101" s="40">
        <f>BB75+BB80+BB85+BB90+BB95+BB100</f>
        <v/>
      </c>
      <c r="BC101" s="40">
        <f>BC75+BC80+BC85+BC90+BC95+BC100</f>
        <v/>
      </c>
      <c r="BD101" s="40">
        <f>BD75+BD80+BD85+BD90+BD95+BD100</f>
        <v/>
      </c>
      <c r="BE101" s="40">
        <f>BE75+BE80+BE85+BE90+BE95+BE100</f>
        <v/>
      </c>
      <c r="BF101" s="40">
        <f>BF75+BF80+BF85+BF90+BF95+BF100</f>
        <v/>
      </c>
      <c r="BG101" s="40">
        <f>BG75+BG80+BG85+BG90+BG95+BG100</f>
        <v/>
      </c>
      <c r="BH101" s="40">
        <f>BH75+BH80+BH85+BH90+BH95+BH100</f>
        <v/>
      </c>
      <c r="BI101" s="40">
        <f>BI75+BI80+BI85+BI90+BI95+BI100</f>
        <v/>
      </c>
      <c r="BJ101" s="40">
        <f>BJ75+BJ80+BJ85+BJ90+BJ95+BJ100</f>
        <v/>
      </c>
    </row>
    <row r="102">
      <c r="A102" s="4" t="inlineStr">
        <is>
          <t>New Free users: all markets</t>
        </is>
      </c>
      <c r="B102" s="17" t="inlineStr">
        <is>
          <t>users</t>
        </is>
      </c>
      <c r="C102" s="10">
        <f>C72+C77+C82+C87+C92+C97</f>
        <v/>
      </c>
      <c r="D102" s="10">
        <f>D72+D77+D82+D87+D92+D97</f>
        <v/>
      </c>
      <c r="E102" s="10">
        <f>E72+E77+E82+E87+E92+E97</f>
        <v/>
      </c>
      <c r="F102" s="10">
        <f>F72+F77+F82+F87+F92+F97</f>
        <v/>
      </c>
      <c r="G102" s="10">
        <f>G72+G77+G82+G87+G92+G97</f>
        <v/>
      </c>
      <c r="H102" s="10">
        <f>H72+H77+H82+H87+H92+H97</f>
        <v/>
      </c>
      <c r="I102" s="10">
        <f>I72+I77+I82+I87+I92+I97</f>
        <v/>
      </c>
      <c r="J102" s="10">
        <f>J72+J77+J82+J87+J92+J97</f>
        <v/>
      </c>
      <c r="K102" s="10">
        <f>K72+K77+K82+K87+K92+K97</f>
        <v/>
      </c>
      <c r="L102" s="10">
        <f>L72+L77+L82+L87+L92+L97</f>
        <v/>
      </c>
      <c r="M102" s="10">
        <f>M72+M77+M82+M87+M92+M97</f>
        <v/>
      </c>
      <c r="N102" s="10">
        <f>N72+N77+N82+N87+N92+N97</f>
        <v/>
      </c>
      <c r="O102" s="10">
        <f>O72+O77+O82+O87+O92+O97</f>
        <v/>
      </c>
      <c r="P102" s="10">
        <f>P72+P77+P82+P87+P92+P97</f>
        <v/>
      </c>
      <c r="Q102" s="10">
        <f>Q72+Q77+Q82+Q87+Q92+Q97</f>
        <v/>
      </c>
      <c r="R102" s="10">
        <f>R72+R77+R82+R87+R92+R97</f>
        <v/>
      </c>
      <c r="S102" s="10">
        <f>S72+S77+S82+S87+S92+S97</f>
        <v/>
      </c>
      <c r="T102" s="10">
        <f>T72+T77+T82+T87+T92+T97</f>
        <v/>
      </c>
      <c r="U102" s="10">
        <f>U72+U77+U82+U87+U92+U97</f>
        <v/>
      </c>
      <c r="V102" s="10">
        <f>V72+V77+V82+V87+V92+V97</f>
        <v/>
      </c>
      <c r="W102" s="10">
        <f>W72+W77+W82+W87+W92+W97</f>
        <v/>
      </c>
      <c r="X102" s="10">
        <f>X72+X77+X82+X87+X92+X97</f>
        <v/>
      </c>
      <c r="Y102" s="10">
        <f>Y72+Y77+Y82+Y87+Y92+Y97</f>
        <v/>
      </c>
      <c r="Z102" s="10">
        <f>Z72+Z77+Z82+Z87+Z92+Z97</f>
        <v/>
      </c>
      <c r="AA102" s="10">
        <f>AA72+AA77+AA82+AA87+AA92+AA97</f>
        <v/>
      </c>
      <c r="AB102" s="10">
        <f>AB72+AB77+AB82+AB87+AB92+AB97</f>
        <v/>
      </c>
      <c r="AC102" s="10">
        <f>AC72+AC77+AC82+AC87+AC92+AC97</f>
        <v/>
      </c>
      <c r="AD102" s="10">
        <f>AD72+AD77+AD82+AD87+AD92+AD97</f>
        <v/>
      </c>
      <c r="AE102" s="10">
        <f>AE72+AE77+AE82+AE87+AE92+AE97</f>
        <v/>
      </c>
      <c r="AF102" s="10">
        <f>AF72+AF77+AF82+AF87+AF92+AF97</f>
        <v/>
      </c>
      <c r="AG102" s="10">
        <f>AG72+AG77+AG82+AG87+AG92+AG97</f>
        <v/>
      </c>
      <c r="AH102" s="10">
        <f>AH72+AH77+AH82+AH87+AH92+AH97</f>
        <v/>
      </c>
      <c r="AI102" s="10">
        <f>AI72+AI77+AI82+AI87+AI92+AI97</f>
        <v/>
      </c>
      <c r="AJ102" s="10">
        <f>AJ72+AJ77+AJ82+AJ87+AJ92+AJ97</f>
        <v/>
      </c>
      <c r="AK102" s="10">
        <f>AK72+AK77+AK82+AK87+AK92+AK97</f>
        <v/>
      </c>
      <c r="AL102" s="10">
        <f>AL72+AL77+AL82+AL87+AL92+AL97</f>
        <v/>
      </c>
      <c r="AM102" s="10">
        <f>AM72+AM77+AM82+AM87+AM92+AM97</f>
        <v/>
      </c>
      <c r="AN102" s="10">
        <f>AN72+AN77+AN82+AN87+AN92+AN97</f>
        <v/>
      </c>
      <c r="AO102" s="10">
        <f>AO72+AO77+AO82+AO87+AO92+AO97</f>
        <v/>
      </c>
      <c r="AP102" s="10">
        <f>AP72+AP77+AP82+AP87+AP92+AP97</f>
        <v/>
      </c>
      <c r="AQ102" s="10">
        <f>AQ72+AQ77+AQ82+AQ87+AQ92+AQ97</f>
        <v/>
      </c>
      <c r="AR102" s="10">
        <f>AR72+AR77+AR82+AR87+AR92+AR97</f>
        <v/>
      </c>
      <c r="AS102" s="10">
        <f>AS72+AS77+AS82+AS87+AS92+AS97</f>
        <v/>
      </c>
      <c r="AT102" s="10">
        <f>AT72+AT77+AT82+AT87+AT92+AT97</f>
        <v/>
      </c>
      <c r="AU102" s="10">
        <f>AU72+AU77+AU82+AU87+AU92+AU97</f>
        <v/>
      </c>
      <c r="AV102" s="10">
        <f>AV72+AV77+AV82+AV87+AV92+AV97</f>
        <v/>
      </c>
      <c r="AW102" s="10">
        <f>AW72+AW77+AW82+AW87+AW92+AW97</f>
        <v/>
      </c>
      <c r="AX102" s="10">
        <f>AX72+AX77+AX82+AX87+AX92+AX97</f>
        <v/>
      </c>
      <c r="AY102" s="10">
        <f>AY72+AY77+AY82+AY87+AY92+AY97</f>
        <v/>
      </c>
      <c r="AZ102" s="10">
        <f>AZ72+AZ77+AZ82+AZ87+AZ92+AZ97</f>
        <v/>
      </c>
      <c r="BA102" s="10">
        <f>BA72+BA77+BA82+BA87+BA92+BA97</f>
        <v/>
      </c>
      <c r="BB102" s="10">
        <f>BB72+BB77+BB82+BB87+BB92+BB97</f>
        <v/>
      </c>
      <c r="BC102" s="10">
        <f>BC72+BC77+BC82+BC87+BC92+BC97</f>
        <v/>
      </c>
      <c r="BD102" s="10">
        <f>BD72+BD77+BD82+BD87+BD92+BD97</f>
        <v/>
      </c>
      <c r="BE102" s="10">
        <f>BE72+BE77+BE82+BE87+BE92+BE97</f>
        <v/>
      </c>
      <c r="BF102" s="10">
        <f>BF72+BF77+BF82+BF87+BF92+BF97</f>
        <v/>
      </c>
      <c r="BG102" s="10">
        <f>BG72+BG77+BG82+BG87+BG92+BG97</f>
        <v/>
      </c>
      <c r="BH102" s="10">
        <f>BH72+BH77+BH82+BH87+BH92+BH97</f>
        <v/>
      </c>
      <c r="BI102" s="10">
        <f>BI72+BI77+BI82+BI87+BI92+BI97</f>
        <v/>
      </c>
      <c r="BJ102" s="10">
        <f>BJ72+BJ77+BJ82+BJ87+BJ92+BJ97</f>
        <v/>
      </c>
    </row>
    <row r="103">
      <c r="A103" s="4" t="inlineStr">
        <is>
          <t>Free users upgrading to paid: all markets</t>
        </is>
      </c>
      <c r="B103" s="17" t="inlineStr">
        <is>
          <t>workspaces</t>
        </is>
      </c>
      <c r="C103" s="41">
        <f>C73+C78+C83+C88+C93+C98</f>
        <v/>
      </c>
      <c r="D103" s="41">
        <f>D73+D78+D83+D88+D93+D98</f>
        <v/>
      </c>
      <c r="E103" s="41">
        <f>E73+E78+E83+E88+E93+E98</f>
        <v/>
      </c>
      <c r="F103" s="41">
        <f>F73+F78+F83+F88+F93+F98</f>
        <v/>
      </c>
      <c r="G103" s="41">
        <f>G73+G78+G83+G88+G93+G98</f>
        <v/>
      </c>
      <c r="H103" s="41">
        <f>H73+H78+H83+H88+H93+H98</f>
        <v/>
      </c>
      <c r="I103" s="41">
        <f>I73+I78+I83+I88+I93+I98</f>
        <v/>
      </c>
      <c r="J103" s="41">
        <f>J73+J78+J83+J88+J93+J98</f>
        <v/>
      </c>
      <c r="K103" s="41">
        <f>K73+K78+K83+K88+K93+K98</f>
        <v/>
      </c>
      <c r="L103" s="41">
        <f>L73+L78+L83+L88+L93+L98</f>
        <v/>
      </c>
      <c r="M103" s="41">
        <f>M73+M78+M83+M88+M93+M98</f>
        <v/>
      </c>
      <c r="N103" s="41">
        <f>N73+N78+N83+N88+N93+N98</f>
        <v/>
      </c>
      <c r="O103" s="41">
        <f>O73+O78+O83+O88+O93+O98</f>
        <v/>
      </c>
      <c r="P103" s="41">
        <f>P73+P78+P83+P88+P93+P98</f>
        <v/>
      </c>
      <c r="Q103" s="41">
        <f>Q73+Q78+Q83+Q88+Q93+Q98</f>
        <v/>
      </c>
      <c r="R103" s="41">
        <f>R73+R78+R83+R88+R93+R98</f>
        <v/>
      </c>
      <c r="S103" s="41">
        <f>S73+S78+S83+S88+S93+S98</f>
        <v/>
      </c>
      <c r="T103" s="41">
        <f>T73+T78+T83+T88+T93+T98</f>
        <v/>
      </c>
      <c r="U103" s="41">
        <f>U73+U78+U83+U88+U93+U98</f>
        <v/>
      </c>
      <c r="V103" s="41">
        <f>V73+V78+V83+V88+V93+V98</f>
        <v/>
      </c>
      <c r="W103" s="41">
        <f>W73+W78+W83+W88+W93+W98</f>
        <v/>
      </c>
      <c r="X103" s="41">
        <f>X73+X78+X83+X88+X93+X98</f>
        <v/>
      </c>
      <c r="Y103" s="41">
        <f>Y73+Y78+Y83+Y88+Y93+Y98</f>
        <v/>
      </c>
      <c r="Z103" s="41">
        <f>Z73+Z78+Z83+Z88+Z93+Z98</f>
        <v/>
      </c>
      <c r="AA103" s="41">
        <f>AA73+AA78+AA83+AA88+AA93+AA98</f>
        <v/>
      </c>
      <c r="AB103" s="41">
        <f>AB73+AB78+AB83+AB88+AB93+AB98</f>
        <v/>
      </c>
      <c r="AC103" s="41">
        <f>AC73+AC78+AC83+AC88+AC93+AC98</f>
        <v/>
      </c>
      <c r="AD103" s="41">
        <f>AD73+AD78+AD83+AD88+AD93+AD98</f>
        <v/>
      </c>
      <c r="AE103" s="41">
        <f>AE73+AE78+AE83+AE88+AE93+AE98</f>
        <v/>
      </c>
      <c r="AF103" s="41">
        <f>AF73+AF78+AF83+AF88+AF93+AF98</f>
        <v/>
      </c>
      <c r="AG103" s="41">
        <f>AG73+AG78+AG83+AG88+AG93+AG98</f>
        <v/>
      </c>
      <c r="AH103" s="41">
        <f>AH73+AH78+AH83+AH88+AH93+AH98</f>
        <v/>
      </c>
      <c r="AI103" s="41">
        <f>AI73+AI78+AI83+AI88+AI93+AI98</f>
        <v/>
      </c>
      <c r="AJ103" s="41">
        <f>AJ73+AJ78+AJ83+AJ88+AJ93+AJ98</f>
        <v/>
      </c>
      <c r="AK103" s="41">
        <f>AK73+AK78+AK83+AK88+AK93+AK98</f>
        <v/>
      </c>
      <c r="AL103" s="41">
        <f>AL73+AL78+AL83+AL88+AL93+AL98</f>
        <v/>
      </c>
      <c r="AM103" s="41">
        <f>AM73+AM78+AM83+AM88+AM93+AM98</f>
        <v/>
      </c>
      <c r="AN103" s="41">
        <f>AN73+AN78+AN83+AN88+AN93+AN98</f>
        <v/>
      </c>
      <c r="AO103" s="41">
        <f>AO73+AO78+AO83+AO88+AO93+AO98</f>
        <v/>
      </c>
      <c r="AP103" s="41">
        <f>AP73+AP78+AP83+AP88+AP93+AP98</f>
        <v/>
      </c>
      <c r="AQ103" s="41">
        <f>AQ73+AQ78+AQ83+AQ88+AQ93+AQ98</f>
        <v/>
      </c>
      <c r="AR103" s="41">
        <f>AR73+AR78+AR83+AR88+AR93+AR98</f>
        <v/>
      </c>
      <c r="AS103" s="41">
        <f>AS73+AS78+AS83+AS88+AS93+AS98</f>
        <v/>
      </c>
      <c r="AT103" s="41">
        <f>AT73+AT78+AT83+AT88+AT93+AT98</f>
        <v/>
      </c>
      <c r="AU103" s="41">
        <f>AU73+AU78+AU83+AU88+AU93+AU98</f>
        <v/>
      </c>
      <c r="AV103" s="41">
        <f>AV73+AV78+AV83+AV88+AV93+AV98</f>
        <v/>
      </c>
      <c r="AW103" s="41">
        <f>AW73+AW78+AW83+AW88+AW93+AW98</f>
        <v/>
      </c>
      <c r="AX103" s="41">
        <f>AX73+AX78+AX83+AX88+AX93+AX98</f>
        <v/>
      </c>
      <c r="AY103" s="41">
        <f>AY73+AY78+AY83+AY88+AY93+AY98</f>
        <v/>
      </c>
      <c r="AZ103" s="41">
        <f>AZ73+AZ78+AZ83+AZ88+AZ93+AZ98</f>
        <v/>
      </c>
      <c r="BA103" s="41">
        <f>BA73+BA78+BA83+BA88+BA93+BA98</f>
        <v/>
      </c>
      <c r="BB103" s="41">
        <f>BB73+BB78+BB83+BB88+BB93+BB98</f>
        <v/>
      </c>
      <c r="BC103" s="41">
        <f>BC73+BC78+BC83+BC88+BC93+BC98</f>
        <v/>
      </c>
      <c r="BD103" s="41">
        <f>BD73+BD78+BD83+BD88+BD93+BD98</f>
        <v/>
      </c>
      <c r="BE103" s="41">
        <f>BE73+BE78+BE83+BE88+BE93+BE98</f>
        <v/>
      </c>
      <c r="BF103" s="41">
        <f>BF73+BF78+BF83+BF88+BF93+BF98</f>
        <v/>
      </c>
      <c r="BG103" s="41">
        <f>BG73+BG78+BG83+BG88+BG93+BG98</f>
        <v/>
      </c>
      <c r="BH103" s="41">
        <f>BH73+BH78+BH83+BH88+BH93+BH98</f>
        <v/>
      </c>
      <c r="BI103" s="41">
        <f>BI73+BI78+BI83+BI88+BI93+BI98</f>
        <v/>
      </c>
      <c r="BJ103" s="41">
        <f>BJ73+BJ78+BJ83+BJ88+BJ93+BJ98</f>
        <v/>
      </c>
    </row>
    <row r="104"/>
    <row r="105">
      <c r="A105" s="19" t="inlineStr">
        <is>
          <t>COST DISCIPLINE: paid acquisition budget = MIN(desired, floor + cap % x last month's MRR); zero before the seed</t>
        </is>
      </c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9" t="n"/>
      <c r="BJ105" s="19" t="n"/>
    </row>
    <row r="106">
      <c r="A106" s="4" t="inlineStr">
        <is>
          <t>Share of sign-ups needing paid acquisition</t>
        </is>
      </c>
      <c r="B106" s="17" t="inlineStr">
        <is>
          <t>%</t>
        </is>
      </c>
      <c r="C106" s="9">
        <f>CHOOSE(C$5,Assumptions!$B$111,Assumptions!$B$112,Assumptions!$B$113,Assumptions!$B$114,Assumptions!$B$115)</f>
        <v/>
      </c>
      <c r="D106" s="9">
        <f>CHOOSE(D$5,Assumptions!$B$111,Assumptions!$B$112,Assumptions!$B$113,Assumptions!$B$114,Assumptions!$B$115)</f>
        <v/>
      </c>
      <c r="E106" s="9">
        <f>CHOOSE(E$5,Assumptions!$B$111,Assumptions!$B$112,Assumptions!$B$113,Assumptions!$B$114,Assumptions!$B$115)</f>
        <v/>
      </c>
      <c r="F106" s="9">
        <f>CHOOSE(F$5,Assumptions!$B$111,Assumptions!$B$112,Assumptions!$B$113,Assumptions!$B$114,Assumptions!$B$115)</f>
        <v/>
      </c>
      <c r="G106" s="9">
        <f>CHOOSE(G$5,Assumptions!$B$111,Assumptions!$B$112,Assumptions!$B$113,Assumptions!$B$114,Assumptions!$B$115)</f>
        <v/>
      </c>
      <c r="H106" s="9">
        <f>CHOOSE(H$5,Assumptions!$B$111,Assumptions!$B$112,Assumptions!$B$113,Assumptions!$B$114,Assumptions!$B$115)</f>
        <v/>
      </c>
      <c r="I106" s="9">
        <f>CHOOSE(I$5,Assumptions!$B$111,Assumptions!$B$112,Assumptions!$B$113,Assumptions!$B$114,Assumptions!$B$115)</f>
        <v/>
      </c>
      <c r="J106" s="9">
        <f>CHOOSE(J$5,Assumptions!$B$111,Assumptions!$B$112,Assumptions!$B$113,Assumptions!$B$114,Assumptions!$B$115)</f>
        <v/>
      </c>
      <c r="K106" s="9">
        <f>CHOOSE(K$5,Assumptions!$B$111,Assumptions!$B$112,Assumptions!$B$113,Assumptions!$B$114,Assumptions!$B$115)</f>
        <v/>
      </c>
      <c r="L106" s="9">
        <f>CHOOSE(L$5,Assumptions!$B$111,Assumptions!$B$112,Assumptions!$B$113,Assumptions!$B$114,Assumptions!$B$115)</f>
        <v/>
      </c>
      <c r="M106" s="9">
        <f>CHOOSE(M$5,Assumptions!$B$111,Assumptions!$B$112,Assumptions!$B$113,Assumptions!$B$114,Assumptions!$B$115)</f>
        <v/>
      </c>
      <c r="N106" s="9">
        <f>CHOOSE(N$5,Assumptions!$B$111,Assumptions!$B$112,Assumptions!$B$113,Assumptions!$B$114,Assumptions!$B$115)</f>
        <v/>
      </c>
      <c r="O106" s="9">
        <f>CHOOSE(O$5,Assumptions!$B$111,Assumptions!$B$112,Assumptions!$B$113,Assumptions!$B$114,Assumptions!$B$115)</f>
        <v/>
      </c>
      <c r="P106" s="9">
        <f>CHOOSE(P$5,Assumptions!$B$111,Assumptions!$B$112,Assumptions!$B$113,Assumptions!$B$114,Assumptions!$B$115)</f>
        <v/>
      </c>
      <c r="Q106" s="9">
        <f>CHOOSE(Q$5,Assumptions!$B$111,Assumptions!$B$112,Assumptions!$B$113,Assumptions!$B$114,Assumptions!$B$115)</f>
        <v/>
      </c>
      <c r="R106" s="9">
        <f>CHOOSE(R$5,Assumptions!$B$111,Assumptions!$B$112,Assumptions!$B$113,Assumptions!$B$114,Assumptions!$B$115)</f>
        <v/>
      </c>
      <c r="S106" s="9">
        <f>CHOOSE(S$5,Assumptions!$B$111,Assumptions!$B$112,Assumptions!$B$113,Assumptions!$B$114,Assumptions!$B$115)</f>
        <v/>
      </c>
      <c r="T106" s="9">
        <f>CHOOSE(T$5,Assumptions!$B$111,Assumptions!$B$112,Assumptions!$B$113,Assumptions!$B$114,Assumptions!$B$115)</f>
        <v/>
      </c>
      <c r="U106" s="9">
        <f>CHOOSE(U$5,Assumptions!$B$111,Assumptions!$B$112,Assumptions!$B$113,Assumptions!$B$114,Assumptions!$B$115)</f>
        <v/>
      </c>
      <c r="V106" s="9">
        <f>CHOOSE(V$5,Assumptions!$B$111,Assumptions!$B$112,Assumptions!$B$113,Assumptions!$B$114,Assumptions!$B$115)</f>
        <v/>
      </c>
      <c r="W106" s="9">
        <f>CHOOSE(W$5,Assumptions!$B$111,Assumptions!$B$112,Assumptions!$B$113,Assumptions!$B$114,Assumptions!$B$115)</f>
        <v/>
      </c>
      <c r="X106" s="9">
        <f>CHOOSE(X$5,Assumptions!$B$111,Assumptions!$B$112,Assumptions!$B$113,Assumptions!$B$114,Assumptions!$B$115)</f>
        <v/>
      </c>
      <c r="Y106" s="9">
        <f>CHOOSE(Y$5,Assumptions!$B$111,Assumptions!$B$112,Assumptions!$B$113,Assumptions!$B$114,Assumptions!$B$115)</f>
        <v/>
      </c>
      <c r="Z106" s="9">
        <f>CHOOSE(Z$5,Assumptions!$B$111,Assumptions!$B$112,Assumptions!$B$113,Assumptions!$B$114,Assumptions!$B$115)</f>
        <v/>
      </c>
      <c r="AA106" s="9">
        <f>CHOOSE(AA$5,Assumptions!$B$111,Assumptions!$B$112,Assumptions!$B$113,Assumptions!$B$114,Assumptions!$B$115)</f>
        <v/>
      </c>
      <c r="AB106" s="9">
        <f>CHOOSE(AB$5,Assumptions!$B$111,Assumptions!$B$112,Assumptions!$B$113,Assumptions!$B$114,Assumptions!$B$115)</f>
        <v/>
      </c>
      <c r="AC106" s="9">
        <f>CHOOSE(AC$5,Assumptions!$B$111,Assumptions!$B$112,Assumptions!$B$113,Assumptions!$B$114,Assumptions!$B$115)</f>
        <v/>
      </c>
      <c r="AD106" s="9">
        <f>CHOOSE(AD$5,Assumptions!$B$111,Assumptions!$B$112,Assumptions!$B$113,Assumptions!$B$114,Assumptions!$B$115)</f>
        <v/>
      </c>
      <c r="AE106" s="9">
        <f>CHOOSE(AE$5,Assumptions!$B$111,Assumptions!$B$112,Assumptions!$B$113,Assumptions!$B$114,Assumptions!$B$115)</f>
        <v/>
      </c>
      <c r="AF106" s="9">
        <f>CHOOSE(AF$5,Assumptions!$B$111,Assumptions!$B$112,Assumptions!$B$113,Assumptions!$B$114,Assumptions!$B$115)</f>
        <v/>
      </c>
      <c r="AG106" s="9">
        <f>CHOOSE(AG$5,Assumptions!$B$111,Assumptions!$B$112,Assumptions!$B$113,Assumptions!$B$114,Assumptions!$B$115)</f>
        <v/>
      </c>
      <c r="AH106" s="9">
        <f>CHOOSE(AH$5,Assumptions!$B$111,Assumptions!$B$112,Assumptions!$B$113,Assumptions!$B$114,Assumptions!$B$115)</f>
        <v/>
      </c>
      <c r="AI106" s="9">
        <f>CHOOSE(AI$5,Assumptions!$B$111,Assumptions!$B$112,Assumptions!$B$113,Assumptions!$B$114,Assumptions!$B$115)</f>
        <v/>
      </c>
      <c r="AJ106" s="9">
        <f>CHOOSE(AJ$5,Assumptions!$B$111,Assumptions!$B$112,Assumptions!$B$113,Assumptions!$B$114,Assumptions!$B$115)</f>
        <v/>
      </c>
      <c r="AK106" s="9">
        <f>CHOOSE(AK$5,Assumptions!$B$111,Assumptions!$B$112,Assumptions!$B$113,Assumptions!$B$114,Assumptions!$B$115)</f>
        <v/>
      </c>
      <c r="AL106" s="9">
        <f>CHOOSE(AL$5,Assumptions!$B$111,Assumptions!$B$112,Assumptions!$B$113,Assumptions!$B$114,Assumptions!$B$115)</f>
        <v/>
      </c>
      <c r="AM106" s="9">
        <f>CHOOSE(AM$5,Assumptions!$B$111,Assumptions!$B$112,Assumptions!$B$113,Assumptions!$B$114,Assumptions!$B$115)</f>
        <v/>
      </c>
      <c r="AN106" s="9">
        <f>CHOOSE(AN$5,Assumptions!$B$111,Assumptions!$B$112,Assumptions!$B$113,Assumptions!$B$114,Assumptions!$B$115)</f>
        <v/>
      </c>
      <c r="AO106" s="9">
        <f>CHOOSE(AO$5,Assumptions!$B$111,Assumptions!$B$112,Assumptions!$B$113,Assumptions!$B$114,Assumptions!$B$115)</f>
        <v/>
      </c>
      <c r="AP106" s="9">
        <f>CHOOSE(AP$5,Assumptions!$B$111,Assumptions!$B$112,Assumptions!$B$113,Assumptions!$B$114,Assumptions!$B$115)</f>
        <v/>
      </c>
      <c r="AQ106" s="9">
        <f>CHOOSE(AQ$5,Assumptions!$B$111,Assumptions!$B$112,Assumptions!$B$113,Assumptions!$B$114,Assumptions!$B$115)</f>
        <v/>
      </c>
      <c r="AR106" s="9">
        <f>CHOOSE(AR$5,Assumptions!$B$111,Assumptions!$B$112,Assumptions!$B$113,Assumptions!$B$114,Assumptions!$B$115)</f>
        <v/>
      </c>
      <c r="AS106" s="9">
        <f>CHOOSE(AS$5,Assumptions!$B$111,Assumptions!$B$112,Assumptions!$B$113,Assumptions!$B$114,Assumptions!$B$115)</f>
        <v/>
      </c>
      <c r="AT106" s="9">
        <f>CHOOSE(AT$5,Assumptions!$B$111,Assumptions!$B$112,Assumptions!$B$113,Assumptions!$B$114,Assumptions!$B$115)</f>
        <v/>
      </c>
      <c r="AU106" s="9">
        <f>CHOOSE(AU$5,Assumptions!$B$111,Assumptions!$B$112,Assumptions!$B$113,Assumptions!$B$114,Assumptions!$B$115)</f>
        <v/>
      </c>
      <c r="AV106" s="9">
        <f>CHOOSE(AV$5,Assumptions!$B$111,Assumptions!$B$112,Assumptions!$B$113,Assumptions!$B$114,Assumptions!$B$115)</f>
        <v/>
      </c>
      <c r="AW106" s="9">
        <f>CHOOSE(AW$5,Assumptions!$B$111,Assumptions!$B$112,Assumptions!$B$113,Assumptions!$B$114,Assumptions!$B$115)</f>
        <v/>
      </c>
      <c r="AX106" s="9">
        <f>CHOOSE(AX$5,Assumptions!$B$111,Assumptions!$B$112,Assumptions!$B$113,Assumptions!$B$114,Assumptions!$B$115)</f>
        <v/>
      </c>
      <c r="AY106" s="9">
        <f>CHOOSE(AY$5,Assumptions!$B$111,Assumptions!$B$112,Assumptions!$B$113,Assumptions!$B$114,Assumptions!$B$115)</f>
        <v/>
      </c>
      <c r="AZ106" s="9">
        <f>CHOOSE(AZ$5,Assumptions!$B$111,Assumptions!$B$112,Assumptions!$B$113,Assumptions!$B$114,Assumptions!$B$115)</f>
        <v/>
      </c>
      <c r="BA106" s="9">
        <f>CHOOSE(BA$5,Assumptions!$B$111,Assumptions!$B$112,Assumptions!$B$113,Assumptions!$B$114,Assumptions!$B$115)</f>
        <v/>
      </c>
      <c r="BB106" s="9">
        <f>CHOOSE(BB$5,Assumptions!$B$111,Assumptions!$B$112,Assumptions!$B$113,Assumptions!$B$114,Assumptions!$B$115)</f>
        <v/>
      </c>
      <c r="BC106" s="9">
        <f>CHOOSE(BC$5,Assumptions!$B$111,Assumptions!$B$112,Assumptions!$B$113,Assumptions!$B$114,Assumptions!$B$115)</f>
        <v/>
      </c>
      <c r="BD106" s="9">
        <f>CHOOSE(BD$5,Assumptions!$B$111,Assumptions!$B$112,Assumptions!$B$113,Assumptions!$B$114,Assumptions!$B$115)</f>
        <v/>
      </c>
      <c r="BE106" s="9">
        <f>CHOOSE(BE$5,Assumptions!$B$111,Assumptions!$B$112,Assumptions!$B$113,Assumptions!$B$114,Assumptions!$B$115)</f>
        <v/>
      </c>
      <c r="BF106" s="9">
        <f>CHOOSE(BF$5,Assumptions!$B$111,Assumptions!$B$112,Assumptions!$B$113,Assumptions!$B$114,Assumptions!$B$115)</f>
        <v/>
      </c>
      <c r="BG106" s="9">
        <f>CHOOSE(BG$5,Assumptions!$B$111,Assumptions!$B$112,Assumptions!$B$113,Assumptions!$B$114,Assumptions!$B$115)</f>
        <v/>
      </c>
      <c r="BH106" s="9">
        <f>CHOOSE(BH$5,Assumptions!$B$111,Assumptions!$B$112,Assumptions!$B$113,Assumptions!$B$114,Assumptions!$B$115)</f>
        <v/>
      </c>
      <c r="BI106" s="9">
        <f>CHOOSE(BI$5,Assumptions!$B$111,Assumptions!$B$112,Assumptions!$B$113,Assumptions!$B$114,Assumptions!$B$115)</f>
        <v/>
      </c>
      <c r="BJ106" s="9">
        <f>CHOOSE(BJ$5,Assumptions!$B$111,Assumptions!$B$112,Assumptions!$B$113,Assumptions!$B$114,Assumptions!$B$115)</f>
        <v/>
      </c>
    </row>
    <row r="107">
      <c r="A107" s="4" t="inlineStr">
        <is>
          <t>CAC inflation factor</t>
        </is>
      </c>
      <c r="B107" s="17" t="inlineStr">
        <is>
          <t>x</t>
        </is>
      </c>
      <c r="C107" s="36">
        <f>(1+Assumptions!$B$194)^(C$5-1)</f>
        <v/>
      </c>
      <c r="D107" s="36">
        <f>(1+Assumptions!$B$194)^(D$5-1)</f>
        <v/>
      </c>
      <c r="E107" s="36">
        <f>(1+Assumptions!$B$194)^(E$5-1)</f>
        <v/>
      </c>
      <c r="F107" s="36">
        <f>(1+Assumptions!$B$194)^(F$5-1)</f>
        <v/>
      </c>
      <c r="G107" s="36">
        <f>(1+Assumptions!$B$194)^(G$5-1)</f>
        <v/>
      </c>
      <c r="H107" s="36">
        <f>(1+Assumptions!$B$194)^(H$5-1)</f>
        <v/>
      </c>
      <c r="I107" s="36">
        <f>(1+Assumptions!$B$194)^(I$5-1)</f>
        <v/>
      </c>
      <c r="J107" s="36">
        <f>(1+Assumptions!$B$194)^(J$5-1)</f>
        <v/>
      </c>
      <c r="K107" s="36">
        <f>(1+Assumptions!$B$194)^(K$5-1)</f>
        <v/>
      </c>
      <c r="L107" s="36">
        <f>(1+Assumptions!$B$194)^(L$5-1)</f>
        <v/>
      </c>
      <c r="M107" s="36">
        <f>(1+Assumptions!$B$194)^(M$5-1)</f>
        <v/>
      </c>
      <c r="N107" s="36">
        <f>(1+Assumptions!$B$194)^(N$5-1)</f>
        <v/>
      </c>
      <c r="O107" s="36">
        <f>(1+Assumptions!$B$194)^(O$5-1)</f>
        <v/>
      </c>
      <c r="P107" s="36">
        <f>(1+Assumptions!$B$194)^(P$5-1)</f>
        <v/>
      </c>
      <c r="Q107" s="36">
        <f>(1+Assumptions!$B$194)^(Q$5-1)</f>
        <v/>
      </c>
      <c r="R107" s="36">
        <f>(1+Assumptions!$B$194)^(R$5-1)</f>
        <v/>
      </c>
      <c r="S107" s="36">
        <f>(1+Assumptions!$B$194)^(S$5-1)</f>
        <v/>
      </c>
      <c r="T107" s="36">
        <f>(1+Assumptions!$B$194)^(T$5-1)</f>
        <v/>
      </c>
      <c r="U107" s="36">
        <f>(1+Assumptions!$B$194)^(U$5-1)</f>
        <v/>
      </c>
      <c r="V107" s="36">
        <f>(1+Assumptions!$B$194)^(V$5-1)</f>
        <v/>
      </c>
      <c r="W107" s="36">
        <f>(1+Assumptions!$B$194)^(W$5-1)</f>
        <v/>
      </c>
      <c r="X107" s="36">
        <f>(1+Assumptions!$B$194)^(X$5-1)</f>
        <v/>
      </c>
      <c r="Y107" s="36">
        <f>(1+Assumptions!$B$194)^(Y$5-1)</f>
        <v/>
      </c>
      <c r="Z107" s="36">
        <f>(1+Assumptions!$B$194)^(Z$5-1)</f>
        <v/>
      </c>
      <c r="AA107" s="36">
        <f>(1+Assumptions!$B$194)^(AA$5-1)</f>
        <v/>
      </c>
      <c r="AB107" s="36">
        <f>(1+Assumptions!$B$194)^(AB$5-1)</f>
        <v/>
      </c>
      <c r="AC107" s="36">
        <f>(1+Assumptions!$B$194)^(AC$5-1)</f>
        <v/>
      </c>
      <c r="AD107" s="36">
        <f>(1+Assumptions!$B$194)^(AD$5-1)</f>
        <v/>
      </c>
      <c r="AE107" s="36">
        <f>(1+Assumptions!$B$194)^(AE$5-1)</f>
        <v/>
      </c>
      <c r="AF107" s="36">
        <f>(1+Assumptions!$B$194)^(AF$5-1)</f>
        <v/>
      </c>
      <c r="AG107" s="36">
        <f>(1+Assumptions!$B$194)^(AG$5-1)</f>
        <v/>
      </c>
      <c r="AH107" s="36">
        <f>(1+Assumptions!$B$194)^(AH$5-1)</f>
        <v/>
      </c>
      <c r="AI107" s="36">
        <f>(1+Assumptions!$B$194)^(AI$5-1)</f>
        <v/>
      </c>
      <c r="AJ107" s="36">
        <f>(1+Assumptions!$B$194)^(AJ$5-1)</f>
        <v/>
      </c>
      <c r="AK107" s="36">
        <f>(1+Assumptions!$B$194)^(AK$5-1)</f>
        <v/>
      </c>
      <c r="AL107" s="36">
        <f>(1+Assumptions!$B$194)^(AL$5-1)</f>
        <v/>
      </c>
      <c r="AM107" s="36">
        <f>(1+Assumptions!$B$194)^(AM$5-1)</f>
        <v/>
      </c>
      <c r="AN107" s="36">
        <f>(1+Assumptions!$B$194)^(AN$5-1)</f>
        <v/>
      </c>
      <c r="AO107" s="36">
        <f>(1+Assumptions!$B$194)^(AO$5-1)</f>
        <v/>
      </c>
      <c r="AP107" s="36">
        <f>(1+Assumptions!$B$194)^(AP$5-1)</f>
        <v/>
      </c>
      <c r="AQ107" s="36">
        <f>(1+Assumptions!$B$194)^(AQ$5-1)</f>
        <v/>
      </c>
      <c r="AR107" s="36">
        <f>(1+Assumptions!$B$194)^(AR$5-1)</f>
        <v/>
      </c>
      <c r="AS107" s="36">
        <f>(1+Assumptions!$B$194)^(AS$5-1)</f>
        <v/>
      </c>
      <c r="AT107" s="36">
        <f>(1+Assumptions!$B$194)^(AT$5-1)</f>
        <v/>
      </c>
      <c r="AU107" s="36">
        <f>(1+Assumptions!$B$194)^(AU$5-1)</f>
        <v/>
      </c>
      <c r="AV107" s="36">
        <f>(1+Assumptions!$B$194)^(AV$5-1)</f>
        <v/>
      </c>
      <c r="AW107" s="36">
        <f>(1+Assumptions!$B$194)^(AW$5-1)</f>
        <v/>
      </c>
      <c r="AX107" s="36">
        <f>(1+Assumptions!$B$194)^(AX$5-1)</f>
        <v/>
      </c>
      <c r="AY107" s="36">
        <f>(1+Assumptions!$B$194)^(AY$5-1)</f>
        <v/>
      </c>
      <c r="AZ107" s="36">
        <f>(1+Assumptions!$B$194)^(AZ$5-1)</f>
        <v/>
      </c>
      <c r="BA107" s="36">
        <f>(1+Assumptions!$B$194)^(BA$5-1)</f>
        <v/>
      </c>
      <c r="BB107" s="36">
        <f>(1+Assumptions!$B$194)^(BB$5-1)</f>
        <v/>
      </c>
      <c r="BC107" s="36">
        <f>(1+Assumptions!$B$194)^(BC$5-1)</f>
        <v/>
      </c>
      <c r="BD107" s="36">
        <f>(1+Assumptions!$B$194)^(BD$5-1)</f>
        <v/>
      </c>
      <c r="BE107" s="36">
        <f>(1+Assumptions!$B$194)^(BE$5-1)</f>
        <v/>
      </c>
      <c r="BF107" s="36">
        <f>(1+Assumptions!$B$194)^(BF$5-1)</f>
        <v/>
      </c>
      <c r="BG107" s="36">
        <f>(1+Assumptions!$B$194)^(BG$5-1)</f>
        <v/>
      </c>
      <c r="BH107" s="36">
        <f>(1+Assumptions!$B$194)^(BH$5-1)</f>
        <v/>
      </c>
      <c r="BI107" s="36">
        <f>(1+Assumptions!$B$194)^(BI$5-1)</f>
        <v/>
      </c>
      <c r="BJ107" s="36">
        <f>(1+Assumptions!$B$194)^(BJ$5-1)</f>
        <v/>
      </c>
    </row>
    <row r="108">
      <c r="A108" s="4" t="inlineStr">
        <is>
          <t>Price escalator factor (list prices +escalator each October)</t>
        </is>
      </c>
      <c r="B108" s="17" t="inlineStr">
        <is>
          <t>x</t>
        </is>
      </c>
      <c r="C108" s="36">
        <f>(1+Pricing!$B$16)^(C$5-1)</f>
        <v/>
      </c>
      <c r="D108" s="36">
        <f>(1+Pricing!$B$16)^(D$5-1)</f>
        <v/>
      </c>
      <c r="E108" s="36">
        <f>(1+Pricing!$B$16)^(E$5-1)</f>
        <v/>
      </c>
      <c r="F108" s="36">
        <f>(1+Pricing!$B$16)^(F$5-1)</f>
        <v/>
      </c>
      <c r="G108" s="36">
        <f>(1+Pricing!$B$16)^(G$5-1)</f>
        <v/>
      </c>
      <c r="H108" s="36">
        <f>(1+Pricing!$B$16)^(H$5-1)</f>
        <v/>
      </c>
      <c r="I108" s="36">
        <f>(1+Pricing!$B$16)^(I$5-1)</f>
        <v/>
      </c>
      <c r="J108" s="36">
        <f>(1+Pricing!$B$16)^(J$5-1)</f>
        <v/>
      </c>
      <c r="K108" s="36">
        <f>(1+Pricing!$B$16)^(K$5-1)</f>
        <v/>
      </c>
      <c r="L108" s="36">
        <f>(1+Pricing!$B$16)^(L$5-1)</f>
        <v/>
      </c>
      <c r="M108" s="36">
        <f>(1+Pricing!$B$16)^(M$5-1)</f>
        <v/>
      </c>
      <c r="N108" s="36">
        <f>(1+Pricing!$B$16)^(N$5-1)</f>
        <v/>
      </c>
      <c r="O108" s="36">
        <f>(1+Pricing!$B$16)^(O$5-1)</f>
        <v/>
      </c>
      <c r="P108" s="36">
        <f>(1+Pricing!$B$16)^(P$5-1)</f>
        <v/>
      </c>
      <c r="Q108" s="36">
        <f>(1+Pricing!$B$16)^(Q$5-1)</f>
        <v/>
      </c>
      <c r="R108" s="36">
        <f>(1+Pricing!$B$16)^(R$5-1)</f>
        <v/>
      </c>
      <c r="S108" s="36">
        <f>(1+Pricing!$B$16)^(S$5-1)</f>
        <v/>
      </c>
      <c r="T108" s="36">
        <f>(1+Pricing!$B$16)^(T$5-1)</f>
        <v/>
      </c>
      <c r="U108" s="36">
        <f>(1+Pricing!$B$16)^(U$5-1)</f>
        <v/>
      </c>
      <c r="V108" s="36">
        <f>(1+Pricing!$B$16)^(V$5-1)</f>
        <v/>
      </c>
      <c r="W108" s="36">
        <f>(1+Pricing!$B$16)^(W$5-1)</f>
        <v/>
      </c>
      <c r="X108" s="36">
        <f>(1+Pricing!$B$16)^(X$5-1)</f>
        <v/>
      </c>
      <c r="Y108" s="36">
        <f>(1+Pricing!$B$16)^(Y$5-1)</f>
        <v/>
      </c>
      <c r="Z108" s="36">
        <f>(1+Pricing!$B$16)^(Z$5-1)</f>
        <v/>
      </c>
      <c r="AA108" s="36">
        <f>(1+Pricing!$B$16)^(AA$5-1)</f>
        <v/>
      </c>
      <c r="AB108" s="36">
        <f>(1+Pricing!$B$16)^(AB$5-1)</f>
        <v/>
      </c>
      <c r="AC108" s="36">
        <f>(1+Pricing!$B$16)^(AC$5-1)</f>
        <v/>
      </c>
      <c r="AD108" s="36">
        <f>(1+Pricing!$B$16)^(AD$5-1)</f>
        <v/>
      </c>
      <c r="AE108" s="36">
        <f>(1+Pricing!$B$16)^(AE$5-1)</f>
        <v/>
      </c>
      <c r="AF108" s="36">
        <f>(1+Pricing!$B$16)^(AF$5-1)</f>
        <v/>
      </c>
      <c r="AG108" s="36">
        <f>(1+Pricing!$B$16)^(AG$5-1)</f>
        <v/>
      </c>
      <c r="AH108" s="36">
        <f>(1+Pricing!$B$16)^(AH$5-1)</f>
        <v/>
      </c>
      <c r="AI108" s="36">
        <f>(1+Pricing!$B$16)^(AI$5-1)</f>
        <v/>
      </c>
      <c r="AJ108" s="36">
        <f>(1+Pricing!$B$16)^(AJ$5-1)</f>
        <v/>
      </c>
      <c r="AK108" s="36">
        <f>(1+Pricing!$B$16)^(AK$5-1)</f>
        <v/>
      </c>
      <c r="AL108" s="36">
        <f>(1+Pricing!$B$16)^(AL$5-1)</f>
        <v/>
      </c>
      <c r="AM108" s="36">
        <f>(1+Pricing!$B$16)^(AM$5-1)</f>
        <v/>
      </c>
      <c r="AN108" s="36">
        <f>(1+Pricing!$B$16)^(AN$5-1)</f>
        <v/>
      </c>
      <c r="AO108" s="36">
        <f>(1+Pricing!$B$16)^(AO$5-1)</f>
        <v/>
      </c>
      <c r="AP108" s="36">
        <f>(1+Pricing!$B$16)^(AP$5-1)</f>
        <v/>
      </c>
      <c r="AQ108" s="36">
        <f>(1+Pricing!$B$16)^(AQ$5-1)</f>
        <v/>
      </c>
      <c r="AR108" s="36">
        <f>(1+Pricing!$B$16)^(AR$5-1)</f>
        <v/>
      </c>
      <c r="AS108" s="36">
        <f>(1+Pricing!$B$16)^(AS$5-1)</f>
        <v/>
      </c>
      <c r="AT108" s="36">
        <f>(1+Pricing!$B$16)^(AT$5-1)</f>
        <v/>
      </c>
      <c r="AU108" s="36">
        <f>(1+Pricing!$B$16)^(AU$5-1)</f>
        <v/>
      </c>
      <c r="AV108" s="36">
        <f>(1+Pricing!$B$16)^(AV$5-1)</f>
        <v/>
      </c>
      <c r="AW108" s="36">
        <f>(1+Pricing!$B$16)^(AW$5-1)</f>
        <v/>
      </c>
      <c r="AX108" s="36">
        <f>(1+Pricing!$B$16)^(AX$5-1)</f>
        <v/>
      </c>
      <c r="AY108" s="36">
        <f>(1+Pricing!$B$16)^(AY$5-1)</f>
        <v/>
      </c>
      <c r="AZ108" s="36">
        <f>(1+Pricing!$B$16)^(AZ$5-1)</f>
        <v/>
      </c>
      <c r="BA108" s="36">
        <f>(1+Pricing!$B$16)^(BA$5-1)</f>
        <v/>
      </c>
      <c r="BB108" s="36">
        <f>(1+Pricing!$B$16)^(BB$5-1)</f>
        <v/>
      </c>
      <c r="BC108" s="36">
        <f>(1+Pricing!$B$16)^(BC$5-1)</f>
        <v/>
      </c>
      <c r="BD108" s="36">
        <f>(1+Pricing!$B$16)^(BD$5-1)</f>
        <v/>
      </c>
      <c r="BE108" s="36">
        <f>(1+Pricing!$B$16)^(BE$5-1)</f>
        <v/>
      </c>
      <c r="BF108" s="36">
        <f>(1+Pricing!$B$16)^(BF$5-1)</f>
        <v/>
      </c>
      <c r="BG108" s="36">
        <f>(1+Pricing!$B$16)^(BG$5-1)</f>
        <v/>
      </c>
      <c r="BH108" s="36">
        <f>(1+Pricing!$B$16)^(BH$5-1)</f>
        <v/>
      </c>
      <c r="BI108" s="36">
        <f>(1+Pricing!$B$16)^(BI$5-1)</f>
        <v/>
      </c>
      <c r="BJ108" s="36">
        <f>(1+Pricing!$B$16)^(BJ$5-1)</f>
        <v/>
      </c>
    </row>
    <row r="109"/>
    <row r="110">
      <c r="A110" s="19" t="inlineStr">
        <is>
          <t>COST DISCIPLINE: CAC payback test by segment &amp; market (paid acquisition off where payback &gt; maximum)</t>
        </is>
      </c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19" t="n"/>
      <c r="BA110" s="19" t="n"/>
      <c r="BB110" s="19" t="n"/>
      <c r="BC110" s="19" t="n"/>
      <c r="BD110" s="19" t="n"/>
      <c r="BE110" s="19" t="n"/>
      <c r="BF110" s="19" t="n"/>
      <c r="BG110" s="19" t="n"/>
      <c r="BH110" s="19" t="n"/>
      <c r="BI110" s="19" t="n"/>
      <c r="BJ110" s="19" t="n"/>
    </row>
    <row r="111">
      <c r="A111" s="4" t="inlineStr">
        <is>
          <t>CAC payback, Solo: South Africa</t>
        </is>
      </c>
      <c r="B111" s="17" t="inlineStr">
        <is>
          <t>months</t>
        </is>
      </c>
      <c r="C111" s="41">
        <f>Assumptions!$B$47*C107*Assumptions!$B$192/(C108*Pricing!$B$19*Assumptions!$B$135*(Assumptions!$B$124*Pricing!$B$35+Assumptions!$B$125*Pricing!$B$36+Assumptions!$B$126*Pricing!$B$37))</f>
        <v/>
      </c>
      <c r="D111" s="41">
        <f>Assumptions!$B$47*D107*Assumptions!$B$192/(D108*Pricing!$B$19*Assumptions!$B$135*(Assumptions!$B$124*Pricing!$B$35+Assumptions!$B$125*Pricing!$B$36+Assumptions!$B$126*Pricing!$B$37))</f>
        <v/>
      </c>
      <c r="E111" s="41">
        <f>Assumptions!$B$47*E107*Assumptions!$B$192/(E108*Pricing!$B$19*Assumptions!$B$135*(Assumptions!$B$124*Pricing!$B$35+Assumptions!$B$125*Pricing!$B$36+Assumptions!$B$126*Pricing!$B$37))</f>
        <v/>
      </c>
      <c r="F111" s="41">
        <f>Assumptions!$B$47*F107*Assumptions!$B$192/(F108*Pricing!$B$19*Assumptions!$B$135*(Assumptions!$B$124*Pricing!$B$35+Assumptions!$B$125*Pricing!$B$36+Assumptions!$B$126*Pricing!$B$37))</f>
        <v/>
      </c>
      <c r="G111" s="41">
        <f>Assumptions!$B$47*G107*Assumptions!$B$192/(G108*Pricing!$B$19*Assumptions!$B$135*(Assumptions!$B$124*Pricing!$B$35+Assumptions!$B$125*Pricing!$B$36+Assumptions!$B$126*Pricing!$B$37))</f>
        <v/>
      </c>
      <c r="H111" s="41">
        <f>Assumptions!$B$47*H107*Assumptions!$B$192/(H108*Pricing!$B$19*Assumptions!$B$135*(Assumptions!$B$124*Pricing!$B$35+Assumptions!$B$125*Pricing!$B$36+Assumptions!$B$126*Pricing!$B$37))</f>
        <v/>
      </c>
      <c r="I111" s="41">
        <f>Assumptions!$B$47*I107*Assumptions!$B$192/(I108*Pricing!$B$19*Assumptions!$B$135*(Assumptions!$B$124*Pricing!$B$35+Assumptions!$B$125*Pricing!$B$36+Assumptions!$B$126*Pricing!$B$37))</f>
        <v/>
      </c>
      <c r="J111" s="41">
        <f>Assumptions!$B$47*J107*Assumptions!$B$192/(J108*Pricing!$B$19*Assumptions!$B$135*(Assumptions!$B$124*Pricing!$B$35+Assumptions!$B$125*Pricing!$B$36+Assumptions!$B$126*Pricing!$B$37))</f>
        <v/>
      </c>
      <c r="K111" s="41">
        <f>Assumptions!$B$47*K107*Assumptions!$B$192/(K108*Pricing!$B$19*Assumptions!$B$135*(Assumptions!$B$124*Pricing!$B$35+Assumptions!$B$125*Pricing!$B$36+Assumptions!$B$126*Pricing!$B$37))</f>
        <v/>
      </c>
      <c r="L111" s="41">
        <f>Assumptions!$B$47*L107*Assumptions!$B$192/(L108*Pricing!$B$19*Assumptions!$B$135*(Assumptions!$B$124*Pricing!$B$35+Assumptions!$B$125*Pricing!$B$36+Assumptions!$B$126*Pricing!$B$37))</f>
        <v/>
      </c>
      <c r="M111" s="41">
        <f>Assumptions!$B$47*M107*Assumptions!$B$192/(M108*Pricing!$B$19*Assumptions!$B$135*(Assumptions!$B$124*Pricing!$B$35+Assumptions!$B$125*Pricing!$B$36+Assumptions!$B$126*Pricing!$B$37))</f>
        <v/>
      </c>
      <c r="N111" s="41">
        <f>Assumptions!$B$47*N107*Assumptions!$B$192/(N108*Pricing!$B$19*Assumptions!$B$135*(Assumptions!$B$124*Pricing!$B$35+Assumptions!$B$125*Pricing!$B$36+Assumptions!$B$126*Pricing!$B$37))</f>
        <v/>
      </c>
      <c r="O111" s="41">
        <f>Assumptions!$B$47*O107*Assumptions!$B$192/(O108*Pricing!$B$19*Assumptions!$B$135*(Assumptions!$B$124*Pricing!$B$35+Assumptions!$B$125*Pricing!$B$36+Assumptions!$B$126*Pricing!$B$37))</f>
        <v/>
      </c>
      <c r="P111" s="41">
        <f>Assumptions!$B$47*P107*Assumptions!$B$192/(P108*Pricing!$B$19*Assumptions!$B$135*(Assumptions!$B$124*Pricing!$B$35+Assumptions!$B$125*Pricing!$B$36+Assumptions!$B$126*Pricing!$B$37))</f>
        <v/>
      </c>
      <c r="Q111" s="41">
        <f>Assumptions!$B$47*Q107*Assumptions!$B$192/(Q108*Pricing!$B$19*Assumptions!$B$135*(Assumptions!$B$124*Pricing!$B$35+Assumptions!$B$125*Pricing!$B$36+Assumptions!$B$126*Pricing!$B$37))</f>
        <v/>
      </c>
      <c r="R111" s="41">
        <f>Assumptions!$B$47*R107*Assumptions!$B$192/(R108*Pricing!$B$19*Assumptions!$B$135*(Assumptions!$B$124*Pricing!$B$35+Assumptions!$B$125*Pricing!$B$36+Assumptions!$B$126*Pricing!$B$37))</f>
        <v/>
      </c>
      <c r="S111" s="41">
        <f>Assumptions!$B$47*S107*Assumptions!$B$192/(S108*Pricing!$B$19*Assumptions!$B$135*(Assumptions!$B$124*Pricing!$B$35+Assumptions!$B$125*Pricing!$B$36+Assumptions!$B$126*Pricing!$B$37))</f>
        <v/>
      </c>
      <c r="T111" s="41">
        <f>Assumptions!$B$47*T107*Assumptions!$B$192/(T108*Pricing!$B$19*Assumptions!$B$135*(Assumptions!$B$124*Pricing!$B$35+Assumptions!$B$125*Pricing!$B$36+Assumptions!$B$126*Pricing!$B$37))</f>
        <v/>
      </c>
      <c r="U111" s="41">
        <f>Assumptions!$B$47*U107*Assumptions!$B$192/(U108*Pricing!$B$19*Assumptions!$B$135*(Assumptions!$B$124*Pricing!$B$35+Assumptions!$B$125*Pricing!$B$36+Assumptions!$B$126*Pricing!$B$37))</f>
        <v/>
      </c>
      <c r="V111" s="41">
        <f>Assumptions!$B$47*V107*Assumptions!$B$192/(V108*Pricing!$B$19*Assumptions!$B$135*(Assumptions!$B$124*Pricing!$B$35+Assumptions!$B$125*Pricing!$B$36+Assumptions!$B$126*Pricing!$B$37))</f>
        <v/>
      </c>
      <c r="W111" s="41">
        <f>Assumptions!$B$47*W107*Assumptions!$B$192/(W108*Pricing!$B$19*Assumptions!$B$135*(Assumptions!$B$124*Pricing!$B$35+Assumptions!$B$125*Pricing!$B$36+Assumptions!$B$126*Pricing!$B$37))</f>
        <v/>
      </c>
      <c r="X111" s="41">
        <f>Assumptions!$B$47*X107*Assumptions!$B$192/(X108*Pricing!$B$19*Assumptions!$B$135*(Assumptions!$B$124*Pricing!$B$35+Assumptions!$B$125*Pricing!$B$36+Assumptions!$B$126*Pricing!$B$37))</f>
        <v/>
      </c>
      <c r="Y111" s="41">
        <f>Assumptions!$B$47*Y107*Assumptions!$B$192/(Y108*Pricing!$B$19*Assumptions!$B$135*(Assumptions!$B$124*Pricing!$B$35+Assumptions!$B$125*Pricing!$B$36+Assumptions!$B$126*Pricing!$B$37))</f>
        <v/>
      </c>
      <c r="Z111" s="41">
        <f>Assumptions!$B$47*Z107*Assumptions!$B$192/(Z108*Pricing!$B$19*Assumptions!$B$135*(Assumptions!$B$124*Pricing!$B$35+Assumptions!$B$125*Pricing!$B$36+Assumptions!$B$126*Pricing!$B$37))</f>
        <v/>
      </c>
      <c r="AA111" s="41">
        <f>Assumptions!$B$47*AA107*Assumptions!$B$192/(AA108*Pricing!$B$19*Assumptions!$B$135*(Assumptions!$B$124*Pricing!$B$35+Assumptions!$B$125*Pricing!$B$36+Assumptions!$B$126*Pricing!$B$37))</f>
        <v/>
      </c>
      <c r="AB111" s="41">
        <f>Assumptions!$B$47*AB107*Assumptions!$B$192/(AB108*Pricing!$B$19*Assumptions!$B$135*(Assumptions!$B$124*Pricing!$B$35+Assumptions!$B$125*Pricing!$B$36+Assumptions!$B$126*Pricing!$B$37))</f>
        <v/>
      </c>
      <c r="AC111" s="41">
        <f>Assumptions!$B$47*AC107*Assumptions!$B$192/(AC108*Pricing!$B$19*Assumptions!$B$135*(Assumptions!$B$124*Pricing!$B$35+Assumptions!$B$125*Pricing!$B$36+Assumptions!$B$126*Pricing!$B$37))</f>
        <v/>
      </c>
      <c r="AD111" s="41">
        <f>Assumptions!$B$47*AD107*Assumptions!$B$192/(AD108*Pricing!$B$19*Assumptions!$B$135*(Assumptions!$B$124*Pricing!$B$35+Assumptions!$B$125*Pricing!$B$36+Assumptions!$B$126*Pricing!$B$37))</f>
        <v/>
      </c>
      <c r="AE111" s="41">
        <f>Assumptions!$B$47*AE107*Assumptions!$B$192/(AE108*Pricing!$B$19*Assumptions!$B$135*(Assumptions!$B$124*Pricing!$B$35+Assumptions!$B$125*Pricing!$B$36+Assumptions!$B$126*Pricing!$B$37))</f>
        <v/>
      </c>
      <c r="AF111" s="41">
        <f>Assumptions!$B$47*AF107*Assumptions!$B$192/(AF108*Pricing!$B$19*Assumptions!$B$135*(Assumptions!$B$124*Pricing!$B$35+Assumptions!$B$125*Pricing!$B$36+Assumptions!$B$126*Pricing!$B$37))</f>
        <v/>
      </c>
      <c r="AG111" s="41">
        <f>Assumptions!$B$47*AG107*Assumptions!$B$192/(AG108*Pricing!$B$19*Assumptions!$B$135*(Assumptions!$B$124*Pricing!$B$35+Assumptions!$B$125*Pricing!$B$36+Assumptions!$B$126*Pricing!$B$37))</f>
        <v/>
      </c>
      <c r="AH111" s="41">
        <f>Assumptions!$B$47*AH107*Assumptions!$B$192/(AH108*Pricing!$B$19*Assumptions!$B$135*(Assumptions!$B$124*Pricing!$B$35+Assumptions!$B$125*Pricing!$B$36+Assumptions!$B$126*Pricing!$B$37))</f>
        <v/>
      </c>
      <c r="AI111" s="41">
        <f>Assumptions!$B$47*AI107*Assumptions!$B$192/(AI108*Pricing!$B$19*Assumptions!$B$135*(Assumptions!$B$124*Pricing!$B$35+Assumptions!$B$125*Pricing!$B$36+Assumptions!$B$126*Pricing!$B$37))</f>
        <v/>
      </c>
      <c r="AJ111" s="41">
        <f>Assumptions!$B$47*AJ107*Assumptions!$B$192/(AJ108*Pricing!$B$19*Assumptions!$B$135*(Assumptions!$B$124*Pricing!$B$35+Assumptions!$B$125*Pricing!$B$36+Assumptions!$B$126*Pricing!$B$37))</f>
        <v/>
      </c>
      <c r="AK111" s="41">
        <f>Assumptions!$B$47*AK107*Assumptions!$B$192/(AK108*Pricing!$B$19*Assumptions!$B$135*(Assumptions!$B$124*Pricing!$B$35+Assumptions!$B$125*Pricing!$B$36+Assumptions!$B$126*Pricing!$B$37))</f>
        <v/>
      </c>
      <c r="AL111" s="41">
        <f>Assumptions!$B$47*AL107*Assumptions!$B$192/(AL108*Pricing!$B$19*Assumptions!$B$135*(Assumptions!$B$124*Pricing!$B$35+Assumptions!$B$125*Pricing!$B$36+Assumptions!$B$126*Pricing!$B$37))</f>
        <v/>
      </c>
      <c r="AM111" s="41">
        <f>Assumptions!$B$47*AM107*Assumptions!$B$192/(AM108*Pricing!$B$19*Assumptions!$B$135*(Assumptions!$B$124*Pricing!$B$35+Assumptions!$B$125*Pricing!$B$36+Assumptions!$B$126*Pricing!$B$37))</f>
        <v/>
      </c>
      <c r="AN111" s="41">
        <f>Assumptions!$B$47*AN107*Assumptions!$B$192/(AN108*Pricing!$B$19*Assumptions!$B$135*(Assumptions!$B$124*Pricing!$B$35+Assumptions!$B$125*Pricing!$B$36+Assumptions!$B$126*Pricing!$B$37))</f>
        <v/>
      </c>
      <c r="AO111" s="41">
        <f>Assumptions!$B$47*AO107*Assumptions!$B$192/(AO108*Pricing!$B$19*Assumptions!$B$135*(Assumptions!$B$124*Pricing!$B$35+Assumptions!$B$125*Pricing!$B$36+Assumptions!$B$126*Pricing!$B$37))</f>
        <v/>
      </c>
      <c r="AP111" s="41">
        <f>Assumptions!$B$47*AP107*Assumptions!$B$192/(AP108*Pricing!$B$19*Assumptions!$B$135*(Assumptions!$B$124*Pricing!$B$35+Assumptions!$B$125*Pricing!$B$36+Assumptions!$B$126*Pricing!$B$37))</f>
        <v/>
      </c>
      <c r="AQ111" s="41">
        <f>Assumptions!$B$47*AQ107*Assumptions!$B$192/(AQ108*Pricing!$B$19*Assumptions!$B$135*(Assumptions!$B$124*Pricing!$B$35+Assumptions!$B$125*Pricing!$B$36+Assumptions!$B$126*Pricing!$B$37))</f>
        <v/>
      </c>
      <c r="AR111" s="41">
        <f>Assumptions!$B$47*AR107*Assumptions!$B$192/(AR108*Pricing!$B$19*Assumptions!$B$135*(Assumptions!$B$124*Pricing!$B$35+Assumptions!$B$125*Pricing!$B$36+Assumptions!$B$126*Pricing!$B$37))</f>
        <v/>
      </c>
      <c r="AS111" s="41">
        <f>Assumptions!$B$47*AS107*Assumptions!$B$192/(AS108*Pricing!$B$19*Assumptions!$B$135*(Assumptions!$B$124*Pricing!$B$35+Assumptions!$B$125*Pricing!$B$36+Assumptions!$B$126*Pricing!$B$37))</f>
        <v/>
      </c>
      <c r="AT111" s="41">
        <f>Assumptions!$B$47*AT107*Assumptions!$B$192/(AT108*Pricing!$B$19*Assumptions!$B$135*(Assumptions!$B$124*Pricing!$B$35+Assumptions!$B$125*Pricing!$B$36+Assumptions!$B$126*Pricing!$B$37))</f>
        <v/>
      </c>
      <c r="AU111" s="41">
        <f>Assumptions!$B$47*AU107*Assumptions!$B$192/(AU108*Pricing!$B$19*Assumptions!$B$135*(Assumptions!$B$124*Pricing!$B$35+Assumptions!$B$125*Pricing!$B$36+Assumptions!$B$126*Pricing!$B$37))</f>
        <v/>
      </c>
      <c r="AV111" s="41">
        <f>Assumptions!$B$47*AV107*Assumptions!$B$192/(AV108*Pricing!$B$19*Assumptions!$B$135*(Assumptions!$B$124*Pricing!$B$35+Assumptions!$B$125*Pricing!$B$36+Assumptions!$B$126*Pricing!$B$37))</f>
        <v/>
      </c>
      <c r="AW111" s="41">
        <f>Assumptions!$B$47*AW107*Assumptions!$B$192/(AW108*Pricing!$B$19*Assumptions!$B$135*(Assumptions!$B$124*Pricing!$B$35+Assumptions!$B$125*Pricing!$B$36+Assumptions!$B$126*Pricing!$B$37))</f>
        <v/>
      </c>
      <c r="AX111" s="41">
        <f>Assumptions!$B$47*AX107*Assumptions!$B$192/(AX108*Pricing!$B$19*Assumptions!$B$135*(Assumptions!$B$124*Pricing!$B$35+Assumptions!$B$125*Pricing!$B$36+Assumptions!$B$126*Pricing!$B$37))</f>
        <v/>
      </c>
      <c r="AY111" s="41">
        <f>Assumptions!$B$47*AY107*Assumptions!$B$192/(AY108*Pricing!$B$19*Assumptions!$B$135*(Assumptions!$B$124*Pricing!$B$35+Assumptions!$B$125*Pricing!$B$36+Assumptions!$B$126*Pricing!$B$37))</f>
        <v/>
      </c>
      <c r="AZ111" s="41">
        <f>Assumptions!$B$47*AZ107*Assumptions!$B$192/(AZ108*Pricing!$B$19*Assumptions!$B$135*(Assumptions!$B$124*Pricing!$B$35+Assumptions!$B$125*Pricing!$B$36+Assumptions!$B$126*Pricing!$B$37))</f>
        <v/>
      </c>
      <c r="BA111" s="41">
        <f>Assumptions!$B$47*BA107*Assumptions!$B$192/(BA108*Pricing!$B$19*Assumptions!$B$135*(Assumptions!$B$124*Pricing!$B$35+Assumptions!$B$125*Pricing!$B$36+Assumptions!$B$126*Pricing!$B$37))</f>
        <v/>
      </c>
      <c r="BB111" s="41">
        <f>Assumptions!$B$47*BB107*Assumptions!$B$192/(BB108*Pricing!$B$19*Assumptions!$B$135*(Assumptions!$B$124*Pricing!$B$35+Assumptions!$B$125*Pricing!$B$36+Assumptions!$B$126*Pricing!$B$37))</f>
        <v/>
      </c>
      <c r="BC111" s="41">
        <f>Assumptions!$B$47*BC107*Assumptions!$B$192/(BC108*Pricing!$B$19*Assumptions!$B$135*(Assumptions!$B$124*Pricing!$B$35+Assumptions!$B$125*Pricing!$B$36+Assumptions!$B$126*Pricing!$B$37))</f>
        <v/>
      </c>
      <c r="BD111" s="41">
        <f>Assumptions!$B$47*BD107*Assumptions!$B$192/(BD108*Pricing!$B$19*Assumptions!$B$135*(Assumptions!$B$124*Pricing!$B$35+Assumptions!$B$125*Pricing!$B$36+Assumptions!$B$126*Pricing!$B$37))</f>
        <v/>
      </c>
      <c r="BE111" s="41">
        <f>Assumptions!$B$47*BE107*Assumptions!$B$192/(BE108*Pricing!$B$19*Assumptions!$B$135*(Assumptions!$B$124*Pricing!$B$35+Assumptions!$B$125*Pricing!$B$36+Assumptions!$B$126*Pricing!$B$37))</f>
        <v/>
      </c>
      <c r="BF111" s="41">
        <f>Assumptions!$B$47*BF107*Assumptions!$B$192/(BF108*Pricing!$B$19*Assumptions!$B$135*(Assumptions!$B$124*Pricing!$B$35+Assumptions!$B$125*Pricing!$B$36+Assumptions!$B$126*Pricing!$B$37))</f>
        <v/>
      </c>
      <c r="BG111" s="41">
        <f>Assumptions!$B$47*BG107*Assumptions!$B$192/(BG108*Pricing!$B$19*Assumptions!$B$135*(Assumptions!$B$124*Pricing!$B$35+Assumptions!$B$125*Pricing!$B$36+Assumptions!$B$126*Pricing!$B$37))</f>
        <v/>
      </c>
      <c r="BH111" s="41">
        <f>Assumptions!$B$47*BH107*Assumptions!$B$192/(BH108*Pricing!$B$19*Assumptions!$B$135*(Assumptions!$B$124*Pricing!$B$35+Assumptions!$B$125*Pricing!$B$36+Assumptions!$B$126*Pricing!$B$37))</f>
        <v/>
      </c>
      <c r="BI111" s="41">
        <f>Assumptions!$B$47*BI107*Assumptions!$B$192/(BI108*Pricing!$B$19*Assumptions!$B$135*(Assumptions!$B$124*Pricing!$B$35+Assumptions!$B$125*Pricing!$B$36+Assumptions!$B$126*Pricing!$B$37))</f>
        <v/>
      </c>
      <c r="BJ111" s="41">
        <f>Assumptions!$B$47*BJ107*Assumptions!$B$192/(BJ108*Pricing!$B$19*Assumptions!$B$135*(Assumptions!$B$124*Pricing!$B$35+Assumptions!$B$125*Pricing!$B$36+Assumptions!$B$126*Pricing!$B$37))</f>
        <v/>
      </c>
    </row>
    <row r="112">
      <c r="A112" s="4" t="inlineStr">
        <is>
          <t>Paid acquisition allowed (payback &lt;= max), Solo: South Africa</t>
        </is>
      </c>
      <c r="B112" s="17" t="inlineStr">
        <is>
          <t>flag</t>
        </is>
      </c>
      <c r="C112" s="10">
        <f>IF(C111&lt;=Assumptions!$B$134,1,0)</f>
        <v/>
      </c>
      <c r="D112" s="10">
        <f>IF(D111&lt;=Assumptions!$B$134,1,0)</f>
        <v/>
      </c>
      <c r="E112" s="10">
        <f>IF(E111&lt;=Assumptions!$B$134,1,0)</f>
        <v/>
      </c>
      <c r="F112" s="10">
        <f>IF(F111&lt;=Assumptions!$B$134,1,0)</f>
        <v/>
      </c>
      <c r="G112" s="10">
        <f>IF(G111&lt;=Assumptions!$B$134,1,0)</f>
        <v/>
      </c>
      <c r="H112" s="10">
        <f>IF(H111&lt;=Assumptions!$B$134,1,0)</f>
        <v/>
      </c>
      <c r="I112" s="10">
        <f>IF(I111&lt;=Assumptions!$B$134,1,0)</f>
        <v/>
      </c>
      <c r="J112" s="10">
        <f>IF(J111&lt;=Assumptions!$B$134,1,0)</f>
        <v/>
      </c>
      <c r="K112" s="10">
        <f>IF(K111&lt;=Assumptions!$B$134,1,0)</f>
        <v/>
      </c>
      <c r="L112" s="10">
        <f>IF(L111&lt;=Assumptions!$B$134,1,0)</f>
        <v/>
      </c>
      <c r="M112" s="10">
        <f>IF(M111&lt;=Assumptions!$B$134,1,0)</f>
        <v/>
      </c>
      <c r="N112" s="10">
        <f>IF(N111&lt;=Assumptions!$B$134,1,0)</f>
        <v/>
      </c>
      <c r="O112" s="10">
        <f>IF(O111&lt;=Assumptions!$B$134,1,0)</f>
        <v/>
      </c>
      <c r="P112" s="10">
        <f>IF(P111&lt;=Assumptions!$B$134,1,0)</f>
        <v/>
      </c>
      <c r="Q112" s="10">
        <f>IF(Q111&lt;=Assumptions!$B$134,1,0)</f>
        <v/>
      </c>
      <c r="R112" s="10">
        <f>IF(R111&lt;=Assumptions!$B$134,1,0)</f>
        <v/>
      </c>
      <c r="S112" s="10">
        <f>IF(S111&lt;=Assumptions!$B$134,1,0)</f>
        <v/>
      </c>
      <c r="T112" s="10">
        <f>IF(T111&lt;=Assumptions!$B$134,1,0)</f>
        <v/>
      </c>
      <c r="U112" s="10">
        <f>IF(U111&lt;=Assumptions!$B$134,1,0)</f>
        <v/>
      </c>
      <c r="V112" s="10">
        <f>IF(V111&lt;=Assumptions!$B$134,1,0)</f>
        <v/>
      </c>
      <c r="W112" s="10">
        <f>IF(W111&lt;=Assumptions!$B$134,1,0)</f>
        <v/>
      </c>
      <c r="X112" s="10">
        <f>IF(X111&lt;=Assumptions!$B$134,1,0)</f>
        <v/>
      </c>
      <c r="Y112" s="10">
        <f>IF(Y111&lt;=Assumptions!$B$134,1,0)</f>
        <v/>
      </c>
      <c r="Z112" s="10">
        <f>IF(Z111&lt;=Assumptions!$B$134,1,0)</f>
        <v/>
      </c>
      <c r="AA112" s="10">
        <f>IF(AA111&lt;=Assumptions!$B$134,1,0)</f>
        <v/>
      </c>
      <c r="AB112" s="10">
        <f>IF(AB111&lt;=Assumptions!$B$134,1,0)</f>
        <v/>
      </c>
      <c r="AC112" s="10">
        <f>IF(AC111&lt;=Assumptions!$B$134,1,0)</f>
        <v/>
      </c>
      <c r="AD112" s="10">
        <f>IF(AD111&lt;=Assumptions!$B$134,1,0)</f>
        <v/>
      </c>
      <c r="AE112" s="10">
        <f>IF(AE111&lt;=Assumptions!$B$134,1,0)</f>
        <v/>
      </c>
      <c r="AF112" s="10">
        <f>IF(AF111&lt;=Assumptions!$B$134,1,0)</f>
        <v/>
      </c>
      <c r="AG112" s="10">
        <f>IF(AG111&lt;=Assumptions!$B$134,1,0)</f>
        <v/>
      </c>
      <c r="AH112" s="10">
        <f>IF(AH111&lt;=Assumptions!$B$134,1,0)</f>
        <v/>
      </c>
      <c r="AI112" s="10">
        <f>IF(AI111&lt;=Assumptions!$B$134,1,0)</f>
        <v/>
      </c>
      <c r="AJ112" s="10">
        <f>IF(AJ111&lt;=Assumptions!$B$134,1,0)</f>
        <v/>
      </c>
      <c r="AK112" s="10">
        <f>IF(AK111&lt;=Assumptions!$B$134,1,0)</f>
        <v/>
      </c>
      <c r="AL112" s="10">
        <f>IF(AL111&lt;=Assumptions!$B$134,1,0)</f>
        <v/>
      </c>
      <c r="AM112" s="10">
        <f>IF(AM111&lt;=Assumptions!$B$134,1,0)</f>
        <v/>
      </c>
      <c r="AN112" s="10">
        <f>IF(AN111&lt;=Assumptions!$B$134,1,0)</f>
        <v/>
      </c>
      <c r="AO112" s="10">
        <f>IF(AO111&lt;=Assumptions!$B$134,1,0)</f>
        <v/>
      </c>
      <c r="AP112" s="10">
        <f>IF(AP111&lt;=Assumptions!$B$134,1,0)</f>
        <v/>
      </c>
      <c r="AQ112" s="10">
        <f>IF(AQ111&lt;=Assumptions!$B$134,1,0)</f>
        <v/>
      </c>
      <c r="AR112" s="10">
        <f>IF(AR111&lt;=Assumptions!$B$134,1,0)</f>
        <v/>
      </c>
      <c r="AS112" s="10">
        <f>IF(AS111&lt;=Assumptions!$B$134,1,0)</f>
        <v/>
      </c>
      <c r="AT112" s="10">
        <f>IF(AT111&lt;=Assumptions!$B$134,1,0)</f>
        <v/>
      </c>
      <c r="AU112" s="10">
        <f>IF(AU111&lt;=Assumptions!$B$134,1,0)</f>
        <v/>
      </c>
      <c r="AV112" s="10">
        <f>IF(AV111&lt;=Assumptions!$B$134,1,0)</f>
        <v/>
      </c>
      <c r="AW112" s="10">
        <f>IF(AW111&lt;=Assumptions!$B$134,1,0)</f>
        <v/>
      </c>
      <c r="AX112" s="10">
        <f>IF(AX111&lt;=Assumptions!$B$134,1,0)</f>
        <v/>
      </c>
      <c r="AY112" s="10">
        <f>IF(AY111&lt;=Assumptions!$B$134,1,0)</f>
        <v/>
      </c>
      <c r="AZ112" s="10">
        <f>IF(AZ111&lt;=Assumptions!$B$134,1,0)</f>
        <v/>
      </c>
      <c r="BA112" s="10">
        <f>IF(BA111&lt;=Assumptions!$B$134,1,0)</f>
        <v/>
      </c>
      <c r="BB112" s="10">
        <f>IF(BB111&lt;=Assumptions!$B$134,1,0)</f>
        <v/>
      </c>
      <c r="BC112" s="10">
        <f>IF(BC111&lt;=Assumptions!$B$134,1,0)</f>
        <v/>
      </c>
      <c r="BD112" s="10">
        <f>IF(BD111&lt;=Assumptions!$B$134,1,0)</f>
        <v/>
      </c>
      <c r="BE112" s="10">
        <f>IF(BE111&lt;=Assumptions!$B$134,1,0)</f>
        <v/>
      </c>
      <c r="BF112" s="10">
        <f>IF(BF111&lt;=Assumptions!$B$134,1,0)</f>
        <v/>
      </c>
      <c r="BG112" s="10">
        <f>IF(BG111&lt;=Assumptions!$B$134,1,0)</f>
        <v/>
      </c>
      <c r="BH112" s="10">
        <f>IF(BH111&lt;=Assumptions!$B$134,1,0)</f>
        <v/>
      </c>
      <c r="BI112" s="10">
        <f>IF(BI111&lt;=Assumptions!$B$134,1,0)</f>
        <v/>
      </c>
      <c r="BJ112" s="10">
        <f>IF(BJ111&lt;=Assumptions!$B$134,1,0)</f>
        <v/>
      </c>
    </row>
    <row r="113">
      <c r="A113" s="4" t="inlineStr">
        <is>
          <t>CAC payback, Solo: Nigeria</t>
        </is>
      </c>
      <c r="B113" s="17" t="inlineStr">
        <is>
          <t>months</t>
        </is>
      </c>
      <c r="C113" s="41">
        <f>Assumptions!$B$47*C107*Assumptions!$B$192*Assumptions!$B$63/(C108*Pricing!$B$19*C35*Assumptions!$B$135*(Assumptions!$B$124*Pricing!$C$35+Assumptions!$B$125*Pricing!$C$36+Assumptions!$B$126*Pricing!$C$37))</f>
        <v/>
      </c>
      <c r="D113" s="41">
        <f>Assumptions!$B$47*D107*Assumptions!$B$192*Assumptions!$B$63/(D108*Pricing!$B$19*D35*Assumptions!$B$135*(Assumptions!$B$124*Pricing!$C$35+Assumptions!$B$125*Pricing!$C$36+Assumptions!$B$126*Pricing!$C$37))</f>
        <v/>
      </c>
      <c r="E113" s="41">
        <f>Assumptions!$B$47*E107*Assumptions!$B$192*Assumptions!$B$63/(E108*Pricing!$B$19*E35*Assumptions!$B$135*(Assumptions!$B$124*Pricing!$C$35+Assumptions!$B$125*Pricing!$C$36+Assumptions!$B$126*Pricing!$C$37))</f>
        <v/>
      </c>
      <c r="F113" s="41">
        <f>Assumptions!$B$47*F107*Assumptions!$B$192*Assumptions!$B$63/(F108*Pricing!$B$19*F35*Assumptions!$B$135*(Assumptions!$B$124*Pricing!$C$35+Assumptions!$B$125*Pricing!$C$36+Assumptions!$B$126*Pricing!$C$37))</f>
        <v/>
      </c>
      <c r="G113" s="41">
        <f>Assumptions!$B$47*G107*Assumptions!$B$192*Assumptions!$B$63/(G108*Pricing!$B$19*G35*Assumptions!$B$135*(Assumptions!$B$124*Pricing!$C$35+Assumptions!$B$125*Pricing!$C$36+Assumptions!$B$126*Pricing!$C$37))</f>
        <v/>
      </c>
      <c r="H113" s="41">
        <f>Assumptions!$B$47*H107*Assumptions!$B$192*Assumptions!$B$63/(H108*Pricing!$B$19*H35*Assumptions!$B$135*(Assumptions!$B$124*Pricing!$C$35+Assumptions!$B$125*Pricing!$C$36+Assumptions!$B$126*Pricing!$C$37))</f>
        <v/>
      </c>
      <c r="I113" s="41">
        <f>Assumptions!$B$47*I107*Assumptions!$B$192*Assumptions!$B$63/(I108*Pricing!$B$19*I35*Assumptions!$B$135*(Assumptions!$B$124*Pricing!$C$35+Assumptions!$B$125*Pricing!$C$36+Assumptions!$B$126*Pricing!$C$37))</f>
        <v/>
      </c>
      <c r="J113" s="41">
        <f>Assumptions!$B$47*J107*Assumptions!$B$192*Assumptions!$B$63/(J108*Pricing!$B$19*J35*Assumptions!$B$135*(Assumptions!$B$124*Pricing!$C$35+Assumptions!$B$125*Pricing!$C$36+Assumptions!$B$126*Pricing!$C$37))</f>
        <v/>
      </c>
      <c r="K113" s="41">
        <f>Assumptions!$B$47*K107*Assumptions!$B$192*Assumptions!$B$63/(K108*Pricing!$B$19*K35*Assumptions!$B$135*(Assumptions!$B$124*Pricing!$C$35+Assumptions!$B$125*Pricing!$C$36+Assumptions!$B$126*Pricing!$C$37))</f>
        <v/>
      </c>
      <c r="L113" s="41">
        <f>Assumptions!$B$47*L107*Assumptions!$B$192*Assumptions!$B$63/(L108*Pricing!$B$19*L35*Assumptions!$B$135*(Assumptions!$B$124*Pricing!$C$35+Assumptions!$B$125*Pricing!$C$36+Assumptions!$B$126*Pricing!$C$37))</f>
        <v/>
      </c>
      <c r="M113" s="41">
        <f>Assumptions!$B$47*M107*Assumptions!$B$192*Assumptions!$B$63/(M108*Pricing!$B$19*M35*Assumptions!$B$135*(Assumptions!$B$124*Pricing!$C$35+Assumptions!$B$125*Pricing!$C$36+Assumptions!$B$126*Pricing!$C$37))</f>
        <v/>
      </c>
      <c r="N113" s="41">
        <f>Assumptions!$B$47*N107*Assumptions!$B$192*Assumptions!$B$63/(N108*Pricing!$B$19*N35*Assumptions!$B$135*(Assumptions!$B$124*Pricing!$C$35+Assumptions!$B$125*Pricing!$C$36+Assumptions!$B$126*Pricing!$C$37))</f>
        <v/>
      </c>
      <c r="O113" s="41">
        <f>Assumptions!$B$47*O107*Assumptions!$B$192*Assumptions!$B$63/(O108*Pricing!$B$19*O35*Assumptions!$B$135*(Assumptions!$B$124*Pricing!$C$35+Assumptions!$B$125*Pricing!$C$36+Assumptions!$B$126*Pricing!$C$37))</f>
        <v/>
      </c>
      <c r="P113" s="41">
        <f>Assumptions!$B$47*P107*Assumptions!$B$192*Assumptions!$B$63/(P108*Pricing!$B$19*P35*Assumptions!$B$135*(Assumptions!$B$124*Pricing!$C$35+Assumptions!$B$125*Pricing!$C$36+Assumptions!$B$126*Pricing!$C$37))</f>
        <v/>
      </c>
      <c r="Q113" s="41">
        <f>Assumptions!$B$47*Q107*Assumptions!$B$192*Assumptions!$B$63/(Q108*Pricing!$B$19*Q35*Assumptions!$B$135*(Assumptions!$B$124*Pricing!$C$35+Assumptions!$B$125*Pricing!$C$36+Assumptions!$B$126*Pricing!$C$37))</f>
        <v/>
      </c>
      <c r="R113" s="41">
        <f>Assumptions!$B$47*R107*Assumptions!$B$192*Assumptions!$B$63/(R108*Pricing!$B$19*R35*Assumptions!$B$135*(Assumptions!$B$124*Pricing!$C$35+Assumptions!$B$125*Pricing!$C$36+Assumptions!$B$126*Pricing!$C$37))</f>
        <v/>
      </c>
      <c r="S113" s="41">
        <f>Assumptions!$B$47*S107*Assumptions!$B$192*Assumptions!$B$63/(S108*Pricing!$B$19*S35*Assumptions!$B$135*(Assumptions!$B$124*Pricing!$C$35+Assumptions!$B$125*Pricing!$C$36+Assumptions!$B$126*Pricing!$C$37))</f>
        <v/>
      </c>
      <c r="T113" s="41">
        <f>Assumptions!$B$47*T107*Assumptions!$B$192*Assumptions!$B$63/(T108*Pricing!$B$19*T35*Assumptions!$B$135*(Assumptions!$B$124*Pricing!$C$35+Assumptions!$B$125*Pricing!$C$36+Assumptions!$B$126*Pricing!$C$37))</f>
        <v/>
      </c>
      <c r="U113" s="41">
        <f>Assumptions!$B$47*U107*Assumptions!$B$192*Assumptions!$B$63/(U108*Pricing!$B$19*U35*Assumptions!$B$135*(Assumptions!$B$124*Pricing!$C$35+Assumptions!$B$125*Pricing!$C$36+Assumptions!$B$126*Pricing!$C$37))</f>
        <v/>
      </c>
      <c r="V113" s="41">
        <f>Assumptions!$B$47*V107*Assumptions!$B$192*Assumptions!$B$63/(V108*Pricing!$B$19*V35*Assumptions!$B$135*(Assumptions!$B$124*Pricing!$C$35+Assumptions!$B$125*Pricing!$C$36+Assumptions!$B$126*Pricing!$C$37))</f>
        <v/>
      </c>
      <c r="W113" s="41">
        <f>Assumptions!$B$47*W107*Assumptions!$B$192*Assumptions!$B$63/(W108*Pricing!$B$19*W35*Assumptions!$B$135*(Assumptions!$B$124*Pricing!$C$35+Assumptions!$B$125*Pricing!$C$36+Assumptions!$B$126*Pricing!$C$37))</f>
        <v/>
      </c>
      <c r="X113" s="41">
        <f>Assumptions!$B$47*X107*Assumptions!$B$192*Assumptions!$B$63/(X108*Pricing!$B$19*X35*Assumptions!$B$135*(Assumptions!$B$124*Pricing!$C$35+Assumptions!$B$125*Pricing!$C$36+Assumptions!$B$126*Pricing!$C$37))</f>
        <v/>
      </c>
      <c r="Y113" s="41">
        <f>Assumptions!$B$47*Y107*Assumptions!$B$192*Assumptions!$B$63/(Y108*Pricing!$B$19*Y35*Assumptions!$B$135*(Assumptions!$B$124*Pricing!$C$35+Assumptions!$B$125*Pricing!$C$36+Assumptions!$B$126*Pricing!$C$37))</f>
        <v/>
      </c>
      <c r="Z113" s="41">
        <f>Assumptions!$B$47*Z107*Assumptions!$B$192*Assumptions!$B$63/(Z108*Pricing!$B$19*Z35*Assumptions!$B$135*(Assumptions!$B$124*Pricing!$C$35+Assumptions!$B$125*Pricing!$C$36+Assumptions!$B$126*Pricing!$C$37))</f>
        <v/>
      </c>
      <c r="AA113" s="41">
        <f>Assumptions!$B$47*AA107*Assumptions!$B$192*Assumptions!$B$63/(AA108*Pricing!$B$19*AA35*Assumptions!$B$135*(Assumptions!$B$124*Pricing!$C$35+Assumptions!$B$125*Pricing!$C$36+Assumptions!$B$126*Pricing!$C$37))</f>
        <v/>
      </c>
      <c r="AB113" s="41">
        <f>Assumptions!$B$47*AB107*Assumptions!$B$192*Assumptions!$B$63/(AB108*Pricing!$B$19*AB35*Assumptions!$B$135*(Assumptions!$B$124*Pricing!$C$35+Assumptions!$B$125*Pricing!$C$36+Assumptions!$B$126*Pricing!$C$37))</f>
        <v/>
      </c>
      <c r="AC113" s="41">
        <f>Assumptions!$B$47*AC107*Assumptions!$B$192*Assumptions!$B$63/(AC108*Pricing!$B$19*AC35*Assumptions!$B$135*(Assumptions!$B$124*Pricing!$C$35+Assumptions!$B$125*Pricing!$C$36+Assumptions!$B$126*Pricing!$C$37))</f>
        <v/>
      </c>
      <c r="AD113" s="41">
        <f>Assumptions!$B$47*AD107*Assumptions!$B$192*Assumptions!$B$63/(AD108*Pricing!$B$19*AD35*Assumptions!$B$135*(Assumptions!$B$124*Pricing!$C$35+Assumptions!$B$125*Pricing!$C$36+Assumptions!$B$126*Pricing!$C$37))</f>
        <v/>
      </c>
      <c r="AE113" s="41">
        <f>Assumptions!$B$47*AE107*Assumptions!$B$192*Assumptions!$B$63/(AE108*Pricing!$B$19*AE35*Assumptions!$B$135*(Assumptions!$B$124*Pricing!$C$35+Assumptions!$B$125*Pricing!$C$36+Assumptions!$B$126*Pricing!$C$37))</f>
        <v/>
      </c>
      <c r="AF113" s="41">
        <f>Assumptions!$B$47*AF107*Assumptions!$B$192*Assumptions!$B$63/(AF108*Pricing!$B$19*AF35*Assumptions!$B$135*(Assumptions!$B$124*Pricing!$C$35+Assumptions!$B$125*Pricing!$C$36+Assumptions!$B$126*Pricing!$C$37))</f>
        <v/>
      </c>
      <c r="AG113" s="41">
        <f>Assumptions!$B$47*AG107*Assumptions!$B$192*Assumptions!$B$63/(AG108*Pricing!$B$19*AG35*Assumptions!$B$135*(Assumptions!$B$124*Pricing!$C$35+Assumptions!$B$125*Pricing!$C$36+Assumptions!$B$126*Pricing!$C$37))</f>
        <v/>
      </c>
      <c r="AH113" s="41">
        <f>Assumptions!$B$47*AH107*Assumptions!$B$192*Assumptions!$B$63/(AH108*Pricing!$B$19*AH35*Assumptions!$B$135*(Assumptions!$B$124*Pricing!$C$35+Assumptions!$B$125*Pricing!$C$36+Assumptions!$B$126*Pricing!$C$37))</f>
        <v/>
      </c>
      <c r="AI113" s="41">
        <f>Assumptions!$B$47*AI107*Assumptions!$B$192*Assumptions!$B$63/(AI108*Pricing!$B$19*AI35*Assumptions!$B$135*(Assumptions!$B$124*Pricing!$C$35+Assumptions!$B$125*Pricing!$C$36+Assumptions!$B$126*Pricing!$C$37))</f>
        <v/>
      </c>
      <c r="AJ113" s="41">
        <f>Assumptions!$B$47*AJ107*Assumptions!$B$192*Assumptions!$B$63/(AJ108*Pricing!$B$19*AJ35*Assumptions!$B$135*(Assumptions!$B$124*Pricing!$C$35+Assumptions!$B$125*Pricing!$C$36+Assumptions!$B$126*Pricing!$C$37))</f>
        <v/>
      </c>
      <c r="AK113" s="41">
        <f>Assumptions!$B$47*AK107*Assumptions!$B$192*Assumptions!$B$63/(AK108*Pricing!$B$19*AK35*Assumptions!$B$135*(Assumptions!$B$124*Pricing!$C$35+Assumptions!$B$125*Pricing!$C$36+Assumptions!$B$126*Pricing!$C$37))</f>
        <v/>
      </c>
      <c r="AL113" s="41">
        <f>Assumptions!$B$47*AL107*Assumptions!$B$192*Assumptions!$B$63/(AL108*Pricing!$B$19*AL35*Assumptions!$B$135*(Assumptions!$B$124*Pricing!$C$35+Assumptions!$B$125*Pricing!$C$36+Assumptions!$B$126*Pricing!$C$37))</f>
        <v/>
      </c>
      <c r="AM113" s="41">
        <f>Assumptions!$B$47*AM107*Assumptions!$B$192*Assumptions!$B$63/(AM108*Pricing!$B$19*AM35*Assumptions!$B$135*(Assumptions!$B$124*Pricing!$C$35+Assumptions!$B$125*Pricing!$C$36+Assumptions!$B$126*Pricing!$C$37))</f>
        <v/>
      </c>
      <c r="AN113" s="41">
        <f>Assumptions!$B$47*AN107*Assumptions!$B$192*Assumptions!$B$63/(AN108*Pricing!$B$19*AN35*Assumptions!$B$135*(Assumptions!$B$124*Pricing!$C$35+Assumptions!$B$125*Pricing!$C$36+Assumptions!$B$126*Pricing!$C$37))</f>
        <v/>
      </c>
      <c r="AO113" s="41">
        <f>Assumptions!$B$47*AO107*Assumptions!$B$192*Assumptions!$B$63/(AO108*Pricing!$B$19*AO35*Assumptions!$B$135*(Assumptions!$B$124*Pricing!$C$35+Assumptions!$B$125*Pricing!$C$36+Assumptions!$B$126*Pricing!$C$37))</f>
        <v/>
      </c>
      <c r="AP113" s="41">
        <f>Assumptions!$B$47*AP107*Assumptions!$B$192*Assumptions!$B$63/(AP108*Pricing!$B$19*AP35*Assumptions!$B$135*(Assumptions!$B$124*Pricing!$C$35+Assumptions!$B$125*Pricing!$C$36+Assumptions!$B$126*Pricing!$C$37))</f>
        <v/>
      </c>
      <c r="AQ113" s="41">
        <f>Assumptions!$B$47*AQ107*Assumptions!$B$192*Assumptions!$B$63/(AQ108*Pricing!$B$19*AQ35*Assumptions!$B$135*(Assumptions!$B$124*Pricing!$C$35+Assumptions!$B$125*Pricing!$C$36+Assumptions!$B$126*Pricing!$C$37))</f>
        <v/>
      </c>
      <c r="AR113" s="41">
        <f>Assumptions!$B$47*AR107*Assumptions!$B$192*Assumptions!$B$63/(AR108*Pricing!$B$19*AR35*Assumptions!$B$135*(Assumptions!$B$124*Pricing!$C$35+Assumptions!$B$125*Pricing!$C$36+Assumptions!$B$126*Pricing!$C$37))</f>
        <v/>
      </c>
      <c r="AS113" s="41">
        <f>Assumptions!$B$47*AS107*Assumptions!$B$192*Assumptions!$B$63/(AS108*Pricing!$B$19*AS35*Assumptions!$B$135*(Assumptions!$B$124*Pricing!$C$35+Assumptions!$B$125*Pricing!$C$36+Assumptions!$B$126*Pricing!$C$37))</f>
        <v/>
      </c>
      <c r="AT113" s="41">
        <f>Assumptions!$B$47*AT107*Assumptions!$B$192*Assumptions!$B$63/(AT108*Pricing!$B$19*AT35*Assumptions!$B$135*(Assumptions!$B$124*Pricing!$C$35+Assumptions!$B$125*Pricing!$C$36+Assumptions!$B$126*Pricing!$C$37))</f>
        <v/>
      </c>
      <c r="AU113" s="41">
        <f>Assumptions!$B$47*AU107*Assumptions!$B$192*Assumptions!$B$63/(AU108*Pricing!$B$19*AU35*Assumptions!$B$135*(Assumptions!$B$124*Pricing!$C$35+Assumptions!$B$125*Pricing!$C$36+Assumptions!$B$126*Pricing!$C$37))</f>
        <v/>
      </c>
      <c r="AV113" s="41">
        <f>Assumptions!$B$47*AV107*Assumptions!$B$192*Assumptions!$B$63/(AV108*Pricing!$B$19*AV35*Assumptions!$B$135*(Assumptions!$B$124*Pricing!$C$35+Assumptions!$B$125*Pricing!$C$36+Assumptions!$B$126*Pricing!$C$37))</f>
        <v/>
      </c>
      <c r="AW113" s="41">
        <f>Assumptions!$B$47*AW107*Assumptions!$B$192*Assumptions!$B$63/(AW108*Pricing!$B$19*AW35*Assumptions!$B$135*(Assumptions!$B$124*Pricing!$C$35+Assumptions!$B$125*Pricing!$C$36+Assumptions!$B$126*Pricing!$C$37))</f>
        <v/>
      </c>
      <c r="AX113" s="41">
        <f>Assumptions!$B$47*AX107*Assumptions!$B$192*Assumptions!$B$63/(AX108*Pricing!$B$19*AX35*Assumptions!$B$135*(Assumptions!$B$124*Pricing!$C$35+Assumptions!$B$125*Pricing!$C$36+Assumptions!$B$126*Pricing!$C$37))</f>
        <v/>
      </c>
      <c r="AY113" s="41">
        <f>Assumptions!$B$47*AY107*Assumptions!$B$192*Assumptions!$B$63/(AY108*Pricing!$B$19*AY35*Assumptions!$B$135*(Assumptions!$B$124*Pricing!$C$35+Assumptions!$B$125*Pricing!$C$36+Assumptions!$B$126*Pricing!$C$37))</f>
        <v/>
      </c>
      <c r="AZ113" s="41">
        <f>Assumptions!$B$47*AZ107*Assumptions!$B$192*Assumptions!$B$63/(AZ108*Pricing!$B$19*AZ35*Assumptions!$B$135*(Assumptions!$B$124*Pricing!$C$35+Assumptions!$B$125*Pricing!$C$36+Assumptions!$B$126*Pricing!$C$37))</f>
        <v/>
      </c>
      <c r="BA113" s="41">
        <f>Assumptions!$B$47*BA107*Assumptions!$B$192*Assumptions!$B$63/(BA108*Pricing!$B$19*BA35*Assumptions!$B$135*(Assumptions!$B$124*Pricing!$C$35+Assumptions!$B$125*Pricing!$C$36+Assumptions!$B$126*Pricing!$C$37))</f>
        <v/>
      </c>
      <c r="BB113" s="41">
        <f>Assumptions!$B$47*BB107*Assumptions!$B$192*Assumptions!$B$63/(BB108*Pricing!$B$19*BB35*Assumptions!$B$135*(Assumptions!$B$124*Pricing!$C$35+Assumptions!$B$125*Pricing!$C$36+Assumptions!$B$126*Pricing!$C$37))</f>
        <v/>
      </c>
      <c r="BC113" s="41">
        <f>Assumptions!$B$47*BC107*Assumptions!$B$192*Assumptions!$B$63/(BC108*Pricing!$B$19*BC35*Assumptions!$B$135*(Assumptions!$B$124*Pricing!$C$35+Assumptions!$B$125*Pricing!$C$36+Assumptions!$B$126*Pricing!$C$37))</f>
        <v/>
      </c>
      <c r="BD113" s="41">
        <f>Assumptions!$B$47*BD107*Assumptions!$B$192*Assumptions!$B$63/(BD108*Pricing!$B$19*BD35*Assumptions!$B$135*(Assumptions!$B$124*Pricing!$C$35+Assumptions!$B$125*Pricing!$C$36+Assumptions!$B$126*Pricing!$C$37))</f>
        <v/>
      </c>
      <c r="BE113" s="41">
        <f>Assumptions!$B$47*BE107*Assumptions!$B$192*Assumptions!$B$63/(BE108*Pricing!$B$19*BE35*Assumptions!$B$135*(Assumptions!$B$124*Pricing!$C$35+Assumptions!$B$125*Pricing!$C$36+Assumptions!$B$126*Pricing!$C$37))</f>
        <v/>
      </c>
      <c r="BF113" s="41">
        <f>Assumptions!$B$47*BF107*Assumptions!$B$192*Assumptions!$B$63/(BF108*Pricing!$B$19*BF35*Assumptions!$B$135*(Assumptions!$B$124*Pricing!$C$35+Assumptions!$B$125*Pricing!$C$36+Assumptions!$B$126*Pricing!$C$37))</f>
        <v/>
      </c>
      <c r="BG113" s="41">
        <f>Assumptions!$B$47*BG107*Assumptions!$B$192*Assumptions!$B$63/(BG108*Pricing!$B$19*BG35*Assumptions!$B$135*(Assumptions!$B$124*Pricing!$C$35+Assumptions!$B$125*Pricing!$C$36+Assumptions!$B$126*Pricing!$C$37))</f>
        <v/>
      </c>
      <c r="BH113" s="41">
        <f>Assumptions!$B$47*BH107*Assumptions!$B$192*Assumptions!$B$63/(BH108*Pricing!$B$19*BH35*Assumptions!$B$135*(Assumptions!$B$124*Pricing!$C$35+Assumptions!$B$125*Pricing!$C$36+Assumptions!$B$126*Pricing!$C$37))</f>
        <v/>
      </c>
      <c r="BI113" s="41">
        <f>Assumptions!$B$47*BI107*Assumptions!$B$192*Assumptions!$B$63/(BI108*Pricing!$B$19*BI35*Assumptions!$B$135*(Assumptions!$B$124*Pricing!$C$35+Assumptions!$B$125*Pricing!$C$36+Assumptions!$B$126*Pricing!$C$37))</f>
        <v/>
      </c>
      <c r="BJ113" s="41">
        <f>Assumptions!$B$47*BJ107*Assumptions!$B$192*Assumptions!$B$63/(BJ108*Pricing!$B$19*BJ35*Assumptions!$B$135*(Assumptions!$B$124*Pricing!$C$35+Assumptions!$B$125*Pricing!$C$36+Assumptions!$B$126*Pricing!$C$37))</f>
        <v/>
      </c>
    </row>
    <row r="114">
      <c r="A114" s="4" t="inlineStr">
        <is>
          <t>Paid acquisition allowed (payback &lt;= max), Solo: Nigeria</t>
        </is>
      </c>
      <c r="B114" s="17" t="inlineStr">
        <is>
          <t>flag</t>
        </is>
      </c>
      <c r="C114" s="10">
        <f>IF(C113&lt;=Assumptions!$B$134,1,0)</f>
        <v/>
      </c>
      <c r="D114" s="10">
        <f>IF(D113&lt;=Assumptions!$B$134,1,0)</f>
        <v/>
      </c>
      <c r="E114" s="10">
        <f>IF(E113&lt;=Assumptions!$B$134,1,0)</f>
        <v/>
      </c>
      <c r="F114" s="10">
        <f>IF(F113&lt;=Assumptions!$B$134,1,0)</f>
        <v/>
      </c>
      <c r="G114" s="10">
        <f>IF(G113&lt;=Assumptions!$B$134,1,0)</f>
        <v/>
      </c>
      <c r="H114" s="10">
        <f>IF(H113&lt;=Assumptions!$B$134,1,0)</f>
        <v/>
      </c>
      <c r="I114" s="10">
        <f>IF(I113&lt;=Assumptions!$B$134,1,0)</f>
        <v/>
      </c>
      <c r="J114" s="10">
        <f>IF(J113&lt;=Assumptions!$B$134,1,0)</f>
        <v/>
      </c>
      <c r="K114" s="10">
        <f>IF(K113&lt;=Assumptions!$B$134,1,0)</f>
        <v/>
      </c>
      <c r="L114" s="10">
        <f>IF(L113&lt;=Assumptions!$B$134,1,0)</f>
        <v/>
      </c>
      <c r="M114" s="10">
        <f>IF(M113&lt;=Assumptions!$B$134,1,0)</f>
        <v/>
      </c>
      <c r="N114" s="10">
        <f>IF(N113&lt;=Assumptions!$B$134,1,0)</f>
        <v/>
      </c>
      <c r="O114" s="10">
        <f>IF(O113&lt;=Assumptions!$B$134,1,0)</f>
        <v/>
      </c>
      <c r="P114" s="10">
        <f>IF(P113&lt;=Assumptions!$B$134,1,0)</f>
        <v/>
      </c>
      <c r="Q114" s="10">
        <f>IF(Q113&lt;=Assumptions!$B$134,1,0)</f>
        <v/>
      </c>
      <c r="R114" s="10">
        <f>IF(R113&lt;=Assumptions!$B$134,1,0)</f>
        <v/>
      </c>
      <c r="S114" s="10">
        <f>IF(S113&lt;=Assumptions!$B$134,1,0)</f>
        <v/>
      </c>
      <c r="T114" s="10">
        <f>IF(T113&lt;=Assumptions!$B$134,1,0)</f>
        <v/>
      </c>
      <c r="U114" s="10">
        <f>IF(U113&lt;=Assumptions!$B$134,1,0)</f>
        <v/>
      </c>
      <c r="V114" s="10">
        <f>IF(V113&lt;=Assumptions!$B$134,1,0)</f>
        <v/>
      </c>
      <c r="W114" s="10">
        <f>IF(W113&lt;=Assumptions!$B$134,1,0)</f>
        <v/>
      </c>
      <c r="X114" s="10">
        <f>IF(X113&lt;=Assumptions!$B$134,1,0)</f>
        <v/>
      </c>
      <c r="Y114" s="10">
        <f>IF(Y113&lt;=Assumptions!$B$134,1,0)</f>
        <v/>
      </c>
      <c r="Z114" s="10">
        <f>IF(Z113&lt;=Assumptions!$B$134,1,0)</f>
        <v/>
      </c>
      <c r="AA114" s="10">
        <f>IF(AA113&lt;=Assumptions!$B$134,1,0)</f>
        <v/>
      </c>
      <c r="AB114" s="10">
        <f>IF(AB113&lt;=Assumptions!$B$134,1,0)</f>
        <v/>
      </c>
      <c r="AC114" s="10">
        <f>IF(AC113&lt;=Assumptions!$B$134,1,0)</f>
        <v/>
      </c>
      <c r="AD114" s="10">
        <f>IF(AD113&lt;=Assumptions!$B$134,1,0)</f>
        <v/>
      </c>
      <c r="AE114" s="10">
        <f>IF(AE113&lt;=Assumptions!$B$134,1,0)</f>
        <v/>
      </c>
      <c r="AF114" s="10">
        <f>IF(AF113&lt;=Assumptions!$B$134,1,0)</f>
        <v/>
      </c>
      <c r="AG114" s="10">
        <f>IF(AG113&lt;=Assumptions!$B$134,1,0)</f>
        <v/>
      </c>
      <c r="AH114" s="10">
        <f>IF(AH113&lt;=Assumptions!$B$134,1,0)</f>
        <v/>
      </c>
      <c r="AI114" s="10">
        <f>IF(AI113&lt;=Assumptions!$B$134,1,0)</f>
        <v/>
      </c>
      <c r="AJ114" s="10">
        <f>IF(AJ113&lt;=Assumptions!$B$134,1,0)</f>
        <v/>
      </c>
      <c r="AK114" s="10">
        <f>IF(AK113&lt;=Assumptions!$B$134,1,0)</f>
        <v/>
      </c>
      <c r="AL114" s="10">
        <f>IF(AL113&lt;=Assumptions!$B$134,1,0)</f>
        <v/>
      </c>
      <c r="AM114" s="10">
        <f>IF(AM113&lt;=Assumptions!$B$134,1,0)</f>
        <v/>
      </c>
      <c r="AN114" s="10">
        <f>IF(AN113&lt;=Assumptions!$B$134,1,0)</f>
        <v/>
      </c>
      <c r="AO114" s="10">
        <f>IF(AO113&lt;=Assumptions!$B$134,1,0)</f>
        <v/>
      </c>
      <c r="AP114" s="10">
        <f>IF(AP113&lt;=Assumptions!$B$134,1,0)</f>
        <v/>
      </c>
      <c r="AQ114" s="10">
        <f>IF(AQ113&lt;=Assumptions!$B$134,1,0)</f>
        <v/>
      </c>
      <c r="AR114" s="10">
        <f>IF(AR113&lt;=Assumptions!$B$134,1,0)</f>
        <v/>
      </c>
      <c r="AS114" s="10">
        <f>IF(AS113&lt;=Assumptions!$B$134,1,0)</f>
        <v/>
      </c>
      <c r="AT114" s="10">
        <f>IF(AT113&lt;=Assumptions!$B$134,1,0)</f>
        <v/>
      </c>
      <c r="AU114" s="10">
        <f>IF(AU113&lt;=Assumptions!$B$134,1,0)</f>
        <v/>
      </c>
      <c r="AV114" s="10">
        <f>IF(AV113&lt;=Assumptions!$B$134,1,0)</f>
        <v/>
      </c>
      <c r="AW114" s="10">
        <f>IF(AW113&lt;=Assumptions!$B$134,1,0)</f>
        <v/>
      </c>
      <c r="AX114" s="10">
        <f>IF(AX113&lt;=Assumptions!$B$134,1,0)</f>
        <v/>
      </c>
      <c r="AY114" s="10">
        <f>IF(AY113&lt;=Assumptions!$B$134,1,0)</f>
        <v/>
      </c>
      <c r="AZ114" s="10">
        <f>IF(AZ113&lt;=Assumptions!$B$134,1,0)</f>
        <v/>
      </c>
      <c r="BA114" s="10">
        <f>IF(BA113&lt;=Assumptions!$B$134,1,0)</f>
        <v/>
      </c>
      <c r="BB114" s="10">
        <f>IF(BB113&lt;=Assumptions!$B$134,1,0)</f>
        <v/>
      </c>
      <c r="BC114" s="10">
        <f>IF(BC113&lt;=Assumptions!$B$134,1,0)</f>
        <v/>
      </c>
      <c r="BD114" s="10">
        <f>IF(BD113&lt;=Assumptions!$B$134,1,0)</f>
        <v/>
      </c>
      <c r="BE114" s="10">
        <f>IF(BE113&lt;=Assumptions!$B$134,1,0)</f>
        <v/>
      </c>
      <c r="BF114" s="10">
        <f>IF(BF113&lt;=Assumptions!$B$134,1,0)</f>
        <v/>
      </c>
      <c r="BG114" s="10">
        <f>IF(BG113&lt;=Assumptions!$B$134,1,0)</f>
        <v/>
      </c>
      <c r="BH114" s="10">
        <f>IF(BH113&lt;=Assumptions!$B$134,1,0)</f>
        <v/>
      </c>
      <c r="BI114" s="10">
        <f>IF(BI113&lt;=Assumptions!$B$134,1,0)</f>
        <v/>
      </c>
      <c r="BJ114" s="10">
        <f>IF(BJ113&lt;=Assumptions!$B$134,1,0)</f>
        <v/>
      </c>
    </row>
    <row r="115">
      <c r="A115" s="4" t="inlineStr">
        <is>
          <t>CAC payback, Solo: Kenya</t>
        </is>
      </c>
      <c r="B115" s="17" t="inlineStr">
        <is>
          <t>months</t>
        </is>
      </c>
      <c r="C115" s="41">
        <f>Assumptions!$B$47*C107*Assumptions!$B$192*Assumptions!$B$73/(C108*Pricing!$B$19*C38*Assumptions!$B$135*(Assumptions!$B$124*Pricing!$D$35+Assumptions!$B$125*Pricing!$D$36+Assumptions!$B$126*Pricing!$D$37))</f>
        <v/>
      </c>
      <c r="D115" s="41">
        <f>Assumptions!$B$47*D107*Assumptions!$B$192*Assumptions!$B$73/(D108*Pricing!$B$19*D38*Assumptions!$B$135*(Assumptions!$B$124*Pricing!$D$35+Assumptions!$B$125*Pricing!$D$36+Assumptions!$B$126*Pricing!$D$37))</f>
        <v/>
      </c>
      <c r="E115" s="41">
        <f>Assumptions!$B$47*E107*Assumptions!$B$192*Assumptions!$B$73/(E108*Pricing!$B$19*E38*Assumptions!$B$135*(Assumptions!$B$124*Pricing!$D$35+Assumptions!$B$125*Pricing!$D$36+Assumptions!$B$126*Pricing!$D$37))</f>
        <v/>
      </c>
      <c r="F115" s="41">
        <f>Assumptions!$B$47*F107*Assumptions!$B$192*Assumptions!$B$73/(F108*Pricing!$B$19*F38*Assumptions!$B$135*(Assumptions!$B$124*Pricing!$D$35+Assumptions!$B$125*Pricing!$D$36+Assumptions!$B$126*Pricing!$D$37))</f>
        <v/>
      </c>
      <c r="G115" s="41">
        <f>Assumptions!$B$47*G107*Assumptions!$B$192*Assumptions!$B$73/(G108*Pricing!$B$19*G38*Assumptions!$B$135*(Assumptions!$B$124*Pricing!$D$35+Assumptions!$B$125*Pricing!$D$36+Assumptions!$B$126*Pricing!$D$37))</f>
        <v/>
      </c>
      <c r="H115" s="41">
        <f>Assumptions!$B$47*H107*Assumptions!$B$192*Assumptions!$B$73/(H108*Pricing!$B$19*H38*Assumptions!$B$135*(Assumptions!$B$124*Pricing!$D$35+Assumptions!$B$125*Pricing!$D$36+Assumptions!$B$126*Pricing!$D$37))</f>
        <v/>
      </c>
      <c r="I115" s="41">
        <f>Assumptions!$B$47*I107*Assumptions!$B$192*Assumptions!$B$73/(I108*Pricing!$B$19*I38*Assumptions!$B$135*(Assumptions!$B$124*Pricing!$D$35+Assumptions!$B$125*Pricing!$D$36+Assumptions!$B$126*Pricing!$D$37))</f>
        <v/>
      </c>
      <c r="J115" s="41">
        <f>Assumptions!$B$47*J107*Assumptions!$B$192*Assumptions!$B$73/(J108*Pricing!$B$19*J38*Assumptions!$B$135*(Assumptions!$B$124*Pricing!$D$35+Assumptions!$B$125*Pricing!$D$36+Assumptions!$B$126*Pricing!$D$37))</f>
        <v/>
      </c>
      <c r="K115" s="41">
        <f>Assumptions!$B$47*K107*Assumptions!$B$192*Assumptions!$B$73/(K108*Pricing!$B$19*K38*Assumptions!$B$135*(Assumptions!$B$124*Pricing!$D$35+Assumptions!$B$125*Pricing!$D$36+Assumptions!$B$126*Pricing!$D$37))</f>
        <v/>
      </c>
      <c r="L115" s="41">
        <f>Assumptions!$B$47*L107*Assumptions!$B$192*Assumptions!$B$73/(L108*Pricing!$B$19*L38*Assumptions!$B$135*(Assumptions!$B$124*Pricing!$D$35+Assumptions!$B$125*Pricing!$D$36+Assumptions!$B$126*Pricing!$D$37))</f>
        <v/>
      </c>
      <c r="M115" s="41">
        <f>Assumptions!$B$47*M107*Assumptions!$B$192*Assumptions!$B$73/(M108*Pricing!$B$19*M38*Assumptions!$B$135*(Assumptions!$B$124*Pricing!$D$35+Assumptions!$B$125*Pricing!$D$36+Assumptions!$B$126*Pricing!$D$37))</f>
        <v/>
      </c>
      <c r="N115" s="41">
        <f>Assumptions!$B$47*N107*Assumptions!$B$192*Assumptions!$B$73/(N108*Pricing!$B$19*N38*Assumptions!$B$135*(Assumptions!$B$124*Pricing!$D$35+Assumptions!$B$125*Pricing!$D$36+Assumptions!$B$126*Pricing!$D$37))</f>
        <v/>
      </c>
      <c r="O115" s="41">
        <f>Assumptions!$B$47*O107*Assumptions!$B$192*Assumptions!$B$73/(O108*Pricing!$B$19*O38*Assumptions!$B$135*(Assumptions!$B$124*Pricing!$D$35+Assumptions!$B$125*Pricing!$D$36+Assumptions!$B$126*Pricing!$D$37))</f>
        <v/>
      </c>
      <c r="P115" s="41">
        <f>Assumptions!$B$47*P107*Assumptions!$B$192*Assumptions!$B$73/(P108*Pricing!$B$19*P38*Assumptions!$B$135*(Assumptions!$B$124*Pricing!$D$35+Assumptions!$B$125*Pricing!$D$36+Assumptions!$B$126*Pricing!$D$37))</f>
        <v/>
      </c>
      <c r="Q115" s="41">
        <f>Assumptions!$B$47*Q107*Assumptions!$B$192*Assumptions!$B$73/(Q108*Pricing!$B$19*Q38*Assumptions!$B$135*(Assumptions!$B$124*Pricing!$D$35+Assumptions!$B$125*Pricing!$D$36+Assumptions!$B$126*Pricing!$D$37))</f>
        <v/>
      </c>
      <c r="R115" s="41">
        <f>Assumptions!$B$47*R107*Assumptions!$B$192*Assumptions!$B$73/(R108*Pricing!$B$19*R38*Assumptions!$B$135*(Assumptions!$B$124*Pricing!$D$35+Assumptions!$B$125*Pricing!$D$36+Assumptions!$B$126*Pricing!$D$37))</f>
        <v/>
      </c>
      <c r="S115" s="41">
        <f>Assumptions!$B$47*S107*Assumptions!$B$192*Assumptions!$B$73/(S108*Pricing!$B$19*S38*Assumptions!$B$135*(Assumptions!$B$124*Pricing!$D$35+Assumptions!$B$125*Pricing!$D$36+Assumptions!$B$126*Pricing!$D$37))</f>
        <v/>
      </c>
      <c r="T115" s="41">
        <f>Assumptions!$B$47*T107*Assumptions!$B$192*Assumptions!$B$73/(T108*Pricing!$B$19*T38*Assumptions!$B$135*(Assumptions!$B$124*Pricing!$D$35+Assumptions!$B$125*Pricing!$D$36+Assumptions!$B$126*Pricing!$D$37))</f>
        <v/>
      </c>
      <c r="U115" s="41">
        <f>Assumptions!$B$47*U107*Assumptions!$B$192*Assumptions!$B$73/(U108*Pricing!$B$19*U38*Assumptions!$B$135*(Assumptions!$B$124*Pricing!$D$35+Assumptions!$B$125*Pricing!$D$36+Assumptions!$B$126*Pricing!$D$37))</f>
        <v/>
      </c>
      <c r="V115" s="41">
        <f>Assumptions!$B$47*V107*Assumptions!$B$192*Assumptions!$B$73/(V108*Pricing!$B$19*V38*Assumptions!$B$135*(Assumptions!$B$124*Pricing!$D$35+Assumptions!$B$125*Pricing!$D$36+Assumptions!$B$126*Pricing!$D$37))</f>
        <v/>
      </c>
      <c r="W115" s="41">
        <f>Assumptions!$B$47*W107*Assumptions!$B$192*Assumptions!$B$73/(W108*Pricing!$B$19*W38*Assumptions!$B$135*(Assumptions!$B$124*Pricing!$D$35+Assumptions!$B$125*Pricing!$D$36+Assumptions!$B$126*Pricing!$D$37))</f>
        <v/>
      </c>
      <c r="X115" s="41">
        <f>Assumptions!$B$47*X107*Assumptions!$B$192*Assumptions!$B$73/(X108*Pricing!$B$19*X38*Assumptions!$B$135*(Assumptions!$B$124*Pricing!$D$35+Assumptions!$B$125*Pricing!$D$36+Assumptions!$B$126*Pricing!$D$37))</f>
        <v/>
      </c>
      <c r="Y115" s="41">
        <f>Assumptions!$B$47*Y107*Assumptions!$B$192*Assumptions!$B$73/(Y108*Pricing!$B$19*Y38*Assumptions!$B$135*(Assumptions!$B$124*Pricing!$D$35+Assumptions!$B$125*Pricing!$D$36+Assumptions!$B$126*Pricing!$D$37))</f>
        <v/>
      </c>
      <c r="Z115" s="41">
        <f>Assumptions!$B$47*Z107*Assumptions!$B$192*Assumptions!$B$73/(Z108*Pricing!$B$19*Z38*Assumptions!$B$135*(Assumptions!$B$124*Pricing!$D$35+Assumptions!$B$125*Pricing!$D$36+Assumptions!$B$126*Pricing!$D$37))</f>
        <v/>
      </c>
      <c r="AA115" s="41">
        <f>Assumptions!$B$47*AA107*Assumptions!$B$192*Assumptions!$B$73/(AA108*Pricing!$B$19*AA38*Assumptions!$B$135*(Assumptions!$B$124*Pricing!$D$35+Assumptions!$B$125*Pricing!$D$36+Assumptions!$B$126*Pricing!$D$37))</f>
        <v/>
      </c>
      <c r="AB115" s="41">
        <f>Assumptions!$B$47*AB107*Assumptions!$B$192*Assumptions!$B$73/(AB108*Pricing!$B$19*AB38*Assumptions!$B$135*(Assumptions!$B$124*Pricing!$D$35+Assumptions!$B$125*Pricing!$D$36+Assumptions!$B$126*Pricing!$D$37))</f>
        <v/>
      </c>
      <c r="AC115" s="41">
        <f>Assumptions!$B$47*AC107*Assumptions!$B$192*Assumptions!$B$73/(AC108*Pricing!$B$19*AC38*Assumptions!$B$135*(Assumptions!$B$124*Pricing!$D$35+Assumptions!$B$125*Pricing!$D$36+Assumptions!$B$126*Pricing!$D$37))</f>
        <v/>
      </c>
      <c r="AD115" s="41">
        <f>Assumptions!$B$47*AD107*Assumptions!$B$192*Assumptions!$B$73/(AD108*Pricing!$B$19*AD38*Assumptions!$B$135*(Assumptions!$B$124*Pricing!$D$35+Assumptions!$B$125*Pricing!$D$36+Assumptions!$B$126*Pricing!$D$37))</f>
        <v/>
      </c>
      <c r="AE115" s="41">
        <f>Assumptions!$B$47*AE107*Assumptions!$B$192*Assumptions!$B$73/(AE108*Pricing!$B$19*AE38*Assumptions!$B$135*(Assumptions!$B$124*Pricing!$D$35+Assumptions!$B$125*Pricing!$D$36+Assumptions!$B$126*Pricing!$D$37))</f>
        <v/>
      </c>
      <c r="AF115" s="41">
        <f>Assumptions!$B$47*AF107*Assumptions!$B$192*Assumptions!$B$73/(AF108*Pricing!$B$19*AF38*Assumptions!$B$135*(Assumptions!$B$124*Pricing!$D$35+Assumptions!$B$125*Pricing!$D$36+Assumptions!$B$126*Pricing!$D$37))</f>
        <v/>
      </c>
      <c r="AG115" s="41">
        <f>Assumptions!$B$47*AG107*Assumptions!$B$192*Assumptions!$B$73/(AG108*Pricing!$B$19*AG38*Assumptions!$B$135*(Assumptions!$B$124*Pricing!$D$35+Assumptions!$B$125*Pricing!$D$36+Assumptions!$B$126*Pricing!$D$37))</f>
        <v/>
      </c>
      <c r="AH115" s="41">
        <f>Assumptions!$B$47*AH107*Assumptions!$B$192*Assumptions!$B$73/(AH108*Pricing!$B$19*AH38*Assumptions!$B$135*(Assumptions!$B$124*Pricing!$D$35+Assumptions!$B$125*Pricing!$D$36+Assumptions!$B$126*Pricing!$D$37))</f>
        <v/>
      </c>
      <c r="AI115" s="41">
        <f>Assumptions!$B$47*AI107*Assumptions!$B$192*Assumptions!$B$73/(AI108*Pricing!$B$19*AI38*Assumptions!$B$135*(Assumptions!$B$124*Pricing!$D$35+Assumptions!$B$125*Pricing!$D$36+Assumptions!$B$126*Pricing!$D$37))</f>
        <v/>
      </c>
      <c r="AJ115" s="41">
        <f>Assumptions!$B$47*AJ107*Assumptions!$B$192*Assumptions!$B$73/(AJ108*Pricing!$B$19*AJ38*Assumptions!$B$135*(Assumptions!$B$124*Pricing!$D$35+Assumptions!$B$125*Pricing!$D$36+Assumptions!$B$126*Pricing!$D$37))</f>
        <v/>
      </c>
      <c r="AK115" s="41">
        <f>Assumptions!$B$47*AK107*Assumptions!$B$192*Assumptions!$B$73/(AK108*Pricing!$B$19*AK38*Assumptions!$B$135*(Assumptions!$B$124*Pricing!$D$35+Assumptions!$B$125*Pricing!$D$36+Assumptions!$B$126*Pricing!$D$37))</f>
        <v/>
      </c>
      <c r="AL115" s="41">
        <f>Assumptions!$B$47*AL107*Assumptions!$B$192*Assumptions!$B$73/(AL108*Pricing!$B$19*AL38*Assumptions!$B$135*(Assumptions!$B$124*Pricing!$D$35+Assumptions!$B$125*Pricing!$D$36+Assumptions!$B$126*Pricing!$D$37))</f>
        <v/>
      </c>
      <c r="AM115" s="41">
        <f>Assumptions!$B$47*AM107*Assumptions!$B$192*Assumptions!$B$73/(AM108*Pricing!$B$19*AM38*Assumptions!$B$135*(Assumptions!$B$124*Pricing!$D$35+Assumptions!$B$125*Pricing!$D$36+Assumptions!$B$126*Pricing!$D$37))</f>
        <v/>
      </c>
      <c r="AN115" s="41">
        <f>Assumptions!$B$47*AN107*Assumptions!$B$192*Assumptions!$B$73/(AN108*Pricing!$B$19*AN38*Assumptions!$B$135*(Assumptions!$B$124*Pricing!$D$35+Assumptions!$B$125*Pricing!$D$36+Assumptions!$B$126*Pricing!$D$37))</f>
        <v/>
      </c>
      <c r="AO115" s="41">
        <f>Assumptions!$B$47*AO107*Assumptions!$B$192*Assumptions!$B$73/(AO108*Pricing!$B$19*AO38*Assumptions!$B$135*(Assumptions!$B$124*Pricing!$D$35+Assumptions!$B$125*Pricing!$D$36+Assumptions!$B$126*Pricing!$D$37))</f>
        <v/>
      </c>
      <c r="AP115" s="41">
        <f>Assumptions!$B$47*AP107*Assumptions!$B$192*Assumptions!$B$73/(AP108*Pricing!$B$19*AP38*Assumptions!$B$135*(Assumptions!$B$124*Pricing!$D$35+Assumptions!$B$125*Pricing!$D$36+Assumptions!$B$126*Pricing!$D$37))</f>
        <v/>
      </c>
      <c r="AQ115" s="41">
        <f>Assumptions!$B$47*AQ107*Assumptions!$B$192*Assumptions!$B$73/(AQ108*Pricing!$B$19*AQ38*Assumptions!$B$135*(Assumptions!$B$124*Pricing!$D$35+Assumptions!$B$125*Pricing!$D$36+Assumptions!$B$126*Pricing!$D$37))</f>
        <v/>
      </c>
      <c r="AR115" s="41">
        <f>Assumptions!$B$47*AR107*Assumptions!$B$192*Assumptions!$B$73/(AR108*Pricing!$B$19*AR38*Assumptions!$B$135*(Assumptions!$B$124*Pricing!$D$35+Assumptions!$B$125*Pricing!$D$36+Assumptions!$B$126*Pricing!$D$37))</f>
        <v/>
      </c>
      <c r="AS115" s="41">
        <f>Assumptions!$B$47*AS107*Assumptions!$B$192*Assumptions!$B$73/(AS108*Pricing!$B$19*AS38*Assumptions!$B$135*(Assumptions!$B$124*Pricing!$D$35+Assumptions!$B$125*Pricing!$D$36+Assumptions!$B$126*Pricing!$D$37))</f>
        <v/>
      </c>
      <c r="AT115" s="41">
        <f>Assumptions!$B$47*AT107*Assumptions!$B$192*Assumptions!$B$73/(AT108*Pricing!$B$19*AT38*Assumptions!$B$135*(Assumptions!$B$124*Pricing!$D$35+Assumptions!$B$125*Pricing!$D$36+Assumptions!$B$126*Pricing!$D$37))</f>
        <v/>
      </c>
      <c r="AU115" s="41">
        <f>Assumptions!$B$47*AU107*Assumptions!$B$192*Assumptions!$B$73/(AU108*Pricing!$B$19*AU38*Assumptions!$B$135*(Assumptions!$B$124*Pricing!$D$35+Assumptions!$B$125*Pricing!$D$36+Assumptions!$B$126*Pricing!$D$37))</f>
        <v/>
      </c>
      <c r="AV115" s="41">
        <f>Assumptions!$B$47*AV107*Assumptions!$B$192*Assumptions!$B$73/(AV108*Pricing!$B$19*AV38*Assumptions!$B$135*(Assumptions!$B$124*Pricing!$D$35+Assumptions!$B$125*Pricing!$D$36+Assumptions!$B$126*Pricing!$D$37))</f>
        <v/>
      </c>
      <c r="AW115" s="41">
        <f>Assumptions!$B$47*AW107*Assumptions!$B$192*Assumptions!$B$73/(AW108*Pricing!$B$19*AW38*Assumptions!$B$135*(Assumptions!$B$124*Pricing!$D$35+Assumptions!$B$125*Pricing!$D$36+Assumptions!$B$126*Pricing!$D$37))</f>
        <v/>
      </c>
      <c r="AX115" s="41">
        <f>Assumptions!$B$47*AX107*Assumptions!$B$192*Assumptions!$B$73/(AX108*Pricing!$B$19*AX38*Assumptions!$B$135*(Assumptions!$B$124*Pricing!$D$35+Assumptions!$B$125*Pricing!$D$36+Assumptions!$B$126*Pricing!$D$37))</f>
        <v/>
      </c>
      <c r="AY115" s="41">
        <f>Assumptions!$B$47*AY107*Assumptions!$B$192*Assumptions!$B$73/(AY108*Pricing!$B$19*AY38*Assumptions!$B$135*(Assumptions!$B$124*Pricing!$D$35+Assumptions!$B$125*Pricing!$D$36+Assumptions!$B$126*Pricing!$D$37))</f>
        <v/>
      </c>
      <c r="AZ115" s="41">
        <f>Assumptions!$B$47*AZ107*Assumptions!$B$192*Assumptions!$B$73/(AZ108*Pricing!$B$19*AZ38*Assumptions!$B$135*(Assumptions!$B$124*Pricing!$D$35+Assumptions!$B$125*Pricing!$D$36+Assumptions!$B$126*Pricing!$D$37))</f>
        <v/>
      </c>
      <c r="BA115" s="41">
        <f>Assumptions!$B$47*BA107*Assumptions!$B$192*Assumptions!$B$73/(BA108*Pricing!$B$19*BA38*Assumptions!$B$135*(Assumptions!$B$124*Pricing!$D$35+Assumptions!$B$125*Pricing!$D$36+Assumptions!$B$126*Pricing!$D$37))</f>
        <v/>
      </c>
      <c r="BB115" s="41">
        <f>Assumptions!$B$47*BB107*Assumptions!$B$192*Assumptions!$B$73/(BB108*Pricing!$B$19*BB38*Assumptions!$B$135*(Assumptions!$B$124*Pricing!$D$35+Assumptions!$B$125*Pricing!$D$36+Assumptions!$B$126*Pricing!$D$37))</f>
        <v/>
      </c>
      <c r="BC115" s="41">
        <f>Assumptions!$B$47*BC107*Assumptions!$B$192*Assumptions!$B$73/(BC108*Pricing!$B$19*BC38*Assumptions!$B$135*(Assumptions!$B$124*Pricing!$D$35+Assumptions!$B$125*Pricing!$D$36+Assumptions!$B$126*Pricing!$D$37))</f>
        <v/>
      </c>
      <c r="BD115" s="41">
        <f>Assumptions!$B$47*BD107*Assumptions!$B$192*Assumptions!$B$73/(BD108*Pricing!$B$19*BD38*Assumptions!$B$135*(Assumptions!$B$124*Pricing!$D$35+Assumptions!$B$125*Pricing!$D$36+Assumptions!$B$126*Pricing!$D$37))</f>
        <v/>
      </c>
      <c r="BE115" s="41">
        <f>Assumptions!$B$47*BE107*Assumptions!$B$192*Assumptions!$B$73/(BE108*Pricing!$B$19*BE38*Assumptions!$B$135*(Assumptions!$B$124*Pricing!$D$35+Assumptions!$B$125*Pricing!$D$36+Assumptions!$B$126*Pricing!$D$37))</f>
        <v/>
      </c>
      <c r="BF115" s="41">
        <f>Assumptions!$B$47*BF107*Assumptions!$B$192*Assumptions!$B$73/(BF108*Pricing!$B$19*BF38*Assumptions!$B$135*(Assumptions!$B$124*Pricing!$D$35+Assumptions!$B$125*Pricing!$D$36+Assumptions!$B$126*Pricing!$D$37))</f>
        <v/>
      </c>
      <c r="BG115" s="41">
        <f>Assumptions!$B$47*BG107*Assumptions!$B$192*Assumptions!$B$73/(BG108*Pricing!$B$19*BG38*Assumptions!$B$135*(Assumptions!$B$124*Pricing!$D$35+Assumptions!$B$125*Pricing!$D$36+Assumptions!$B$126*Pricing!$D$37))</f>
        <v/>
      </c>
      <c r="BH115" s="41">
        <f>Assumptions!$B$47*BH107*Assumptions!$B$192*Assumptions!$B$73/(BH108*Pricing!$B$19*BH38*Assumptions!$B$135*(Assumptions!$B$124*Pricing!$D$35+Assumptions!$B$125*Pricing!$D$36+Assumptions!$B$126*Pricing!$D$37))</f>
        <v/>
      </c>
      <c r="BI115" s="41">
        <f>Assumptions!$B$47*BI107*Assumptions!$B$192*Assumptions!$B$73/(BI108*Pricing!$B$19*BI38*Assumptions!$B$135*(Assumptions!$B$124*Pricing!$D$35+Assumptions!$B$125*Pricing!$D$36+Assumptions!$B$126*Pricing!$D$37))</f>
        <v/>
      </c>
      <c r="BJ115" s="41">
        <f>Assumptions!$B$47*BJ107*Assumptions!$B$192*Assumptions!$B$73/(BJ108*Pricing!$B$19*BJ38*Assumptions!$B$135*(Assumptions!$B$124*Pricing!$D$35+Assumptions!$B$125*Pricing!$D$36+Assumptions!$B$126*Pricing!$D$37))</f>
        <v/>
      </c>
    </row>
    <row r="116">
      <c r="A116" s="4" t="inlineStr">
        <is>
          <t>Paid acquisition allowed (payback &lt;= max), Solo: Kenya</t>
        </is>
      </c>
      <c r="B116" s="17" t="inlineStr">
        <is>
          <t>flag</t>
        </is>
      </c>
      <c r="C116" s="10">
        <f>IF(C115&lt;=Assumptions!$B$134,1,0)</f>
        <v/>
      </c>
      <c r="D116" s="10">
        <f>IF(D115&lt;=Assumptions!$B$134,1,0)</f>
        <v/>
      </c>
      <c r="E116" s="10">
        <f>IF(E115&lt;=Assumptions!$B$134,1,0)</f>
        <v/>
      </c>
      <c r="F116" s="10">
        <f>IF(F115&lt;=Assumptions!$B$134,1,0)</f>
        <v/>
      </c>
      <c r="G116" s="10">
        <f>IF(G115&lt;=Assumptions!$B$134,1,0)</f>
        <v/>
      </c>
      <c r="H116" s="10">
        <f>IF(H115&lt;=Assumptions!$B$134,1,0)</f>
        <v/>
      </c>
      <c r="I116" s="10">
        <f>IF(I115&lt;=Assumptions!$B$134,1,0)</f>
        <v/>
      </c>
      <c r="J116" s="10">
        <f>IF(J115&lt;=Assumptions!$B$134,1,0)</f>
        <v/>
      </c>
      <c r="K116" s="10">
        <f>IF(K115&lt;=Assumptions!$B$134,1,0)</f>
        <v/>
      </c>
      <c r="L116" s="10">
        <f>IF(L115&lt;=Assumptions!$B$134,1,0)</f>
        <v/>
      </c>
      <c r="M116" s="10">
        <f>IF(M115&lt;=Assumptions!$B$134,1,0)</f>
        <v/>
      </c>
      <c r="N116" s="10">
        <f>IF(N115&lt;=Assumptions!$B$134,1,0)</f>
        <v/>
      </c>
      <c r="O116" s="10">
        <f>IF(O115&lt;=Assumptions!$B$134,1,0)</f>
        <v/>
      </c>
      <c r="P116" s="10">
        <f>IF(P115&lt;=Assumptions!$B$134,1,0)</f>
        <v/>
      </c>
      <c r="Q116" s="10">
        <f>IF(Q115&lt;=Assumptions!$B$134,1,0)</f>
        <v/>
      </c>
      <c r="R116" s="10">
        <f>IF(R115&lt;=Assumptions!$B$134,1,0)</f>
        <v/>
      </c>
      <c r="S116" s="10">
        <f>IF(S115&lt;=Assumptions!$B$134,1,0)</f>
        <v/>
      </c>
      <c r="T116" s="10">
        <f>IF(T115&lt;=Assumptions!$B$134,1,0)</f>
        <v/>
      </c>
      <c r="U116" s="10">
        <f>IF(U115&lt;=Assumptions!$B$134,1,0)</f>
        <v/>
      </c>
      <c r="V116" s="10">
        <f>IF(V115&lt;=Assumptions!$B$134,1,0)</f>
        <v/>
      </c>
      <c r="W116" s="10">
        <f>IF(W115&lt;=Assumptions!$B$134,1,0)</f>
        <v/>
      </c>
      <c r="X116" s="10">
        <f>IF(X115&lt;=Assumptions!$B$134,1,0)</f>
        <v/>
      </c>
      <c r="Y116" s="10">
        <f>IF(Y115&lt;=Assumptions!$B$134,1,0)</f>
        <v/>
      </c>
      <c r="Z116" s="10">
        <f>IF(Z115&lt;=Assumptions!$B$134,1,0)</f>
        <v/>
      </c>
      <c r="AA116" s="10">
        <f>IF(AA115&lt;=Assumptions!$B$134,1,0)</f>
        <v/>
      </c>
      <c r="AB116" s="10">
        <f>IF(AB115&lt;=Assumptions!$B$134,1,0)</f>
        <v/>
      </c>
      <c r="AC116" s="10">
        <f>IF(AC115&lt;=Assumptions!$B$134,1,0)</f>
        <v/>
      </c>
      <c r="AD116" s="10">
        <f>IF(AD115&lt;=Assumptions!$B$134,1,0)</f>
        <v/>
      </c>
      <c r="AE116" s="10">
        <f>IF(AE115&lt;=Assumptions!$B$134,1,0)</f>
        <v/>
      </c>
      <c r="AF116" s="10">
        <f>IF(AF115&lt;=Assumptions!$B$134,1,0)</f>
        <v/>
      </c>
      <c r="AG116" s="10">
        <f>IF(AG115&lt;=Assumptions!$B$134,1,0)</f>
        <v/>
      </c>
      <c r="AH116" s="10">
        <f>IF(AH115&lt;=Assumptions!$B$134,1,0)</f>
        <v/>
      </c>
      <c r="AI116" s="10">
        <f>IF(AI115&lt;=Assumptions!$B$134,1,0)</f>
        <v/>
      </c>
      <c r="AJ116" s="10">
        <f>IF(AJ115&lt;=Assumptions!$B$134,1,0)</f>
        <v/>
      </c>
      <c r="AK116" s="10">
        <f>IF(AK115&lt;=Assumptions!$B$134,1,0)</f>
        <v/>
      </c>
      <c r="AL116" s="10">
        <f>IF(AL115&lt;=Assumptions!$B$134,1,0)</f>
        <v/>
      </c>
      <c r="AM116" s="10">
        <f>IF(AM115&lt;=Assumptions!$B$134,1,0)</f>
        <v/>
      </c>
      <c r="AN116" s="10">
        <f>IF(AN115&lt;=Assumptions!$B$134,1,0)</f>
        <v/>
      </c>
      <c r="AO116" s="10">
        <f>IF(AO115&lt;=Assumptions!$B$134,1,0)</f>
        <v/>
      </c>
      <c r="AP116" s="10">
        <f>IF(AP115&lt;=Assumptions!$B$134,1,0)</f>
        <v/>
      </c>
      <c r="AQ116" s="10">
        <f>IF(AQ115&lt;=Assumptions!$B$134,1,0)</f>
        <v/>
      </c>
      <c r="AR116" s="10">
        <f>IF(AR115&lt;=Assumptions!$B$134,1,0)</f>
        <v/>
      </c>
      <c r="AS116" s="10">
        <f>IF(AS115&lt;=Assumptions!$B$134,1,0)</f>
        <v/>
      </c>
      <c r="AT116" s="10">
        <f>IF(AT115&lt;=Assumptions!$B$134,1,0)</f>
        <v/>
      </c>
      <c r="AU116" s="10">
        <f>IF(AU115&lt;=Assumptions!$B$134,1,0)</f>
        <v/>
      </c>
      <c r="AV116" s="10">
        <f>IF(AV115&lt;=Assumptions!$B$134,1,0)</f>
        <v/>
      </c>
      <c r="AW116" s="10">
        <f>IF(AW115&lt;=Assumptions!$B$134,1,0)</f>
        <v/>
      </c>
      <c r="AX116" s="10">
        <f>IF(AX115&lt;=Assumptions!$B$134,1,0)</f>
        <v/>
      </c>
      <c r="AY116" s="10">
        <f>IF(AY115&lt;=Assumptions!$B$134,1,0)</f>
        <v/>
      </c>
      <c r="AZ116" s="10">
        <f>IF(AZ115&lt;=Assumptions!$B$134,1,0)</f>
        <v/>
      </c>
      <c r="BA116" s="10">
        <f>IF(BA115&lt;=Assumptions!$B$134,1,0)</f>
        <v/>
      </c>
      <c r="BB116" s="10">
        <f>IF(BB115&lt;=Assumptions!$B$134,1,0)</f>
        <v/>
      </c>
      <c r="BC116" s="10">
        <f>IF(BC115&lt;=Assumptions!$B$134,1,0)</f>
        <v/>
      </c>
      <c r="BD116" s="10">
        <f>IF(BD115&lt;=Assumptions!$B$134,1,0)</f>
        <v/>
      </c>
      <c r="BE116" s="10">
        <f>IF(BE115&lt;=Assumptions!$B$134,1,0)</f>
        <v/>
      </c>
      <c r="BF116" s="10">
        <f>IF(BF115&lt;=Assumptions!$B$134,1,0)</f>
        <v/>
      </c>
      <c r="BG116" s="10">
        <f>IF(BG115&lt;=Assumptions!$B$134,1,0)</f>
        <v/>
      </c>
      <c r="BH116" s="10">
        <f>IF(BH115&lt;=Assumptions!$B$134,1,0)</f>
        <v/>
      </c>
      <c r="BI116" s="10">
        <f>IF(BI115&lt;=Assumptions!$B$134,1,0)</f>
        <v/>
      </c>
      <c r="BJ116" s="10">
        <f>IF(BJ115&lt;=Assumptions!$B$134,1,0)</f>
        <v/>
      </c>
    </row>
    <row r="117">
      <c r="A117" s="4" t="inlineStr">
        <is>
          <t>CAC payback, Solo: Ghana</t>
        </is>
      </c>
      <c r="B117" s="17" t="inlineStr">
        <is>
          <t>months</t>
        </is>
      </c>
      <c r="C117" s="41">
        <f>Assumptions!$B$47*C107*Assumptions!$B$192*Assumptions!$B$83/(C108*Pricing!$B$19*C41*Assumptions!$B$135*(Assumptions!$B$124*Pricing!$E$35+Assumptions!$B$125*Pricing!$E$36+Assumptions!$B$126*Pricing!$E$37))</f>
        <v/>
      </c>
      <c r="D117" s="41">
        <f>Assumptions!$B$47*D107*Assumptions!$B$192*Assumptions!$B$83/(D108*Pricing!$B$19*D41*Assumptions!$B$135*(Assumptions!$B$124*Pricing!$E$35+Assumptions!$B$125*Pricing!$E$36+Assumptions!$B$126*Pricing!$E$37))</f>
        <v/>
      </c>
      <c r="E117" s="41">
        <f>Assumptions!$B$47*E107*Assumptions!$B$192*Assumptions!$B$83/(E108*Pricing!$B$19*E41*Assumptions!$B$135*(Assumptions!$B$124*Pricing!$E$35+Assumptions!$B$125*Pricing!$E$36+Assumptions!$B$126*Pricing!$E$37))</f>
        <v/>
      </c>
      <c r="F117" s="41">
        <f>Assumptions!$B$47*F107*Assumptions!$B$192*Assumptions!$B$83/(F108*Pricing!$B$19*F41*Assumptions!$B$135*(Assumptions!$B$124*Pricing!$E$35+Assumptions!$B$125*Pricing!$E$36+Assumptions!$B$126*Pricing!$E$37))</f>
        <v/>
      </c>
      <c r="G117" s="41">
        <f>Assumptions!$B$47*G107*Assumptions!$B$192*Assumptions!$B$83/(G108*Pricing!$B$19*G41*Assumptions!$B$135*(Assumptions!$B$124*Pricing!$E$35+Assumptions!$B$125*Pricing!$E$36+Assumptions!$B$126*Pricing!$E$37))</f>
        <v/>
      </c>
      <c r="H117" s="41">
        <f>Assumptions!$B$47*H107*Assumptions!$B$192*Assumptions!$B$83/(H108*Pricing!$B$19*H41*Assumptions!$B$135*(Assumptions!$B$124*Pricing!$E$35+Assumptions!$B$125*Pricing!$E$36+Assumptions!$B$126*Pricing!$E$37))</f>
        <v/>
      </c>
      <c r="I117" s="41">
        <f>Assumptions!$B$47*I107*Assumptions!$B$192*Assumptions!$B$83/(I108*Pricing!$B$19*I41*Assumptions!$B$135*(Assumptions!$B$124*Pricing!$E$35+Assumptions!$B$125*Pricing!$E$36+Assumptions!$B$126*Pricing!$E$37))</f>
        <v/>
      </c>
      <c r="J117" s="41">
        <f>Assumptions!$B$47*J107*Assumptions!$B$192*Assumptions!$B$83/(J108*Pricing!$B$19*J41*Assumptions!$B$135*(Assumptions!$B$124*Pricing!$E$35+Assumptions!$B$125*Pricing!$E$36+Assumptions!$B$126*Pricing!$E$37))</f>
        <v/>
      </c>
      <c r="K117" s="41">
        <f>Assumptions!$B$47*K107*Assumptions!$B$192*Assumptions!$B$83/(K108*Pricing!$B$19*K41*Assumptions!$B$135*(Assumptions!$B$124*Pricing!$E$35+Assumptions!$B$125*Pricing!$E$36+Assumptions!$B$126*Pricing!$E$37))</f>
        <v/>
      </c>
      <c r="L117" s="41">
        <f>Assumptions!$B$47*L107*Assumptions!$B$192*Assumptions!$B$83/(L108*Pricing!$B$19*L41*Assumptions!$B$135*(Assumptions!$B$124*Pricing!$E$35+Assumptions!$B$125*Pricing!$E$36+Assumptions!$B$126*Pricing!$E$37))</f>
        <v/>
      </c>
      <c r="M117" s="41">
        <f>Assumptions!$B$47*M107*Assumptions!$B$192*Assumptions!$B$83/(M108*Pricing!$B$19*M41*Assumptions!$B$135*(Assumptions!$B$124*Pricing!$E$35+Assumptions!$B$125*Pricing!$E$36+Assumptions!$B$126*Pricing!$E$37))</f>
        <v/>
      </c>
      <c r="N117" s="41">
        <f>Assumptions!$B$47*N107*Assumptions!$B$192*Assumptions!$B$83/(N108*Pricing!$B$19*N41*Assumptions!$B$135*(Assumptions!$B$124*Pricing!$E$35+Assumptions!$B$125*Pricing!$E$36+Assumptions!$B$126*Pricing!$E$37))</f>
        <v/>
      </c>
      <c r="O117" s="41">
        <f>Assumptions!$B$47*O107*Assumptions!$B$192*Assumptions!$B$83/(O108*Pricing!$B$19*O41*Assumptions!$B$135*(Assumptions!$B$124*Pricing!$E$35+Assumptions!$B$125*Pricing!$E$36+Assumptions!$B$126*Pricing!$E$37))</f>
        <v/>
      </c>
      <c r="P117" s="41">
        <f>Assumptions!$B$47*P107*Assumptions!$B$192*Assumptions!$B$83/(P108*Pricing!$B$19*P41*Assumptions!$B$135*(Assumptions!$B$124*Pricing!$E$35+Assumptions!$B$125*Pricing!$E$36+Assumptions!$B$126*Pricing!$E$37))</f>
        <v/>
      </c>
      <c r="Q117" s="41">
        <f>Assumptions!$B$47*Q107*Assumptions!$B$192*Assumptions!$B$83/(Q108*Pricing!$B$19*Q41*Assumptions!$B$135*(Assumptions!$B$124*Pricing!$E$35+Assumptions!$B$125*Pricing!$E$36+Assumptions!$B$126*Pricing!$E$37))</f>
        <v/>
      </c>
      <c r="R117" s="41">
        <f>Assumptions!$B$47*R107*Assumptions!$B$192*Assumptions!$B$83/(R108*Pricing!$B$19*R41*Assumptions!$B$135*(Assumptions!$B$124*Pricing!$E$35+Assumptions!$B$125*Pricing!$E$36+Assumptions!$B$126*Pricing!$E$37))</f>
        <v/>
      </c>
      <c r="S117" s="41">
        <f>Assumptions!$B$47*S107*Assumptions!$B$192*Assumptions!$B$83/(S108*Pricing!$B$19*S41*Assumptions!$B$135*(Assumptions!$B$124*Pricing!$E$35+Assumptions!$B$125*Pricing!$E$36+Assumptions!$B$126*Pricing!$E$37))</f>
        <v/>
      </c>
      <c r="T117" s="41">
        <f>Assumptions!$B$47*T107*Assumptions!$B$192*Assumptions!$B$83/(T108*Pricing!$B$19*T41*Assumptions!$B$135*(Assumptions!$B$124*Pricing!$E$35+Assumptions!$B$125*Pricing!$E$36+Assumptions!$B$126*Pricing!$E$37))</f>
        <v/>
      </c>
      <c r="U117" s="41">
        <f>Assumptions!$B$47*U107*Assumptions!$B$192*Assumptions!$B$83/(U108*Pricing!$B$19*U41*Assumptions!$B$135*(Assumptions!$B$124*Pricing!$E$35+Assumptions!$B$125*Pricing!$E$36+Assumptions!$B$126*Pricing!$E$37))</f>
        <v/>
      </c>
      <c r="V117" s="41">
        <f>Assumptions!$B$47*V107*Assumptions!$B$192*Assumptions!$B$83/(V108*Pricing!$B$19*V41*Assumptions!$B$135*(Assumptions!$B$124*Pricing!$E$35+Assumptions!$B$125*Pricing!$E$36+Assumptions!$B$126*Pricing!$E$37))</f>
        <v/>
      </c>
      <c r="W117" s="41">
        <f>Assumptions!$B$47*W107*Assumptions!$B$192*Assumptions!$B$83/(W108*Pricing!$B$19*W41*Assumptions!$B$135*(Assumptions!$B$124*Pricing!$E$35+Assumptions!$B$125*Pricing!$E$36+Assumptions!$B$126*Pricing!$E$37))</f>
        <v/>
      </c>
      <c r="X117" s="41">
        <f>Assumptions!$B$47*X107*Assumptions!$B$192*Assumptions!$B$83/(X108*Pricing!$B$19*X41*Assumptions!$B$135*(Assumptions!$B$124*Pricing!$E$35+Assumptions!$B$125*Pricing!$E$36+Assumptions!$B$126*Pricing!$E$37))</f>
        <v/>
      </c>
      <c r="Y117" s="41">
        <f>Assumptions!$B$47*Y107*Assumptions!$B$192*Assumptions!$B$83/(Y108*Pricing!$B$19*Y41*Assumptions!$B$135*(Assumptions!$B$124*Pricing!$E$35+Assumptions!$B$125*Pricing!$E$36+Assumptions!$B$126*Pricing!$E$37))</f>
        <v/>
      </c>
      <c r="Z117" s="41">
        <f>Assumptions!$B$47*Z107*Assumptions!$B$192*Assumptions!$B$83/(Z108*Pricing!$B$19*Z41*Assumptions!$B$135*(Assumptions!$B$124*Pricing!$E$35+Assumptions!$B$125*Pricing!$E$36+Assumptions!$B$126*Pricing!$E$37))</f>
        <v/>
      </c>
      <c r="AA117" s="41">
        <f>Assumptions!$B$47*AA107*Assumptions!$B$192*Assumptions!$B$83/(AA108*Pricing!$B$19*AA41*Assumptions!$B$135*(Assumptions!$B$124*Pricing!$E$35+Assumptions!$B$125*Pricing!$E$36+Assumptions!$B$126*Pricing!$E$37))</f>
        <v/>
      </c>
      <c r="AB117" s="41">
        <f>Assumptions!$B$47*AB107*Assumptions!$B$192*Assumptions!$B$83/(AB108*Pricing!$B$19*AB41*Assumptions!$B$135*(Assumptions!$B$124*Pricing!$E$35+Assumptions!$B$125*Pricing!$E$36+Assumptions!$B$126*Pricing!$E$37))</f>
        <v/>
      </c>
      <c r="AC117" s="41">
        <f>Assumptions!$B$47*AC107*Assumptions!$B$192*Assumptions!$B$83/(AC108*Pricing!$B$19*AC41*Assumptions!$B$135*(Assumptions!$B$124*Pricing!$E$35+Assumptions!$B$125*Pricing!$E$36+Assumptions!$B$126*Pricing!$E$37))</f>
        <v/>
      </c>
      <c r="AD117" s="41">
        <f>Assumptions!$B$47*AD107*Assumptions!$B$192*Assumptions!$B$83/(AD108*Pricing!$B$19*AD41*Assumptions!$B$135*(Assumptions!$B$124*Pricing!$E$35+Assumptions!$B$125*Pricing!$E$36+Assumptions!$B$126*Pricing!$E$37))</f>
        <v/>
      </c>
      <c r="AE117" s="41">
        <f>Assumptions!$B$47*AE107*Assumptions!$B$192*Assumptions!$B$83/(AE108*Pricing!$B$19*AE41*Assumptions!$B$135*(Assumptions!$B$124*Pricing!$E$35+Assumptions!$B$125*Pricing!$E$36+Assumptions!$B$126*Pricing!$E$37))</f>
        <v/>
      </c>
      <c r="AF117" s="41">
        <f>Assumptions!$B$47*AF107*Assumptions!$B$192*Assumptions!$B$83/(AF108*Pricing!$B$19*AF41*Assumptions!$B$135*(Assumptions!$B$124*Pricing!$E$35+Assumptions!$B$125*Pricing!$E$36+Assumptions!$B$126*Pricing!$E$37))</f>
        <v/>
      </c>
      <c r="AG117" s="41">
        <f>Assumptions!$B$47*AG107*Assumptions!$B$192*Assumptions!$B$83/(AG108*Pricing!$B$19*AG41*Assumptions!$B$135*(Assumptions!$B$124*Pricing!$E$35+Assumptions!$B$125*Pricing!$E$36+Assumptions!$B$126*Pricing!$E$37))</f>
        <v/>
      </c>
      <c r="AH117" s="41">
        <f>Assumptions!$B$47*AH107*Assumptions!$B$192*Assumptions!$B$83/(AH108*Pricing!$B$19*AH41*Assumptions!$B$135*(Assumptions!$B$124*Pricing!$E$35+Assumptions!$B$125*Pricing!$E$36+Assumptions!$B$126*Pricing!$E$37))</f>
        <v/>
      </c>
      <c r="AI117" s="41">
        <f>Assumptions!$B$47*AI107*Assumptions!$B$192*Assumptions!$B$83/(AI108*Pricing!$B$19*AI41*Assumptions!$B$135*(Assumptions!$B$124*Pricing!$E$35+Assumptions!$B$125*Pricing!$E$36+Assumptions!$B$126*Pricing!$E$37))</f>
        <v/>
      </c>
      <c r="AJ117" s="41">
        <f>Assumptions!$B$47*AJ107*Assumptions!$B$192*Assumptions!$B$83/(AJ108*Pricing!$B$19*AJ41*Assumptions!$B$135*(Assumptions!$B$124*Pricing!$E$35+Assumptions!$B$125*Pricing!$E$36+Assumptions!$B$126*Pricing!$E$37))</f>
        <v/>
      </c>
      <c r="AK117" s="41">
        <f>Assumptions!$B$47*AK107*Assumptions!$B$192*Assumptions!$B$83/(AK108*Pricing!$B$19*AK41*Assumptions!$B$135*(Assumptions!$B$124*Pricing!$E$35+Assumptions!$B$125*Pricing!$E$36+Assumptions!$B$126*Pricing!$E$37))</f>
        <v/>
      </c>
      <c r="AL117" s="41">
        <f>Assumptions!$B$47*AL107*Assumptions!$B$192*Assumptions!$B$83/(AL108*Pricing!$B$19*AL41*Assumptions!$B$135*(Assumptions!$B$124*Pricing!$E$35+Assumptions!$B$125*Pricing!$E$36+Assumptions!$B$126*Pricing!$E$37))</f>
        <v/>
      </c>
      <c r="AM117" s="41">
        <f>Assumptions!$B$47*AM107*Assumptions!$B$192*Assumptions!$B$83/(AM108*Pricing!$B$19*AM41*Assumptions!$B$135*(Assumptions!$B$124*Pricing!$E$35+Assumptions!$B$125*Pricing!$E$36+Assumptions!$B$126*Pricing!$E$37))</f>
        <v/>
      </c>
      <c r="AN117" s="41">
        <f>Assumptions!$B$47*AN107*Assumptions!$B$192*Assumptions!$B$83/(AN108*Pricing!$B$19*AN41*Assumptions!$B$135*(Assumptions!$B$124*Pricing!$E$35+Assumptions!$B$125*Pricing!$E$36+Assumptions!$B$126*Pricing!$E$37))</f>
        <v/>
      </c>
      <c r="AO117" s="41">
        <f>Assumptions!$B$47*AO107*Assumptions!$B$192*Assumptions!$B$83/(AO108*Pricing!$B$19*AO41*Assumptions!$B$135*(Assumptions!$B$124*Pricing!$E$35+Assumptions!$B$125*Pricing!$E$36+Assumptions!$B$126*Pricing!$E$37))</f>
        <v/>
      </c>
      <c r="AP117" s="41">
        <f>Assumptions!$B$47*AP107*Assumptions!$B$192*Assumptions!$B$83/(AP108*Pricing!$B$19*AP41*Assumptions!$B$135*(Assumptions!$B$124*Pricing!$E$35+Assumptions!$B$125*Pricing!$E$36+Assumptions!$B$126*Pricing!$E$37))</f>
        <v/>
      </c>
      <c r="AQ117" s="41">
        <f>Assumptions!$B$47*AQ107*Assumptions!$B$192*Assumptions!$B$83/(AQ108*Pricing!$B$19*AQ41*Assumptions!$B$135*(Assumptions!$B$124*Pricing!$E$35+Assumptions!$B$125*Pricing!$E$36+Assumptions!$B$126*Pricing!$E$37))</f>
        <v/>
      </c>
      <c r="AR117" s="41">
        <f>Assumptions!$B$47*AR107*Assumptions!$B$192*Assumptions!$B$83/(AR108*Pricing!$B$19*AR41*Assumptions!$B$135*(Assumptions!$B$124*Pricing!$E$35+Assumptions!$B$125*Pricing!$E$36+Assumptions!$B$126*Pricing!$E$37))</f>
        <v/>
      </c>
      <c r="AS117" s="41">
        <f>Assumptions!$B$47*AS107*Assumptions!$B$192*Assumptions!$B$83/(AS108*Pricing!$B$19*AS41*Assumptions!$B$135*(Assumptions!$B$124*Pricing!$E$35+Assumptions!$B$125*Pricing!$E$36+Assumptions!$B$126*Pricing!$E$37))</f>
        <v/>
      </c>
      <c r="AT117" s="41">
        <f>Assumptions!$B$47*AT107*Assumptions!$B$192*Assumptions!$B$83/(AT108*Pricing!$B$19*AT41*Assumptions!$B$135*(Assumptions!$B$124*Pricing!$E$35+Assumptions!$B$125*Pricing!$E$36+Assumptions!$B$126*Pricing!$E$37))</f>
        <v/>
      </c>
      <c r="AU117" s="41">
        <f>Assumptions!$B$47*AU107*Assumptions!$B$192*Assumptions!$B$83/(AU108*Pricing!$B$19*AU41*Assumptions!$B$135*(Assumptions!$B$124*Pricing!$E$35+Assumptions!$B$125*Pricing!$E$36+Assumptions!$B$126*Pricing!$E$37))</f>
        <v/>
      </c>
      <c r="AV117" s="41">
        <f>Assumptions!$B$47*AV107*Assumptions!$B$192*Assumptions!$B$83/(AV108*Pricing!$B$19*AV41*Assumptions!$B$135*(Assumptions!$B$124*Pricing!$E$35+Assumptions!$B$125*Pricing!$E$36+Assumptions!$B$126*Pricing!$E$37))</f>
        <v/>
      </c>
      <c r="AW117" s="41">
        <f>Assumptions!$B$47*AW107*Assumptions!$B$192*Assumptions!$B$83/(AW108*Pricing!$B$19*AW41*Assumptions!$B$135*(Assumptions!$B$124*Pricing!$E$35+Assumptions!$B$125*Pricing!$E$36+Assumptions!$B$126*Pricing!$E$37))</f>
        <v/>
      </c>
      <c r="AX117" s="41">
        <f>Assumptions!$B$47*AX107*Assumptions!$B$192*Assumptions!$B$83/(AX108*Pricing!$B$19*AX41*Assumptions!$B$135*(Assumptions!$B$124*Pricing!$E$35+Assumptions!$B$125*Pricing!$E$36+Assumptions!$B$126*Pricing!$E$37))</f>
        <v/>
      </c>
      <c r="AY117" s="41">
        <f>Assumptions!$B$47*AY107*Assumptions!$B$192*Assumptions!$B$83/(AY108*Pricing!$B$19*AY41*Assumptions!$B$135*(Assumptions!$B$124*Pricing!$E$35+Assumptions!$B$125*Pricing!$E$36+Assumptions!$B$126*Pricing!$E$37))</f>
        <v/>
      </c>
      <c r="AZ117" s="41">
        <f>Assumptions!$B$47*AZ107*Assumptions!$B$192*Assumptions!$B$83/(AZ108*Pricing!$B$19*AZ41*Assumptions!$B$135*(Assumptions!$B$124*Pricing!$E$35+Assumptions!$B$125*Pricing!$E$36+Assumptions!$B$126*Pricing!$E$37))</f>
        <v/>
      </c>
      <c r="BA117" s="41">
        <f>Assumptions!$B$47*BA107*Assumptions!$B$192*Assumptions!$B$83/(BA108*Pricing!$B$19*BA41*Assumptions!$B$135*(Assumptions!$B$124*Pricing!$E$35+Assumptions!$B$125*Pricing!$E$36+Assumptions!$B$126*Pricing!$E$37))</f>
        <v/>
      </c>
      <c r="BB117" s="41">
        <f>Assumptions!$B$47*BB107*Assumptions!$B$192*Assumptions!$B$83/(BB108*Pricing!$B$19*BB41*Assumptions!$B$135*(Assumptions!$B$124*Pricing!$E$35+Assumptions!$B$125*Pricing!$E$36+Assumptions!$B$126*Pricing!$E$37))</f>
        <v/>
      </c>
      <c r="BC117" s="41">
        <f>Assumptions!$B$47*BC107*Assumptions!$B$192*Assumptions!$B$83/(BC108*Pricing!$B$19*BC41*Assumptions!$B$135*(Assumptions!$B$124*Pricing!$E$35+Assumptions!$B$125*Pricing!$E$36+Assumptions!$B$126*Pricing!$E$37))</f>
        <v/>
      </c>
      <c r="BD117" s="41">
        <f>Assumptions!$B$47*BD107*Assumptions!$B$192*Assumptions!$B$83/(BD108*Pricing!$B$19*BD41*Assumptions!$B$135*(Assumptions!$B$124*Pricing!$E$35+Assumptions!$B$125*Pricing!$E$36+Assumptions!$B$126*Pricing!$E$37))</f>
        <v/>
      </c>
      <c r="BE117" s="41">
        <f>Assumptions!$B$47*BE107*Assumptions!$B$192*Assumptions!$B$83/(BE108*Pricing!$B$19*BE41*Assumptions!$B$135*(Assumptions!$B$124*Pricing!$E$35+Assumptions!$B$125*Pricing!$E$36+Assumptions!$B$126*Pricing!$E$37))</f>
        <v/>
      </c>
      <c r="BF117" s="41">
        <f>Assumptions!$B$47*BF107*Assumptions!$B$192*Assumptions!$B$83/(BF108*Pricing!$B$19*BF41*Assumptions!$B$135*(Assumptions!$B$124*Pricing!$E$35+Assumptions!$B$125*Pricing!$E$36+Assumptions!$B$126*Pricing!$E$37))</f>
        <v/>
      </c>
      <c r="BG117" s="41">
        <f>Assumptions!$B$47*BG107*Assumptions!$B$192*Assumptions!$B$83/(BG108*Pricing!$B$19*BG41*Assumptions!$B$135*(Assumptions!$B$124*Pricing!$E$35+Assumptions!$B$125*Pricing!$E$36+Assumptions!$B$126*Pricing!$E$37))</f>
        <v/>
      </c>
      <c r="BH117" s="41">
        <f>Assumptions!$B$47*BH107*Assumptions!$B$192*Assumptions!$B$83/(BH108*Pricing!$B$19*BH41*Assumptions!$B$135*(Assumptions!$B$124*Pricing!$E$35+Assumptions!$B$125*Pricing!$E$36+Assumptions!$B$126*Pricing!$E$37))</f>
        <v/>
      </c>
      <c r="BI117" s="41">
        <f>Assumptions!$B$47*BI107*Assumptions!$B$192*Assumptions!$B$83/(BI108*Pricing!$B$19*BI41*Assumptions!$B$135*(Assumptions!$B$124*Pricing!$E$35+Assumptions!$B$125*Pricing!$E$36+Assumptions!$B$126*Pricing!$E$37))</f>
        <v/>
      </c>
      <c r="BJ117" s="41">
        <f>Assumptions!$B$47*BJ107*Assumptions!$B$192*Assumptions!$B$83/(BJ108*Pricing!$B$19*BJ41*Assumptions!$B$135*(Assumptions!$B$124*Pricing!$E$35+Assumptions!$B$125*Pricing!$E$36+Assumptions!$B$126*Pricing!$E$37))</f>
        <v/>
      </c>
    </row>
    <row r="118">
      <c r="A118" s="4" t="inlineStr">
        <is>
          <t>Paid acquisition allowed (payback &lt;= max), Solo: Ghana</t>
        </is>
      </c>
      <c r="B118" s="17" t="inlineStr">
        <is>
          <t>flag</t>
        </is>
      </c>
      <c r="C118" s="10">
        <f>IF(C117&lt;=Assumptions!$B$134,1,0)</f>
        <v/>
      </c>
      <c r="D118" s="10">
        <f>IF(D117&lt;=Assumptions!$B$134,1,0)</f>
        <v/>
      </c>
      <c r="E118" s="10">
        <f>IF(E117&lt;=Assumptions!$B$134,1,0)</f>
        <v/>
      </c>
      <c r="F118" s="10">
        <f>IF(F117&lt;=Assumptions!$B$134,1,0)</f>
        <v/>
      </c>
      <c r="G118" s="10">
        <f>IF(G117&lt;=Assumptions!$B$134,1,0)</f>
        <v/>
      </c>
      <c r="H118" s="10">
        <f>IF(H117&lt;=Assumptions!$B$134,1,0)</f>
        <v/>
      </c>
      <c r="I118" s="10">
        <f>IF(I117&lt;=Assumptions!$B$134,1,0)</f>
        <v/>
      </c>
      <c r="J118" s="10">
        <f>IF(J117&lt;=Assumptions!$B$134,1,0)</f>
        <v/>
      </c>
      <c r="K118" s="10">
        <f>IF(K117&lt;=Assumptions!$B$134,1,0)</f>
        <v/>
      </c>
      <c r="L118" s="10">
        <f>IF(L117&lt;=Assumptions!$B$134,1,0)</f>
        <v/>
      </c>
      <c r="M118" s="10">
        <f>IF(M117&lt;=Assumptions!$B$134,1,0)</f>
        <v/>
      </c>
      <c r="N118" s="10">
        <f>IF(N117&lt;=Assumptions!$B$134,1,0)</f>
        <v/>
      </c>
      <c r="O118" s="10">
        <f>IF(O117&lt;=Assumptions!$B$134,1,0)</f>
        <v/>
      </c>
      <c r="P118" s="10">
        <f>IF(P117&lt;=Assumptions!$B$134,1,0)</f>
        <v/>
      </c>
      <c r="Q118" s="10">
        <f>IF(Q117&lt;=Assumptions!$B$134,1,0)</f>
        <v/>
      </c>
      <c r="R118" s="10">
        <f>IF(R117&lt;=Assumptions!$B$134,1,0)</f>
        <v/>
      </c>
      <c r="S118" s="10">
        <f>IF(S117&lt;=Assumptions!$B$134,1,0)</f>
        <v/>
      </c>
      <c r="T118" s="10">
        <f>IF(T117&lt;=Assumptions!$B$134,1,0)</f>
        <v/>
      </c>
      <c r="U118" s="10">
        <f>IF(U117&lt;=Assumptions!$B$134,1,0)</f>
        <v/>
      </c>
      <c r="V118" s="10">
        <f>IF(V117&lt;=Assumptions!$B$134,1,0)</f>
        <v/>
      </c>
      <c r="W118" s="10">
        <f>IF(W117&lt;=Assumptions!$B$134,1,0)</f>
        <v/>
      </c>
      <c r="X118" s="10">
        <f>IF(X117&lt;=Assumptions!$B$134,1,0)</f>
        <v/>
      </c>
      <c r="Y118" s="10">
        <f>IF(Y117&lt;=Assumptions!$B$134,1,0)</f>
        <v/>
      </c>
      <c r="Z118" s="10">
        <f>IF(Z117&lt;=Assumptions!$B$134,1,0)</f>
        <v/>
      </c>
      <c r="AA118" s="10">
        <f>IF(AA117&lt;=Assumptions!$B$134,1,0)</f>
        <v/>
      </c>
      <c r="AB118" s="10">
        <f>IF(AB117&lt;=Assumptions!$B$134,1,0)</f>
        <v/>
      </c>
      <c r="AC118" s="10">
        <f>IF(AC117&lt;=Assumptions!$B$134,1,0)</f>
        <v/>
      </c>
      <c r="AD118" s="10">
        <f>IF(AD117&lt;=Assumptions!$B$134,1,0)</f>
        <v/>
      </c>
      <c r="AE118" s="10">
        <f>IF(AE117&lt;=Assumptions!$B$134,1,0)</f>
        <v/>
      </c>
      <c r="AF118" s="10">
        <f>IF(AF117&lt;=Assumptions!$B$134,1,0)</f>
        <v/>
      </c>
      <c r="AG118" s="10">
        <f>IF(AG117&lt;=Assumptions!$B$134,1,0)</f>
        <v/>
      </c>
      <c r="AH118" s="10">
        <f>IF(AH117&lt;=Assumptions!$B$134,1,0)</f>
        <v/>
      </c>
      <c r="AI118" s="10">
        <f>IF(AI117&lt;=Assumptions!$B$134,1,0)</f>
        <v/>
      </c>
      <c r="AJ118" s="10">
        <f>IF(AJ117&lt;=Assumptions!$B$134,1,0)</f>
        <v/>
      </c>
      <c r="AK118" s="10">
        <f>IF(AK117&lt;=Assumptions!$B$134,1,0)</f>
        <v/>
      </c>
      <c r="AL118" s="10">
        <f>IF(AL117&lt;=Assumptions!$B$134,1,0)</f>
        <v/>
      </c>
      <c r="AM118" s="10">
        <f>IF(AM117&lt;=Assumptions!$B$134,1,0)</f>
        <v/>
      </c>
      <c r="AN118" s="10">
        <f>IF(AN117&lt;=Assumptions!$B$134,1,0)</f>
        <v/>
      </c>
      <c r="AO118" s="10">
        <f>IF(AO117&lt;=Assumptions!$B$134,1,0)</f>
        <v/>
      </c>
      <c r="AP118" s="10">
        <f>IF(AP117&lt;=Assumptions!$B$134,1,0)</f>
        <v/>
      </c>
      <c r="AQ118" s="10">
        <f>IF(AQ117&lt;=Assumptions!$B$134,1,0)</f>
        <v/>
      </c>
      <c r="AR118" s="10">
        <f>IF(AR117&lt;=Assumptions!$B$134,1,0)</f>
        <v/>
      </c>
      <c r="AS118" s="10">
        <f>IF(AS117&lt;=Assumptions!$B$134,1,0)</f>
        <v/>
      </c>
      <c r="AT118" s="10">
        <f>IF(AT117&lt;=Assumptions!$B$134,1,0)</f>
        <v/>
      </c>
      <c r="AU118" s="10">
        <f>IF(AU117&lt;=Assumptions!$B$134,1,0)</f>
        <v/>
      </c>
      <c r="AV118" s="10">
        <f>IF(AV117&lt;=Assumptions!$B$134,1,0)</f>
        <v/>
      </c>
      <c r="AW118" s="10">
        <f>IF(AW117&lt;=Assumptions!$B$134,1,0)</f>
        <v/>
      </c>
      <c r="AX118" s="10">
        <f>IF(AX117&lt;=Assumptions!$B$134,1,0)</f>
        <v/>
      </c>
      <c r="AY118" s="10">
        <f>IF(AY117&lt;=Assumptions!$B$134,1,0)</f>
        <v/>
      </c>
      <c r="AZ118" s="10">
        <f>IF(AZ117&lt;=Assumptions!$B$134,1,0)</f>
        <v/>
      </c>
      <c r="BA118" s="10">
        <f>IF(BA117&lt;=Assumptions!$B$134,1,0)</f>
        <v/>
      </c>
      <c r="BB118" s="10">
        <f>IF(BB117&lt;=Assumptions!$B$134,1,0)</f>
        <v/>
      </c>
      <c r="BC118" s="10">
        <f>IF(BC117&lt;=Assumptions!$B$134,1,0)</f>
        <v/>
      </c>
      <c r="BD118" s="10">
        <f>IF(BD117&lt;=Assumptions!$B$134,1,0)</f>
        <v/>
      </c>
      <c r="BE118" s="10">
        <f>IF(BE117&lt;=Assumptions!$B$134,1,0)</f>
        <v/>
      </c>
      <c r="BF118" s="10">
        <f>IF(BF117&lt;=Assumptions!$B$134,1,0)</f>
        <v/>
      </c>
      <c r="BG118" s="10">
        <f>IF(BG117&lt;=Assumptions!$B$134,1,0)</f>
        <v/>
      </c>
      <c r="BH118" s="10">
        <f>IF(BH117&lt;=Assumptions!$B$134,1,0)</f>
        <v/>
      </c>
      <c r="BI118" s="10">
        <f>IF(BI117&lt;=Assumptions!$B$134,1,0)</f>
        <v/>
      </c>
      <c r="BJ118" s="10">
        <f>IF(BJ117&lt;=Assumptions!$B$134,1,0)</f>
        <v/>
      </c>
    </row>
    <row r="119">
      <c r="A119" s="4" t="inlineStr">
        <is>
          <t>CAC payback, Solo: Rest of Africa (USD)</t>
        </is>
      </c>
      <c r="B119" s="17" t="inlineStr">
        <is>
          <t>months</t>
        </is>
      </c>
      <c r="C119" s="41">
        <f>Assumptions!$B$47*C107*Assumptions!$B$192*Assumptions!$B$93/(C108*Pricing!$B$19*C44*Assumptions!$B$135*(Assumptions!$B$124*Pricing!$F$35+Assumptions!$B$125*Pricing!$F$36+Assumptions!$B$126*Pricing!$F$37))</f>
        <v/>
      </c>
      <c r="D119" s="41">
        <f>Assumptions!$B$47*D107*Assumptions!$B$192*Assumptions!$B$93/(D108*Pricing!$B$19*D44*Assumptions!$B$135*(Assumptions!$B$124*Pricing!$F$35+Assumptions!$B$125*Pricing!$F$36+Assumptions!$B$126*Pricing!$F$37))</f>
        <v/>
      </c>
      <c r="E119" s="41">
        <f>Assumptions!$B$47*E107*Assumptions!$B$192*Assumptions!$B$93/(E108*Pricing!$B$19*E44*Assumptions!$B$135*(Assumptions!$B$124*Pricing!$F$35+Assumptions!$B$125*Pricing!$F$36+Assumptions!$B$126*Pricing!$F$37))</f>
        <v/>
      </c>
      <c r="F119" s="41">
        <f>Assumptions!$B$47*F107*Assumptions!$B$192*Assumptions!$B$93/(F108*Pricing!$B$19*F44*Assumptions!$B$135*(Assumptions!$B$124*Pricing!$F$35+Assumptions!$B$125*Pricing!$F$36+Assumptions!$B$126*Pricing!$F$37))</f>
        <v/>
      </c>
      <c r="G119" s="41">
        <f>Assumptions!$B$47*G107*Assumptions!$B$192*Assumptions!$B$93/(G108*Pricing!$B$19*G44*Assumptions!$B$135*(Assumptions!$B$124*Pricing!$F$35+Assumptions!$B$125*Pricing!$F$36+Assumptions!$B$126*Pricing!$F$37))</f>
        <v/>
      </c>
      <c r="H119" s="41">
        <f>Assumptions!$B$47*H107*Assumptions!$B$192*Assumptions!$B$93/(H108*Pricing!$B$19*H44*Assumptions!$B$135*(Assumptions!$B$124*Pricing!$F$35+Assumptions!$B$125*Pricing!$F$36+Assumptions!$B$126*Pricing!$F$37))</f>
        <v/>
      </c>
      <c r="I119" s="41">
        <f>Assumptions!$B$47*I107*Assumptions!$B$192*Assumptions!$B$93/(I108*Pricing!$B$19*I44*Assumptions!$B$135*(Assumptions!$B$124*Pricing!$F$35+Assumptions!$B$125*Pricing!$F$36+Assumptions!$B$126*Pricing!$F$37))</f>
        <v/>
      </c>
      <c r="J119" s="41">
        <f>Assumptions!$B$47*J107*Assumptions!$B$192*Assumptions!$B$93/(J108*Pricing!$B$19*J44*Assumptions!$B$135*(Assumptions!$B$124*Pricing!$F$35+Assumptions!$B$125*Pricing!$F$36+Assumptions!$B$126*Pricing!$F$37))</f>
        <v/>
      </c>
      <c r="K119" s="41">
        <f>Assumptions!$B$47*K107*Assumptions!$B$192*Assumptions!$B$93/(K108*Pricing!$B$19*K44*Assumptions!$B$135*(Assumptions!$B$124*Pricing!$F$35+Assumptions!$B$125*Pricing!$F$36+Assumptions!$B$126*Pricing!$F$37))</f>
        <v/>
      </c>
      <c r="L119" s="41">
        <f>Assumptions!$B$47*L107*Assumptions!$B$192*Assumptions!$B$93/(L108*Pricing!$B$19*L44*Assumptions!$B$135*(Assumptions!$B$124*Pricing!$F$35+Assumptions!$B$125*Pricing!$F$36+Assumptions!$B$126*Pricing!$F$37))</f>
        <v/>
      </c>
      <c r="M119" s="41">
        <f>Assumptions!$B$47*M107*Assumptions!$B$192*Assumptions!$B$93/(M108*Pricing!$B$19*M44*Assumptions!$B$135*(Assumptions!$B$124*Pricing!$F$35+Assumptions!$B$125*Pricing!$F$36+Assumptions!$B$126*Pricing!$F$37))</f>
        <v/>
      </c>
      <c r="N119" s="41">
        <f>Assumptions!$B$47*N107*Assumptions!$B$192*Assumptions!$B$93/(N108*Pricing!$B$19*N44*Assumptions!$B$135*(Assumptions!$B$124*Pricing!$F$35+Assumptions!$B$125*Pricing!$F$36+Assumptions!$B$126*Pricing!$F$37))</f>
        <v/>
      </c>
      <c r="O119" s="41">
        <f>Assumptions!$B$47*O107*Assumptions!$B$192*Assumptions!$B$93/(O108*Pricing!$B$19*O44*Assumptions!$B$135*(Assumptions!$B$124*Pricing!$F$35+Assumptions!$B$125*Pricing!$F$36+Assumptions!$B$126*Pricing!$F$37))</f>
        <v/>
      </c>
      <c r="P119" s="41">
        <f>Assumptions!$B$47*P107*Assumptions!$B$192*Assumptions!$B$93/(P108*Pricing!$B$19*P44*Assumptions!$B$135*(Assumptions!$B$124*Pricing!$F$35+Assumptions!$B$125*Pricing!$F$36+Assumptions!$B$126*Pricing!$F$37))</f>
        <v/>
      </c>
      <c r="Q119" s="41">
        <f>Assumptions!$B$47*Q107*Assumptions!$B$192*Assumptions!$B$93/(Q108*Pricing!$B$19*Q44*Assumptions!$B$135*(Assumptions!$B$124*Pricing!$F$35+Assumptions!$B$125*Pricing!$F$36+Assumptions!$B$126*Pricing!$F$37))</f>
        <v/>
      </c>
      <c r="R119" s="41">
        <f>Assumptions!$B$47*R107*Assumptions!$B$192*Assumptions!$B$93/(R108*Pricing!$B$19*R44*Assumptions!$B$135*(Assumptions!$B$124*Pricing!$F$35+Assumptions!$B$125*Pricing!$F$36+Assumptions!$B$126*Pricing!$F$37))</f>
        <v/>
      </c>
      <c r="S119" s="41">
        <f>Assumptions!$B$47*S107*Assumptions!$B$192*Assumptions!$B$93/(S108*Pricing!$B$19*S44*Assumptions!$B$135*(Assumptions!$B$124*Pricing!$F$35+Assumptions!$B$125*Pricing!$F$36+Assumptions!$B$126*Pricing!$F$37))</f>
        <v/>
      </c>
      <c r="T119" s="41">
        <f>Assumptions!$B$47*T107*Assumptions!$B$192*Assumptions!$B$93/(T108*Pricing!$B$19*T44*Assumptions!$B$135*(Assumptions!$B$124*Pricing!$F$35+Assumptions!$B$125*Pricing!$F$36+Assumptions!$B$126*Pricing!$F$37))</f>
        <v/>
      </c>
      <c r="U119" s="41">
        <f>Assumptions!$B$47*U107*Assumptions!$B$192*Assumptions!$B$93/(U108*Pricing!$B$19*U44*Assumptions!$B$135*(Assumptions!$B$124*Pricing!$F$35+Assumptions!$B$125*Pricing!$F$36+Assumptions!$B$126*Pricing!$F$37))</f>
        <v/>
      </c>
      <c r="V119" s="41">
        <f>Assumptions!$B$47*V107*Assumptions!$B$192*Assumptions!$B$93/(V108*Pricing!$B$19*V44*Assumptions!$B$135*(Assumptions!$B$124*Pricing!$F$35+Assumptions!$B$125*Pricing!$F$36+Assumptions!$B$126*Pricing!$F$37))</f>
        <v/>
      </c>
      <c r="W119" s="41">
        <f>Assumptions!$B$47*W107*Assumptions!$B$192*Assumptions!$B$93/(W108*Pricing!$B$19*W44*Assumptions!$B$135*(Assumptions!$B$124*Pricing!$F$35+Assumptions!$B$125*Pricing!$F$36+Assumptions!$B$126*Pricing!$F$37))</f>
        <v/>
      </c>
      <c r="X119" s="41">
        <f>Assumptions!$B$47*X107*Assumptions!$B$192*Assumptions!$B$93/(X108*Pricing!$B$19*X44*Assumptions!$B$135*(Assumptions!$B$124*Pricing!$F$35+Assumptions!$B$125*Pricing!$F$36+Assumptions!$B$126*Pricing!$F$37))</f>
        <v/>
      </c>
      <c r="Y119" s="41">
        <f>Assumptions!$B$47*Y107*Assumptions!$B$192*Assumptions!$B$93/(Y108*Pricing!$B$19*Y44*Assumptions!$B$135*(Assumptions!$B$124*Pricing!$F$35+Assumptions!$B$125*Pricing!$F$36+Assumptions!$B$126*Pricing!$F$37))</f>
        <v/>
      </c>
      <c r="Z119" s="41">
        <f>Assumptions!$B$47*Z107*Assumptions!$B$192*Assumptions!$B$93/(Z108*Pricing!$B$19*Z44*Assumptions!$B$135*(Assumptions!$B$124*Pricing!$F$35+Assumptions!$B$125*Pricing!$F$36+Assumptions!$B$126*Pricing!$F$37))</f>
        <v/>
      </c>
      <c r="AA119" s="41">
        <f>Assumptions!$B$47*AA107*Assumptions!$B$192*Assumptions!$B$93/(AA108*Pricing!$B$19*AA44*Assumptions!$B$135*(Assumptions!$B$124*Pricing!$F$35+Assumptions!$B$125*Pricing!$F$36+Assumptions!$B$126*Pricing!$F$37))</f>
        <v/>
      </c>
      <c r="AB119" s="41">
        <f>Assumptions!$B$47*AB107*Assumptions!$B$192*Assumptions!$B$93/(AB108*Pricing!$B$19*AB44*Assumptions!$B$135*(Assumptions!$B$124*Pricing!$F$35+Assumptions!$B$125*Pricing!$F$36+Assumptions!$B$126*Pricing!$F$37))</f>
        <v/>
      </c>
      <c r="AC119" s="41">
        <f>Assumptions!$B$47*AC107*Assumptions!$B$192*Assumptions!$B$93/(AC108*Pricing!$B$19*AC44*Assumptions!$B$135*(Assumptions!$B$124*Pricing!$F$35+Assumptions!$B$125*Pricing!$F$36+Assumptions!$B$126*Pricing!$F$37))</f>
        <v/>
      </c>
      <c r="AD119" s="41">
        <f>Assumptions!$B$47*AD107*Assumptions!$B$192*Assumptions!$B$93/(AD108*Pricing!$B$19*AD44*Assumptions!$B$135*(Assumptions!$B$124*Pricing!$F$35+Assumptions!$B$125*Pricing!$F$36+Assumptions!$B$126*Pricing!$F$37))</f>
        <v/>
      </c>
      <c r="AE119" s="41">
        <f>Assumptions!$B$47*AE107*Assumptions!$B$192*Assumptions!$B$93/(AE108*Pricing!$B$19*AE44*Assumptions!$B$135*(Assumptions!$B$124*Pricing!$F$35+Assumptions!$B$125*Pricing!$F$36+Assumptions!$B$126*Pricing!$F$37))</f>
        <v/>
      </c>
      <c r="AF119" s="41">
        <f>Assumptions!$B$47*AF107*Assumptions!$B$192*Assumptions!$B$93/(AF108*Pricing!$B$19*AF44*Assumptions!$B$135*(Assumptions!$B$124*Pricing!$F$35+Assumptions!$B$125*Pricing!$F$36+Assumptions!$B$126*Pricing!$F$37))</f>
        <v/>
      </c>
      <c r="AG119" s="41">
        <f>Assumptions!$B$47*AG107*Assumptions!$B$192*Assumptions!$B$93/(AG108*Pricing!$B$19*AG44*Assumptions!$B$135*(Assumptions!$B$124*Pricing!$F$35+Assumptions!$B$125*Pricing!$F$36+Assumptions!$B$126*Pricing!$F$37))</f>
        <v/>
      </c>
      <c r="AH119" s="41">
        <f>Assumptions!$B$47*AH107*Assumptions!$B$192*Assumptions!$B$93/(AH108*Pricing!$B$19*AH44*Assumptions!$B$135*(Assumptions!$B$124*Pricing!$F$35+Assumptions!$B$125*Pricing!$F$36+Assumptions!$B$126*Pricing!$F$37))</f>
        <v/>
      </c>
      <c r="AI119" s="41">
        <f>Assumptions!$B$47*AI107*Assumptions!$B$192*Assumptions!$B$93/(AI108*Pricing!$B$19*AI44*Assumptions!$B$135*(Assumptions!$B$124*Pricing!$F$35+Assumptions!$B$125*Pricing!$F$36+Assumptions!$B$126*Pricing!$F$37))</f>
        <v/>
      </c>
      <c r="AJ119" s="41">
        <f>Assumptions!$B$47*AJ107*Assumptions!$B$192*Assumptions!$B$93/(AJ108*Pricing!$B$19*AJ44*Assumptions!$B$135*(Assumptions!$B$124*Pricing!$F$35+Assumptions!$B$125*Pricing!$F$36+Assumptions!$B$126*Pricing!$F$37))</f>
        <v/>
      </c>
      <c r="AK119" s="41">
        <f>Assumptions!$B$47*AK107*Assumptions!$B$192*Assumptions!$B$93/(AK108*Pricing!$B$19*AK44*Assumptions!$B$135*(Assumptions!$B$124*Pricing!$F$35+Assumptions!$B$125*Pricing!$F$36+Assumptions!$B$126*Pricing!$F$37))</f>
        <v/>
      </c>
      <c r="AL119" s="41">
        <f>Assumptions!$B$47*AL107*Assumptions!$B$192*Assumptions!$B$93/(AL108*Pricing!$B$19*AL44*Assumptions!$B$135*(Assumptions!$B$124*Pricing!$F$35+Assumptions!$B$125*Pricing!$F$36+Assumptions!$B$126*Pricing!$F$37))</f>
        <v/>
      </c>
      <c r="AM119" s="41">
        <f>Assumptions!$B$47*AM107*Assumptions!$B$192*Assumptions!$B$93/(AM108*Pricing!$B$19*AM44*Assumptions!$B$135*(Assumptions!$B$124*Pricing!$F$35+Assumptions!$B$125*Pricing!$F$36+Assumptions!$B$126*Pricing!$F$37))</f>
        <v/>
      </c>
      <c r="AN119" s="41">
        <f>Assumptions!$B$47*AN107*Assumptions!$B$192*Assumptions!$B$93/(AN108*Pricing!$B$19*AN44*Assumptions!$B$135*(Assumptions!$B$124*Pricing!$F$35+Assumptions!$B$125*Pricing!$F$36+Assumptions!$B$126*Pricing!$F$37))</f>
        <v/>
      </c>
      <c r="AO119" s="41">
        <f>Assumptions!$B$47*AO107*Assumptions!$B$192*Assumptions!$B$93/(AO108*Pricing!$B$19*AO44*Assumptions!$B$135*(Assumptions!$B$124*Pricing!$F$35+Assumptions!$B$125*Pricing!$F$36+Assumptions!$B$126*Pricing!$F$37))</f>
        <v/>
      </c>
      <c r="AP119" s="41">
        <f>Assumptions!$B$47*AP107*Assumptions!$B$192*Assumptions!$B$93/(AP108*Pricing!$B$19*AP44*Assumptions!$B$135*(Assumptions!$B$124*Pricing!$F$35+Assumptions!$B$125*Pricing!$F$36+Assumptions!$B$126*Pricing!$F$37))</f>
        <v/>
      </c>
      <c r="AQ119" s="41">
        <f>Assumptions!$B$47*AQ107*Assumptions!$B$192*Assumptions!$B$93/(AQ108*Pricing!$B$19*AQ44*Assumptions!$B$135*(Assumptions!$B$124*Pricing!$F$35+Assumptions!$B$125*Pricing!$F$36+Assumptions!$B$126*Pricing!$F$37))</f>
        <v/>
      </c>
      <c r="AR119" s="41">
        <f>Assumptions!$B$47*AR107*Assumptions!$B$192*Assumptions!$B$93/(AR108*Pricing!$B$19*AR44*Assumptions!$B$135*(Assumptions!$B$124*Pricing!$F$35+Assumptions!$B$125*Pricing!$F$36+Assumptions!$B$126*Pricing!$F$37))</f>
        <v/>
      </c>
      <c r="AS119" s="41">
        <f>Assumptions!$B$47*AS107*Assumptions!$B$192*Assumptions!$B$93/(AS108*Pricing!$B$19*AS44*Assumptions!$B$135*(Assumptions!$B$124*Pricing!$F$35+Assumptions!$B$125*Pricing!$F$36+Assumptions!$B$126*Pricing!$F$37))</f>
        <v/>
      </c>
      <c r="AT119" s="41">
        <f>Assumptions!$B$47*AT107*Assumptions!$B$192*Assumptions!$B$93/(AT108*Pricing!$B$19*AT44*Assumptions!$B$135*(Assumptions!$B$124*Pricing!$F$35+Assumptions!$B$125*Pricing!$F$36+Assumptions!$B$126*Pricing!$F$37))</f>
        <v/>
      </c>
      <c r="AU119" s="41">
        <f>Assumptions!$B$47*AU107*Assumptions!$B$192*Assumptions!$B$93/(AU108*Pricing!$B$19*AU44*Assumptions!$B$135*(Assumptions!$B$124*Pricing!$F$35+Assumptions!$B$125*Pricing!$F$36+Assumptions!$B$126*Pricing!$F$37))</f>
        <v/>
      </c>
      <c r="AV119" s="41">
        <f>Assumptions!$B$47*AV107*Assumptions!$B$192*Assumptions!$B$93/(AV108*Pricing!$B$19*AV44*Assumptions!$B$135*(Assumptions!$B$124*Pricing!$F$35+Assumptions!$B$125*Pricing!$F$36+Assumptions!$B$126*Pricing!$F$37))</f>
        <v/>
      </c>
      <c r="AW119" s="41">
        <f>Assumptions!$B$47*AW107*Assumptions!$B$192*Assumptions!$B$93/(AW108*Pricing!$B$19*AW44*Assumptions!$B$135*(Assumptions!$B$124*Pricing!$F$35+Assumptions!$B$125*Pricing!$F$36+Assumptions!$B$126*Pricing!$F$37))</f>
        <v/>
      </c>
      <c r="AX119" s="41">
        <f>Assumptions!$B$47*AX107*Assumptions!$B$192*Assumptions!$B$93/(AX108*Pricing!$B$19*AX44*Assumptions!$B$135*(Assumptions!$B$124*Pricing!$F$35+Assumptions!$B$125*Pricing!$F$36+Assumptions!$B$126*Pricing!$F$37))</f>
        <v/>
      </c>
      <c r="AY119" s="41">
        <f>Assumptions!$B$47*AY107*Assumptions!$B$192*Assumptions!$B$93/(AY108*Pricing!$B$19*AY44*Assumptions!$B$135*(Assumptions!$B$124*Pricing!$F$35+Assumptions!$B$125*Pricing!$F$36+Assumptions!$B$126*Pricing!$F$37))</f>
        <v/>
      </c>
      <c r="AZ119" s="41">
        <f>Assumptions!$B$47*AZ107*Assumptions!$B$192*Assumptions!$B$93/(AZ108*Pricing!$B$19*AZ44*Assumptions!$B$135*(Assumptions!$B$124*Pricing!$F$35+Assumptions!$B$125*Pricing!$F$36+Assumptions!$B$126*Pricing!$F$37))</f>
        <v/>
      </c>
      <c r="BA119" s="41">
        <f>Assumptions!$B$47*BA107*Assumptions!$B$192*Assumptions!$B$93/(BA108*Pricing!$B$19*BA44*Assumptions!$B$135*(Assumptions!$B$124*Pricing!$F$35+Assumptions!$B$125*Pricing!$F$36+Assumptions!$B$126*Pricing!$F$37))</f>
        <v/>
      </c>
      <c r="BB119" s="41">
        <f>Assumptions!$B$47*BB107*Assumptions!$B$192*Assumptions!$B$93/(BB108*Pricing!$B$19*BB44*Assumptions!$B$135*(Assumptions!$B$124*Pricing!$F$35+Assumptions!$B$125*Pricing!$F$36+Assumptions!$B$126*Pricing!$F$37))</f>
        <v/>
      </c>
      <c r="BC119" s="41">
        <f>Assumptions!$B$47*BC107*Assumptions!$B$192*Assumptions!$B$93/(BC108*Pricing!$B$19*BC44*Assumptions!$B$135*(Assumptions!$B$124*Pricing!$F$35+Assumptions!$B$125*Pricing!$F$36+Assumptions!$B$126*Pricing!$F$37))</f>
        <v/>
      </c>
      <c r="BD119" s="41">
        <f>Assumptions!$B$47*BD107*Assumptions!$B$192*Assumptions!$B$93/(BD108*Pricing!$B$19*BD44*Assumptions!$B$135*(Assumptions!$B$124*Pricing!$F$35+Assumptions!$B$125*Pricing!$F$36+Assumptions!$B$126*Pricing!$F$37))</f>
        <v/>
      </c>
      <c r="BE119" s="41">
        <f>Assumptions!$B$47*BE107*Assumptions!$B$192*Assumptions!$B$93/(BE108*Pricing!$B$19*BE44*Assumptions!$B$135*(Assumptions!$B$124*Pricing!$F$35+Assumptions!$B$125*Pricing!$F$36+Assumptions!$B$126*Pricing!$F$37))</f>
        <v/>
      </c>
      <c r="BF119" s="41">
        <f>Assumptions!$B$47*BF107*Assumptions!$B$192*Assumptions!$B$93/(BF108*Pricing!$B$19*BF44*Assumptions!$B$135*(Assumptions!$B$124*Pricing!$F$35+Assumptions!$B$125*Pricing!$F$36+Assumptions!$B$126*Pricing!$F$37))</f>
        <v/>
      </c>
      <c r="BG119" s="41">
        <f>Assumptions!$B$47*BG107*Assumptions!$B$192*Assumptions!$B$93/(BG108*Pricing!$B$19*BG44*Assumptions!$B$135*(Assumptions!$B$124*Pricing!$F$35+Assumptions!$B$125*Pricing!$F$36+Assumptions!$B$126*Pricing!$F$37))</f>
        <v/>
      </c>
      <c r="BH119" s="41">
        <f>Assumptions!$B$47*BH107*Assumptions!$B$192*Assumptions!$B$93/(BH108*Pricing!$B$19*BH44*Assumptions!$B$135*(Assumptions!$B$124*Pricing!$F$35+Assumptions!$B$125*Pricing!$F$36+Assumptions!$B$126*Pricing!$F$37))</f>
        <v/>
      </c>
      <c r="BI119" s="41">
        <f>Assumptions!$B$47*BI107*Assumptions!$B$192*Assumptions!$B$93/(BI108*Pricing!$B$19*BI44*Assumptions!$B$135*(Assumptions!$B$124*Pricing!$F$35+Assumptions!$B$125*Pricing!$F$36+Assumptions!$B$126*Pricing!$F$37))</f>
        <v/>
      </c>
      <c r="BJ119" s="41">
        <f>Assumptions!$B$47*BJ107*Assumptions!$B$192*Assumptions!$B$93/(BJ108*Pricing!$B$19*BJ44*Assumptions!$B$135*(Assumptions!$B$124*Pricing!$F$35+Assumptions!$B$125*Pricing!$F$36+Assumptions!$B$126*Pricing!$F$37))</f>
        <v/>
      </c>
    </row>
    <row r="120">
      <c r="A120" s="4" t="inlineStr">
        <is>
          <t>Paid acquisition allowed (payback &lt;= max), Solo: Rest of Africa (USD)</t>
        </is>
      </c>
      <c r="B120" s="17" t="inlineStr">
        <is>
          <t>flag</t>
        </is>
      </c>
      <c r="C120" s="10">
        <f>IF(C119&lt;=Assumptions!$B$134,1,0)</f>
        <v/>
      </c>
      <c r="D120" s="10">
        <f>IF(D119&lt;=Assumptions!$B$134,1,0)</f>
        <v/>
      </c>
      <c r="E120" s="10">
        <f>IF(E119&lt;=Assumptions!$B$134,1,0)</f>
        <v/>
      </c>
      <c r="F120" s="10">
        <f>IF(F119&lt;=Assumptions!$B$134,1,0)</f>
        <v/>
      </c>
      <c r="G120" s="10">
        <f>IF(G119&lt;=Assumptions!$B$134,1,0)</f>
        <v/>
      </c>
      <c r="H120" s="10">
        <f>IF(H119&lt;=Assumptions!$B$134,1,0)</f>
        <v/>
      </c>
      <c r="I120" s="10">
        <f>IF(I119&lt;=Assumptions!$B$134,1,0)</f>
        <v/>
      </c>
      <c r="J120" s="10">
        <f>IF(J119&lt;=Assumptions!$B$134,1,0)</f>
        <v/>
      </c>
      <c r="K120" s="10">
        <f>IF(K119&lt;=Assumptions!$B$134,1,0)</f>
        <v/>
      </c>
      <c r="L120" s="10">
        <f>IF(L119&lt;=Assumptions!$B$134,1,0)</f>
        <v/>
      </c>
      <c r="M120" s="10">
        <f>IF(M119&lt;=Assumptions!$B$134,1,0)</f>
        <v/>
      </c>
      <c r="N120" s="10">
        <f>IF(N119&lt;=Assumptions!$B$134,1,0)</f>
        <v/>
      </c>
      <c r="O120" s="10">
        <f>IF(O119&lt;=Assumptions!$B$134,1,0)</f>
        <v/>
      </c>
      <c r="P120" s="10">
        <f>IF(P119&lt;=Assumptions!$B$134,1,0)</f>
        <v/>
      </c>
      <c r="Q120" s="10">
        <f>IF(Q119&lt;=Assumptions!$B$134,1,0)</f>
        <v/>
      </c>
      <c r="R120" s="10">
        <f>IF(R119&lt;=Assumptions!$B$134,1,0)</f>
        <v/>
      </c>
      <c r="S120" s="10">
        <f>IF(S119&lt;=Assumptions!$B$134,1,0)</f>
        <v/>
      </c>
      <c r="T120" s="10">
        <f>IF(T119&lt;=Assumptions!$B$134,1,0)</f>
        <v/>
      </c>
      <c r="U120" s="10">
        <f>IF(U119&lt;=Assumptions!$B$134,1,0)</f>
        <v/>
      </c>
      <c r="V120" s="10">
        <f>IF(V119&lt;=Assumptions!$B$134,1,0)</f>
        <v/>
      </c>
      <c r="W120" s="10">
        <f>IF(W119&lt;=Assumptions!$B$134,1,0)</f>
        <v/>
      </c>
      <c r="X120" s="10">
        <f>IF(X119&lt;=Assumptions!$B$134,1,0)</f>
        <v/>
      </c>
      <c r="Y120" s="10">
        <f>IF(Y119&lt;=Assumptions!$B$134,1,0)</f>
        <v/>
      </c>
      <c r="Z120" s="10">
        <f>IF(Z119&lt;=Assumptions!$B$134,1,0)</f>
        <v/>
      </c>
      <c r="AA120" s="10">
        <f>IF(AA119&lt;=Assumptions!$B$134,1,0)</f>
        <v/>
      </c>
      <c r="AB120" s="10">
        <f>IF(AB119&lt;=Assumptions!$B$134,1,0)</f>
        <v/>
      </c>
      <c r="AC120" s="10">
        <f>IF(AC119&lt;=Assumptions!$B$134,1,0)</f>
        <v/>
      </c>
      <c r="AD120" s="10">
        <f>IF(AD119&lt;=Assumptions!$B$134,1,0)</f>
        <v/>
      </c>
      <c r="AE120" s="10">
        <f>IF(AE119&lt;=Assumptions!$B$134,1,0)</f>
        <v/>
      </c>
      <c r="AF120" s="10">
        <f>IF(AF119&lt;=Assumptions!$B$134,1,0)</f>
        <v/>
      </c>
      <c r="AG120" s="10">
        <f>IF(AG119&lt;=Assumptions!$B$134,1,0)</f>
        <v/>
      </c>
      <c r="AH120" s="10">
        <f>IF(AH119&lt;=Assumptions!$B$134,1,0)</f>
        <v/>
      </c>
      <c r="AI120" s="10">
        <f>IF(AI119&lt;=Assumptions!$B$134,1,0)</f>
        <v/>
      </c>
      <c r="AJ120" s="10">
        <f>IF(AJ119&lt;=Assumptions!$B$134,1,0)</f>
        <v/>
      </c>
      <c r="AK120" s="10">
        <f>IF(AK119&lt;=Assumptions!$B$134,1,0)</f>
        <v/>
      </c>
      <c r="AL120" s="10">
        <f>IF(AL119&lt;=Assumptions!$B$134,1,0)</f>
        <v/>
      </c>
      <c r="AM120" s="10">
        <f>IF(AM119&lt;=Assumptions!$B$134,1,0)</f>
        <v/>
      </c>
      <c r="AN120" s="10">
        <f>IF(AN119&lt;=Assumptions!$B$134,1,0)</f>
        <v/>
      </c>
      <c r="AO120" s="10">
        <f>IF(AO119&lt;=Assumptions!$B$134,1,0)</f>
        <v/>
      </c>
      <c r="AP120" s="10">
        <f>IF(AP119&lt;=Assumptions!$B$134,1,0)</f>
        <v/>
      </c>
      <c r="AQ120" s="10">
        <f>IF(AQ119&lt;=Assumptions!$B$134,1,0)</f>
        <v/>
      </c>
      <c r="AR120" s="10">
        <f>IF(AR119&lt;=Assumptions!$B$134,1,0)</f>
        <v/>
      </c>
      <c r="AS120" s="10">
        <f>IF(AS119&lt;=Assumptions!$B$134,1,0)</f>
        <v/>
      </c>
      <c r="AT120" s="10">
        <f>IF(AT119&lt;=Assumptions!$B$134,1,0)</f>
        <v/>
      </c>
      <c r="AU120" s="10">
        <f>IF(AU119&lt;=Assumptions!$B$134,1,0)</f>
        <v/>
      </c>
      <c r="AV120" s="10">
        <f>IF(AV119&lt;=Assumptions!$B$134,1,0)</f>
        <v/>
      </c>
      <c r="AW120" s="10">
        <f>IF(AW119&lt;=Assumptions!$B$134,1,0)</f>
        <v/>
      </c>
      <c r="AX120" s="10">
        <f>IF(AX119&lt;=Assumptions!$B$134,1,0)</f>
        <v/>
      </c>
      <c r="AY120" s="10">
        <f>IF(AY119&lt;=Assumptions!$B$134,1,0)</f>
        <v/>
      </c>
      <c r="AZ120" s="10">
        <f>IF(AZ119&lt;=Assumptions!$B$134,1,0)</f>
        <v/>
      </c>
      <c r="BA120" s="10">
        <f>IF(BA119&lt;=Assumptions!$B$134,1,0)</f>
        <v/>
      </c>
      <c r="BB120" s="10">
        <f>IF(BB119&lt;=Assumptions!$B$134,1,0)</f>
        <v/>
      </c>
      <c r="BC120" s="10">
        <f>IF(BC119&lt;=Assumptions!$B$134,1,0)</f>
        <v/>
      </c>
      <c r="BD120" s="10">
        <f>IF(BD119&lt;=Assumptions!$B$134,1,0)</f>
        <v/>
      </c>
      <c r="BE120" s="10">
        <f>IF(BE119&lt;=Assumptions!$B$134,1,0)</f>
        <v/>
      </c>
      <c r="BF120" s="10">
        <f>IF(BF119&lt;=Assumptions!$B$134,1,0)</f>
        <v/>
      </c>
      <c r="BG120" s="10">
        <f>IF(BG119&lt;=Assumptions!$B$134,1,0)</f>
        <v/>
      </c>
      <c r="BH120" s="10">
        <f>IF(BH119&lt;=Assumptions!$B$134,1,0)</f>
        <v/>
      </c>
      <c r="BI120" s="10">
        <f>IF(BI119&lt;=Assumptions!$B$134,1,0)</f>
        <v/>
      </c>
      <c r="BJ120" s="10">
        <f>IF(BJ119&lt;=Assumptions!$B$134,1,0)</f>
        <v/>
      </c>
    </row>
    <row r="121">
      <c r="A121" s="4" t="inlineStr">
        <is>
          <t>CAC payback, Solo: Botswana &amp; Namibia</t>
        </is>
      </c>
      <c r="B121" s="17" t="inlineStr">
        <is>
          <t>months</t>
        </is>
      </c>
      <c r="C121" s="41">
        <f>Assumptions!$B$47*C107*Assumptions!$B$192*Assumptions!$B$101/(C108*Pricing!$B$19*Assumptions!$B$135*(Assumptions!$B$124*Pricing!$G$35+Assumptions!$B$125*Pricing!$G$36+Assumptions!$B$126*Pricing!$G$37))</f>
        <v/>
      </c>
      <c r="D121" s="41">
        <f>Assumptions!$B$47*D107*Assumptions!$B$192*Assumptions!$B$101/(D108*Pricing!$B$19*Assumptions!$B$135*(Assumptions!$B$124*Pricing!$G$35+Assumptions!$B$125*Pricing!$G$36+Assumptions!$B$126*Pricing!$G$37))</f>
        <v/>
      </c>
      <c r="E121" s="41">
        <f>Assumptions!$B$47*E107*Assumptions!$B$192*Assumptions!$B$101/(E108*Pricing!$B$19*Assumptions!$B$135*(Assumptions!$B$124*Pricing!$G$35+Assumptions!$B$125*Pricing!$G$36+Assumptions!$B$126*Pricing!$G$37))</f>
        <v/>
      </c>
      <c r="F121" s="41">
        <f>Assumptions!$B$47*F107*Assumptions!$B$192*Assumptions!$B$101/(F108*Pricing!$B$19*Assumptions!$B$135*(Assumptions!$B$124*Pricing!$G$35+Assumptions!$B$125*Pricing!$G$36+Assumptions!$B$126*Pricing!$G$37))</f>
        <v/>
      </c>
      <c r="G121" s="41">
        <f>Assumptions!$B$47*G107*Assumptions!$B$192*Assumptions!$B$101/(G108*Pricing!$B$19*Assumptions!$B$135*(Assumptions!$B$124*Pricing!$G$35+Assumptions!$B$125*Pricing!$G$36+Assumptions!$B$126*Pricing!$G$37))</f>
        <v/>
      </c>
      <c r="H121" s="41">
        <f>Assumptions!$B$47*H107*Assumptions!$B$192*Assumptions!$B$101/(H108*Pricing!$B$19*Assumptions!$B$135*(Assumptions!$B$124*Pricing!$G$35+Assumptions!$B$125*Pricing!$G$36+Assumptions!$B$126*Pricing!$G$37))</f>
        <v/>
      </c>
      <c r="I121" s="41">
        <f>Assumptions!$B$47*I107*Assumptions!$B$192*Assumptions!$B$101/(I108*Pricing!$B$19*Assumptions!$B$135*(Assumptions!$B$124*Pricing!$G$35+Assumptions!$B$125*Pricing!$G$36+Assumptions!$B$126*Pricing!$G$37))</f>
        <v/>
      </c>
      <c r="J121" s="41">
        <f>Assumptions!$B$47*J107*Assumptions!$B$192*Assumptions!$B$101/(J108*Pricing!$B$19*Assumptions!$B$135*(Assumptions!$B$124*Pricing!$G$35+Assumptions!$B$125*Pricing!$G$36+Assumptions!$B$126*Pricing!$G$37))</f>
        <v/>
      </c>
      <c r="K121" s="41">
        <f>Assumptions!$B$47*K107*Assumptions!$B$192*Assumptions!$B$101/(K108*Pricing!$B$19*Assumptions!$B$135*(Assumptions!$B$124*Pricing!$G$35+Assumptions!$B$125*Pricing!$G$36+Assumptions!$B$126*Pricing!$G$37))</f>
        <v/>
      </c>
      <c r="L121" s="41">
        <f>Assumptions!$B$47*L107*Assumptions!$B$192*Assumptions!$B$101/(L108*Pricing!$B$19*Assumptions!$B$135*(Assumptions!$B$124*Pricing!$G$35+Assumptions!$B$125*Pricing!$G$36+Assumptions!$B$126*Pricing!$G$37))</f>
        <v/>
      </c>
      <c r="M121" s="41">
        <f>Assumptions!$B$47*M107*Assumptions!$B$192*Assumptions!$B$101/(M108*Pricing!$B$19*Assumptions!$B$135*(Assumptions!$B$124*Pricing!$G$35+Assumptions!$B$125*Pricing!$G$36+Assumptions!$B$126*Pricing!$G$37))</f>
        <v/>
      </c>
      <c r="N121" s="41">
        <f>Assumptions!$B$47*N107*Assumptions!$B$192*Assumptions!$B$101/(N108*Pricing!$B$19*Assumptions!$B$135*(Assumptions!$B$124*Pricing!$G$35+Assumptions!$B$125*Pricing!$G$36+Assumptions!$B$126*Pricing!$G$37))</f>
        <v/>
      </c>
      <c r="O121" s="41">
        <f>Assumptions!$B$47*O107*Assumptions!$B$192*Assumptions!$B$101/(O108*Pricing!$B$19*Assumptions!$B$135*(Assumptions!$B$124*Pricing!$G$35+Assumptions!$B$125*Pricing!$G$36+Assumptions!$B$126*Pricing!$G$37))</f>
        <v/>
      </c>
      <c r="P121" s="41">
        <f>Assumptions!$B$47*P107*Assumptions!$B$192*Assumptions!$B$101/(P108*Pricing!$B$19*Assumptions!$B$135*(Assumptions!$B$124*Pricing!$G$35+Assumptions!$B$125*Pricing!$G$36+Assumptions!$B$126*Pricing!$G$37))</f>
        <v/>
      </c>
      <c r="Q121" s="41">
        <f>Assumptions!$B$47*Q107*Assumptions!$B$192*Assumptions!$B$101/(Q108*Pricing!$B$19*Assumptions!$B$135*(Assumptions!$B$124*Pricing!$G$35+Assumptions!$B$125*Pricing!$G$36+Assumptions!$B$126*Pricing!$G$37))</f>
        <v/>
      </c>
      <c r="R121" s="41">
        <f>Assumptions!$B$47*R107*Assumptions!$B$192*Assumptions!$B$101/(R108*Pricing!$B$19*Assumptions!$B$135*(Assumptions!$B$124*Pricing!$G$35+Assumptions!$B$125*Pricing!$G$36+Assumptions!$B$126*Pricing!$G$37))</f>
        <v/>
      </c>
      <c r="S121" s="41">
        <f>Assumptions!$B$47*S107*Assumptions!$B$192*Assumptions!$B$101/(S108*Pricing!$B$19*Assumptions!$B$135*(Assumptions!$B$124*Pricing!$G$35+Assumptions!$B$125*Pricing!$G$36+Assumptions!$B$126*Pricing!$G$37))</f>
        <v/>
      </c>
      <c r="T121" s="41">
        <f>Assumptions!$B$47*T107*Assumptions!$B$192*Assumptions!$B$101/(T108*Pricing!$B$19*Assumptions!$B$135*(Assumptions!$B$124*Pricing!$G$35+Assumptions!$B$125*Pricing!$G$36+Assumptions!$B$126*Pricing!$G$37))</f>
        <v/>
      </c>
      <c r="U121" s="41">
        <f>Assumptions!$B$47*U107*Assumptions!$B$192*Assumptions!$B$101/(U108*Pricing!$B$19*Assumptions!$B$135*(Assumptions!$B$124*Pricing!$G$35+Assumptions!$B$125*Pricing!$G$36+Assumptions!$B$126*Pricing!$G$37))</f>
        <v/>
      </c>
      <c r="V121" s="41">
        <f>Assumptions!$B$47*V107*Assumptions!$B$192*Assumptions!$B$101/(V108*Pricing!$B$19*Assumptions!$B$135*(Assumptions!$B$124*Pricing!$G$35+Assumptions!$B$125*Pricing!$G$36+Assumptions!$B$126*Pricing!$G$37))</f>
        <v/>
      </c>
      <c r="W121" s="41">
        <f>Assumptions!$B$47*W107*Assumptions!$B$192*Assumptions!$B$101/(W108*Pricing!$B$19*Assumptions!$B$135*(Assumptions!$B$124*Pricing!$G$35+Assumptions!$B$125*Pricing!$G$36+Assumptions!$B$126*Pricing!$G$37))</f>
        <v/>
      </c>
      <c r="X121" s="41">
        <f>Assumptions!$B$47*X107*Assumptions!$B$192*Assumptions!$B$101/(X108*Pricing!$B$19*Assumptions!$B$135*(Assumptions!$B$124*Pricing!$G$35+Assumptions!$B$125*Pricing!$G$36+Assumptions!$B$126*Pricing!$G$37))</f>
        <v/>
      </c>
      <c r="Y121" s="41">
        <f>Assumptions!$B$47*Y107*Assumptions!$B$192*Assumptions!$B$101/(Y108*Pricing!$B$19*Assumptions!$B$135*(Assumptions!$B$124*Pricing!$G$35+Assumptions!$B$125*Pricing!$G$36+Assumptions!$B$126*Pricing!$G$37))</f>
        <v/>
      </c>
      <c r="Z121" s="41">
        <f>Assumptions!$B$47*Z107*Assumptions!$B$192*Assumptions!$B$101/(Z108*Pricing!$B$19*Assumptions!$B$135*(Assumptions!$B$124*Pricing!$G$35+Assumptions!$B$125*Pricing!$G$36+Assumptions!$B$126*Pricing!$G$37))</f>
        <v/>
      </c>
      <c r="AA121" s="41">
        <f>Assumptions!$B$47*AA107*Assumptions!$B$192*Assumptions!$B$101/(AA108*Pricing!$B$19*Assumptions!$B$135*(Assumptions!$B$124*Pricing!$G$35+Assumptions!$B$125*Pricing!$G$36+Assumptions!$B$126*Pricing!$G$37))</f>
        <v/>
      </c>
      <c r="AB121" s="41">
        <f>Assumptions!$B$47*AB107*Assumptions!$B$192*Assumptions!$B$101/(AB108*Pricing!$B$19*Assumptions!$B$135*(Assumptions!$B$124*Pricing!$G$35+Assumptions!$B$125*Pricing!$G$36+Assumptions!$B$126*Pricing!$G$37))</f>
        <v/>
      </c>
      <c r="AC121" s="41">
        <f>Assumptions!$B$47*AC107*Assumptions!$B$192*Assumptions!$B$101/(AC108*Pricing!$B$19*Assumptions!$B$135*(Assumptions!$B$124*Pricing!$G$35+Assumptions!$B$125*Pricing!$G$36+Assumptions!$B$126*Pricing!$G$37))</f>
        <v/>
      </c>
      <c r="AD121" s="41">
        <f>Assumptions!$B$47*AD107*Assumptions!$B$192*Assumptions!$B$101/(AD108*Pricing!$B$19*Assumptions!$B$135*(Assumptions!$B$124*Pricing!$G$35+Assumptions!$B$125*Pricing!$G$36+Assumptions!$B$126*Pricing!$G$37))</f>
        <v/>
      </c>
      <c r="AE121" s="41">
        <f>Assumptions!$B$47*AE107*Assumptions!$B$192*Assumptions!$B$101/(AE108*Pricing!$B$19*Assumptions!$B$135*(Assumptions!$B$124*Pricing!$G$35+Assumptions!$B$125*Pricing!$G$36+Assumptions!$B$126*Pricing!$G$37))</f>
        <v/>
      </c>
      <c r="AF121" s="41">
        <f>Assumptions!$B$47*AF107*Assumptions!$B$192*Assumptions!$B$101/(AF108*Pricing!$B$19*Assumptions!$B$135*(Assumptions!$B$124*Pricing!$G$35+Assumptions!$B$125*Pricing!$G$36+Assumptions!$B$126*Pricing!$G$37))</f>
        <v/>
      </c>
      <c r="AG121" s="41">
        <f>Assumptions!$B$47*AG107*Assumptions!$B$192*Assumptions!$B$101/(AG108*Pricing!$B$19*Assumptions!$B$135*(Assumptions!$B$124*Pricing!$G$35+Assumptions!$B$125*Pricing!$G$36+Assumptions!$B$126*Pricing!$G$37))</f>
        <v/>
      </c>
      <c r="AH121" s="41">
        <f>Assumptions!$B$47*AH107*Assumptions!$B$192*Assumptions!$B$101/(AH108*Pricing!$B$19*Assumptions!$B$135*(Assumptions!$B$124*Pricing!$G$35+Assumptions!$B$125*Pricing!$G$36+Assumptions!$B$126*Pricing!$G$37))</f>
        <v/>
      </c>
      <c r="AI121" s="41">
        <f>Assumptions!$B$47*AI107*Assumptions!$B$192*Assumptions!$B$101/(AI108*Pricing!$B$19*Assumptions!$B$135*(Assumptions!$B$124*Pricing!$G$35+Assumptions!$B$125*Pricing!$G$36+Assumptions!$B$126*Pricing!$G$37))</f>
        <v/>
      </c>
      <c r="AJ121" s="41">
        <f>Assumptions!$B$47*AJ107*Assumptions!$B$192*Assumptions!$B$101/(AJ108*Pricing!$B$19*Assumptions!$B$135*(Assumptions!$B$124*Pricing!$G$35+Assumptions!$B$125*Pricing!$G$36+Assumptions!$B$126*Pricing!$G$37))</f>
        <v/>
      </c>
      <c r="AK121" s="41">
        <f>Assumptions!$B$47*AK107*Assumptions!$B$192*Assumptions!$B$101/(AK108*Pricing!$B$19*Assumptions!$B$135*(Assumptions!$B$124*Pricing!$G$35+Assumptions!$B$125*Pricing!$G$36+Assumptions!$B$126*Pricing!$G$37))</f>
        <v/>
      </c>
      <c r="AL121" s="41">
        <f>Assumptions!$B$47*AL107*Assumptions!$B$192*Assumptions!$B$101/(AL108*Pricing!$B$19*Assumptions!$B$135*(Assumptions!$B$124*Pricing!$G$35+Assumptions!$B$125*Pricing!$G$36+Assumptions!$B$126*Pricing!$G$37))</f>
        <v/>
      </c>
      <c r="AM121" s="41">
        <f>Assumptions!$B$47*AM107*Assumptions!$B$192*Assumptions!$B$101/(AM108*Pricing!$B$19*Assumptions!$B$135*(Assumptions!$B$124*Pricing!$G$35+Assumptions!$B$125*Pricing!$G$36+Assumptions!$B$126*Pricing!$G$37))</f>
        <v/>
      </c>
      <c r="AN121" s="41">
        <f>Assumptions!$B$47*AN107*Assumptions!$B$192*Assumptions!$B$101/(AN108*Pricing!$B$19*Assumptions!$B$135*(Assumptions!$B$124*Pricing!$G$35+Assumptions!$B$125*Pricing!$G$36+Assumptions!$B$126*Pricing!$G$37))</f>
        <v/>
      </c>
      <c r="AO121" s="41">
        <f>Assumptions!$B$47*AO107*Assumptions!$B$192*Assumptions!$B$101/(AO108*Pricing!$B$19*Assumptions!$B$135*(Assumptions!$B$124*Pricing!$G$35+Assumptions!$B$125*Pricing!$G$36+Assumptions!$B$126*Pricing!$G$37))</f>
        <v/>
      </c>
      <c r="AP121" s="41">
        <f>Assumptions!$B$47*AP107*Assumptions!$B$192*Assumptions!$B$101/(AP108*Pricing!$B$19*Assumptions!$B$135*(Assumptions!$B$124*Pricing!$G$35+Assumptions!$B$125*Pricing!$G$36+Assumptions!$B$126*Pricing!$G$37))</f>
        <v/>
      </c>
      <c r="AQ121" s="41">
        <f>Assumptions!$B$47*AQ107*Assumptions!$B$192*Assumptions!$B$101/(AQ108*Pricing!$B$19*Assumptions!$B$135*(Assumptions!$B$124*Pricing!$G$35+Assumptions!$B$125*Pricing!$G$36+Assumptions!$B$126*Pricing!$G$37))</f>
        <v/>
      </c>
      <c r="AR121" s="41">
        <f>Assumptions!$B$47*AR107*Assumptions!$B$192*Assumptions!$B$101/(AR108*Pricing!$B$19*Assumptions!$B$135*(Assumptions!$B$124*Pricing!$G$35+Assumptions!$B$125*Pricing!$G$36+Assumptions!$B$126*Pricing!$G$37))</f>
        <v/>
      </c>
      <c r="AS121" s="41">
        <f>Assumptions!$B$47*AS107*Assumptions!$B$192*Assumptions!$B$101/(AS108*Pricing!$B$19*Assumptions!$B$135*(Assumptions!$B$124*Pricing!$G$35+Assumptions!$B$125*Pricing!$G$36+Assumptions!$B$126*Pricing!$G$37))</f>
        <v/>
      </c>
      <c r="AT121" s="41">
        <f>Assumptions!$B$47*AT107*Assumptions!$B$192*Assumptions!$B$101/(AT108*Pricing!$B$19*Assumptions!$B$135*(Assumptions!$B$124*Pricing!$G$35+Assumptions!$B$125*Pricing!$G$36+Assumptions!$B$126*Pricing!$G$37))</f>
        <v/>
      </c>
      <c r="AU121" s="41">
        <f>Assumptions!$B$47*AU107*Assumptions!$B$192*Assumptions!$B$101/(AU108*Pricing!$B$19*Assumptions!$B$135*(Assumptions!$B$124*Pricing!$G$35+Assumptions!$B$125*Pricing!$G$36+Assumptions!$B$126*Pricing!$G$37))</f>
        <v/>
      </c>
      <c r="AV121" s="41">
        <f>Assumptions!$B$47*AV107*Assumptions!$B$192*Assumptions!$B$101/(AV108*Pricing!$B$19*Assumptions!$B$135*(Assumptions!$B$124*Pricing!$G$35+Assumptions!$B$125*Pricing!$G$36+Assumptions!$B$126*Pricing!$G$37))</f>
        <v/>
      </c>
      <c r="AW121" s="41">
        <f>Assumptions!$B$47*AW107*Assumptions!$B$192*Assumptions!$B$101/(AW108*Pricing!$B$19*Assumptions!$B$135*(Assumptions!$B$124*Pricing!$G$35+Assumptions!$B$125*Pricing!$G$36+Assumptions!$B$126*Pricing!$G$37))</f>
        <v/>
      </c>
      <c r="AX121" s="41">
        <f>Assumptions!$B$47*AX107*Assumptions!$B$192*Assumptions!$B$101/(AX108*Pricing!$B$19*Assumptions!$B$135*(Assumptions!$B$124*Pricing!$G$35+Assumptions!$B$125*Pricing!$G$36+Assumptions!$B$126*Pricing!$G$37))</f>
        <v/>
      </c>
      <c r="AY121" s="41">
        <f>Assumptions!$B$47*AY107*Assumptions!$B$192*Assumptions!$B$101/(AY108*Pricing!$B$19*Assumptions!$B$135*(Assumptions!$B$124*Pricing!$G$35+Assumptions!$B$125*Pricing!$G$36+Assumptions!$B$126*Pricing!$G$37))</f>
        <v/>
      </c>
      <c r="AZ121" s="41">
        <f>Assumptions!$B$47*AZ107*Assumptions!$B$192*Assumptions!$B$101/(AZ108*Pricing!$B$19*Assumptions!$B$135*(Assumptions!$B$124*Pricing!$G$35+Assumptions!$B$125*Pricing!$G$36+Assumptions!$B$126*Pricing!$G$37))</f>
        <v/>
      </c>
      <c r="BA121" s="41">
        <f>Assumptions!$B$47*BA107*Assumptions!$B$192*Assumptions!$B$101/(BA108*Pricing!$B$19*Assumptions!$B$135*(Assumptions!$B$124*Pricing!$G$35+Assumptions!$B$125*Pricing!$G$36+Assumptions!$B$126*Pricing!$G$37))</f>
        <v/>
      </c>
      <c r="BB121" s="41">
        <f>Assumptions!$B$47*BB107*Assumptions!$B$192*Assumptions!$B$101/(BB108*Pricing!$B$19*Assumptions!$B$135*(Assumptions!$B$124*Pricing!$G$35+Assumptions!$B$125*Pricing!$G$36+Assumptions!$B$126*Pricing!$G$37))</f>
        <v/>
      </c>
      <c r="BC121" s="41">
        <f>Assumptions!$B$47*BC107*Assumptions!$B$192*Assumptions!$B$101/(BC108*Pricing!$B$19*Assumptions!$B$135*(Assumptions!$B$124*Pricing!$G$35+Assumptions!$B$125*Pricing!$G$36+Assumptions!$B$126*Pricing!$G$37))</f>
        <v/>
      </c>
      <c r="BD121" s="41">
        <f>Assumptions!$B$47*BD107*Assumptions!$B$192*Assumptions!$B$101/(BD108*Pricing!$B$19*Assumptions!$B$135*(Assumptions!$B$124*Pricing!$G$35+Assumptions!$B$125*Pricing!$G$36+Assumptions!$B$126*Pricing!$G$37))</f>
        <v/>
      </c>
      <c r="BE121" s="41">
        <f>Assumptions!$B$47*BE107*Assumptions!$B$192*Assumptions!$B$101/(BE108*Pricing!$B$19*Assumptions!$B$135*(Assumptions!$B$124*Pricing!$G$35+Assumptions!$B$125*Pricing!$G$36+Assumptions!$B$126*Pricing!$G$37))</f>
        <v/>
      </c>
      <c r="BF121" s="41">
        <f>Assumptions!$B$47*BF107*Assumptions!$B$192*Assumptions!$B$101/(BF108*Pricing!$B$19*Assumptions!$B$135*(Assumptions!$B$124*Pricing!$G$35+Assumptions!$B$125*Pricing!$G$36+Assumptions!$B$126*Pricing!$G$37))</f>
        <v/>
      </c>
      <c r="BG121" s="41">
        <f>Assumptions!$B$47*BG107*Assumptions!$B$192*Assumptions!$B$101/(BG108*Pricing!$B$19*Assumptions!$B$135*(Assumptions!$B$124*Pricing!$G$35+Assumptions!$B$125*Pricing!$G$36+Assumptions!$B$126*Pricing!$G$37))</f>
        <v/>
      </c>
      <c r="BH121" s="41">
        <f>Assumptions!$B$47*BH107*Assumptions!$B$192*Assumptions!$B$101/(BH108*Pricing!$B$19*Assumptions!$B$135*(Assumptions!$B$124*Pricing!$G$35+Assumptions!$B$125*Pricing!$G$36+Assumptions!$B$126*Pricing!$G$37))</f>
        <v/>
      </c>
      <c r="BI121" s="41">
        <f>Assumptions!$B$47*BI107*Assumptions!$B$192*Assumptions!$B$101/(BI108*Pricing!$B$19*Assumptions!$B$135*(Assumptions!$B$124*Pricing!$G$35+Assumptions!$B$125*Pricing!$G$36+Assumptions!$B$126*Pricing!$G$37))</f>
        <v/>
      </c>
      <c r="BJ121" s="41">
        <f>Assumptions!$B$47*BJ107*Assumptions!$B$192*Assumptions!$B$101/(BJ108*Pricing!$B$19*Assumptions!$B$135*(Assumptions!$B$124*Pricing!$G$35+Assumptions!$B$125*Pricing!$G$36+Assumptions!$B$126*Pricing!$G$37))</f>
        <v/>
      </c>
    </row>
    <row r="122">
      <c r="A122" s="4" t="inlineStr">
        <is>
          <t>Paid acquisition allowed (payback &lt;= max), Solo: Botswana &amp; Namibia</t>
        </is>
      </c>
      <c r="B122" s="17" t="inlineStr">
        <is>
          <t>flag</t>
        </is>
      </c>
      <c r="C122" s="10">
        <f>IF(C121&lt;=Assumptions!$B$134,1,0)</f>
        <v/>
      </c>
      <c r="D122" s="10">
        <f>IF(D121&lt;=Assumptions!$B$134,1,0)</f>
        <v/>
      </c>
      <c r="E122" s="10">
        <f>IF(E121&lt;=Assumptions!$B$134,1,0)</f>
        <v/>
      </c>
      <c r="F122" s="10">
        <f>IF(F121&lt;=Assumptions!$B$134,1,0)</f>
        <v/>
      </c>
      <c r="G122" s="10">
        <f>IF(G121&lt;=Assumptions!$B$134,1,0)</f>
        <v/>
      </c>
      <c r="H122" s="10">
        <f>IF(H121&lt;=Assumptions!$B$134,1,0)</f>
        <v/>
      </c>
      <c r="I122" s="10">
        <f>IF(I121&lt;=Assumptions!$B$134,1,0)</f>
        <v/>
      </c>
      <c r="J122" s="10">
        <f>IF(J121&lt;=Assumptions!$B$134,1,0)</f>
        <v/>
      </c>
      <c r="K122" s="10">
        <f>IF(K121&lt;=Assumptions!$B$134,1,0)</f>
        <v/>
      </c>
      <c r="L122" s="10">
        <f>IF(L121&lt;=Assumptions!$B$134,1,0)</f>
        <v/>
      </c>
      <c r="M122" s="10">
        <f>IF(M121&lt;=Assumptions!$B$134,1,0)</f>
        <v/>
      </c>
      <c r="N122" s="10">
        <f>IF(N121&lt;=Assumptions!$B$134,1,0)</f>
        <v/>
      </c>
      <c r="O122" s="10">
        <f>IF(O121&lt;=Assumptions!$B$134,1,0)</f>
        <v/>
      </c>
      <c r="P122" s="10">
        <f>IF(P121&lt;=Assumptions!$B$134,1,0)</f>
        <v/>
      </c>
      <c r="Q122" s="10">
        <f>IF(Q121&lt;=Assumptions!$B$134,1,0)</f>
        <v/>
      </c>
      <c r="R122" s="10">
        <f>IF(R121&lt;=Assumptions!$B$134,1,0)</f>
        <v/>
      </c>
      <c r="S122" s="10">
        <f>IF(S121&lt;=Assumptions!$B$134,1,0)</f>
        <v/>
      </c>
      <c r="T122" s="10">
        <f>IF(T121&lt;=Assumptions!$B$134,1,0)</f>
        <v/>
      </c>
      <c r="U122" s="10">
        <f>IF(U121&lt;=Assumptions!$B$134,1,0)</f>
        <v/>
      </c>
      <c r="V122" s="10">
        <f>IF(V121&lt;=Assumptions!$B$134,1,0)</f>
        <v/>
      </c>
      <c r="W122" s="10">
        <f>IF(W121&lt;=Assumptions!$B$134,1,0)</f>
        <v/>
      </c>
      <c r="X122" s="10">
        <f>IF(X121&lt;=Assumptions!$B$134,1,0)</f>
        <v/>
      </c>
      <c r="Y122" s="10">
        <f>IF(Y121&lt;=Assumptions!$B$134,1,0)</f>
        <v/>
      </c>
      <c r="Z122" s="10">
        <f>IF(Z121&lt;=Assumptions!$B$134,1,0)</f>
        <v/>
      </c>
      <c r="AA122" s="10">
        <f>IF(AA121&lt;=Assumptions!$B$134,1,0)</f>
        <v/>
      </c>
      <c r="AB122" s="10">
        <f>IF(AB121&lt;=Assumptions!$B$134,1,0)</f>
        <v/>
      </c>
      <c r="AC122" s="10">
        <f>IF(AC121&lt;=Assumptions!$B$134,1,0)</f>
        <v/>
      </c>
      <c r="AD122" s="10">
        <f>IF(AD121&lt;=Assumptions!$B$134,1,0)</f>
        <v/>
      </c>
      <c r="AE122" s="10">
        <f>IF(AE121&lt;=Assumptions!$B$134,1,0)</f>
        <v/>
      </c>
      <c r="AF122" s="10">
        <f>IF(AF121&lt;=Assumptions!$B$134,1,0)</f>
        <v/>
      </c>
      <c r="AG122" s="10">
        <f>IF(AG121&lt;=Assumptions!$B$134,1,0)</f>
        <v/>
      </c>
      <c r="AH122" s="10">
        <f>IF(AH121&lt;=Assumptions!$B$134,1,0)</f>
        <v/>
      </c>
      <c r="AI122" s="10">
        <f>IF(AI121&lt;=Assumptions!$B$134,1,0)</f>
        <v/>
      </c>
      <c r="AJ122" s="10">
        <f>IF(AJ121&lt;=Assumptions!$B$134,1,0)</f>
        <v/>
      </c>
      <c r="AK122" s="10">
        <f>IF(AK121&lt;=Assumptions!$B$134,1,0)</f>
        <v/>
      </c>
      <c r="AL122" s="10">
        <f>IF(AL121&lt;=Assumptions!$B$134,1,0)</f>
        <v/>
      </c>
      <c r="AM122" s="10">
        <f>IF(AM121&lt;=Assumptions!$B$134,1,0)</f>
        <v/>
      </c>
      <c r="AN122" s="10">
        <f>IF(AN121&lt;=Assumptions!$B$134,1,0)</f>
        <v/>
      </c>
      <c r="AO122" s="10">
        <f>IF(AO121&lt;=Assumptions!$B$134,1,0)</f>
        <v/>
      </c>
      <c r="AP122" s="10">
        <f>IF(AP121&lt;=Assumptions!$B$134,1,0)</f>
        <v/>
      </c>
      <c r="AQ122" s="10">
        <f>IF(AQ121&lt;=Assumptions!$B$134,1,0)</f>
        <v/>
      </c>
      <c r="AR122" s="10">
        <f>IF(AR121&lt;=Assumptions!$B$134,1,0)</f>
        <v/>
      </c>
      <c r="AS122" s="10">
        <f>IF(AS121&lt;=Assumptions!$B$134,1,0)</f>
        <v/>
      </c>
      <c r="AT122" s="10">
        <f>IF(AT121&lt;=Assumptions!$B$134,1,0)</f>
        <v/>
      </c>
      <c r="AU122" s="10">
        <f>IF(AU121&lt;=Assumptions!$B$134,1,0)</f>
        <v/>
      </c>
      <c r="AV122" s="10">
        <f>IF(AV121&lt;=Assumptions!$B$134,1,0)</f>
        <v/>
      </c>
      <c r="AW122" s="10">
        <f>IF(AW121&lt;=Assumptions!$B$134,1,0)</f>
        <v/>
      </c>
      <c r="AX122" s="10">
        <f>IF(AX121&lt;=Assumptions!$B$134,1,0)</f>
        <v/>
      </c>
      <c r="AY122" s="10">
        <f>IF(AY121&lt;=Assumptions!$B$134,1,0)</f>
        <v/>
      </c>
      <c r="AZ122" s="10">
        <f>IF(AZ121&lt;=Assumptions!$B$134,1,0)</f>
        <v/>
      </c>
      <c r="BA122" s="10">
        <f>IF(BA121&lt;=Assumptions!$B$134,1,0)</f>
        <v/>
      </c>
      <c r="BB122" s="10">
        <f>IF(BB121&lt;=Assumptions!$B$134,1,0)</f>
        <v/>
      </c>
      <c r="BC122" s="10">
        <f>IF(BC121&lt;=Assumptions!$B$134,1,0)</f>
        <v/>
      </c>
      <c r="BD122" s="10">
        <f>IF(BD121&lt;=Assumptions!$B$134,1,0)</f>
        <v/>
      </c>
      <c r="BE122" s="10">
        <f>IF(BE121&lt;=Assumptions!$B$134,1,0)</f>
        <v/>
      </c>
      <c r="BF122" s="10">
        <f>IF(BF121&lt;=Assumptions!$B$134,1,0)</f>
        <v/>
      </c>
      <c r="BG122" s="10">
        <f>IF(BG121&lt;=Assumptions!$B$134,1,0)</f>
        <v/>
      </c>
      <c r="BH122" s="10">
        <f>IF(BH121&lt;=Assumptions!$B$134,1,0)</f>
        <v/>
      </c>
      <c r="BI122" s="10">
        <f>IF(BI121&lt;=Assumptions!$B$134,1,0)</f>
        <v/>
      </c>
      <c r="BJ122" s="10">
        <f>IF(BJ121&lt;=Assumptions!$B$134,1,0)</f>
        <v/>
      </c>
    </row>
    <row r="123">
      <c r="A123" s="4" t="inlineStr">
        <is>
          <t>CAC payback, SMEs: South Africa</t>
        </is>
      </c>
      <c r="B123" s="17" t="inlineStr">
        <is>
          <t>months</t>
        </is>
      </c>
      <c r="C123" s="41">
        <f>Assumptions!$B$47*C107*Assumptions!$B$193/(C108*Pricing!$B$19*Assumptions!$B$135*(Assumptions!$B$127*Pricing!$B$37+Assumptions!$B$128*Pricing!$B$38+Assumptions!$B$129*Pricing!$B$39))</f>
        <v/>
      </c>
      <c r="D123" s="41">
        <f>Assumptions!$B$47*D107*Assumptions!$B$193/(D108*Pricing!$B$19*Assumptions!$B$135*(Assumptions!$B$127*Pricing!$B$37+Assumptions!$B$128*Pricing!$B$38+Assumptions!$B$129*Pricing!$B$39))</f>
        <v/>
      </c>
      <c r="E123" s="41">
        <f>Assumptions!$B$47*E107*Assumptions!$B$193/(E108*Pricing!$B$19*Assumptions!$B$135*(Assumptions!$B$127*Pricing!$B$37+Assumptions!$B$128*Pricing!$B$38+Assumptions!$B$129*Pricing!$B$39))</f>
        <v/>
      </c>
      <c r="F123" s="41">
        <f>Assumptions!$B$47*F107*Assumptions!$B$193/(F108*Pricing!$B$19*Assumptions!$B$135*(Assumptions!$B$127*Pricing!$B$37+Assumptions!$B$128*Pricing!$B$38+Assumptions!$B$129*Pricing!$B$39))</f>
        <v/>
      </c>
      <c r="G123" s="41">
        <f>Assumptions!$B$47*G107*Assumptions!$B$193/(G108*Pricing!$B$19*Assumptions!$B$135*(Assumptions!$B$127*Pricing!$B$37+Assumptions!$B$128*Pricing!$B$38+Assumptions!$B$129*Pricing!$B$39))</f>
        <v/>
      </c>
      <c r="H123" s="41">
        <f>Assumptions!$B$47*H107*Assumptions!$B$193/(H108*Pricing!$B$19*Assumptions!$B$135*(Assumptions!$B$127*Pricing!$B$37+Assumptions!$B$128*Pricing!$B$38+Assumptions!$B$129*Pricing!$B$39))</f>
        <v/>
      </c>
      <c r="I123" s="41">
        <f>Assumptions!$B$47*I107*Assumptions!$B$193/(I108*Pricing!$B$19*Assumptions!$B$135*(Assumptions!$B$127*Pricing!$B$37+Assumptions!$B$128*Pricing!$B$38+Assumptions!$B$129*Pricing!$B$39))</f>
        <v/>
      </c>
      <c r="J123" s="41">
        <f>Assumptions!$B$47*J107*Assumptions!$B$193/(J108*Pricing!$B$19*Assumptions!$B$135*(Assumptions!$B$127*Pricing!$B$37+Assumptions!$B$128*Pricing!$B$38+Assumptions!$B$129*Pricing!$B$39))</f>
        <v/>
      </c>
      <c r="K123" s="41">
        <f>Assumptions!$B$47*K107*Assumptions!$B$193/(K108*Pricing!$B$19*Assumptions!$B$135*(Assumptions!$B$127*Pricing!$B$37+Assumptions!$B$128*Pricing!$B$38+Assumptions!$B$129*Pricing!$B$39))</f>
        <v/>
      </c>
      <c r="L123" s="41">
        <f>Assumptions!$B$47*L107*Assumptions!$B$193/(L108*Pricing!$B$19*Assumptions!$B$135*(Assumptions!$B$127*Pricing!$B$37+Assumptions!$B$128*Pricing!$B$38+Assumptions!$B$129*Pricing!$B$39))</f>
        <v/>
      </c>
      <c r="M123" s="41">
        <f>Assumptions!$B$47*M107*Assumptions!$B$193/(M108*Pricing!$B$19*Assumptions!$B$135*(Assumptions!$B$127*Pricing!$B$37+Assumptions!$B$128*Pricing!$B$38+Assumptions!$B$129*Pricing!$B$39))</f>
        <v/>
      </c>
      <c r="N123" s="41">
        <f>Assumptions!$B$47*N107*Assumptions!$B$193/(N108*Pricing!$B$19*Assumptions!$B$135*(Assumptions!$B$127*Pricing!$B$37+Assumptions!$B$128*Pricing!$B$38+Assumptions!$B$129*Pricing!$B$39))</f>
        <v/>
      </c>
      <c r="O123" s="41">
        <f>Assumptions!$B$47*O107*Assumptions!$B$193/(O108*Pricing!$B$19*Assumptions!$B$135*(Assumptions!$B$127*Pricing!$B$37+Assumptions!$B$128*Pricing!$B$38+Assumptions!$B$129*Pricing!$B$39))</f>
        <v/>
      </c>
      <c r="P123" s="41">
        <f>Assumptions!$B$47*P107*Assumptions!$B$193/(P108*Pricing!$B$19*Assumptions!$B$135*(Assumptions!$B$127*Pricing!$B$37+Assumptions!$B$128*Pricing!$B$38+Assumptions!$B$129*Pricing!$B$39))</f>
        <v/>
      </c>
      <c r="Q123" s="41">
        <f>Assumptions!$B$47*Q107*Assumptions!$B$193/(Q108*Pricing!$B$19*Assumptions!$B$135*(Assumptions!$B$127*Pricing!$B$37+Assumptions!$B$128*Pricing!$B$38+Assumptions!$B$129*Pricing!$B$39))</f>
        <v/>
      </c>
      <c r="R123" s="41">
        <f>Assumptions!$B$47*R107*Assumptions!$B$193/(R108*Pricing!$B$19*Assumptions!$B$135*(Assumptions!$B$127*Pricing!$B$37+Assumptions!$B$128*Pricing!$B$38+Assumptions!$B$129*Pricing!$B$39))</f>
        <v/>
      </c>
      <c r="S123" s="41">
        <f>Assumptions!$B$47*S107*Assumptions!$B$193/(S108*Pricing!$B$19*Assumptions!$B$135*(Assumptions!$B$127*Pricing!$B$37+Assumptions!$B$128*Pricing!$B$38+Assumptions!$B$129*Pricing!$B$39))</f>
        <v/>
      </c>
      <c r="T123" s="41">
        <f>Assumptions!$B$47*T107*Assumptions!$B$193/(T108*Pricing!$B$19*Assumptions!$B$135*(Assumptions!$B$127*Pricing!$B$37+Assumptions!$B$128*Pricing!$B$38+Assumptions!$B$129*Pricing!$B$39))</f>
        <v/>
      </c>
      <c r="U123" s="41">
        <f>Assumptions!$B$47*U107*Assumptions!$B$193/(U108*Pricing!$B$19*Assumptions!$B$135*(Assumptions!$B$127*Pricing!$B$37+Assumptions!$B$128*Pricing!$B$38+Assumptions!$B$129*Pricing!$B$39))</f>
        <v/>
      </c>
      <c r="V123" s="41">
        <f>Assumptions!$B$47*V107*Assumptions!$B$193/(V108*Pricing!$B$19*Assumptions!$B$135*(Assumptions!$B$127*Pricing!$B$37+Assumptions!$B$128*Pricing!$B$38+Assumptions!$B$129*Pricing!$B$39))</f>
        <v/>
      </c>
      <c r="W123" s="41">
        <f>Assumptions!$B$47*W107*Assumptions!$B$193/(W108*Pricing!$B$19*Assumptions!$B$135*(Assumptions!$B$127*Pricing!$B$37+Assumptions!$B$128*Pricing!$B$38+Assumptions!$B$129*Pricing!$B$39))</f>
        <v/>
      </c>
      <c r="X123" s="41">
        <f>Assumptions!$B$47*X107*Assumptions!$B$193/(X108*Pricing!$B$19*Assumptions!$B$135*(Assumptions!$B$127*Pricing!$B$37+Assumptions!$B$128*Pricing!$B$38+Assumptions!$B$129*Pricing!$B$39))</f>
        <v/>
      </c>
      <c r="Y123" s="41">
        <f>Assumptions!$B$47*Y107*Assumptions!$B$193/(Y108*Pricing!$B$19*Assumptions!$B$135*(Assumptions!$B$127*Pricing!$B$37+Assumptions!$B$128*Pricing!$B$38+Assumptions!$B$129*Pricing!$B$39))</f>
        <v/>
      </c>
      <c r="Z123" s="41">
        <f>Assumptions!$B$47*Z107*Assumptions!$B$193/(Z108*Pricing!$B$19*Assumptions!$B$135*(Assumptions!$B$127*Pricing!$B$37+Assumptions!$B$128*Pricing!$B$38+Assumptions!$B$129*Pricing!$B$39))</f>
        <v/>
      </c>
      <c r="AA123" s="41">
        <f>Assumptions!$B$47*AA107*Assumptions!$B$193/(AA108*Pricing!$B$19*Assumptions!$B$135*(Assumptions!$B$127*Pricing!$B$37+Assumptions!$B$128*Pricing!$B$38+Assumptions!$B$129*Pricing!$B$39))</f>
        <v/>
      </c>
      <c r="AB123" s="41">
        <f>Assumptions!$B$47*AB107*Assumptions!$B$193/(AB108*Pricing!$B$19*Assumptions!$B$135*(Assumptions!$B$127*Pricing!$B$37+Assumptions!$B$128*Pricing!$B$38+Assumptions!$B$129*Pricing!$B$39))</f>
        <v/>
      </c>
      <c r="AC123" s="41">
        <f>Assumptions!$B$47*AC107*Assumptions!$B$193/(AC108*Pricing!$B$19*Assumptions!$B$135*(Assumptions!$B$127*Pricing!$B$37+Assumptions!$B$128*Pricing!$B$38+Assumptions!$B$129*Pricing!$B$39))</f>
        <v/>
      </c>
      <c r="AD123" s="41">
        <f>Assumptions!$B$47*AD107*Assumptions!$B$193/(AD108*Pricing!$B$19*Assumptions!$B$135*(Assumptions!$B$127*Pricing!$B$37+Assumptions!$B$128*Pricing!$B$38+Assumptions!$B$129*Pricing!$B$39))</f>
        <v/>
      </c>
      <c r="AE123" s="41">
        <f>Assumptions!$B$47*AE107*Assumptions!$B$193/(AE108*Pricing!$B$19*Assumptions!$B$135*(Assumptions!$B$127*Pricing!$B$37+Assumptions!$B$128*Pricing!$B$38+Assumptions!$B$129*Pricing!$B$39))</f>
        <v/>
      </c>
      <c r="AF123" s="41">
        <f>Assumptions!$B$47*AF107*Assumptions!$B$193/(AF108*Pricing!$B$19*Assumptions!$B$135*(Assumptions!$B$127*Pricing!$B$37+Assumptions!$B$128*Pricing!$B$38+Assumptions!$B$129*Pricing!$B$39))</f>
        <v/>
      </c>
      <c r="AG123" s="41">
        <f>Assumptions!$B$47*AG107*Assumptions!$B$193/(AG108*Pricing!$B$19*Assumptions!$B$135*(Assumptions!$B$127*Pricing!$B$37+Assumptions!$B$128*Pricing!$B$38+Assumptions!$B$129*Pricing!$B$39))</f>
        <v/>
      </c>
      <c r="AH123" s="41">
        <f>Assumptions!$B$47*AH107*Assumptions!$B$193/(AH108*Pricing!$B$19*Assumptions!$B$135*(Assumptions!$B$127*Pricing!$B$37+Assumptions!$B$128*Pricing!$B$38+Assumptions!$B$129*Pricing!$B$39))</f>
        <v/>
      </c>
      <c r="AI123" s="41">
        <f>Assumptions!$B$47*AI107*Assumptions!$B$193/(AI108*Pricing!$B$19*Assumptions!$B$135*(Assumptions!$B$127*Pricing!$B$37+Assumptions!$B$128*Pricing!$B$38+Assumptions!$B$129*Pricing!$B$39))</f>
        <v/>
      </c>
      <c r="AJ123" s="41">
        <f>Assumptions!$B$47*AJ107*Assumptions!$B$193/(AJ108*Pricing!$B$19*Assumptions!$B$135*(Assumptions!$B$127*Pricing!$B$37+Assumptions!$B$128*Pricing!$B$38+Assumptions!$B$129*Pricing!$B$39))</f>
        <v/>
      </c>
      <c r="AK123" s="41">
        <f>Assumptions!$B$47*AK107*Assumptions!$B$193/(AK108*Pricing!$B$19*Assumptions!$B$135*(Assumptions!$B$127*Pricing!$B$37+Assumptions!$B$128*Pricing!$B$38+Assumptions!$B$129*Pricing!$B$39))</f>
        <v/>
      </c>
      <c r="AL123" s="41">
        <f>Assumptions!$B$47*AL107*Assumptions!$B$193/(AL108*Pricing!$B$19*Assumptions!$B$135*(Assumptions!$B$127*Pricing!$B$37+Assumptions!$B$128*Pricing!$B$38+Assumptions!$B$129*Pricing!$B$39))</f>
        <v/>
      </c>
      <c r="AM123" s="41">
        <f>Assumptions!$B$47*AM107*Assumptions!$B$193/(AM108*Pricing!$B$19*Assumptions!$B$135*(Assumptions!$B$127*Pricing!$B$37+Assumptions!$B$128*Pricing!$B$38+Assumptions!$B$129*Pricing!$B$39))</f>
        <v/>
      </c>
      <c r="AN123" s="41">
        <f>Assumptions!$B$47*AN107*Assumptions!$B$193/(AN108*Pricing!$B$19*Assumptions!$B$135*(Assumptions!$B$127*Pricing!$B$37+Assumptions!$B$128*Pricing!$B$38+Assumptions!$B$129*Pricing!$B$39))</f>
        <v/>
      </c>
      <c r="AO123" s="41">
        <f>Assumptions!$B$47*AO107*Assumptions!$B$193/(AO108*Pricing!$B$19*Assumptions!$B$135*(Assumptions!$B$127*Pricing!$B$37+Assumptions!$B$128*Pricing!$B$38+Assumptions!$B$129*Pricing!$B$39))</f>
        <v/>
      </c>
      <c r="AP123" s="41">
        <f>Assumptions!$B$47*AP107*Assumptions!$B$193/(AP108*Pricing!$B$19*Assumptions!$B$135*(Assumptions!$B$127*Pricing!$B$37+Assumptions!$B$128*Pricing!$B$38+Assumptions!$B$129*Pricing!$B$39))</f>
        <v/>
      </c>
      <c r="AQ123" s="41">
        <f>Assumptions!$B$47*AQ107*Assumptions!$B$193/(AQ108*Pricing!$B$19*Assumptions!$B$135*(Assumptions!$B$127*Pricing!$B$37+Assumptions!$B$128*Pricing!$B$38+Assumptions!$B$129*Pricing!$B$39))</f>
        <v/>
      </c>
      <c r="AR123" s="41">
        <f>Assumptions!$B$47*AR107*Assumptions!$B$193/(AR108*Pricing!$B$19*Assumptions!$B$135*(Assumptions!$B$127*Pricing!$B$37+Assumptions!$B$128*Pricing!$B$38+Assumptions!$B$129*Pricing!$B$39))</f>
        <v/>
      </c>
      <c r="AS123" s="41">
        <f>Assumptions!$B$47*AS107*Assumptions!$B$193/(AS108*Pricing!$B$19*Assumptions!$B$135*(Assumptions!$B$127*Pricing!$B$37+Assumptions!$B$128*Pricing!$B$38+Assumptions!$B$129*Pricing!$B$39))</f>
        <v/>
      </c>
      <c r="AT123" s="41">
        <f>Assumptions!$B$47*AT107*Assumptions!$B$193/(AT108*Pricing!$B$19*Assumptions!$B$135*(Assumptions!$B$127*Pricing!$B$37+Assumptions!$B$128*Pricing!$B$38+Assumptions!$B$129*Pricing!$B$39))</f>
        <v/>
      </c>
      <c r="AU123" s="41">
        <f>Assumptions!$B$47*AU107*Assumptions!$B$193/(AU108*Pricing!$B$19*Assumptions!$B$135*(Assumptions!$B$127*Pricing!$B$37+Assumptions!$B$128*Pricing!$B$38+Assumptions!$B$129*Pricing!$B$39))</f>
        <v/>
      </c>
      <c r="AV123" s="41">
        <f>Assumptions!$B$47*AV107*Assumptions!$B$193/(AV108*Pricing!$B$19*Assumptions!$B$135*(Assumptions!$B$127*Pricing!$B$37+Assumptions!$B$128*Pricing!$B$38+Assumptions!$B$129*Pricing!$B$39))</f>
        <v/>
      </c>
      <c r="AW123" s="41">
        <f>Assumptions!$B$47*AW107*Assumptions!$B$193/(AW108*Pricing!$B$19*Assumptions!$B$135*(Assumptions!$B$127*Pricing!$B$37+Assumptions!$B$128*Pricing!$B$38+Assumptions!$B$129*Pricing!$B$39))</f>
        <v/>
      </c>
      <c r="AX123" s="41">
        <f>Assumptions!$B$47*AX107*Assumptions!$B$193/(AX108*Pricing!$B$19*Assumptions!$B$135*(Assumptions!$B$127*Pricing!$B$37+Assumptions!$B$128*Pricing!$B$38+Assumptions!$B$129*Pricing!$B$39))</f>
        <v/>
      </c>
      <c r="AY123" s="41">
        <f>Assumptions!$B$47*AY107*Assumptions!$B$193/(AY108*Pricing!$B$19*Assumptions!$B$135*(Assumptions!$B$127*Pricing!$B$37+Assumptions!$B$128*Pricing!$B$38+Assumptions!$B$129*Pricing!$B$39))</f>
        <v/>
      </c>
      <c r="AZ123" s="41">
        <f>Assumptions!$B$47*AZ107*Assumptions!$B$193/(AZ108*Pricing!$B$19*Assumptions!$B$135*(Assumptions!$B$127*Pricing!$B$37+Assumptions!$B$128*Pricing!$B$38+Assumptions!$B$129*Pricing!$B$39))</f>
        <v/>
      </c>
      <c r="BA123" s="41">
        <f>Assumptions!$B$47*BA107*Assumptions!$B$193/(BA108*Pricing!$B$19*Assumptions!$B$135*(Assumptions!$B$127*Pricing!$B$37+Assumptions!$B$128*Pricing!$B$38+Assumptions!$B$129*Pricing!$B$39))</f>
        <v/>
      </c>
      <c r="BB123" s="41">
        <f>Assumptions!$B$47*BB107*Assumptions!$B$193/(BB108*Pricing!$B$19*Assumptions!$B$135*(Assumptions!$B$127*Pricing!$B$37+Assumptions!$B$128*Pricing!$B$38+Assumptions!$B$129*Pricing!$B$39))</f>
        <v/>
      </c>
      <c r="BC123" s="41">
        <f>Assumptions!$B$47*BC107*Assumptions!$B$193/(BC108*Pricing!$B$19*Assumptions!$B$135*(Assumptions!$B$127*Pricing!$B$37+Assumptions!$B$128*Pricing!$B$38+Assumptions!$B$129*Pricing!$B$39))</f>
        <v/>
      </c>
      <c r="BD123" s="41">
        <f>Assumptions!$B$47*BD107*Assumptions!$B$193/(BD108*Pricing!$B$19*Assumptions!$B$135*(Assumptions!$B$127*Pricing!$B$37+Assumptions!$B$128*Pricing!$B$38+Assumptions!$B$129*Pricing!$B$39))</f>
        <v/>
      </c>
      <c r="BE123" s="41">
        <f>Assumptions!$B$47*BE107*Assumptions!$B$193/(BE108*Pricing!$B$19*Assumptions!$B$135*(Assumptions!$B$127*Pricing!$B$37+Assumptions!$B$128*Pricing!$B$38+Assumptions!$B$129*Pricing!$B$39))</f>
        <v/>
      </c>
      <c r="BF123" s="41">
        <f>Assumptions!$B$47*BF107*Assumptions!$B$193/(BF108*Pricing!$B$19*Assumptions!$B$135*(Assumptions!$B$127*Pricing!$B$37+Assumptions!$B$128*Pricing!$B$38+Assumptions!$B$129*Pricing!$B$39))</f>
        <v/>
      </c>
      <c r="BG123" s="41">
        <f>Assumptions!$B$47*BG107*Assumptions!$B$193/(BG108*Pricing!$B$19*Assumptions!$B$135*(Assumptions!$B$127*Pricing!$B$37+Assumptions!$B$128*Pricing!$B$38+Assumptions!$B$129*Pricing!$B$39))</f>
        <v/>
      </c>
      <c r="BH123" s="41">
        <f>Assumptions!$B$47*BH107*Assumptions!$B$193/(BH108*Pricing!$B$19*Assumptions!$B$135*(Assumptions!$B$127*Pricing!$B$37+Assumptions!$B$128*Pricing!$B$38+Assumptions!$B$129*Pricing!$B$39))</f>
        <v/>
      </c>
      <c r="BI123" s="41">
        <f>Assumptions!$B$47*BI107*Assumptions!$B$193/(BI108*Pricing!$B$19*Assumptions!$B$135*(Assumptions!$B$127*Pricing!$B$37+Assumptions!$B$128*Pricing!$B$38+Assumptions!$B$129*Pricing!$B$39))</f>
        <v/>
      </c>
      <c r="BJ123" s="41">
        <f>Assumptions!$B$47*BJ107*Assumptions!$B$193/(BJ108*Pricing!$B$19*Assumptions!$B$135*(Assumptions!$B$127*Pricing!$B$37+Assumptions!$B$128*Pricing!$B$38+Assumptions!$B$129*Pricing!$B$39))</f>
        <v/>
      </c>
    </row>
    <row r="124">
      <c r="A124" s="4" t="inlineStr">
        <is>
          <t>Paid acquisition allowed (payback &lt;= max), SMEs: South Africa</t>
        </is>
      </c>
      <c r="B124" s="17" t="inlineStr">
        <is>
          <t>flag</t>
        </is>
      </c>
      <c r="C124" s="10">
        <f>IF(C123&lt;=Assumptions!$B$134,1,0)</f>
        <v/>
      </c>
      <c r="D124" s="10">
        <f>IF(D123&lt;=Assumptions!$B$134,1,0)</f>
        <v/>
      </c>
      <c r="E124" s="10">
        <f>IF(E123&lt;=Assumptions!$B$134,1,0)</f>
        <v/>
      </c>
      <c r="F124" s="10">
        <f>IF(F123&lt;=Assumptions!$B$134,1,0)</f>
        <v/>
      </c>
      <c r="G124" s="10">
        <f>IF(G123&lt;=Assumptions!$B$134,1,0)</f>
        <v/>
      </c>
      <c r="H124" s="10">
        <f>IF(H123&lt;=Assumptions!$B$134,1,0)</f>
        <v/>
      </c>
      <c r="I124" s="10">
        <f>IF(I123&lt;=Assumptions!$B$134,1,0)</f>
        <v/>
      </c>
      <c r="J124" s="10">
        <f>IF(J123&lt;=Assumptions!$B$134,1,0)</f>
        <v/>
      </c>
      <c r="K124" s="10">
        <f>IF(K123&lt;=Assumptions!$B$134,1,0)</f>
        <v/>
      </c>
      <c r="L124" s="10">
        <f>IF(L123&lt;=Assumptions!$B$134,1,0)</f>
        <v/>
      </c>
      <c r="M124" s="10">
        <f>IF(M123&lt;=Assumptions!$B$134,1,0)</f>
        <v/>
      </c>
      <c r="N124" s="10">
        <f>IF(N123&lt;=Assumptions!$B$134,1,0)</f>
        <v/>
      </c>
      <c r="O124" s="10">
        <f>IF(O123&lt;=Assumptions!$B$134,1,0)</f>
        <v/>
      </c>
      <c r="P124" s="10">
        <f>IF(P123&lt;=Assumptions!$B$134,1,0)</f>
        <v/>
      </c>
      <c r="Q124" s="10">
        <f>IF(Q123&lt;=Assumptions!$B$134,1,0)</f>
        <v/>
      </c>
      <c r="R124" s="10">
        <f>IF(R123&lt;=Assumptions!$B$134,1,0)</f>
        <v/>
      </c>
      <c r="S124" s="10">
        <f>IF(S123&lt;=Assumptions!$B$134,1,0)</f>
        <v/>
      </c>
      <c r="T124" s="10">
        <f>IF(T123&lt;=Assumptions!$B$134,1,0)</f>
        <v/>
      </c>
      <c r="U124" s="10">
        <f>IF(U123&lt;=Assumptions!$B$134,1,0)</f>
        <v/>
      </c>
      <c r="V124" s="10">
        <f>IF(V123&lt;=Assumptions!$B$134,1,0)</f>
        <v/>
      </c>
      <c r="W124" s="10">
        <f>IF(W123&lt;=Assumptions!$B$134,1,0)</f>
        <v/>
      </c>
      <c r="X124" s="10">
        <f>IF(X123&lt;=Assumptions!$B$134,1,0)</f>
        <v/>
      </c>
      <c r="Y124" s="10">
        <f>IF(Y123&lt;=Assumptions!$B$134,1,0)</f>
        <v/>
      </c>
      <c r="Z124" s="10">
        <f>IF(Z123&lt;=Assumptions!$B$134,1,0)</f>
        <v/>
      </c>
      <c r="AA124" s="10">
        <f>IF(AA123&lt;=Assumptions!$B$134,1,0)</f>
        <v/>
      </c>
      <c r="AB124" s="10">
        <f>IF(AB123&lt;=Assumptions!$B$134,1,0)</f>
        <v/>
      </c>
      <c r="AC124" s="10">
        <f>IF(AC123&lt;=Assumptions!$B$134,1,0)</f>
        <v/>
      </c>
      <c r="AD124" s="10">
        <f>IF(AD123&lt;=Assumptions!$B$134,1,0)</f>
        <v/>
      </c>
      <c r="AE124" s="10">
        <f>IF(AE123&lt;=Assumptions!$B$134,1,0)</f>
        <v/>
      </c>
      <c r="AF124" s="10">
        <f>IF(AF123&lt;=Assumptions!$B$134,1,0)</f>
        <v/>
      </c>
      <c r="AG124" s="10">
        <f>IF(AG123&lt;=Assumptions!$B$134,1,0)</f>
        <v/>
      </c>
      <c r="AH124" s="10">
        <f>IF(AH123&lt;=Assumptions!$B$134,1,0)</f>
        <v/>
      </c>
      <c r="AI124" s="10">
        <f>IF(AI123&lt;=Assumptions!$B$134,1,0)</f>
        <v/>
      </c>
      <c r="AJ124" s="10">
        <f>IF(AJ123&lt;=Assumptions!$B$134,1,0)</f>
        <v/>
      </c>
      <c r="AK124" s="10">
        <f>IF(AK123&lt;=Assumptions!$B$134,1,0)</f>
        <v/>
      </c>
      <c r="AL124" s="10">
        <f>IF(AL123&lt;=Assumptions!$B$134,1,0)</f>
        <v/>
      </c>
      <c r="AM124" s="10">
        <f>IF(AM123&lt;=Assumptions!$B$134,1,0)</f>
        <v/>
      </c>
      <c r="AN124" s="10">
        <f>IF(AN123&lt;=Assumptions!$B$134,1,0)</f>
        <v/>
      </c>
      <c r="AO124" s="10">
        <f>IF(AO123&lt;=Assumptions!$B$134,1,0)</f>
        <v/>
      </c>
      <c r="AP124" s="10">
        <f>IF(AP123&lt;=Assumptions!$B$134,1,0)</f>
        <v/>
      </c>
      <c r="AQ124" s="10">
        <f>IF(AQ123&lt;=Assumptions!$B$134,1,0)</f>
        <v/>
      </c>
      <c r="AR124" s="10">
        <f>IF(AR123&lt;=Assumptions!$B$134,1,0)</f>
        <v/>
      </c>
      <c r="AS124" s="10">
        <f>IF(AS123&lt;=Assumptions!$B$134,1,0)</f>
        <v/>
      </c>
      <c r="AT124" s="10">
        <f>IF(AT123&lt;=Assumptions!$B$134,1,0)</f>
        <v/>
      </c>
      <c r="AU124" s="10">
        <f>IF(AU123&lt;=Assumptions!$B$134,1,0)</f>
        <v/>
      </c>
      <c r="AV124" s="10">
        <f>IF(AV123&lt;=Assumptions!$B$134,1,0)</f>
        <v/>
      </c>
      <c r="AW124" s="10">
        <f>IF(AW123&lt;=Assumptions!$B$134,1,0)</f>
        <v/>
      </c>
      <c r="AX124" s="10">
        <f>IF(AX123&lt;=Assumptions!$B$134,1,0)</f>
        <v/>
      </c>
      <c r="AY124" s="10">
        <f>IF(AY123&lt;=Assumptions!$B$134,1,0)</f>
        <v/>
      </c>
      <c r="AZ124" s="10">
        <f>IF(AZ123&lt;=Assumptions!$B$134,1,0)</f>
        <v/>
      </c>
      <c r="BA124" s="10">
        <f>IF(BA123&lt;=Assumptions!$B$134,1,0)</f>
        <v/>
      </c>
      <c r="BB124" s="10">
        <f>IF(BB123&lt;=Assumptions!$B$134,1,0)</f>
        <v/>
      </c>
      <c r="BC124" s="10">
        <f>IF(BC123&lt;=Assumptions!$B$134,1,0)</f>
        <v/>
      </c>
      <c r="BD124" s="10">
        <f>IF(BD123&lt;=Assumptions!$B$134,1,0)</f>
        <v/>
      </c>
      <c r="BE124" s="10">
        <f>IF(BE123&lt;=Assumptions!$B$134,1,0)</f>
        <v/>
      </c>
      <c r="BF124" s="10">
        <f>IF(BF123&lt;=Assumptions!$B$134,1,0)</f>
        <v/>
      </c>
      <c r="BG124" s="10">
        <f>IF(BG123&lt;=Assumptions!$B$134,1,0)</f>
        <v/>
      </c>
      <c r="BH124" s="10">
        <f>IF(BH123&lt;=Assumptions!$B$134,1,0)</f>
        <v/>
      </c>
      <c r="BI124" s="10">
        <f>IF(BI123&lt;=Assumptions!$B$134,1,0)</f>
        <v/>
      </c>
      <c r="BJ124" s="10">
        <f>IF(BJ123&lt;=Assumptions!$B$134,1,0)</f>
        <v/>
      </c>
    </row>
    <row r="125">
      <c r="A125" s="4" t="inlineStr">
        <is>
          <t>CAC payback, SMEs: Nigeria</t>
        </is>
      </c>
      <c r="B125" s="17" t="inlineStr">
        <is>
          <t>months</t>
        </is>
      </c>
      <c r="C125" s="41">
        <f>Assumptions!$B$47*C107*Assumptions!$B$193*Assumptions!$B$63/(C108*Pricing!$B$19*C35*Assumptions!$B$135*(Assumptions!$B$127*Pricing!$C$37+Assumptions!$B$128*Pricing!$C$38+Assumptions!$B$129*Pricing!$C$39))</f>
        <v/>
      </c>
      <c r="D125" s="41">
        <f>Assumptions!$B$47*D107*Assumptions!$B$193*Assumptions!$B$63/(D108*Pricing!$B$19*D35*Assumptions!$B$135*(Assumptions!$B$127*Pricing!$C$37+Assumptions!$B$128*Pricing!$C$38+Assumptions!$B$129*Pricing!$C$39))</f>
        <v/>
      </c>
      <c r="E125" s="41">
        <f>Assumptions!$B$47*E107*Assumptions!$B$193*Assumptions!$B$63/(E108*Pricing!$B$19*E35*Assumptions!$B$135*(Assumptions!$B$127*Pricing!$C$37+Assumptions!$B$128*Pricing!$C$38+Assumptions!$B$129*Pricing!$C$39))</f>
        <v/>
      </c>
      <c r="F125" s="41">
        <f>Assumptions!$B$47*F107*Assumptions!$B$193*Assumptions!$B$63/(F108*Pricing!$B$19*F35*Assumptions!$B$135*(Assumptions!$B$127*Pricing!$C$37+Assumptions!$B$128*Pricing!$C$38+Assumptions!$B$129*Pricing!$C$39))</f>
        <v/>
      </c>
      <c r="G125" s="41">
        <f>Assumptions!$B$47*G107*Assumptions!$B$193*Assumptions!$B$63/(G108*Pricing!$B$19*G35*Assumptions!$B$135*(Assumptions!$B$127*Pricing!$C$37+Assumptions!$B$128*Pricing!$C$38+Assumptions!$B$129*Pricing!$C$39))</f>
        <v/>
      </c>
      <c r="H125" s="41">
        <f>Assumptions!$B$47*H107*Assumptions!$B$193*Assumptions!$B$63/(H108*Pricing!$B$19*H35*Assumptions!$B$135*(Assumptions!$B$127*Pricing!$C$37+Assumptions!$B$128*Pricing!$C$38+Assumptions!$B$129*Pricing!$C$39))</f>
        <v/>
      </c>
      <c r="I125" s="41">
        <f>Assumptions!$B$47*I107*Assumptions!$B$193*Assumptions!$B$63/(I108*Pricing!$B$19*I35*Assumptions!$B$135*(Assumptions!$B$127*Pricing!$C$37+Assumptions!$B$128*Pricing!$C$38+Assumptions!$B$129*Pricing!$C$39))</f>
        <v/>
      </c>
      <c r="J125" s="41">
        <f>Assumptions!$B$47*J107*Assumptions!$B$193*Assumptions!$B$63/(J108*Pricing!$B$19*J35*Assumptions!$B$135*(Assumptions!$B$127*Pricing!$C$37+Assumptions!$B$128*Pricing!$C$38+Assumptions!$B$129*Pricing!$C$39))</f>
        <v/>
      </c>
      <c r="K125" s="41">
        <f>Assumptions!$B$47*K107*Assumptions!$B$193*Assumptions!$B$63/(K108*Pricing!$B$19*K35*Assumptions!$B$135*(Assumptions!$B$127*Pricing!$C$37+Assumptions!$B$128*Pricing!$C$38+Assumptions!$B$129*Pricing!$C$39))</f>
        <v/>
      </c>
      <c r="L125" s="41">
        <f>Assumptions!$B$47*L107*Assumptions!$B$193*Assumptions!$B$63/(L108*Pricing!$B$19*L35*Assumptions!$B$135*(Assumptions!$B$127*Pricing!$C$37+Assumptions!$B$128*Pricing!$C$38+Assumptions!$B$129*Pricing!$C$39))</f>
        <v/>
      </c>
      <c r="M125" s="41">
        <f>Assumptions!$B$47*M107*Assumptions!$B$193*Assumptions!$B$63/(M108*Pricing!$B$19*M35*Assumptions!$B$135*(Assumptions!$B$127*Pricing!$C$37+Assumptions!$B$128*Pricing!$C$38+Assumptions!$B$129*Pricing!$C$39))</f>
        <v/>
      </c>
      <c r="N125" s="41">
        <f>Assumptions!$B$47*N107*Assumptions!$B$193*Assumptions!$B$63/(N108*Pricing!$B$19*N35*Assumptions!$B$135*(Assumptions!$B$127*Pricing!$C$37+Assumptions!$B$128*Pricing!$C$38+Assumptions!$B$129*Pricing!$C$39))</f>
        <v/>
      </c>
      <c r="O125" s="41">
        <f>Assumptions!$B$47*O107*Assumptions!$B$193*Assumptions!$B$63/(O108*Pricing!$B$19*O35*Assumptions!$B$135*(Assumptions!$B$127*Pricing!$C$37+Assumptions!$B$128*Pricing!$C$38+Assumptions!$B$129*Pricing!$C$39))</f>
        <v/>
      </c>
      <c r="P125" s="41">
        <f>Assumptions!$B$47*P107*Assumptions!$B$193*Assumptions!$B$63/(P108*Pricing!$B$19*P35*Assumptions!$B$135*(Assumptions!$B$127*Pricing!$C$37+Assumptions!$B$128*Pricing!$C$38+Assumptions!$B$129*Pricing!$C$39))</f>
        <v/>
      </c>
      <c r="Q125" s="41">
        <f>Assumptions!$B$47*Q107*Assumptions!$B$193*Assumptions!$B$63/(Q108*Pricing!$B$19*Q35*Assumptions!$B$135*(Assumptions!$B$127*Pricing!$C$37+Assumptions!$B$128*Pricing!$C$38+Assumptions!$B$129*Pricing!$C$39))</f>
        <v/>
      </c>
      <c r="R125" s="41">
        <f>Assumptions!$B$47*R107*Assumptions!$B$193*Assumptions!$B$63/(R108*Pricing!$B$19*R35*Assumptions!$B$135*(Assumptions!$B$127*Pricing!$C$37+Assumptions!$B$128*Pricing!$C$38+Assumptions!$B$129*Pricing!$C$39))</f>
        <v/>
      </c>
      <c r="S125" s="41">
        <f>Assumptions!$B$47*S107*Assumptions!$B$193*Assumptions!$B$63/(S108*Pricing!$B$19*S35*Assumptions!$B$135*(Assumptions!$B$127*Pricing!$C$37+Assumptions!$B$128*Pricing!$C$38+Assumptions!$B$129*Pricing!$C$39))</f>
        <v/>
      </c>
      <c r="T125" s="41">
        <f>Assumptions!$B$47*T107*Assumptions!$B$193*Assumptions!$B$63/(T108*Pricing!$B$19*T35*Assumptions!$B$135*(Assumptions!$B$127*Pricing!$C$37+Assumptions!$B$128*Pricing!$C$38+Assumptions!$B$129*Pricing!$C$39))</f>
        <v/>
      </c>
      <c r="U125" s="41">
        <f>Assumptions!$B$47*U107*Assumptions!$B$193*Assumptions!$B$63/(U108*Pricing!$B$19*U35*Assumptions!$B$135*(Assumptions!$B$127*Pricing!$C$37+Assumptions!$B$128*Pricing!$C$38+Assumptions!$B$129*Pricing!$C$39))</f>
        <v/>
      </c>
      <c r="V125" s="41">
        <f>Assumptions!$B$47*V107*Assumptions!$B$193*Assumptions!$B$63/(V108*Pricing!$B$19*V35*Assumptions!$B$135*(Assumptions!$B$127*Pricing!$C$37+Assumptions!$B$128*Pricing!$C$38+Assumptions!$B$129*Pricing!$C$39))</f>
        <v/>
      </c>
      <c r="W125" s="41">
        <f>Assumptions!$B$47*W107*Assumptions!$B$193*Assumptions!$B$63/(W108*Pricing!$B$19*W35*Assumptions!$B$135*(Assumptions!$B$127*Pricing!$C$37+Assumptions!$B$128*Pricing!$C$38+Assumptions!$B$129*Pricing!$C$39))</f>
        <v/>
      </c>
      <c r="X125" s="41">
        <f>Assumptions!$B$47*X107*Assumptions!$B$193*Assumptions!$B$63/(X108*Pricing!$B$19*X35*Assumptions!$B$135*(Assumptions!$B$127*Pricing!$C$37+Assumptions!$B$128*Pricing!$C$38+Assumptions!$B$129*Pricing!$C$39))</f>
        <v/>
      </c>
      <c r="Y125" s="41">
        <f>Assumptions!$B$47*Y107*Assumptions!$B$193*Assumptions!$B$63/(Y108*Pricing!$B$19*Y35*Assumptions!$B$135*(Assumptions!$B$127*Pricing!$C$37+Assumptions!$B$128*Pricing!$C$38+Assumptions!$B$129*Pricing!$C$39))</f>
        <v/>
      </c>
      <c r="Z125" s="41">
        <f>Assumptions!$B$47*Z107*Assumptions!$B$193*Assumptions!$B$63/(Z108*Pricing!$B$19*Z35*Assumptions!$B$135*(Assumptions!$B$127*Pricing!$C$37+Assumptions!$B$128*Pricing!$C$38+Assumptions!$B$129*Pricing!$C$39))</f>
        <v/>
      </c>
      <c r="AA125" s="41">
        <f>Assumptions!$B$47*AA107*Assumptions!$B$193*Assumptions!$B$63/(AA108*Pricing!$B$19*AA35*Assumptions!$B$135*(Assumptions!$B$127*Pricing!$C$37+Assumptions!$B$128*Pricing!$C$38+Assumptions!$B$129*Pricing!$C$39))</f>
        <v/>
      </c>
      <c r="AB125" s="41">
        <f>Assumptions!$B$47*AB107*Assumptions!$B$193*Assumptions!$B$63/(AB108*Pricing!$B$19*AB35*Assumptions!$B$135*(Assumptions!$B$127*Pricing!$C$37+Assumptions!$B$128*Pricing!$C$38+Assumptions!$B$129*Pricing!$C$39))</f>
        <v/>
      </c>
      <c r="AC125" s="41">
        <f>Assumptions!$B$47*AC107*Assumptions!$B$193*Assumptions!$B$63/(AC108*Pricing!$B$19*AC35*Assumptions!$B$135*(Assumptions!$B$127*Pricing!$C$37+Assumptions!$B$128*Pricing!$C$38+Assumptions!$B$129*Pricing!$C$39))</f>
        <v/>
      </c>
      <c r="AD125" s="41">
        <f>Assumptions!$B$47*AD107*Assumptions!$B$193*Assumptions!$B$63/(AD108*Pricing!$B$19*AD35*Assumptions!$B$135*(Assumptions!$B$127*Pricing!$C$37+Assumptions!$B$128*Pricing!$C$38+Assumptions!$B$129*Pricing!$C$39))</f>
        <v/>
      </c>
      <c r="AE125" s="41">
        <f>Assumptions!$B$47*AE107*Assumptions!$B$193*Assumptions!$B$63/(AE108*Pricing!$B$19*AE35*Assumptions!$B$135*(Assumptions!$B$127*Pricing!$C$37+Assumptions!$B$128*Pricing!$C$38+Assumptions!$B$129*Pricing!$C$39))</f>
        <v/>
      </c>
      <c r="AF125" s="41">
        <f>Assumptions!$B$47*AF107*Assumptions!$B$193*Assumptions!$B$63/(AF108*Pricing!$B$19*AF35*Assumptions!$B$135*(Assumptions!$B$127*Pricing!$C$37+Assumptions!$B$128*Pricing!$C$38+Assumptions!$B$129*Pricing!$C$39))</f>
        <v/>
      </c>
      <c r="AG125" s="41">
        <f>Assumptions!$B$47*AG107*Assumptions!$B$193*Assumptions!$B$63/(AG108*Pricing!$B$19*AG35*Assumptions!$B$135*(Assumptions!$B$127*Pricing!$C$37+Assumptions!$B$128*Pricing!$C$38+Assumptions!$B$129*Pricing!$C$39))</f>
        <v/>
      </c>
      <c r="AH125" s="41">
        <f>Assumptions!$B$47*AH107*Assumptions!$B$193*Assumptions!$B$63/(AH108*Pricing!$B$19*AH35*Assumptions!$B$135*(Assumptions!$B$127*Pricing!$C$37+Assumptions!$B$128*Pricing!$C$38+Assumptions!$B$129*Pricing!$C$39))</f>
        <v/>
      </c>
      <c r="AI125" s="41">
        <f>Assumptions!$B$47*AI107*Assumptions!$B$193*Assumptions!$B$63/(AI108*Pricing!$B$19*AI35*Assumptions!$B$135*(Assumptions!$B$127*Pricing!$C$37+Assumptions!$B$128*Pricing!$C$38+Assumptions!$B$129*Pricing!$C$39))</f>
        <v/>
      </c>
      <c r="AJ125" s="41">
        <f>Assumptions!$B$47*AJ107*Assumptions!$B$193*Assumptions!$B$63/(AJ108*Pricing!$B$19*AJ35*Assumptions!$B$135*(Assumptions!$B$127*Pricing!$C$37+Assumptions!$B$128*Pricing!$C$38+Assumptions!$B$129*Pricing!$C$39))</f>
        <v/>
      </c>
      <c r="AK125" s="41">
        <f>Assumptions!$B$47*AK107*Assumptions!$B$193*Assumptions!$B$63/(AK108*Pricing!$B$19*AK35*Assumptions!$B$135*(Assumptions!$B$127*Pricing!$C$37+Assumptions!$B$128*Pricing!$C$38+Assumptions!$B$129*Pricing!$C$39))</f>
        <v/>
      </c>
      <c r="AL125" s="41">
        <f>Assumptions!$B$47*AL107*Assumptions!$B$193*Assumptions!$B$63/(AL108*Pricing!$B$19*AL35*Assumptions!$B$135*(Assumptions!$B$127*Pricing!$C$37+Assumptions!$B$128*Pricing!$C$38+Assumptions!$B$129*Pricing!$C$39))</f>
        <v/>
      </c>
      <c r="AM125" s="41">
        <f>Assumptions!$B$47*AM107*Assumptions!$B$193*Assumptions!$B$63/(AM108*Pricing!$B$19*AM35*Assumptions!$B$135*(Assumptions!$B$127*Pricing!$C$37+Assumptions!$B$128*Pricing!$C$38+Assumptions!$B$129*Pricing!$C$39))</f>
        <v/>
      </c>
      <c r="AN125" s="41">
        <f>Assumptions!$B$47*AN107*Assumptions!$B$193*Assumptions!$B$63/(AN108*Pricing!$B$19*AN35*Assumptions!$B$135*(Assumptions!$B$127*Pricing!$C$37+Assumptions!$B$128*Pricing!$C$38+Assumptions!$B$129*Pricing!$C$39))</f>
        <v/>
      </c>
      <c r="AO125" s="41">
        <f>Assumptions!$B$47*AO107*Assumptions!$B$193*Assumptions!$B$63/(AO108*Pricing!$B$19*AO35*Assumptions!$B$135*(Assumptions!$B$127*Pricing!$C$37+Assumptions!$B$128*Pricing!$C$38+Assumptions!$B$129*Pricing!$C$39))</f>
        <v/>
      </c>
      <c r="AP125" s="41">
        <f>Assumptions!$B$47*AP107*Assumptions!$B$193*Assumptions!$B$63/(AP108*Pricing!$B$19*AP35*Assumptions!$B$135*(Assumptions!$B$127*Pricing!$C$37+Assumptions!$B$128*Pricing!$C$38+Assumptions!$B$129*Pricing!$C$39))</f>
        <v/>
      </c>
      <c r="AQ125" s="41">
        <f>Assumptions!$B$47*AQ107*Assumptions!$B$193*Assumptions!$B$63/(AQ108*Pricing!$B$19*AQ35*Assumptions!$B$135*(Assumptions!$B$127*Pricing!$C$37+Assumptions!$B$128*Pricing!$C$38+Assumptions!$B$129*Pricing!$C$39))</f>
        <v/>
      </c>
      <c r="AR125" s="41">
        <f>Assumptions!$B$47*AR107*Assumptions!$B$193*Assumptions!$B$63/(AR108*Pricing!$B$19*AR35*Assumptions!$B$135*(Assumptions!$B$127*Pricing!$C$37+Assumptions!$B$128*Pricing!$C$38+Assumptions!$B$129*Pricing!$C$39))</f>
        <v/>
      </c>
      <c r="AS125" s="41">
        <f>Assumptions!$B$47*AS107*Assumptions!$B$193*Assumptions!$B$63/(AS108*Pricing!$B$19*AS35*Assumptions!$B$135*(Assumptions!$B$127*Pricing!$C$37+Assumptions!$B$128*Pricing!$C$38+Assumptions!$B$129*Pricing!$C$39))</f>
        <v/>
      </c>
      <c r="AT125" s="41">
        <f>Assumptions!$B$47*AT107*Assumptions!$B$193*Assumptions!$B$63/(AT108*Pricing!$B$19*AT35*Assumptions!$B$135*(Assumptions!$B$127*Pricing!$C$37+Assumptions!$B$128*Pricing!$C$38+Assumptions!$B$129*Pricing!$C$39))</f>
        <v/>
      </c>
      <c r="AU125" s="41">
        <f>Assumptions!$B$47*AU107*Assumptions!$B$193*Assumptions!$B$63/(AU108*Pricing!$B$19*AU35*Assumptions!$B$135*(Assumptions!$B$127*Pricing!$C$37+Assumptions!$B$128*Pricing!$C$38+Assumptions!$B$129*Pricing!$C$39))</f>
        <v/>
      </c>
      <c r="AV125" s="41">
        <f>Assumptions!$B$47*AV107*Assumptions!$B$193*Assumptions!$B$63/(AV108*Pricing!$B$19*AV35*Assumptions!$B$135*(Assumptions!$B$127*Pricing!$C$37+Assumptions!$B$128*Pricing!$C$38+Assumptions!$B$129*Pricing!$C$39))</f>
        <v/>
      </c>
      <c r="AW125" s="41">
        <f>Assumptions!$B$47*AW107*Assumptions!$B$193*Assumptions!$B$63/(AW108*Pricing!$B$19*AW35*Assumptions!$B$135*(Assumptions!$B$127*Pricing!$C$37+Assumptions!$B$128*Pricing!$C$38+Assumptions!$B$129*Pricing!$C$39))</f>
        <v/>
      </c>
      <c r="AX125" s="41">
        <f>Assumptions!$B$47*AX107*Assumptions!$B$193*Assumptions!$B$63/(AX108*Pricing!$B$19*AX35*Assumptions!$B$135*(Assumptions!$B$127*Pricing!$C$37+Assumptions!$B$128*Pricing!$C$38+Assumptions!$B$129*Pricing!$C$39))</f>
        <v/>
      </c>
      <c r="AY125" s="41">
        <f>Assumptions!$B$47*AY107*Assumptions!$B$193*Assumptions!$B$63/(AY108*Pricing!$B$19*AY35*Assumptions!$B$135*(Assumptions!$B$127*Pricing!$C$37+Assumptions!$B$128*Pricing!$C$38+Assumptions!$B$129*Pricing!$C$39))</f>
        <v/>
      </c>
      <c r="AZ125" s="41">
        <f>Assumptions!$B$47*AZ107*Assumptions!$B$193*Assumptions!$B$63/(AZ108*Pricing!$B$19*AZ35*Assumptions!$B$135*(Assumptions!$B$127*Pricing!$C$37+Assumptions!$B$128*Pricing!$C$38+Assumptions!$B$129*Pricing!$C$39))</f>
        <v/>
      </c>
      <c r="BA125" s="41">
        <f>Assumptions!$B$47*BA107*Assumptions!$B$193*Assumptions!$B$63/(BA108*Pricing!$B$19*BA35*Assumptions!$B$135*(Assumptions!$B$127*Pricing!$C$37+Assumptions!$B$128*Pricing!$C$38+Assumptions!$B$129*Pricing!$C$39))</f>
        <v/>
      </c>
      <c r="BB125" s="41">
        <f>Assumptions!$B$47*BB107*Assumptions!$B$193*Assumptions!$B$63/(BB108*Pricing!$B$19*BB35*Assumptions!$B$135*(Assumptions!$B$127*Pricing!$C$37+Assumptions!$B$128*Pricing!$C$38+Assumptions!$B$129*Pricing!$C$39))</f>
        <v/>
      </c>
      <c r="BC125" s="41">
        <f>Assumptions!$B$47*BC107*Assumptions!$B$193*Assumptions!$B$63/(BC108*Pricing!$B$19*BC35*Assumptions!$B$135*(Assumptions!$B$127*Pricing!$C$37+Assumptions!$B$128*Pricing!$C$38+Assumptions!$B$129*Pricing!$C$39))</f>
        <v/>
      </c>
      <c r="BD125" s="41">
        <f>Assumptions!$B$47*BD107*Assumptions!$B$193*Assumptions!$B$63/(BD108*Pricing!$B$19*BD35*Assumptions!$B$135*(Assumptions!$B$127*Pricing!$C$37+Assumptions!$B$128*Pricing!$C$38+Assumptions!$B$129*Pricing!$C$39))</f>
        <v/>
      </c>
      <c r="BE125" s="41">
        <f>Assumptions!$B$47*BE107*Assumptions!$B$193*Assumptions!$B$63/(BE108*Pricing!$B$19*BE35*Assumptions!$B$135*(Assumptions!$B$127*Pricing!$C$37+Assumptions!$B$128*Pricing!$C$38+Assumptions!$B$129*Pricing!$C$39))</f>
        <v/>
      </c>
      <c r="BF125" s="41">
        <f>Assumptions!$B$47*BF107*Assumptions!$B$193*Assumptions!$B$63/(BF108*Pricing!$B$19*BF35*Assumptions!$B$135*(Assumptions!$B$127*Pricing!$C$37+Assumptions!$B$128*Pricing!$C$38+Assumptions!$B$129*Pricing!$C$39))</f>
        <v/>
      </c>
      <c r="BG125" s="41">
        <f>Assumptions!$B$47*BG107*Assumptions!$B$193*Assumptions!$B$63/(BG108*Pricing!$B$19*BG35*Assumptions!$B$135*(Assumptions!$B$127*Pricing!$C$37+Assumptions!$B$128*Pricing!$C$38+Assumptions!$B$129*Pricing!$C$39))</f>
        <v/>
      </c>
      <c r="BH125" s="41">
        <f>Assumptions!$B$47*BH107*Assumptions!$B$193*Assumptions!$B$63/(BH108*Pricing!$B$19*BH35*Assumptions!$B$135*(Assumptions!$B$127*Pricing!$C$37+Assumptions!$B$128*Pricing!$C$38+Assumptions!$B$129*Pricing!$C$39))</f>
        <v/>
      </c>
      <c r="BI125" s="41">
        <f>Assumptions!$B$47*BI107*Assumptions!$B$193*Assumptions!$B$63/(BI108*Pricing!$B$19*BI35*Assumptions!$B$135*(Assumptions!$B$127*Pricing!$C$37+Assumptions!$B$128*Pricing!$C$38+Assumptions!$B$129*Pricing!$C$39))</f>
        <v/>
      </c>
      <c r="BJ125" s="41">
        <f>Assumptions!$B$47*BJ107*Assumptions!$B$193*Assumptions!$B$63/(BJ108*Pricing!$B$19*BJ35*Assumptions!$B$135*(Assumptions!$B$127*Pricing!$C$37+Assumptions!$B$128*Pricing!$C$38+Assumptions!$B$129*Pricing!$C$39))</f>
        <v/>
      </c>
    </row>
    <row r="126">
      <c r="A126" s="4" t="inlineStr">
        <is>
          <t>Paid acquisition allowed (payback &lt;= max), SMEs: Nigeria</t>
        </is>
      </c>
      <c r="B126" s="17" t="inlineStr">
        <is>
          <t>flag</t>
        </is>
      </c>
      <c r="C126" s="10">
        <f>IF(C125&lt;=Assumptions!$B$134,1,0)</f>
        <v/>
      </c>
      <c r="D126" s="10">
        <f>IF(D125&lt;=Assumptions!$B$134,1,0)</f>
        <v/>
      </c>
      <c r="E126" s="10">
        <f>IF(E125&lt;=Assumptions!$B$134,1,0)</f>
        <v/>
      </c>
      <c r="F126" s="10">
        <f>IF(F125&lt;=Assumptions!$B$134,1,0)</f>
        <v/>
      </c>
      <c r="G126" s="10">
        <f>IF(G125&lt;=Assumptions!$B$134,1,0)</f>
        <v/>
      </c>
      <c r="H126" s="10">
        <f>IF(H125&lt;=Assumptions!$B$134,1,0)</f>
        <v/>
      </c>
      <c r="I126" s="10">
        <f>IF(I125&lt;=Assumptions!$B$134,1,0)</f>
        <v/>
      </c>
      <c r="J126" s="10">
        <f>IF(J125&lt;=Assumptions!$B$134,1,0)</f>
        <v/>
      </c>
      <c r="K126" s="10">
        <f>IF(K125&lt;=Assumptions!$B$134,1,0)</f>
        <v/>
      </c>
      <c r="L126" s="10">
        <f>IF(L125&lt;=Assumptions!$B$134,1,0)</f>
        <v/>
      </c>
      <c r="M126" s="10">
        <f>IF(M125&lt;=Assumptions!$B$134,1,0)</f>
        <v/>
      </c>
      <c r="N126" s="10">
        <f>IF(N125&lt;=Assumptions!$B$134,1,0)</f>
        <v/>
      </c>
      <c r="O126" s="10">
        <f>IF(O125&lt;=Assumptions!$B$134,1,0)</f>
        <v/>
      </c>
      <c r="P126" s="10">
        <f>IF(P125&lt;=Assumptions!$B$134,1,0)</f>
        <v/>
      </c>
      <c r="Q126" s="10">
        <f>IF(Q125&lt;=Assumptions!$B$134,1,0)</f>
        <v/>
      </c>
      <c r="R126" s="10">
        <f>IF(R125&lt;=Assumptions!$B$134,1,0)</f>
        <v/>
      </c>
      <c r="S126" s="10">
        <f>IF(S125&lt;=Assumptions!$B$134,1,0)</f>
        <v/>
      </c>
      <c r="T126" s="10">
        <f>IF(T125&lt;=Assumptions!$B$134,1,0)</f>
        <v/>
      </c>
      <c r="U126" s="10">
        <f>IF(U125&lt;=Assumptions!$B$134,1,0)</f>
        <v/>
      </c>
      <c r="V126" s="10">
        <f>IF(V125&lt;=Assumptions!$B$134,1,0)</f>
        <v/>
      </c>
      <c r="W126" s="10">
        <f>IF(W125&lt;=Assumptions!$B$134,1,0)</f>
        <v/>
      </c>
      <c r="X126" s="10">
        <f>IF(X125&lt;=Assumptions!$B$134,1,0)</f>
        <v/>
      </c>
      <c r="Y126" s="10">
        <f>IF(Y125&lt;=Assumptions!$B$134,1,0)</f>
        <v/>
      </c>
      <c r="Z126" s="10">
        <f>IF(Z125&lt;=Assumptions!$B$134,1,0)</f>
        <v/>
      </c>
      <c r="AA126" s="10">
        <f>IF(AA125&lt;=Assumptions!$B$134,1,0)</f>
        <v/>
      </c>
      <c r="AB126" s="10">
        <f>IF(AB125&lt;=Assumptions!$B$134,1,0)</f>
        <v/>
      </c>
      <c r="AC126" s="10">
        <f>IF(AC125&lt;=Assumptions!$B$134,1,0)</f>
        <v/>
      </c>
      <c r="AD126" s="10">
        <f>IF(AD125&lt;=Assumptions!$B$134,1,0)</f>
        <v/>
      </c>
      <c r="AE126" s="10">
        <f>IF(AE125&lt;=Assumptions!$B$134,1,0)</f>
        <v/>
      </c>
      <c r="AF126" s="10">
        <f>IF(AF125&lt;=Assumptions!$B$134,1,0)</f>
        <v/>
      </c>
      <c r="AG126" s="10">
        <f>IF(AG125&lt;=Assumptions!$B$134,1,0)</f>
        <v/>
      </c>
      <c r="AH126" s="10">
        <f>IF(AH125&lt;=Assumptions!$B$134,1,0)</f>
        <v/>
      </c>
      <c r="AI126" s="10">
        <f>IF(AI125&lt;=Assumptions!$B$134,1,0)</f>
        <v/>
      </c>
      <c r="AJ126" s="10">
        <f>IF(AJ125&lt;=Assumptions!$B$134,1,0)</f>
        <v/>
      </c>
      <c r="AK126" s="10">
        <f>IF(AK125&lt;=Assumptions!$B$134,1,0)</f>
        <v/>
      </c>
      <c r="AL126" s="10">
        <f>IF(AL125&lt;=Assumptions!$B$134,1,0)</f>
        <v/>
      </c>
      <c r="AM126" s="10">
        <f>IF(AM125&lt;=Assumptions!$B$134,1,0)</f>
        <v/>
      </c>
      <c r="AN126" s="10">
        <f>IF(AN125&lt;=Assumptions!$B$134,1,0)</f>
        <v/>
      </c>
      <c r="AO126" s="10">
        <f>IF(AO125&lt;=Assumptions!$B$134,1,0)</f>
        <v/>
      </c>
      <c r="AP126" s="10">
        <f>IF(AP125&lt;=Assumptions!$B$134,1,0)</f>
        <v/>
      </c>
      <c r="AQ126" s="10">
        <f>IF(AQ125&lt;=Assumptions!$B$134,1,0)</f>
        <v/>
      </c>
      <c r="AR126" s="10">
        <f>IF(AR125&lt;=Assumptions!$B$134,1,0)</f>
        <v/>
      </c>
      <c r="AS126" s="10">
        <f>IF(AS125&lt;=Assumptions!$B$134,1,0)</f>
        <v/>
      </c>
      <c r="AT126" s="10">
        <f>IF(AT125&lt;=Assumptions!$B$134,1,0)</f>
        <v/>
      </c>
      <c r="AU126" s="10">
        <f>IF(AU125&lt;=Assumptions!$B$134,1,0)</f>
        <v/>
      </c>
      <c r="AV126" s="10">
        <f>IF(AV125&lt;=Assumptions!$B$134,1,0)</f>
        <v/>
      </c>
      <c r="AW126" s="10">
        <f>IF(AW125&lt;=Assumptions!$B$134,1,0)</f>
        <v/>
      </c>
      <c r="AX126" s="10">
        <f>IF(AX125&lt;=Assumptions!$B$134,1,0)</f>
        <v/>
      </c>
      <c r="AY126" s="10">
        <f>IF(AY125&lt;=Assumptions!$B$134,1,0)</f>
        <v/>
      </c>
      <c r="AZ126" s="10">
        <f>IF(AZ125&lt;=Assumptions!$B$134,1,0)</f>
        <v/>
      </c>
      <c r="BA126" s="10">
        <f>IF(BA125&lt;=Assumptions!$B$134,1,0)</f>
        <v/>
      </c>
      <c r="BB126" s="10">
        <f>IF(BB125&lt;=Assumptions!$B$134,1,0)</f>
        <v/>
      </c>
      <c r="BC126" s="10">
        <f>IF(BC125&lt;=Assumptions!$B$134,1,0)</f>
        <v/>
      </c>
      <c r="BD126" s="10">
        <f>IF(BD125&lt;=Assumptions!$B$134,1,0)</f>
        <v/>
      </c>
      <c r="BE126" s="10">
        <f>IF(BE125&lt;=Assumptions!$B$134,1,0)</f>
        <v/>
      </c>
      <c r="BF126" s="10">
        <f>IF(BF125&lt;=Assumptions!$B$134,1,0)</f>
        <v/>
      </c>
      <c r="BG126" s="10">
        <f>IF(BG125&lt;=Assumptions!$B$134,1,0)</f>
        <v/>
      </c>
      <c r="BH126" s="10">
        <f>IF(BH125&lt;=Assumptions!$B$134,1,0)</f>
        <v/>
      </c>
      <c r="BI126" s="10">
        <f>IF(BI125&lt;=Assumptions!$B$134,1,0)</f>
        <v/>
      </c>
      <c r="BJ126" s="10">
        <f>IF(BJ125&lt;=Assumptions!$B$134,1,0)</f>
        <v/>
      </c>
    </row>
    <row r="127">
      <c r="A127" s="4" t="inlineStr">
        <is>
          <t>CAC payback, SMEs: Kenya</t>
        </is>
      </c>
      <c r="B127" s="17" t="inlineStr">
        <is>
          <t>months</t>
        </is>
      </c>
      <c r="C127" s="41">
        <f>Assumptions!$B$47*C107*Assumptions!$B$193*Assumptions!$B$73/(C108*Pricing!$B$19*C38*Assumptions!$B$135*(Assumptions!$B$127*Pricing!$D$37+Assumptions!$B$128*Pricing!$D$38+Assumptions!$B$129*Pricing!$D$39))</f>
        <v/>
      </c>
      <c r="D127" s="41">
        <f>Assumptions!$B$47*D107*Assumptions!$B$193*Assumptions!$B$73/(D108*Pricing!$B$19*D38*Assumptions!$B$135*(Assumptions!$B$127*Pricing!$D$37+Assumptions!$B$128*Pricing!$D$38+Assumptions!$B$129*Pricing!$D$39))</f>
        <v/>
      </c>
      <c r="E127" s="41">
        <f>Assumptions!$B$47*E107*Assumptions!$B$193*Assumptions!$B$73/(E108*Pricing!$B$19*E38*Assumptions!$B$135*(Assumptions!$B$127*Pricing!$D$37+Assumptions!$B$128*Pricing!$D$38+Assumptions!$B$129*Pricing!$D$39))</f>
        <v/>
      </c>
      <c r="F127" s="41">
        <f>Assumptions!$B$47*F107*Assumptions!$B$193*Assumptions!$B$73/(F108*Pricing!$B$19*F38*Assumptions!$B$135*(Assumptions!$B$127*Pricing!$D$37+Assumptions!$B$128*Pricing!$D$38+Assumptions!$B$129*Pricing!$D$39))</f>
        <v/>
      </c>
      <c r="G127" s="41">
        <f>Assumptions!$B$47*G107*Assumptions!$B$193*Assumptions!$B$73/(G108*Pricing!$B$19*G38*Assumptions!$B$135*(Assumptions!$B$127*Pricing!$D$37+Assumptions!$B$128*Pricing!$D$38+Assumptions!$B$129*Pricing!$D$39))</f>
        <v/>
      </c>
      <c r="H127" s="41">
        <f>Assumptions!$B$47*H107*Assumptions!$B$193*Assumptions!$B$73/(H108*Pricing!$B$19*H38*Assumptions!$B$135*(Assumptions!$B$127*Pricing!$D$37+Assumptions!$B$128*Pricing!$D$38+Assumptions!$B$129*Pricing!$D$39))</f>
        <v/>
      </c>
      <c r="I127" s="41">
        <f>Assumptions!$B$47*I107*Assumptions!$B$193*Assumptions!$B$73/(I108*Pricing!$B$19*I38*Assumptions!$B$135*(Assumptions!$B$127*Pricing!$D$37+Assumptions!$B$128*Pricing!$D$38+Assumptions!$B$129*Pricing!$D$39))</f>
        <v/>
      </c>
      <c r="J127" s="41">
        <f>Assumptions!$B$47*J107*Assumptions!$B$193*Assumptions!$B$73/(J108*Pricing!$B$19*J38*Assumptions!$B$135*(Assumptions!$B$127*Pricing!$D$37+Assumptions!$B$128*Pricing!$D$38+Assumptions!$B$129*Pricing!$D$39))</f>
        <v/>
      </c>
      <c r="K127" s="41">
        <f>Assumptions!$B$47*K107*Assumptions!$B$193*Assumptions!$B$73/(K108*Pricing!$B$19*K38*Assumptions!$B$135*(Assumptions!$B$127*Pricing!$D$37+Assumptions!$B$128*Pricing!$D$38+Assumptions!$B$129*Pricing!$D$39))</f>
        <v/>
      </c>
      <c r="L127" s="41">
        <f>Assumptions!$B$47*L107*Assumptions!$B$193*Assumptions!$B$73/(L108*Pricing!$B$19*L38*Assumptions!$B$135*(Assumptions!$B$127*Pricing!$D$37+Assumptions!$B$128*Pricing!$D$38+Assumptions!$B$129*Pricing!$D$39))</f>
        <v/>
      </c>
      <c r="M127" s="41">
        <f>Assumptions!$B$47*M107*Assumptions!$B$193*Assumptions!$B$73/(M108*Pricing!$B$19*M38*Assumptions!$B$135*(Assumptions!$B$127*Pricing!$D$37+Assumptions!$B$128*Pricing!$D$38+Assumptions!$B$129*Pricing!$D$39))</f>
        <v/>
      </c>
      <c r="N127" s="41">
        <f>Assumptions!$B$47*N107*Assumptions!$B$193*Assumptions!$B$73/(N108*Pricing!$B$19*N38*Assumptions!$B$135*(Assumptions!$B$127*Pricing!$D$37+Assumptions!$B$128*Pricing!$D$38+Assumptions!$B$129*Pricing!$D$39))</f>
        <v/>
      </c>
      <c r="O127" s="41">
        <f>Assumptions!$B$47*O107*Assumptions!$B$193*Assumptions!$B$73/(O108*Pricing!$B$19*O38*Assumptions!$B$135*(Assumptions!$B$127*Pricing!$D$37+Assumptions!$B$128*Pricing!$D$38+Assumptions!$B$129*Pricing!$D$39))</f>
        <v/>
      </c>
      <c r="P127" s="41">
        <f>Assumptions!$B$47*P107*Assumptions!$B$193*Assumptions!$B$73/(P108*Pricing!$B$19*P38*Assumptions!$B$135*(Assumptions!$B$127*Pricing!$D$37+Assumptions!$B$128*Pricing!$D$38+Assumptions!$B$129*Pricing!$D$39))</f>
        <v/>
      </c>
      <c r="Q127" s="41">
        <f>Assumptions!$B$47*Q107*Assumptions!$B$193*Assumptions!$B$73/(Q108*Pricing!$B$19*Q38*Assumptions!$B$135*(Assumptions!$B$127*Pricing!$D$37+Assumptions!$B$128*Pricing!$D$38+Assumptions!$B$129*Pricing!$D$39))</f>
        <v/>
      </c>
      <c r="R127" s="41">
        <f>Assumptions!$B$47*R107*Assumptions!$B$193*Assumptions!$B$73/(R108*Pricing!$B$19*R38*Assumptions!$B$135*(Assumptions!$B$127*Pricing!$D$37+Assumptions!$B$128*Pricing!$D$38+Assumptions!$B$129*Pricing!$D$39))</f>
        <v/>
      </c>
      <c r="S127" s="41">
        <f>Assumptions!$B$47*S107*Assumptions!$B$193*Assumptions!$B$73/(S108*Pricing!$B$19*S38*Assumptions!$B$135*(Assumptions!$B$127*Pricing!$D$37+Assumptions!$B$128*Pricing!$D$38+Assumptions!$B$129*Pricing!$D$39))</f>
        <v/>
      </c>
      <c r="T127" s="41">
        <f>Assumptions!$B$47*T107*Assumptions!$B$193*Assumptions!$B$73/(T108*Pricing!$B$19*T38*Assumptions!$B$135*(Assumptions!$B$127*Pricing!$D$37+Assumptions!$B$128*Pricing!$D$38+Assumptions!$B$129*Pricing!$D$39))</f>
        <v/>
      </c>
      <c r="U127" s="41">
        <f>Assumptions!$B$47*U107*Assumptions!$B$193*Assumptions!$B$73/(U108*Pricing!$B$19*U38*Assumptions!$B$135*(Assumptions!$B$127*Pricing!$D$37+Assumptions!$B$128*Pricing!$D$38+Assumptions!$B$129*Pricing!$D$39))</f>
        <v/>
      </c>
      <c r="V127" s="41">
        <f>Assumptions!$B$47*V107*Assumptions!$B$193*Assumptions!$B$73/(V108*Pricing!$B$19*V38*Assumptions!$B$135*(Assumptions!$B$127*Pricing!$D$37+Assumptions!$B$128*Pricing!$D$38+Assumptions!$B$129*Pricing!$D$39))</f>
        <v/>
      </c>
      <c r="W127" s="41">
        <f>Assumptions!$B$47*W107*Assumptions!$B$193*Assumptions!$B$73/(W108*Pricing!$B$19*W38*Assumptions!$B$135*(Assumptions!$B$127*Pricing!$D$37+Assumptions!$B$128*Pricing!$D$38+Assumptions!$B$129*Pricing!$D$39))</f>
        <v/>
      </c>
      <c r="X127" s="41">
        <f>Assumptions!$B$47*X107*Assumptions!$B$193*Assumptions!$B$73/(X108*Pricing!$B$19*X38*Assumptions!$B$135*(Assumptions!$B$127*Pricing!$D$37+Assumptions!$B$128*Pricing!$D$38+Assumptions!$B$129*Pricing!$D$39))</f>
        <v/>
      </c>
      <c r="Y127" s="41">
        <f>Assumptions!$B$47*Y107*Assumptions!$B$193*Assumptions!$B$73/(Y108*Pricing!$B$19*Y38*Assumptions!$B$135*(Assumptions!$B$127*Pricing!$D$37+Assumptions!$B$128*Pricing!$D$38+Assumptions!$B$129*Pricing!$D$39))</f>
        <v/>
      </c>
      <c r="Z127" s="41">
        <f>Assumptions!$B$47*Z107*Assumptions!$B$193*Assumptions!$B$73/(Z108*Pricing!$B$19*Z38*Assumptions!$B$135*(Assumptions!$B$127*Pricing!$D$37+Assumptions!$B$128*Pricing!$D$38+Assumptions!$B$129*Pricing!$D$39))</f>
        <v/>
      </c>
      <c r="AA127" s="41">
        <f>Assumptions!$B$47*AA107*Assumptions!$B$193*Assumptions!$B$73/(AA108*Pricing!$B$19*AA38*Assumptions!$B$135*(Assumptions!$B$127*Pricing!$D$37+Assumptions!$B$128*Pricing!$D$38+Assumptions!$B$129*Pricing!$D$39))</f>
        <v/>
      </c>
      <c r="AB127" s="41">
        <f>Assumptions!$B$47*AB107*Assumptions!$B$193*Assumptions!$B$73/(AB108*Pricing!$B$19*AB38*Assumptions!$B$135*(Assumptions!$B$127*Pricing!$D$37+Assumptions!$B$128*Pricing!$D$38+Assumptions!$B$129*Pricing!$D$39))</f>
        <v/>
      </c>
      <c r="AC127" s="41">
        <f>Assumptions!$B$47*AC107*Assumptions!$B$193*Assumptions!$B$73/(AC108*Pricing!$B$19*AC38*Assumptions!$B$135*(Assumptions!$B$127*Pricing!$D$37+Assumptions!$B$128*Pricing!$D$38+Assumptions!$B$129*Pricing!$D$39))</f>
        <v/>
      </c>
      <c r="AD127" s="41">
        <f>Assumptions!$B$47*AD107*Assumptions!$B$193*Assumptions!$B$73/(AD108*Pricing!$B$19*AD38*Assumptions!$B$135*(Assumptions!$B$127*Pricing!$D$37+Assumptions!$B$128*Pricing!$D$38+Assumptions!$B$129*Pricing!$D$39))</f>
        <v/>
      </c>
      <c r="AE127" s="41">
        <f>Assumptions!$B$47*AE107*Assumptions!$B$193*Assumptions!$B$73/(AE108*Pricing!$B$19*AE38*Assumptions!$B$135*(Assumptions!$B$127*Pricing!$D$37+Assumptions!$B$128*Pricing!$D$38+Assumptions!$B$129*Pricing!$D$39))</f>
        <v/>
      </c>
      <c r="AF127" s="41">
        <f>Assumptions!$B$47*AF107*Assumptions!$B$193*Assumptions!$B$73/(AF108*Pricing!$B$19*AF38*Assumptions!$B$135*(Assumptions!$B$127*Pricing!$D$37+Assumptions!$B$128*Pricing!$D$38+Assumptions!$B$129*Pricing!$D$39))</f>
        <v/>
      </c>
      <c r="AG127" s="41">
        <f>Assumptions!$B$47*AG107*Assumptions!$B$193*Assumptions!$B$73/(AG108*Pricing!$B$19*AG38*Assumptions!$B$135*(Assumptions!$B$127*Pricing!$D$37+Assumptions!$B$128*Pricing!$D$38+Assumptions!$B$129*Pricing!$D$39))</f>
        <v/>
      </c>
      <c r="AH127" s="41">
        <f>Assumptions!$B$47*AH107*Assumptions!$B$193*Assumptions!$B$73/(AH108*Pricing!$B$19*AH38*Assumptions!$B$135*(Assumptions!$B$127*Pricing!$D$37+Assumptions!$B$128*Pricing!$D$38+Assumptions!$B$129*Pricing!$D$39))</f>
        <v/>
      </c>
      <c r="AI127" s="41">
        <f>Assumptions!$B$47*AI107*Assumptions!$B$193*Assumptions!$B$73/(AI108*Pricing!$B$19*AI38*Assumptions!$B$135*(Assumptions!$B$127*Pricing!$D$37+Assumptions!$B$128*Pricing!$D$38+Assumptions!$B$129*Pricing!$D$39))</f>
        <v/>
      </c>
      <c r="AJ127" s="41">
        <f>Assumptions!$B$47*AJ107*Assumptions!$B$193*Assumptions!$B$73/(AJ108*Pricing!$B$19*AJ38*Assumptions!$B$135*(Assumptions!$B$127*Pricing!$D$37+Assumptions!$B$128*Pricing!$D$38+Assumptions!$B$129*Pricing!$D$39))</f>
        <v/>
      </c>
      <c r="AK127" s="41">
        <f>Assumptions!$B$47*AK107*Assumptions!$B$193*Assumptions!$B$73/(AK108*Pricing!$B$19*AK38*Assumptions!$B$135*(Assumptions!$B$127*Pricing!$D$37+Assumptions!$B$128*Pricing!$D$38+Assumptions!$B$129*Pricing!$D$39))</f>
        <v/>
      </c>
      <c r="AL127" s="41">
        <f>Assumptions!$B$47*AL107*Assumptions!$B$193*Assumptions!$B$73/(AL108*Pricing!$B$19*AL38*Assumptions!$B$135*(Assumptions!$B$127*Pricing!$D$37+Assumptions!$B$128*Pricing!$D$38+Assumptions!$B$129*Pricing!$D$39))</f>
        <v/>
      </c>
      <c r="AM127" s="41">
        <f>Assumptions!$B$47*AM107*Assumptions!$B$193*Assumptions!$B$73/(AM108*Pricing!$B$19*AM38*Assumptions!$B$135*(Assumptions!$B$127*Pricing!$D$37+Assumptions!$B$128*Pricing!$D$38+Assumptions!$B$129*Pricing!$D$39))</f>
        <v/>
      </c>
      <c r="AN127" s="41">
        <f>Assumptions!$B$47*AN107*Assumptions!$B$193*Assumptions!$B$73/(AN108*Pricing!$B$19*AN38*Assumptions!$B$135*(Assumptions!$B$127*Pricing!$D$37+Assumptions!$B$128*Pricing!$D$38+Assumptions!$B$129*Pricing!$D$39))</f>
        <v/>
      </c>
      <c r="AO127" s="41">
        <f>Assumptions!$B$47*AO107*Assumptions!$B$193*Assumptions!$B$73/(AO108*Pricing!$B$19*AO38*Assumptions!$B$135*(Assumptions!$B$127*Pricing!$D$37+Assumptions!$B$128*Pricing!$D$38+Assumptions!$B$129*Pricing!$D$39))</f>
        <v/>
      </c>
      <c r="AP127" s="41">
        <f>Assumptions!$B$47*AP107*Assumptions!$B$193*Assumptions!$B$73/(AP108*Pricing!$B$19*AP38*Assumptions!$B$135*(Assumptions!$B$127*Pricing!$D$37+Assumptions!$B$128*Pricing!$D$38+Assumptions!$B$129*Pricing!$D$39))</f>
        <v/>
      </c>
      <c r="AQ127" s="41">
        <f>Assumptions!$B$47*AQ107*Assumptions!$B$193*Assumptions!$B$73/(AQ108*Pricing!$B$19*AQ38*Assumptions!$B$135*(Assumptions!$B$127*Pricing!$D$37+Assumptions!$B$128*Pricing!$D$38+Assumptions!$B$129*Pricing!$D$39))</f>
        <v/>
      </c>
      <c r="AR127" s="41">
        <f>Assumptions!$B$47*AR107*Assumptions!$B$193*Assumptions!$B$73/(AR108*Pricing!$B$19*AR38*Assumptions!$B$135*(Assumptions!$B$127*Pricing!$D$37+Assumptions!$B$128*Pricing!$D$38+Assumptions!$B$129*Pricing!$D$39))</f>
        <v/>
      </c>
      <c r="AS127" s="41">
        <f>Assumptions!$B$47*AS107*Assumptions!$B$193*Assumptions!$B$73/(AS108*Pricing!$B$19*AS38*Assumptions!$B$135*(Assumptions!$B$127*Pricing!$D$37+Assumptions!$B$128*Pricing!$D$38+Assumptions!$B$129*Pricing!$D$39))</f>
        <v/>
      </c>
      <c r="AT127" s="41">
        <f>Assumptions!$B$47*AT107*Assumptions!$B$193*Assumptions!$B$73/(AT108*Pricing!$B$19*AT38*Assumptions!$B$135*(Assumptions!$B$127*Pricing!$D$37+Assumptions!$B$128*Pricing!$D$38+Assumptions!$B$129*Pricing!$D$39))</f>
        <v/>
      </c>
      <c r="AU127" s="41">
        <f>Assumptions!$B$47*AU107*Assumptions!$B$193*Assumptions!$B$73/(AU108*Pricing!$B$19*AU38*Assumptions!$B$135*(Assumptions!$B$127*Pricing!$D$37+Assumptions!$B$128*Pricing!$D$38+Assumptions!$B$129*Pricing!$D$39))</f>
        <v/>
      </c>
      <c r="AV127" s="41">
        <f>Assumptions!$B$47*AV107*Assumptions!$B$193*Assumptions!$B$73/(AV108*Pricing!$B$19*AV38*Assumptions!$B$135*(Assumptions!$B$127*Pricing!$D$37+Assumptions!$B$128*Pricing!$D$38+Assumptions!$B$129*Pricing!$D$39))</f>
        <v/>
      </c>
      <c r="AW127" s="41">
        <f>Assumptions!$B$47*AW107*Assumptions!$B$193*Assumptions!$B$73/(AW108*Pricing!$B$19*AW38*Assumptions!$B$135*(Assumptions!$B$127*Pricing!$D$37+Assumptions!$B$128*Pricing!$D$38+Assumptions!$B$129*Pricing!$D$39))</f>
        <v/>
      </c>
      <c r="AX127" s="41">
        <f>Assumptions!$B$47*AX107*Assumptions!$B$193*Assumptions!$B$73/(AX108*Pricing!$B$19*AX38*Assumptions!$B$135*(Assumptions!$B$127*Pricing!$D$37+Assumptions!$B$128*Pricing!$D$38+Assumptions!$B$129*Pricing!$D$39))</f>
        <v/>
      </c>
      <c r="AY127" s="41">
        <f>Assumptions!$B$47*AY107*Assumptions!$B$193*Assumptions!$B$73/(AY108*Pricing!$B$19*AY38*Assumptions!$B$135*(Assumptions!$B$127*Pricing!$D$37+Assumptions!$B$128*Pricing!$D$38+Assumptions!$B$129*Pricing!$D$39))</f>
        <v/>
      </c>
      <c r="AZ127" s="41">
        <f>Assumptions!$B$47*AZ107*Assumptions!$B$193*Assumptions!$B$73/(AZ108*Pricing!$B$19*AZ38*Assumptions!$B$135*(Assumptions!$B$127*Pricing!$D$37+Assumptions!$B$128*Pricing!$D$38+Assumptions!$B$129*Pricing!$D$39))</f>
        <v/>
      </c>
      <c r="BA127" s="41">
        <f>Assumptions!$B$47*BA107*Assumptions!$B$193*Assumptions!$B$73/(BA108*Pricing!$B$19*BA38*Assumptions!$B$135*(Assumptions!$B$127*Pricing!$D$37+Assumptions!$B$128*Pricing!$D$38+Assumptions!$B$129*Pricing!$D$39))</f>
        <v/>
      </c>
      <c r="BB127" s="41">
        <f>Assumptions!$B$47*BB107*Assumptions!$B$193*Assumptions!$B$73/(BB108*Pricing!$B$19*BB38*Assumptions!$B$135*(Assumptions!$B$127*Pricing!$D$37+Assumptions!$B$128*Pricing!$D$38+Assumptions!$B$129*Pricing!$D$39))</f>
        <v/>
      </c>
      <c r="BC127" s="41">
        <f>Assumptions!$B$47*BC107*Assumptions!$B$193*Assumptions!$B$73/(BC108*Pricing!$B$19*BC38*Assumptions!$B$135*(Assumptions!$B$127*Pricing!$D$37+Assumptions!$B$128*Pricing!$D$38+Assumptions!$B$129*Pricing!$D$39))</f>
        <v/>
      </c>
      <c r="BD127" s="41">
        <f>Assumptions!$B$47*BD107*Assumptions!$B$193*Assumptions!$B$73/(BD108*Pricing!$B$19*BD38*Assumptions!$B$135*(Assumptions!$B$127*Pricing!$D$37+Assumptions!$B$128*Pricing!$D$38+Assumptions!$B$129*Pricing!$D$39))</f>
        <v/>
      </c>
      <c r="BE127" s="41">
        <f>Assumptions!$B$47*BE107*Assumptions!$B$193*Assumptions!$B$73/(BE108*Pricing!$B$19*BE38*Assumptions!$B$135*(Assumptions!$B$127*Pricing!$D$37+Assumptions!$B$128*Pricing!$D$38+Assumptions!$B$129*Pricing!$D$39))</f>
        <v/>
      </c>
      <c r="BF127" s="41">
        <f>Assumptions!$B$47*BF107*Assumptions!$B$193*Assumptions!$B$73/(BF108*Pricing!$B$19*BF38*Assumptions!$B$135*(Assumptions!$B$127*Pricing!$D$37+Assumptions!$B$128*Pricing!$D$38+Assumptions!$B$129*Pricing!$D$39))</f>
        <v/>
      </c>
      <c r="BG127" s="41">
        <f>Assumptions!$B$47*BG107*Assumptions!$B$193*Assumptions!$B$73/(BG108*Pricing!$B$19*BG38*Assumptions!$B$135*(Assumptions!$B$127*Pricing!$D$37+Assumptions!$B$128*Pricing!$D$38+Assumptions!$B$129*Pricing!$D$39))</f>
        <v/>
      </c>
      <c r="BH127" s="41">
        <f>Assumptions!$B$47*BH107*Assumptions!$B$193*Assumptions!$B$73/(BH108*Pricing!$B$19*BH38*Assumptions!$B$135*(Assumptions!$B$127*Pricing!$D$37+Assumptions!$B$128*Pricing!$D$38+Assumptions!$B$129*Pricing!$D$39))</f>
        <v/>
      </c>
      <c r="BI127" s="41">
        <f>Assumptions!$B$47*BI107*Assumptions!$B$193*Assumptions!$B$73/(BI108*Pricing!$B$19*BI38*Assumptions!$B$135*(Assumptions!$B$127*Pricing!$D$37+Assumptions!$B$128*Pricing!$D$38+Assumptions!$B$129*Pricing!$D$39))</f>
        <v/>
      </c>
      <c r="BJ127" s="41">
        <f>Assumptions!$B$47*BJ107*Assumptions!$B$193*Assumptions!$B$73/(BJ108*Pricing!$B$19*BJ38*Assumptions!$B$135*(Assumptions!$B$127*Pricing!$D$37+Assumptions!$B$128*Pricing!$D$38+Assumptions!$B$129*Pricing!$D$39))</f>
        <v/>
      </c>
    </row>
    <row r="128">
      <c r="A128" s="4" t="inlineStr">
        <is>
          <t>Paid acquisition allowed (payback &lt;= max), SMEs: Kenya</t>
        </is>
      </c>
      <c r="B128" s="17" t="inlineStr">
        <is>
          <t>flag</t>
        </is>
      </c>
      <c r="C128" s="10">
        <f>IF(C127&lt;=Assumptions!$B$134,1,0)</f>
        <v/>
      </c>
      <c r="D128" s="10">
        <f>IF(D127&lt;=Assumptions!$B$134,1,0)</f>
        <v/>
      </c>
      <c r="E128" s="10">
        <f>IF(E127&lt;=Assumptions!$B$134,1,0)</f>
        <v/>
      </c>
      <c r="F128" s="10">
        <f>IF(F127&lt;=Assumptions!$B$134,1,0)</f>
        <v/>
      </c>
      <c r="G128" s="10">
        <f>IF(G127&lt;=Assumptions!$B$134,1,0)</f>
        <v/>
      </c>
      <c r="H128" s="10">
        <f>IF(H127&lt;=Assumptions!$B$134,1,0)</f>
        <v/>
      </c>
      <c r="I128" s="10">
        <f>IF(I127&lt;=Assumptions!$B$134,1,0)</f>
        <v/>
      </c>
      <c r="J128" s="10">
        <f>IF(J127&lt;=Assumptions!$B$134,1,0)</f>
        <v/>
      </c>
      <c r="K128" s="10">
        <f>IF(K127&lt;=Assumptions!$B$134,1,0)</f>
        <v/>
      </c>
      <c r="L128" s="10">
        <f>IF(L127&lt;=Assumptions!$B$134,1,0)</f>
        <v/>
      </c>
      <c r="M128" s="10">
        <f>IF(M127&lt;=Assumptions!$B$134,1,0)</f>
        <v/>
      </c>
      <c r="N128" s="10">
        <f>IF(N127&lt;=Assumptions!$B$134,1,0)</f>
        <v/>
      </c>
      <c r="O128" s="10">
        <f>IF(O127&lt;=Assumptions!$B$134,1,0)</f>
        <v/>
      </c>
      <c r="P128" s="10">
        <f>IF(P127&lt;=Assumptions!$B$134,1,0)</f>
        <v/>
      </c>
      <c r="Q128" s="10">
        <f>IF(Q127&lt;=Assumptions!$B$134,1,0)</f>
        <v/>
      </c>
      <c r="R128" s="10">
        <f>IF(R127&lt;=Assumptions!$B$134,1,0)</f>
        <v/>
      </c>
      <c r="S128" s="10">
        <f>IF(S127&lt;=Assumptions!$B$134,1,0)</f>
        <v/>
      </c>
      <c r="T128" s="10">
        <f>IF(T127&lt;=Assumptions!$B$134,1,0)</f>
        <v/>
      </c>
      <c r="U128" s="10">
        <f>IF(U127&lt;=Assumptions!$B$134,1,0)</f>
        <v/>
      </c>
      <c r="V128" s="10">
        <f>IF(V127&lt;=Assumptions!$B$134,1,0)</f>
        <v/>
      </c>
      <c r="W128" s="10">
        <f>IF(W127&lt;=Assumptions!$B$134,1,0)</f>
        <v/>
      </c>
      <c r="X128" s="10">
        <f>IF(X127&lt;=Assumptions!$B$134,1,0)</f>
        <v/>
      </c>
      <c r="Y128" s="10">
        <f>IF(Y127&lt;=Assumptions!$B$134,1,0)</f>
        <v/>
      </c>
      <c r="Z128" s="10">
        <f>IF(Z127&lt;=Assumptions!$B$134,1,0)</f>
        <v/>
      </c>
      <c r="AA128" s="10">
        <f>IF(AA127&lt;=Assumptions!$B$134,1,0)</f>
        <v/>
      </c>
      <c r="AB128" s="10">
        <f>IF(AB127&lt;=Assumptions!$B$134,1,0)</f>
        <v/>
      </c>
      <c r="AC128" s="10">
        <f>IF(AC127&lt;=Assumptions!$B$134,1,0)</f>
        <v/>
      </c>
      <c r="AD128" s="10">
        <f>IF(AD127&lt;=Assumptions!$B$134,1,0)</f>
        <v/>
      </c>
      <c r="AE128" s="10">
        <f>IF(AE127&lt;=Assumptions!$B$134,1,0)</f>
        <v/>
      </c>
      <c r="AF128" s="10">
        <f>IF(AF127&lt;=Assumptions!$B$134,1,0)</f>
        <v/>
      </c>
      <c r="AG128" s="10">
        <f>IF(AG127&lt;=Assumptions!$B$134,1,0)</f>
        <v/>
      </c>
      <c r="AH128" s="10">
        <f>IF(AH127&lt;=Assumptions!$B$134,1,0)</f>
        <v/>
      </c>
      <c r="AI128" s="10">
        <f>IF(AI127&lt;=Assumptions!$B$134,1,0)</f>
        <v/>
      </c>
      <c r="AJ128" s="10">
        <f>IF(AJ127&lt;=Assumptions!$B$134,1,0)</f>
        <v/>
      </c>
      <c r="AK128" s="10">
        <f>IF(AK127&lt;=Assumptions!$B$134,1,0)</f>
        <v/>
      </c>
      <c r="AL128" s="10">
        <f>IF(AL127&lt;=Assumptions!$B$134,1,0)</f>
        <v/>
      </c>
      <c r="AM128" s="10">
        <f>IF(AM127&lt;=Assumptions!$B$134,1,0)</f>
        <v/>
      </c>
      <c r="AN128" s="10">
        <f>IF(AN127&lt;=Assumptions!$B$134,1,0)</f>
        <v/>
      </c>
      <c r="AO128" s="10">
        <f>IF(AO127&lt;=Assumptions!$B$134,1,0)</f>
        <v/>
      </c>
      <c r="AP128" s="10">
        <f>IF(AP127&lt;=Assumptions!$B$134,1,0)</f>
        <v/>
      </c>
      <c r="AQ128" s="10">
        <f>IF(AQ127&lt;=Assumptions!$B$134,1,0)</f>
        <v/>
      </c>
      <c r="AR128" s="10">
        <f>IF(AR127&lt;=Assumptions!$B$134,1,0)</f>
        <v/>
      </c>
      <c r="AS128" s="10">
        <f>IF(AS127&lt;=Assumptions!$B$134,1,0)</f>
        <v/>
      </c>
      <c r="AT128" s="10">
        <f>IF(AT127&lt;=Assumptions!$B$134,1,0)</f>
        <v/>
      </c>
      <c r="AU128" s="10">
        <f>IF(AU127&lt;=Assumptions!$B$134,1,0)</f>
        <v/>
      </c>
      <c r="AV128" s="10">
        <f>IF(AV127&lt;=Assumptions!$B$134,1,0)</f>
        <v/>
      </c>
      <c r="AW128" s="10">
        <f>IF(AW127&lt;=Assumptions!$B$134,1,0)</f>
        <v/>
      </c>
      <c r="AX128" s="10">
        <f>IF(AX127&lt;=Assumptions!$B$134,1,0)</f>
        <v/>
      </c>
      <c r="AY128" s="10">
        <f>IF(AY127&lt;=Assumptions!$B$134,1,0)</f>
        <v/>
      </c>
      <c r="AZ128" s="10">
        <f>IF(AZ127&lt;=Assumptions!$B$134,1,0)</f>
        <v/>
      </c>
      <c r="BA128" s="10">
        <f>IF(BA127&lt;=Assumptions!$B$134,1,0)</f>
        <v/>
      </c>
      <c r="BB128" s="10">
        <f>IF(BB127&lt;=Assumptions!$B$134,1,0)</f>
        <v/>
      </c>
      <c r="BC128" s="10">
        <f>IF(BC127&lt;=Assumptions!$B$134,1,0)</f>
        <v/>
      </c>
      <c r="BD128" s="10">
        <f>IF(BD127&lt;=Assumptions!$B$134,1,0)</f>
        <v/>
      </c>
      <c r="BE128" s="10">
        <f>IF(BE127&lt;=Assumptions!$B$134,1,0)</f>
        <v/>
      </c>
      <c r="BF128" s="10">
        <f>IF(BF127&lt;=Assumptions!$B$134,1,0)</f>
        <v/>
      </c>
      <c r="BG128" s="10">
        <f>IF(BG127&lt;=Assumptions!$B$134,1,0)</f>
        <v/>
      </c>
      <c r="BH128" s="10">
        <f>IF(BH127&lt;=Assumptions!$B$134,1,0)</f>
        <v/>
      </c>
      <c r="BI128" s="10">
        <f>IF(BI127&lt;=Assumptions!$B$134,1,0)</f>
        <v/>
      </c>
      <c r="BJ128" s="10">
        <f>IF(BJ127&lt;=Assumptions!$B$134,1,0)</f>
        <v/>
      </c>
    </row>
    <row r="129">
      <c r="A129" s="4" t="inlineStr">
        <is>
          <t>CAC payback, SMEs: Ghana</t>
        </is>
      </c>
      <c r="B129" s="17" t="inlineStr">
        <is>
          <t>months</t>
        </is>
      </c>
      <c r="C129" s="41">
        <f>Assumptions!$B$47*C107*Assumptions!$B$193*Assumptions!$B$83/(C108*Pricing!$B$19*C41*Assumptions!$B$135*(Assumptions!$B$127*Pricing!$E$37+Assumptions!$B$128*Pricing!$E$38+Assumptions!$B$129*Pricing!$E$39))</f>
        <v/>
      </c>
      <c r="D129" s="41">
        <f>Assumptions!$B$47*D107*Assumptions!$B$193*Assumptions!$B$83/(D108*Pricing!$B$19*D41*Assumptions!$B$135*(Assumptions!$B$127*Pricing!$E$37+Assumptions!$B$128*Pricing!$E$38+Assumptions!$B$129*Pricing!$E$39))</f>
        <v/>
      </c>
      <c r="E129" s="41">
        <f>Assumptions!$B$47*E107*Assumptions!$B$193*Assumptions!$B$83/(E108*Pricing!$B$19*E41*Assumptions!$B$135*(Assumptions!$B$127*Pricing!$E$37+Assumptions!$B$128*Pricing!$E$38+Assumptions!$B$129*Pricing!$E$39))</f>
        <v/>
      </c>
      <c r="F129" s="41">
        <f>Assumptions!$B$47*F107*Assumptions!$B$193*Assumptions!$B$83/(F108*Pricing!$B$19*F41*Assumptions!$B$135*(Assumptions!$B$127*Pricing!$E$37+Assumptions!$B$128*Pricing!$E$38+Assumptions!$B$129*Pricing!$E$39))</f>
        <v/>
      </c>
      <c r="G129" s="41">
        <f>Assumptions!$B$47*G107*Assumptions!$B$193*Assumptions!$B$83/(G108*Pricing!$B$19*G41*Assumptions!$B$135*(Assumptions!$B$127*Pricing!$E$37+Assumptions!$B$128*Pricing!$E$38+Assumptions!$B$129*Pricing!$E$39))</f>
        <v/>
      </c>
      <c r="H129" s="41">
        <f>Assumptions!$B$47*H107*Assumptions!$B$193*Assumptions!$B$83/(H108*Pricing!$B$19*H41*Assumptions!$B$135*(Assumptions!$B$127*Pricing!$E$37+Assumptions!$B$128*Pricing!$E$38+Assumptions!$B$129*Pricing!$E$39))</f>
        <v/>
      </c>
      <c r="I129" s="41">
        <f>Assumptions!$B$47*I107*Assumptions!$B$193*Assumptions!$B$83/(I108*Pricing!$B$19*I41*Assumptions!$B$135*(Assumptions!$B$127*Pricing!$E$37+Assumptions!$B$128*Pricing!$E$38+Assumptions!$B$129*Pricing!$E$39))</f>
        <v/>
      </c>
      <c r="J129" s="41">
        <f>Assumptions!$B$47*J107*Assumptions!$B$193*Assumptions!$B$83/(J108*Pricing!$B$19*J41*Assumptions!$B$135*(Assumptions!$B$127*Pricing!$E$37+Assumptions!$B$128*Pricing!$E$38+Assumptions!$B$129*Pricing!$E$39))</f>
        <v/>
      </c>
      <c r="K129" s="41">
        <f>Assumptions!$B$47*K107*Assumptions!$B$193*Assumptions!$B$83/(K108*Pricing!$B$19*K41*Assumptions!$B$135*(Assumptions!$B$127*Pricing!$E$37+Assumptions!$B$128*Pricing!$E$38+Assumptions!$B$129*Pricing!$E$39))</f>
        <v/>
      </c>
      <c r="L129" s="41">
        <f>Assumptions!$B$47*L107*Assumptions!$B$193*Assumptions!$B$83/(L108*Pricing!$B$19*L41*Assumptions!$B$135*(Assumptions!$B$127*Pricing!$E$37+Assumptions!$B$128*Pricing!$E$38+Assumptions!$B$129*Pricing!$E$39))</f>
        <v/>
      </c>
      <c r="M129" s="41">
        <f>Assumptions!$B$47*M107*Assumptions!$B$193*Assumptions!$B$83/(M108*Pricing!$B$19*M41*Assumptions!$B$135*(Assumptions!$B$127*Pricing!$E$37+Assumptions!$B$128*Pricing!$E$38+Assumptions!$B$129*Pricing!$E$39))</f>
        <v/>
      </c>
      <c r="N129" s="41">
        <f>Assumptions!$B$47*N107*Assumptions!$B$193*Assumptions!$B$83/(N108*Pricing!$B$19*N41*Assumptions!$B$135*(Assumptions!$B$127*Pricing!$E$37+Assumptions!$B$128*Pricing!$E$38+Assumptions!$B$129*Pricing!$E$39))</f>
        <v/>
      </c>
      <c r="O129" s="41">
        <f>Assumptions!$B$47*O107*Assumptions!$B$193*Assumptions!$B$83/(O108*Pricing!$B$19*O41*Assumptions!$B$135*(Assumptions!$B$127*Pricing!$E$37+Assumptions!$B$128*Pricing!$E$38+Assumptions!$B$129*Pricing!$E$39))</f>
        <v/>
      </c>
      <c r="P129" s="41">
        <f>Assumptions!$B$47*P107*Assumptions!$B$193*Assumptions!$B$83/(P108*Pricing!$B$19*P41*Assumptions!$B$135*(Assumptions!$B$127*Pricing!$E$37+Assumptions!$B$128*Pricing!$E$38+Assumptions!$B$129*Pricing!$E$39))</f>
        <v/>
      </c>
      <c r="Q129" s="41">
        <f>Assumptions!$B$47*Q107*Assumptions!$B$193*Assumptions!$B$83/(Q108*Pricing!$B$19*Q41*Assumptions!$B$135*(Assumptions!$B$127*Pricing!$E$37+Assumptions!$B$128*Pricing!$E$38+Assumptions!$B$129*Pricing!$E$39))</f>
        <v/>
      </c>
      <c r="R129" s="41">
        <f>Assumptions!$B$47*R107*Assumptions!$B$193*Assumptions!$B$83/(R108*Pricing!$B$19*R41*Assumptions!$B$135*(Assumptions!$B$127*Pricing!$E$37+Assumptions!$B$128*Pricing!$E$38+Assumptions!$B$129*Pricing!$E$39))</f>
        <v/>
      </c>
      <c r="S129" s="41">
        <f>Assumptions!$B$47*S107*Assumptions!$B$193*Assumptions!$B$83/(S108*Pricing!$B$19*S41*Assumptions!$B$135*(Assumptions!$B$127*Pricing!$E$37+Assumptions!$B$128*Pricing!$E$38+Assumptions!$B$129*Pricing!$E$39))</f>
        <v/>
      </c>
      <c r="T129" s="41">
        <f>Assumptions!$B$47*T107*Assumptions!$B$193*Assumptions!$B$83/(T108*Pricing!$B$19*T41*Assumptions!$B$135*(Assumptions!$B$127*Pricing!$E$37+Assumptions!$B$128*Pricing!$E$38+Assumptions!$B$129*Pricing!$E$39))</f>
        <v/>
      </c>
      <c r="U129" s="41">
        <f>Assumptions!$B$47*U107*Assumptions!$B$193*Assumptions!$B$83/(U108*Pricing!$B$19*U41*Assumptions!$B$135*(Assumptions!$B$127*Pricing!$E$37+Assumptions!$B$128*Pricing!$E$38+Assumptions!$B$129*Pricing!$E$39))</f>
        <v/>
      </c>
      <c r="V129" s="41">
        <f>Assumptions!$B$47*V107*Assumptions!$B$193*Assumptions!$B$83/(V108*Pricing!$B$19*V41*Assumptions!$B$135*(Assumptions!$B$127*Pricing!$E$37+Assumptions!$B$128*Pricing!$E$38+Assumptions!$B$129*Pricing!$E$39))</f>
        <v/>
      </c>
      <c r="W129" s="41">
        <f>Assumptions!$B$47*W107*Assumptions!$B$193*Assumptions!$B$83/(W108*Pricing!$B$19*W41*Assumptions!$B$135*(Assumptions!$B$127*Pricing!$E$37+Assumptions!$B$128*Pricing!$E$38+Assumptions!$B$129*Pricing!$E$39))</f>
        <v/>
      </c>
      <c r="X129" s="41">
        <f>Assumptions!$B$47*X107*Assumptions!$B$193*Assumptions!$B$83/(X108*Pricing!$B$19*X41*Assumptions!$B$135*(Assumptions!$B$127*Pricing!$E$37+Assumptions!$B$128*Pricing!$E$38+Assumptions!$B$129*Pricing!$E$39))</f>
        <v/>
      </c>
      <c r="Y129" s="41">
        <f>Assumptions!$B$47*Y107*Assumptions!$B$193*Assumptions!$B$83/(Y108*Pricing!$B$19*Y41*Assumptions!$B$135*(Assumptions!$B$127*Pricing!$E$37+Assumptions!$B$128*Pricing!$E$38+Assumptions!$B$129*Pricing!$E$39))</f>
        <v/>
      </c>
      <c r="Z129" s="41">
        <f>Assumptions!$B$47*Z107*Assumptions!$B$193*Assumptions!$B$83/(Z108*Pricing!$B$19*Z41*Assumptions!$B$135*(Assumptions!$B$127*Pricing!$E$37+Assumptions!$B$128*Pricing!$E$38+Assumptions!$B$129*Pricing!$E$39))</f>
        <v/>
      </c>
      <c r="AA129" s="41">
        <f>Assumptions!$B$47*AA107*Assumptions!$B$193*Assumptions!$B$83/(AA108*Pricing!$B$19*AA41*Assumptions!$B$135*(Assumptions!$B$127*Pricing!$E$37+Assumptions!$B$128*Pricing!$E$38+Assumptions!$B$129*Pricing!$E$39))</f>
        <v/>
      </c>
      <c r="AB129" s="41">
        <f>Assumptions!$B$47*AB107*Assumptions!$B$193*Assumptions!$B$83/(AB108*Pricing!$B$19*AB41*Assumptions!$B$135*(Assumptions!$B$127*Pricing!$E$37+Assumptions!$B$128*Pricing!$E$38+Assumptions!$B$129*Pricing!$E$39))</f>
        <v/>
      </c>
      <c r="AC129" s="41">
        <f>Assumptions!$B$47*AC107*Assumptions!$B$193*Assumptions!$B$83/(AC108*Pricing!$B$19*AC41*Assumptions!$B$135*(Assumptions!$B$127*Pricing!$E$37+Assumptions!$B$128*Pricing!$E$38+Assumptions!$B$129*Pricing!$E$39))</f>
        <v/>
      </c>
      <c r="AD129" s="41">
        <f>Assumptions!$B$47*AD107*Assumptions!$B$193*Assumptions!$B$83/(AD108*Pricing!$B$19*AD41*Assumptions!$B$135*(Assumptions!$B$127*Pricing!$E$37+Assumptions!$B$128*Pricing!$E$38+Assumptions!$B$129*Pricing!$E$39))</f>
        <v/>
      </c>
      <c r="AE129" s="41">
        <f>Assumptions!$B$47*AE107*Assumptions!$B$193*Assumptions!$B$83/(AE108*Pricing!$B$19*AE41*Assumptions!$B$135*(Assumptions!$B$127*Pricing!$E$37+Assumptions!$B$128*Pricing!$E$38+Assumptions!$B$129*Pricing!$E$39))</f>
        <v/>
      </c>
      <c r="AF129" s="41">
        <f>Assumptions!$B$47*AF107*Assumptions!$B$193*Assumptions!$B$83/(AF108*Pricing!$B$19*AF41*Assumptions!$B$135*(Assumptions!$B$127*Pricing!$E$37+Assumptions!$B$128*Pricing!$E$38+Assumptions!$B$129*Pricing!$E$39))</f>
        <v/>
      </c>
      <c r="AG129" s="41">
        <f>Assumptions!$B$47*AG107*Assumptions!$B$193*Assumptions!$B$83/(AG108*Pricing!$B$19*AG41*Assumptions!$B$135*(Assumptions!$B$127*Pricing!$E$37+Assumptions!$B$128*Pricing!$E$38+Assumptions!$B$129*Pricing!$E$39))</f>
        <v/>
      </c>
      <c r="AH129" s="41">
        <f>Assumptions!$B$47*AH107*Assumptions!$B$193*Assumptions!$B$83/(AH108*Pricing!$B$19*AH41*Assumptions!$B$135*(Assumptions!$B$127*Pricing!$E$37+Assumptions!$B$128*Pricing!$E$38+Assumptions!$B$129*Pricing!$E$39))</f>
        <v/>
      </c>
      <c r="AI129" s="41">
        <f>Assumptions!$B$47*AI107*Assumptions!$B$193*Assumptions!$B$83/(AI108*Pricing!$B$19*AI41*Assumptions!$B$135*(Assumptions!$B$127*Pricing!$E$37+Assumptions!$B$128*Pricing!$E$38+Assumptions!$B$129*Pricing!$E$39))</f>
        <v/>
      </c>
      <c r="AJ129" s="41">
        <f>Assumptions!$B$47*AJ107*Assumptions!$B$193*Assumptions!$B$83/(AJ108*Pricing!$B$19*AJ41*Assumptions!$B$135*(Assumptions!$B$127*Pricing!$E$37+Assumptions!$B$128*Pricing!$E$38+Assumptions!$B$129*Pricing!$E$39))</f>
        <v/>
      </c>
      <c r="AK129" s="41">
        <f>Assumptions!$B$47*AK107*Assumptions!$B$193*Assumptions!$B$83/(AK108*Pricing!$B$19*AK41*Assumptions!$B$135*(Assumptions!$B$127*Pricing!$E$37+Assumptions!$B$128*Pricing!$E$38+Assumptions!$B$129*Pricing!$E$39))</f>
        <v/>
      </c>
      <c r="AL129" s="41">
        <f>Assumptions!$B$47*AL107*Assumptions!$B$193*Assumptions!$B$83/(AL108*Pricing!$B$19*AL41*Assumptions!$B$135*(Assumptions!$B$127*Pricing!$E$37+Assumptions!$B$128*Pricing!$E$38+Assumptions!$B$129*Pricing!$E$39))</f>
        <v/>
      </c>
      <c r="AM129" s="41">
        <f>Assumptions!$B$47*AM107*Assumptions!$B$193*Assumptions!$B$83/(AM108*Pricing!$B$19*AM41*Assumptions!$B$135*(Assumptions!$B$127*Pricing!$E$37+Assumptions!$B$128*Pricing!$E$38+Assumptions!$B$129*Pricing!$E$39))</f>
        <v/>
      </c>
      <c r="AN129" s="41">
        <f>Assumptions!$B$47*AN107*Assumptions!$B$193*Assumptions!$B$83/(AN108*Pricing!$B$19*AN41*Assumptions!$B$135*(Assumptions!$B$127*Pricing!$E$37+Assumptions!$B$128*Pricing!$E$38+Assumptions!$B$129*Pricing!$E$39))</f>
        <v/>
      </c>
      <c r="AO129" s="41">
        <f>Assumptions!$B$47*AO107*Assumptions!$B$193*Assumptions!$B$83/(AO108*Pricing!$B$19*AO41*Assumptions!$B$135*(Assumptions!$B$127*Pricing!$E$37+Assumptions!$B$128*Pricing!$E$38+Assumptions!$B$129*Pricing!$E$39))</f>
        <v/>
      </c>
      <c r="AP129" s="41">
        <f>Assumptions!$B$47*AP107*Assumptions!$B$193*Assumptions!$B$83/(AP108*Pricing!$B$19*AP41*Assumptions!$B$135*(Assumptions!$B$127*Pricing!$E$37+Assumptions!$B$128*Pricing!$E$38+Assumptions!$B$129*Pricing!$E$39))</f>
        <v/>
      </c>
      <c r="AQ129" s="41">
        <f>Assumptions!$B$47*AQ107*Assumptions!$B$193*Assumptions!$B$83/(AQ108*Pricing!$B$19*AQ41*Assumptions!$B$135*(Assumptions!$B$127*Pricing!$E$37+Assumptions!$B$128*Pricing!$E$38+Assumptions!$B$129*Pricing!$E$39))</f>
        <v/>
      </c>
      <c r="AR129" s="41">
        <f>Assumptions!$B$47*AR107*Assumptions!$B$193*Assumptions!$B$83/(AR108*Pricing!$B$19*AR41*Assumptions!$B$135*(Assumptions!$B$127*Pricing!$E$37+Assumptions!$B$128*Pricing!$E$38+Assumptions!$B$129*Pricing!$E$39))</f>
        <v/>
      </c>
      <c r="AS129" s="41">
        <f>Assumptions!$B$47*AS107*Assumptions!$B$193*Assumptions!$B$83/(AS108*Pricing!$B$19*AS41*Assumptions!$B$135*(Assumptions!$B$127*Pricing!$E$37+Assumptions!$B$128*Pricing!$E$38+Assumptions!$B$129*Pricing!$E$39))</f>
        <v/>
      </c>
      <c r="AT129" s="41">
        <f>Assumptions!$B$47*AT107*Assumptions!$B$193*Assumptions!$B$83/(AT108*Pricing!$B$19*AT41*Assumptions!$B$135*(Assumptions!$B$127*Pricing!$E$37+Assumptions!$B$128*Pricing!$E$38+Assumptions!$B$129*Pricing!$E$39))</f>
        <v/>
      </c>
      <c r="AU129" s="41">
        <f>Assumptions!$B$47*AU107*Assumptions!$B$193*Assumptions!$B$83/(AU108*Pricing!$B$19*AU41*Assumptions!$B$135*(Assumptions!$B$127*Pricing!$E$37+Assumptions!$B$128*Pricing!$E$38+Assumptions!$B$129*Pricing!$E$39))</f>
        <v/>
      </c>
      <c r="AV129" s="41">
        <f>Assumptions!$B$47*AV107*Assumptions!$B$193*Assumptions!$B$83/(AV108*Pricing!$B$19*AV41*Assumptions!$B$135*(Assumptions!$B$127*Pricing!$E$37+Assumptions!$B$128*Pricing!$E$38+Assumptions!$B$129*Pricing!$E$39))</f>
        <v/>
      </c>
      <c r="AW129" s="41">
        <f>Assumptions!$B$47*AW107*Assumptions!$B$193*Assumptions!$B$83/(AW108*Pricing!$B$19*AW41*Assumptions!$B$135*(Assumptions!$B$127*Pricing!$E$37+Assumptions!$B$128*Pricing!$E$38+Assumptions!$B$129*Pricing!$E$39))</f>
        <v/>
      </c>
      <c r="AX129" s="41">
        <f>Assumptions!$B$47*AX107*Assumptions!$B$193*Assumptions!$B$83/(AX108*Pricing!$B$19*AX41*Assumptions!$B$135*(Assumptions!$B$127*Pricing!$E$37+Assumptions!$B$128*Pricing!$E$38+Assumptions!$B$129*Pricing!$E$39))</f>
        <v/>
      </c>
      <c r="AY129" s="41">
        <f>Assumptions!$B$47*AY107*Assumptions!$B$193*Assumptions!$B$83/(AY108*Pricing!$B$19*AY41*Assumptions!$B$135*(Assumptions!$B$127*Pricing!$E$37+Assumptions!$B$128*Pricing!$E$38+Assumptions!$B$129*Pricing!$E$39))</f>
        <v/>
      </c>
      <c r="AZ129" s="41">
        <f>Assumptions!$B$47*AZ107*Assumptions!$B$193*Assumptions!$B$83/(AZ108*Pricing!$B$19*AZ41*Assumptions!$B$135*(Assumptions!$B$127*Pricing!$E$37+Assumptions!$B$128*Pricing!$E$38+Assumptions!$B$129*Pricing!$E$39))</f>
        <v/>
      </c>
      <c r="BA129" s="41">
        <f>Assumptions!$B$47*BA107*Assumptions!$B$193*Assumptions!$B$83/(BA108*Pricing!$B$19*BA41*Assumptions!$B$135*(Assumptions!$B$127*Pricing!$E$37+Assumptions!$B$128*Pricing!$E$38+Assumptions!$B$129*Pricing!$E$39))</f>
        <v/>
      </c>
      <c r="BB129" s="41">
        <f>Assumptions!$B$47*BB107*Assumptions!$B$193*Assumptions!$B$83/(BB108*Pricing!$B$19*BB41*Assumptions!$B$135*(Assumptions!$B$127*Pricing!$E$37+Assumptions!$B$128*Pricing!$E$38+Assumptions!$B$129*Pricing!$E$39))</f>
        <v/>
      </c>
      <c r="BC129" s="41">
        <f>Assumptions!$B$47*BC107*Assumptions!$B$193*Assumptions!$B$83/(BC108*Pricing!$B$19*BC41*Assumptions!$B$135*(Assumptions!$B$127*Pricing!$E$37+Assumptions!$B$128*Pricing!$E$38+Assumptions!$B$129*Pricing!$E$39))</f>
        <v/>
      </c>
      <c r="BD129" s="41">
        <f>Assumptions!$B$47*BD107*Assumptions!$B$193*Assumptions!$B$83/(BD108*Pricing!$B$19*BD41*Assumptions!$B$135*(Assumptions!$B$127*Pricing!$E$37+Assumptions!$B$128*Pricing!$E$38+Assumptions!$B$129*Pricing!$E$39))</f>
        <v/>
      </c>
      <c r="BE129" s="41">
        <f>Assumptions!$B$47*BE107*Assumptions!$B$193*Assumptions!$B$83/(BE108*Pricing!$B$19*BE41*Assumptions!$B$135*(Assumptions!$B$127*Pricing!$E$37+Assumptions!$B$128*Pricing!$E$38+Assumptions!$B$129*Pricing!$E$39))</f>
        <v/>
      </c>
      <c r="BF129" s="41">
        <f>Assumptions!$B$47*BF107*Assumptions!$B$193*Assumptions!$B$83/(BF108*Pricing!$B$19*BF41*Assumptions!$B$135*(Assumptions!$B$127*Pricing!$E$37+Assumptions!$B$128*Pricing!$E$38+Assumptions!$B$129*Pricing!$E$39))</f>
        <v/>
      </c>
      <c r="BG129" s="41">
        <f>Assumptions!$B$47*BG107*Assumptions!$B$193*Assumptions!$B$83/(BG108*Pricing!$B$19*BG41*Assumptions!$B$135*(Assumptions!$B$127*Pricing!$E$37+Assumptions!$B$128*Pricing!$E$38+Assumptions!$B$129*Pricing!$E$39))</f>
        <v/>
      </c>
      <c r="BH129" s="41">
        <f>Assumptions!$B$47*BH107*Assumptions!$B$193*Assumptions!$B$83/(BH108*Pricing!$B$19*BH41*Assumptions!$B$135*(Assumptions!$B$127*Pricing!$E$37+Assumptions!$B$128*Pricing!$E$38+Assumptions!$B$129*Pricing!$E$39))</f>
        <v/>
      </c>
      <c r="BI129" s="41">
        <f>Assumptions!$B$47*BI107*Assumptions!$B$193*Assumptions!$B$83/(BI108*Pricing!$B$19*BI41*Assumptions!$B$135*(Assumptions!$B$127*Pricing!$E$37+Assumptions!$B$128*Pricing!$E$38+Assumptions!$B$129*Pricing!$E$39))</f>
        <v/>
      </c>
      <c r="BJ129" s="41">
        <f>Assumptions!$B$47*BJ107*Assumptions!$B$193*Assumptions!$B$83/(BJ108*Pricing!$B$19*BJ41*Assumptions!$B$135*(Assumptions!$B$127*Pricing!$E$37+Assumptions!$B$128*Pricing!$E$38+Assumptions!$B$129*Pricing!$E$39))</f>
        <v/>
      </c>
    </row>
    <row r="130">
      <c r="A130" s="4" t="inlineStr">
        <is>
          <t>Paid acquisition allowed (payback &lt;= max), SMEs: Ghana</t>
        </is>
      </c>
      <c r="B130" s="17" t="inlineStr">
        <is>
          <t>flag</t>
        </is>
      </c>
      <c r="C130" s="10">
        <f>IF(C129&lt;=Assumptions!$B$134,1,0)</f>
        <v/>
      </c>
      <c r="D130" s="10">
        <f>IF(D129&lt;=Assumptions!$B$134,1,0)</f>
        <v/>
      </c>
      <c r="E130" s="10">
        <f>IF(E129&lt;=Assumptions!$B$134,1,0)</f>
        <v/>
      </c>
      <c r="F130" s="10">
        <f>IF(F129&lt;=Assumptions!$B$134,1,0)</f>
        <v/>
      </c>
      <c r="G130" s="10">
        <f>IF(G129&lt;=Assumptions!$B$134,1,0)</f>
        <v/>
      </c>
      <c r="H130" s="10">
        <f>IF(H129&lt;=Assumptions!$B$134,1,0)</f>
        <v/>
      </c>
      <c r="I130" s="10">
        <f>IF(I129&lt;=Assumptions!$B$134,1,0)</f>
        <v/>
      </c>
      <c r="J130" s="10">
        <f>IF(J129&lt;=Assumptions!$B$134,1,0)</f>
        <v/>
      </c>
      <c r="K130" s="10">
        <f>IF(K129&lt;=Assumptions!$B$134,1,0)</f>
        <v/>
      </c>
      <c r="L130" s="10">
        <f>IF(L129&lt;=Assumptions!$B$134,1,0)</f>
        <v/>
      </c>
      <c r="M130" s="10">
        <f>IF(M129&lt;=Assumptions!$B$134,1,0)</f>
        <v/>
      </c>
      <c r="N130" s="10">
        <f>IF(N129&lt;=Assumptions!$B$134,1,0)</f>
        <v/>
      </c>
      <c r="O130" s="10">
        <f>IF(O129&lt;=Assumptions!$B$134,1,0)</f>
        <v/>
      </c>
      <c r="P130" s="10">
        <f>IF(P129&lt;=Assumptions!$B$134,1,0)</f>
        <v/>
      </c>
      <c r="Q130" s="10">
        <f>IF(Q129&lt;=Assumptions!$B$134,1,0)</f>
        <v/>
      </c>
      <c r="R130" s="10">
        <f>IF(R129&lt;=Assumptions!$B$134,1,0)</f>
        <v/>
      </c>
      <c r="S130" s="10">
        <f>IF(S129&lt;=Assumptions!$B$134,1,0)</f>
        <v/>
      </c>
      <c r="T130" s="10">
        <f>IF(T129&lt;=Assumptions!$B$134,1,0)</f>
        <v/>
      </c>
      <c r="U130" s="10">
        <f>IF(U129&lt;=Assumptions!$B$134,1,0)</f>
        <v/>
      </c>
      <c r="V130" s="10">
        <f>IF(V129&lt;=Assumptions!$B$134,1,0)</f>
        <v/>
      </c>
      <c r="W130" s="10">
        <f>IF(W129&lt;=Assumptions!$B$134,1,0)</f>
        <v/>
      </c>
      <c r="X130" s="10">
        <f>IF(X129&lt;=Assumptions!$B$134,1,0)</f>
        <v/>
      </c>
      <c r="Y130" s="10">
        <f>IF(Y129&lt;=Assumptions!$B$134,1,0)</f>
        <v/>
      </c>
      <c r="Z130" s="10">
        <f>IF(Z129&lt;=Assumptions!$B$134,1,0)</f>
        <v/>
      </c>
      <c r="AA130" s="10">
        <f>IF(AA129&lt;=Assumptions!$B$134,1,0)</f>
        <v/>
      </c>
      <c r="AB130" s="10">
        <f>IF(AB129&lt;=Assumptions!$B$134,1,0)</f>
        <v/>
      </c>
      <c r="AC130" s="10">
        <f>IF(AC129&lt;=Assumptions!$B$134,1,0)</f>
        <v/>
      </c>
      <c r="AD130" s="10">
        <f>IF(AD129&lt;=Assumptions!$B$134,1,0)</f>
        <v/>
      </c>
      <c r="AE130" s="10">
        <f>IF(AE129&lt;=Assumptions!$B$134,1,0)</f>
        <v/>
      </c>
      <c r="AF130" s="10">
        <f>IF(AF129&lt;=Assumptions!$B$134,1,0)</f>
        <v/>
      </c>
      <c r="AG130" s="10">
        <f>IF(AG129&lt;=Assumptions!$B$134,1,0)</f>
        <v/>
      </c>
      <c r="AH130" s="10">
        <f>IF(AH129&lt;=Assumptions!$B$134,1,0)</f>
        <v/>
      </c>
      <c r="AI130" s="10">
        <f>IF(AI129&lt;=Assumptions!$B$134,1,0)</f>
        <v/>
      </c>
      <c r="AJ130" s="10">
        <f>IF(AJ129&lt;=Assumptions!$B$134,1,0)</f>
        <v/>
      </c>
      <c r="AK130" s="10">
        <f>IF(AK129&lt;=Assumptions!$B$134,1,0)</f>
        <v/>
      </c>
      <c r="AL130" s="10">
        <f>IF(AL129&lt;=Assumptions!$B$134,1,0)</f>
        <v/>
      </c>
      <c r="AM130" s="10">
        <f>IF(AM129&lt;=Assumptions!$B$134,1,0)</f>
        <v/>
      </c>
      <c r="AN130" s="10">
        <f>IF(AN129&lt;=Assumptions!$B$134,1,0)</f>
        <v/>
      </c>
      <c r="AO130" s="10">
        <f>IF(AO129&lt;=Assumptions!$B$134,1,0)</f>
        <v/>
      </c>
      <c r="AP130" s="10">
        <f>IF(AP129&lt;=Assumptions!$B$134,1,0)</f>
        <v/>
      </c>
      <c r="AQ130" s="10">
        <f>IF(AQ129&lt;=Assumptions!$B$134,1,0)</f>
        <v/>
      </c>
      <c r="AR130" s="10">
        <f>IF(AR129&lt;=Assumptions!$B$134,1,0)</f>
        <v/>
      </c>
      <c r="AS130" s="10">
        <f>IF(AS129&lt;=Assumptions!$B$134,1,0)</f>
        <v/>
      </c>
      <c r="AT130" s="10">
        <f>IF(AT129&lt;=Assumptions!$B$134,1,0)</f>
        <v/>
      </c>
      <c r="AU130" s="10">
        <f>IF(AU129&lt;=Assumptions!$B$134,1,0)</f>
        <v/>
      </c>
      <c r="AV130" s="10">
        <f>IF(AV129&lt;=Assumptions!$B$134,1,0)</f>
        <v/>
      </c>
      <c r="AW130" s="10">
        <f>IF(AW129&lt;=Assumptions!$B$134,1,0)</f>
        <v/>
      </c>
      <c r="AX130" s="10">
        <f>IF(AX129&lt;=Assumptions!$B$134,1,0)</f>
        <v/>
      </c>
      <c r="AY130" s="10">
        <f>IF(AY129&lt;=Assumptions!$B$134,1,0)</f>
        <v/>
      </c>
      <c r="AZ130" s="10">
        <f>IF(AZ129&lt;=Assumptions!$B$134,1,0)</f>
        <v/>
      </c>
      <c r="BA130" s="10">
        <f>IF(BA129&lt;=Assumptions!$B$134,1,0)</f>
        <v/>
      </c>
      <c r="BB130" s="10">
        <f>IF(BB129&lt;=Assumptions!$B$134,1,0)</f>
        <v/>
      </c>
      <c r="BC130" s="10">
        <f>IF(BC129&lt;=Assumptions!$B$134,1,0)</f>
        <v/>
      </c>
      <c r="BD130" s="10">
        <f>IF(BD129&lt;=Assumptions!$B$134,1,0)</f>
        <v/>
      </c>
      <c r="BE130" s="10">
        <f>IF(BE129&lt;=Assumptions!$B$134,1,0)</f>
        <v/>
      </c>
      <c r="BF130" s="10">
        <f>IF(BF129&lt;=Assumptions!$B$134,1,0)</f>
        <v/>
      </c>
      <c r="BG130" s="10">
        <f>IF(BG129&lt;=Assumptions!$B$134,1,0)</f>
        <v/>
      </c>
      <c r="BH130" s="10">
        <f>IF(BH129&lt;=Assumptions!$B$134,1,0)</f>
        <v/>
      </c>
      <c r="BI130" s="10">
        <f>IF(BI129&lt;=Assumptions!$B$134,1,0)</f>
        <v/>
      </c>
      <c r="BJ130" s="10">
        <f>IF(BJ129&lt;=Assumptions!$B$134,1,0)</f>
        <v/>
      </c>
    </row>
    <row r="131">
      <c r="A131" s="4" t="inlineStr">
        <is>
          <t>CAC payback, SMEs: Rest of Africa (USD)</t>
        </is>
      </c>
      <c r="B131" s="17" t="inlineStr">
        <is>
          <t>months</t>
        </is>
      </c>
      <c r="C131" s="41">
        <f>Assumptions!$B$47*C107*Assumptions!$B$193*Assumptions!$B$93/(C108*Pricing!$B$19*C44*Assumptions!$B$135*(Assumptions!$B$127*Pricing!$F$37+Assumptions!$B$128*Pricing!$F$38+Assumptions!$B$129*Pricing!$F$39))</f>
        <v/>
      </c>
      <c r="D131" s="41">
        <f>Assumptions!$B$47*D107*Assumptions!$B$193*Assumptions!$B$93/(D108*Pricing!$B$19*D44*Assumptions!$B$135*(Assumptions!$B$127*Pricing!$F$37+Assumptions!$B$128*Pricing!$F$38+Assumptions!$B$129*Pricing!$F$39))</f>
        <v/>
      </c>
      <c r="E131" s="41">
        <f>Assumptions!$B$47*E107*Assumptions!$B$193*Assumptions!$B$93/(E108*Pricing!$B$19*E44*Assumptions!$B$135*(Assumptions!$B$127*Pricing!$F$37+Assumptions!$B$128*Pricing!$F$38+Assumptions!$B$129*Pricing!$F$39))</f>
        <v/>
      </c>
      <c r="F131" s="41">
        <f>Assumptions!$B$47*F107*Assumptions!$B$193*Assumptions!$B$93/(F108*Pricing!$B$19*F44*Assumptions!$B$135*(Assumptions!$B$127*Pricing!$F$37+Assumptions!$B$128*Pricing!$F$38+Assumptions!$B$129*Pricing!$F$39))</f>
        <v/>
      </c>
      <c r="G131" s="41">
        <f>Assumptions!$B$47*G107*Assumptions!$B$193*Assumptions!$B$93/(G108*Pricing!$B$19*G44*Assumptions!$B$135*(Assumptions!$B$127*Pricing!$F$37+Assumptions!$B$128*Pricing!$F$38+Assumptions!$B$129*Pricing!$F$39))</f>
        <v/>
      </c>
      <c r="H131" s="41">
        <f>Assumptions!$B$47*H107*Assumptions!$B$193*Assumptions!$B$93/(H108*Pricing!$B$19*H44*Assumptions!$B$135*(Assumptions!$B$127*Pricing!$F$37+Assumptions!$B$128*Pricing!$F$38+Assumptions!$B$129*Pricing!$F$39))</f>
        <v/>
      </c>
      <c r="I131" s="41">
        <f>Assumptions!$B$47*I107*Assumptions!$B$193*Assumptions!$B$93/(I108*Pricing!$B$19*I44*Assumptions!$B$135*(Assumptions!$B$127*Pricing!$F$37+Assumptions!$B$128*Pricing!$F$38+Assumptions!$B$129*Pricing!$F$39))</f>
        <v/>
      </c>
      <c r="J131" s="41">
        <f>Assumptions!$B$47*J107*Assumptions!$B$193*Assumptions!$B$93/(J108*Pricing!$B$19*J44*Assumptions!$B$135*(Assumptions!$B$127*Pricing!$F$37+Assumptions!$B$128*Pricing!$F$38+Assumptions!$B$129*Pricing!$F$39))</f>
        <v/>
      </c>
      <c r="K131" s="41">
        <f>Assumptions!$B$47*K107*Assumptions!$B$193*Assumptions!$B$93/(K108*Pricing!$B$19*K44*Assumptions!$B$135*(Assumptions!$B$127*Pricing!$F$37+Assumptions!$B$128*Pricing!$F$38+Assumptions!$B$129*Pricing!$F$39))</f>
        <v/>
      </c>
      <c r="L131" s="41">
        <f>Assumptions!$B$47*L107*Assumptions!$B$193*Assumptions!$B$93/(L108*Pricing!$B$19*L44*Assumptions!$B$135*(Assumptions!$B$127*Pricing!$F$37+Assumptions!$B$128*Pricing!$F$38+Assumptions!$B$129*Pricing!$F$39))</f>
        <v/>
      </c>
      <c r="M131" s="41">
        <f>Assumptions!$B$47*M107*Assumptions!$B$193*Assumptions!$B$93/(M108*Pricing!$B$19*M44*Assumptions!$B$135*(Assumptions!$B$127*Pricing!$F$37+Assumptions!$B$128*Pricing!$F$38+Assumptions!$B$129*Pricing!$F$39))</f>
        <v/>
      </c>
      <c r="N131" s="41">
        <f>Assumptions!$B$47*N107*Assumptions!$B$193*Assumptions!$B$93/(N108*Pricing!$B$19*N44*Assumptions!$B$135*(Assumptions!$B$127*Pricing!$F$37+Assumptions!$B$128*Pricing!$F$38+Assumptions!$B$129*Pricing!$F$39))</f>
        <v/>
      </c>
      <c r="O131" s="41">
        <f>Assumptions!$B$47*O107*Assumptions!$B$193*Assumptions!$B$93/(O108*Pricing!$B$19*O44*Assumptions!$B$135*(Assumptions!$B$127*Pricing!$F$37+Assumptions!$B$128*Pricing!$F$38+Assumptions!$B$129*Pricing!$F$39))</f>
        <v/>
      </c>
      <c r="P131" s="41">
        <f>Assumptions!$B$47*P107*Assumptions!$B$193*Assumptions!$B$93/(P108*Pricing!$B$19*P44*Assumptions!$B$135*(Assumptions!$B$127*Pricing!$F$37+Assumptions!$B$128*Pricing!$F$38+Assumptions!$B$129*Pricing!$F$39))</f>
        <v/>
      </c>
      <c r="Q131" s="41">
        <f>Assumptions!$B$47*Q107*Assumptions!$B$193*Assumptions!$B$93/(Q108*Pricing!$B$19*Q44*Assumptions!$B$135*(Assumptions!$B$127*Pricing!$F$37+Assumptions!$B$128*Pricing!$F$38+Assumptions!$B$129*Pricing!$F$39))</f>
        <v/>
      </c>
      <c r="R131" s="41">
        <f>Assumptions!$B$47*R107*Assumptions!$B$193*Assumptions!$B$93/(R108*Pricing!$B$19*R44*Assumptions!$B$135*(Assumptions!$B$127*Pricing!$F$37+Assumptions!$B$128*Pricing!$F$38+Assumptions!$B$129*Pricing!$F$39))</f>
        <v/>
      </c>
      <c r="S131" s="41">
        <f>Assumptions!$B$47*S107*Assumptions!$B$193*Assumptions!$B$93/(S108*Pricing!$B$19*S44*Assumptions!$B$135*(Assumptions!$B$127*Pricing!$F$37+Assumptions!$B$128*Pricing!$F$38+Assumptions!$B$129*Pricing!$F$39))</f>
        <v/>
      </c>
      <c r="T131" s="41">
        <f>Assumptions!$B$47*T107*Assumptions!$B$193*Assumptions!$B$93/(T108*Pricing!$B$19*T44*Assumptions!$B$135*(Assumptions!$B$127*Pricing!$F$37+Assumptions!$B$128*Pricing!$F$38+Assumptions!$B$129*Pricing!$F$39))</f>
        <v/>
      </c>
      <c r="U131" s="41">
        <f>Assumptions!$B$47*U107*Assumptions!$B$193*Assumptions!$B$93/(U108*Pricing!$B$19*U44*Assumptions!$B$135*(Assumptions!$B$127*Pricing!$F$37+Assumptions!$B$128*Pricing!$F$38+Assumptions!$B$129*Pricing!$F$39))</f>
        <v/>
      </c>
      <c r="V131" s="41">
        <f>Assumptions!$B$47*V107*Assumptions!$B$193*Assumptions!$B$93/(V108*Pricing!$B$19*V44*Assumptions!$B$135*(Assumptions!$B$127*Pricing!$F$37+Assumptions!$B$128*Pricing!$F$38+Assumptions!$B$129*Pricing!$F$39))</f>
        <v/>
      </c>
      <c r="W131" s="41">
        <f>Assumptions!$B$47*W107*Assumptions!$B$193*Assumptions!$B$93/(W108*Pricing!$B$19*W44*Assumptions!$B$135*(Assumptions!$B$127*Pricing!$F$37+Assumptions!$B$128*Pricing!$F$38+Assumptions!$B$129*Pricing!$F$39))</f>
        <v/>
      </c>
      <c r="X131" s="41">
        <f>Assumptions!$B$47*X107*Assumptions!$B$193*Assumptions!$B$93/(X108*Pricing!$B$19*X44*Assumptions!$B$135*(Assumptions!$B$127*Pricing!$F$37+Assumptions!$B$128*Pricing!$F$38+Assumptions!$B$129*Pricing!$F$39))</f>
        <v/>
      </c>
      <c r="Y131" s="41">
        <f>Assumptions!$B$47*Y107*Assumptions!$B$193*Assumptions!$B$93/(Y108*Pricing!$B$19*Y44*Assumptions!$B$135*(Assumptions!$B$127*Pricing!$F$37+Assumptions!$B$128*Pricing!$F$38+Assumptions!$B$129*Pricing!$F$39))</f>
        <v/>
      </c>
      <c r="Z131" s="41">
        <f>Assumptions!$B$47*Z107*Assumptions!$B$193*Assumptions!$B$93/(Z108*Pricing!$B$19*Z44*Assumptions!$B$135*(Assumptions!$B$127*Pricing!$F$37+Assumptions!$B$128*Pricing!$F$38+Assumptions!$B$129*Pricing!$F$39))</f>
        <v/>
      </c>
      <c r="AA131" s="41">
        <f>Assumptions!$B$47*AA107*Assumptions!$B$193*Assumptions!$B$93/(AA108*Pricing!$B$19*AA44*Assumptions!$B$135*(Assumptions!$B$127*Pricing!$F$37+Assumptions!$B$128*Pricing!$F$38+Assumptions!$B$129*Pricing!$F$39))</f>
        <v/>
      </c>
      <c r="AB131" s="41">
        <f>Assumptions!$B$47*AB107*Assumptions!$B$193*Assumptions!$B$93/(AB108*Pricing!$B$19*AB44*Assumptions!$B$135*(Assumptions!$B$127*Pricing!$F$37+Assumptions!$B$128*Pricing!$F$38+Assumptions!$B$129*Pricing!$F$39))</f>
        <v/>
      </c>
      <c r="AC131" s="41">
        <f>Assumptions!$B$47*AC107*Assumptions!$B$193*Assumptions!$B$93/(AC108*Pricing!$B$19*AC44*Assumptions!$B$135*(Assumptions!$B$127*Pricing!$F$37+Assumptions!$B$128*Pricing!$F$38+Assumptions!$B$129*Pricing!$F$39))</f>
        <v/>
      </c>
      <c r="AD131" s="41">
        <f>Assumptions!$B$47*AD107*Assumptions!$B$193*Assumptions!$B$93/(AD108*Pricing!$B$19*AD44*Assumptions!$B$135*(Assumptions!$B$127*Pricing!$F$37+Assumptions!$B$128*Pricing!$F$38+Assumptions!$B$129*Pricing!$F$39))</f>
        <v/>
      </c>
      <c r="AE131" s="41">
        <f>Assumptions!$B$47*AE107*Assumptions!$B$193*Assumptions!$B$93/(AE108*Pricing!$B$19*AE44*Assumptions!$B$135*(Assumptions!$B$127*Pricing!$F$37+Assumptions!$B$128*Pricing!$F$38+Assumptions!$B$129*Pricing!$F$39))</f>
        <v/>
      </c>
      <c r="AF131" s="41">
        <f>Assumptions!$B$47*AF107*Assumptions!$B$193*Assumptions!$B$93/(AF108*Pricing!$B$19*AF44*Assumptions!$B$135*(Assumptions!$B$127*Pricing!$F$37+Assumptions!$B$128*Pricing!$F$38+Assumptions!$B$129*Pricing!$F$39))</f>
        <v/>
      </c>
      <c r="AG131" s="41">
        <f>Assumptions!$B$47*AG107*Assumptions!$B$193*Assumptions!$B$93/(AG108*Pricing!$B$19*AG44*Assumptions!$B$135*(Assumptions!$B$127*Pricing!$F$37+Assumptions!$B$128*Pricing!$F$38+Assumptions!$B$129*Pricing!$F$39))</f>
        <v/>
      </c>
      <c r="AH131" s="41">
        <f>Assumptions!$B$47*AH107*Assumptions!$B$193*Assumptions!$B$93/(AH108*Pricing!$B$19*AH44*Assumptions!$B$135*(Assumptions!$B$127*Pricing!$F$37+Assumptions!$B$128*Pricing!$F$38+Assumptions!$B$129*Pricing!$F$39))</f>
        <v/>
      </c>
      <c r="AI131" s="41">
        <f>Assumptions!$B$47*AI107*Assumptions!$B$193*Assumptions!$B$93/(AI108*Pricing!$B$19*AI44*Assumptions!$B$135*(Assumptions!$B$127*Pricing!$F$37+Assumptions!$B$128*Pricing!$F$38+Assumptions!$B$129*Pricing!$F$39))</f>
        <v/>
      </c>
      <c r="AJ131" s="41">
        <f>Assumptions!$B$47*AJ107*Assumptions!$B$193*Assumptions!$B$93/(AJ108*Pricing!$B$19*AJ44*Assumptions!$B$135*(Assumptions!$B$127*Pricing!$F$37+Assumptions!$B$128*Pricing!$F$38+Assumptions!$B$129*Pricing!$F$39))</f>
        <v/>
      </c>
      <c r="AK131" s="41">
        <f>Assumptions!$B$47*AK107*Assumptions!$B$193*Assumptions!$B$93/(AK108*Pricing!$B$19*AK44*Assumptions!$B$135*(Assumptions!$B$127*Pricing!$F$37+Assumptions!$B$128*Pricing!$F$38+Assumptions!$B$129*Pricing!$F$39))</f>
        <v/>
      </c>
      <c r="AL131" s="41">
        <f>Assumptions!$B$47*AL107*Assumptions!$B$193*Assumptions!$B$93/(AL108*Pricing!$B$19*AL44*Assumptions!$B$135*(Assumptions!$B$127*Pricing!$F$37+Assumptions!$B$128*Pricing!$F$38+Assumptions!$B$129*Pricing!$F$39))</f>
        <v/>
      </c>
      <c r="AM131" s="41">
        <f>Assumptions!$B$47*AM107*Assumptions!$B$193*Assumptions!$B$93/(AM108*Pricing!$B$19*AM44*Assumptions!$B$135*(Assumptions!$B$127*Pricing!$F$37+Assumptions!$B$128*Pricing!$F$38+Assumptions!$B$129*Pricing!$F$39))</f>
        <v/>
      </c>
      <c r="AN131" s="41">
        <f>Assumptions!$B$47*AN107*Assumptions!$B$193*Assumptions!$B$93/(AN108*Pricing!$B$19*AN44*Assumptions!$B$135*(Assumptions!$B$127*Pricing!$F$37+Assumptions!$B$128*Pricing!$F$38+Assumptions!$B$129*Pricing!$F$39))</f>
        <v/>
      </c>
      <c r="AO131" s="41">
        <f>Assumptions!$B$47*AO107*Assumptions!$B$193*Assumptions!$B$93/(AO108*Pricing!$B$19*AO44*Assumptions!$B$135*(Assumptions!$B$127*Pricing!$F$37+Assumptions!$B$128*Pricing!$F$38+Assumptions!$B$129*Pricing!$F$39))</f>
        <v/>
      </c>
      <c r="AP131" s="41">
        <f>Assumptions!$B$47*AP107*Assumptions!$B$193*Assumptions!$B$93/(AP108*Pricing!$B$19*AP44*Assumptions!$B$135*(Assumptions!$B$127*Pricing!$F$37+Assumptions!$B$128*Pricing!$F$38+Assumptions!$B$129*Pricing!$F$39))</f>
        <v/>
      </c>
      <c r="AQ131" s="41">
        <f>Assumptions!$B$47*AQ107*Assumptions!$B$193*Assumptions!$B$93/(AQ108*Pricing!$B$19*AQ44*Assumptions!$B$135*(Assumptions!$B$127*Pricing!$F$37+Assumptions!$B$128*Pricing!$F$38+Assumptions!$B$129*Pricing!$F$39))</f>
        <v/>
      </c>
      <c r="AR131" s="41">
        <f>Assumptions!$B$47*AR107*Assumptions!$B$193*Assumptions!$B$93/(AR108*Pricing!$B$19*AR44*Assumptions!$B$135*(Assumptions!$B$127*Pricing!$F$37+Assumptions!$B$128*Pricing!$F$38+Assumptions!$B$129*Pricing!$F$39))</f>
        <v/>
      </c>
      <c r="AS131" s="41">
        <f>Assumptions!$B$47*AS107*Assumptions!$B$193*Assumptions!$B$93/(AS108*Pricing!$B$19*AS44*Assumptions!$B$135*(Assumptions!$B$127*Pricing!$F$37+Assumptions!$B$128*Pricing!$F$38+Assumptions!$B$129*Pricing!$F$39))</f>
        <v/>
      </c>
      <c r="AT131" s="41">
        <f>Assumptions!$B$47*AT107*Assumptions!$B$193*Assumptions!$B$93/(AT108*Pricing!$B$19*AT44*Assumptions!$B$135*(Assumptions!$B$127*Pricing!$F$37+Assumptions!$B$128*Pricing!$F$38+Assumptions!$B$129*Pricing!$F$39))</f>
        <v/>
      </c>
      <c r="AU131" s="41">
        <f>Assumptions!$B$47*AU107*Assumptions!$B$193*Assumptions!$B$93/(AU108*Pricing!$B$19*AU44*Assumptions!$B$135*(Assumptions!$B$127*Pricing!$F$37+Assumptions!$B$128*Pricing!$F$38+Assumptions!$B$129*Pricing!$F$39))</f>
        <v/>
      </c>
      <c r="AV131" s="41">
        <f>Assumptions!$B$47*AV107*Assumptions!$B$193*Assumptions!$B$93/(AV108*Pricing!$B$19*AV44*Assumptions!$B$135*(Assumptions!$B$127*Pricing!$F$37+Assumptions!$B$128*Pricing!$F$38+Assumptions!$B$129*Pricing!$F$39))</f>
        <v/>
      </c>
      <c r="AW131" s="41">
        <f>Assumptions!$B$47*AW107*Assumptions!$B$193*Assumptions!$B$93/(AW108*Pricing!$B$19*AW44*Assumptions!$B$135*(Assumptions!$B$127*Pricing!$F$37+Assumptions!$B$128*Pricing!$F$38+Assumptions!$B$129*Pricing!$F$39))</f>
        <v/>
      </c>
      <c r="AX131" s="41">
        <f>Assumptions!$B$47*AX107*Assumptions!$B$193*Assumptions!$B$93/(AX108*Pricing!$B$19*AX44*Assumptions!$B$135*(Assumptions!$B$127*Pricing!$F$37+Assumptions!$B$128*Pricing!$F$38+Assumptions!$B$129*Pricing!$F$39))</f>
        <v/>
      </c>
      <c r="AY131" s="41">
        <f>Assumptions!$B$47*AY107*Assumptions!$B$193*Assumptions!$B$93/(AY108*Pricing!$B$19*AY44*Assumptions!$B$135*(Assumptions!$B$127*Pricing!$F$37+Assumptions!$B$128*Pricing!$F$38+Assumptions!$B$129*Pricing!$F$39))</f>
        <v/>
      </c>
      <c r="AZ131" s="41">
        <f>Assumptions!$B$47*AZ107*Assumptions!$B$193*Assumptions!$B$93/(AZ108*Pricing!$B$19*AZ44*Assumptions!$B$135*(Assumptions!$B$127*Pricing!$F$37+Assumptions!$B$128*Pricing!$F$38+Assumptions!$B$129*Pricing!$F$39))</f>
        <v/>
      </c>
      <c r="BA131" s="41">
        <f>Assumptions!$B$47*BA107*Assumptions!$B$193*Assumptions!$B$93/(BA108*Pricing!$B$19*BA44*Assumptions!$B$135*(Assumptions!$B$127*Pricing!$F$37+Assumptions!$B$128*Pricing!$F$38+Assumptions!$B$129*Pricing!$F$39))</f>
        <v/>
      </c>
      <c r="BB131" s="41">
        <f>Assumptions!$B$47*BB107*Assumptions!$B$193*Assumptions!$B$93/(BB108*Pricing!$B$19*BB44*Assumptions!$B$135*(Assumptions!$B$127*Pricing!$F$37+Assumptions!$B$128*Pricing!$F$38+Assumptions!$B$129*Pricing!$F$39))</f>
        <v/>
      </c>
      <c r="BC131" s="41">
        <f>Assumptions!$B$47*BC107*Assumptions!$B$193*Assumptions!$B$93/(BC108*Pricing!$B$19*BC44*Assumptions!$B$135*(Assumptions!$B$127*Pricing!$F$37+Assumptions!$B$128*Pricing!$F$38+Assumptions!$B$129*Pricing!$F$39))</f>
        <v/>
      </c>
      <c r="BD131" s="41">
        <f>Assumptions!$B$47*BD107*Assumptions!$B$193*Assumptions!$B$93/(BD108*Pricing!$B$19*BD44*Assumptions!$B$135*(Assumptions!$B$127*Pricing!$F$37+Assumptions!$B$128*Pricing!$F$38+Assumptions!$B$129*Pricing!$F$39))</f>
        <v/>
      </c>
      <c r="BE131" s="41">
        <f>Assumptions!$B$47*BE107*Assumptions!$B$193*Assumptions!$B$93/(BE108*Pricing!$B$19*BE44*Assumptions!$B$135*(Assumptions!$B$127*Pricing!$F$37+Assumptions!$B$128*Pricing!$F$38+Assumptions!$B$129*Pricing!$F$39))</f>
        <v/>
      </c>
      <c r="BF131" s="41">
        <f>Assumptions!$B$47*BF107*Assumptions!$B$193*Assumptions!$B$93/(BF108*Pricing!$B$19*BF44*Assumptions!$B$135*(Assumptions!$B$127*Pricing!$F$37+Assumptions!$B$128*Pricing!$F$38+Assumptions!$B$129*Pricing!$F$39))</f>
        <v/>
      </c>
      <c r="BG131" s="41">
        <f>Assumptions!$B$47*BG107*Assumptions!$B$193*Assumptions!$B$93/(BG108*Pricing!$B$19*BG44*Assumptions!$B$135*(Assumptions!$B$127*Pricing!$F$37+Assumptions!$B$128*Pricing!$F$38+Assumptions!$B$129*Pricing!$F$39))</f>
        <v/>
      </c>
      <c r="BH131" s="41">
        <f>Assumptions!$B$47*BH107*Assumptions!$B$193*Assumptions!$B$93/(BH108*Pricing!$B$19*BH44*Assumptions!$B$135*(Assumptions!$B$127*Pricing!$F$37+Assumptions!$B$128*Pricing!$F$38+Assumptions!$B$129*Pricing!$F$39))</f>
        <v/>
      </c>
      <c r="BI131" s="41">
        <f>Assumptions!$B$47*BI107*Assumptions!$B$193*Assumptions!$B$93/(BI108*Pricing!$B$19*BI44*Assumptions!$B$135*(Assumptions!$B$127*Pricing!$F$37+Assumptions!$B$128*Pricing!$F$38+Assumptions!$B$129*Pricing!$F$39))</f>
        <v/>
      </c>
      <c r="BJ131" s="41">
        <f>Assumptions!$B$47*BJ107*Assumptions!$B$193*Assumptions!$B$93/(BJ108*Pricing!$B$19*BJ44*Assumptions!$B$135*(Assumptions!$B$127*Pricing!$F$37+Assumptions!$B$128*Pricing!$F$38+Assumptions!$B$129*Pricing!$F$39))</f>
        <v/>
      </c>
    </row>
    <row r="132">
      <c r="A132" s="4" t="inlineStr">
        <is>
          <t>Paid acquisition allowed (payback &lt;= max), SMEs: Rest of Africa (USD)</t>
        </is>
      </c>
      <c r="B132" s="17" t="inlineStr">
        <is>
          <t>flag</t>
        </is>
      </c>
      <c r="C132" s="10">
        <f>IF(C131&lt;=Assumptions!$B$134,1,0)</f>
        <v/>
      </c>
      <c r="D132" s="10">
        <f>IF(D131&lt;=Assumptions!$B$134,1,0)</f>
        <v/>
      </c>
      <c r="E132" s="10">
        <f>IF(E131&lt;=Assumptions!$B$134,1,0)</f>
        <v/>
      </c>
      <c r="F132" s="10">
        <f>IF(F131&lt;=Assumptions!$B$134,1,0)</f>
        <v/>
      </c>
      <c r="G132" s="10">
        <f>IF(G131&lt;=Assumptions!$B$134,1,0)</f>
        <v/>
      </c>
      <c r="H132" s="10">
        <f>IF(H131&lt;=Assumptions!$B$134,1,0)</f>
        <v/>
      </c>
      <c r="I132" s="10">
        <f>IF(I131&lt;=Assumptions!$B$134,1,0)</f>
        <v/>
      </c>
      <c r="J132" s="10">
        <f>IF(J131&lt;=Assumptions!$B$134,1,0)</f>
        <v/>
      </c>
      <c r="K132" s="10">
        <f>IF(K131&lt;=Assumptions!$B$134,1,0)</f>
        <v/>
      </c>
      <c r="L132" s="10">
        <f>IF(L131&lt;=Assumptions!$B$134,1,0)</f>
        <v/>
      </c>
      <c r="M132" s="10">
        <f>IF(M131&lt;=Assumptions!$B$134,1,0)</f>
        <v/>
      </c>
      <c r="N132" s="10">
        <f>IF(N131&lt;=Assumptions!$B$134,1,0)</f>
        <v/>
      </c>
      <c r="O132" s="10">
        <f>IF(O131&lt;=Assumptions!$B$134,1,0)</f>
        <v/>
      </c>
      <c r="P132" s="10">
        <f>IF(P131&lt;=Assumptions!$B$134,1,0)</f>
        <v/>
      </c>
      <c r="Q132" s="10">
        <f>IF(Q131&lt;=Assumptions!$B$134,1,0)</f>
        <v/>
      </c>
      <c r="R132" s="10">
        <f>IF(R131&lt;=Assumptions!$B$134,1,0)</f>
        <v/>
      </c>
      <c r="S132" s="10">
        <f>IF(S131&lt;=Assumptions!$B$134,1,0)</f>
        <v/>
      </c>
      <c r="T132" s="10">
        <f>IF(T131&lt;=Assumptions!$B$134,1,0)</f>
        <v/>
      </c>
      <c r="U132" s="10">
        <f>IF(U131&lt;=Assumptions!$B$134,1,0)</f>
        <v/>
      </c>
      <c r="V132" s="10">
        <f>IF(V131&lt;=Assumptions!$B$134,1,0)</f>
        <v/>
      </c>
      <c r="W132" s="10">
        <f>IF(W131&lt;=Assumptions!$B$134,1,0)</f>
        <v/>
      </c>
      <c r="X132" s="10">
        <f>IF(X131&lt;=Assumptions!$B$134,1,0)</f>
        <v/>
      </c>
      <c r="Y132" s="10">
        <f>IF(Y131&lt;=Assumptions!$B$134,1,0)</f>
        <v/>
      </c>
      <c r="Z132" s="10">
        <f>IF(Z131&lt;=Assumptions!$B$134,1,0)</f>
        <v/>
      </c>
      <c r="AA132" s="10">
        <f>IF(AA131&lt;=Assumptions!$B$134,1,0)</f>
        <v/>
      </c>
      <c r="AB132" s="10">
        <f>IF(AB131&lt;=Assumptions!$B$134,1,0)</f>
        <v/>
      </c>
      <c r="AC132" s="10">
        <f>IF(AC131&lt;=Assumptions!$B$134,1,0)</f>
        <v/>
      </c>
      <c r="AD132" s="10">
        <f>IF(AD131&lt;=Assumptions!$B$134,1,0)</f>
        <v/>
      </c>
      <c r="AE132" s="10">
        <f>IF(AE131&lt;=Assumptions!$B$134,1,0)</f>
        <v/>
      </c>
      <c r="AF132" s="10">
        <f>IF(AF131&lt;=Assumptions!$B$134,1,0)</f>
        <v/>
      </c>
      <c r="AG132" s="10">
        <f>IF(AG131&lt;=Assumptions!$B$134,1,0)</f>
        <v/>
      </c>
      <c r="AH132" s="10">
        <f>IF(AH131&lt;=Assumptions!$B$134,1,0)</f>
        <v/>
      </c>
      <c r="AI132" s="10">
        <f>IF(AI131&lt;=Assumptions!$B$134,1,0)</f>
        <v/>
      </c>
      <c r="AJ132" s="10">
        <f>IF(AJ131&lt;=Assumptions!$B$134,1,0)</f>
        <v/>
      </c>
      <c r="AK132" s="10">
        <f>IF(AK131&lt;=Assumptions!$B$134,1,0)</f>
        <v/>
      </c>
      <c r="AL132" s="10">
        <f>IF(AL131&lt;=Assumptions!$B$134,1,0)</f>
        <v/>
      </c>
      <c r="AM132" s="10">
        <f>IF(AM131&lt;=Assumptions!$B$134,1,0)</f>
        <v/>
      </c>
      <c r="AN132" s="10">
        <f>IF(AN131&lt;=Assumptions!$B$134,1,0)</f>
        <v/>
      </c>
      <c r="AO132" s="10">
        <f>IF(AO131&lt;=Assumptions!$B$134,1,0)</f>
        <v/>
      </c>
      <c r="AP132" s="10">
        <f>IF(AP131&lt;=Assumptions!$B$134,1,0)</f>
        <v/>
      </c>
      <c r="AQ132" s="10">
        <f>IF(AQ131&lt;=Assumptions!$B$134,1,0)</f>
        <v/>
      </c>
      <c r="AR132" s="10">
        <f>IF(AR131&lt;=Assumptions!$B$134,1,0)</f>
        <v/>
      </c>
      <c r="AS132" s="10">
        <f>IF(AS131&lt;=Assumptions!$B$134,1,0)</f>
        <v/>
      </c>
      <c r="AT132" s="10">
        <f>IF(AT131&lt;=Assumptions!$B$134,1,0)</f>
        <v/>
      </c>
      <c r="AU132" s="10">
        <f>IF(AU131&lt;=Assumptions!$B$134,1,0)</f>
        <v/>
      </c>
      <c r="AV132" s="10">
        <f>IF(AV131&lt;=Assumptions!$B$134,1,0)</f>
        <v/>
      </c>
      <c r="AW132" s="10">
        <f>IF(AW131&lt;=Assumptions!$B$134,1,0)</f>
        <v/>
      </c>
      <c r="AX132" s="10">
        <f>IF(AX131&lt;=Assumptions!$B$134,1,0)</f>
        <v/>
      </c>
      <c r="AY132" s="10">
        <f>IF(AY131&lt;=Assumptions!$B$134,1,0)</f>
        <v/>
      </c>
      <c r="AZ132" s="10">
        <f>IF(AZ131&lt;=Assumptions!$B$134,1,0)</f>
        <v/>
      </c>
      <c r="BA132" s="10">
        <f>IF(BA131&lt;=Assumptions!$B$134,1,0)</f>
        <v/>
      </c>
      <c r="BB132" s="10">
        <f>IF(BB131&lt;=Assumptions!$B$134,1,0)</f>
        <v/>
      </c>
      <c r="BC132" s="10">
        <f>IF(BC131&lt;=Assumptions!$B$134,1,0)</f>
        <v/>
      </c>
      <c r="BD132" s="10">
        <f>IF(BD131&lt;=Assumptions!$B$134,1,0)</f>
        <v/>
      </c>
      <c r="BE132" s="10">
        <f>IF(BE131&lt;=Assumptions!$B$134,1,0)</f>
        <v/>
      </c>
      <c r="BF132" s="10">
        <f>IF(BF131&lt;=Assumptions!$B$134,1,0)</f>
        <v/>
      </c>
      <c r="BG132" s="10">
        <f>IF(BG131&lt;=Assumptions!$B$134,1,0)</f>
        <v/>
      </c>
      <c r="BH132" s="10">
        <f>IF(BH131&lt;=Assumptions!$B$134,1,0)</f>
        <v/>
      </c>
      <c r="BI132" s="10">
        <f>IF(BI131&lt;=Assumptions!$B$134,1,0)</f>
        <v/>
      </c>
      <c r="BJ132" s="10">
        <f>IF(BJ131&lt;=Assumptions!$B$134,1,0)</f>
        <v/>
      </c>
    </row>
    <row r="133">
      <c r="A133" s="4" t="inlineStr">
        <is>
          <t>CAC payback, SMEs: Botswana &amp; Namibia</t>
        </is>
      </c>
      <c r="B133" s="17" t="inlineStr">
        <is>
          <t>months</t>
        </is>
      </c>
      <c r="C133" s="41">
        <f>Assumptions!$B$47*C107*Assumptions!$B$193*Assumptions!$B$101/(C108*Pricing!$B$19*Assumptions!$B$135*(Assumptions!$B$127*Pricing!$G$37+Assumptions!$B$128*Pricing!$G$38+Assumptions!$B$129*Pricing!$G$39))</f>
        <v/>
      </c>
      <c r="D133" s="41">
        <f>Assumptions!$B$47*D107*Assumptions!$B$193*Assumptions!$B$101/(D108*Pricing!$B$19*Assumptions!$B$135*(Assumptions!$B$127*Pricing!$G$37+Assumptions!$B$128*Pricing!$G$38+Assumptions!$B$129*Pricing!$G$39))</f>
        <v/>
      </c>
      <c r="E133" s="41">
        <f>Assumptions!$B$47*E107*Assumptions!$B$193*Assumptions!$B$101/(E108*Pricing!$B$19*Assumptions!$B$135*(Assumptions!$B$127*Pricing!$G$37+Assumptions!$B$128*Pricing!$G$38+Assumptions!$B$129*Pricing!$G$39))</f>
        <v/>
      </c>
      <c r="F133" s="41">
        <f>Assumptions!$B$47*F107*Assumptions!$B$193*Assumptions!$B$101/(F108*Pricing!$B$19*Assumptions!$B$135*(Assumptions!$B$127*Pricing!$G$37+Assumptions!$B$128*Pricing!$G$38+Assumptions!$B$129*Pricing!$G$39))</f>
        <v/>
      </c>
      <c r="G133" s="41">
        <f>Assumptions!$B$47*G107*Assumptions!$B$193*Assumptions!$B$101/(G108*Pricing!$B$19*Assumptions!$B$135*(Assumptions!$B$127*Pricing!$G$37+Assumptions!$B$128*Pricing!$G$38+Assumptions!$B$129*Pricing!$G$39))</f>
        <v/>
      </c>
      <c r="H133" s="41">
        <f>Assumptions!$B$47*H107*Assumptions!$B$193*Assumptions!$B$101/(H108*Pricing!$B$19*Assumptions!$B$135*(Assumptions!$B$127*Pricing!$G$37+Assumptions!$B$128*Pricing!$G$38+Assumptions!$B$129*Pricing!$G$39))</f>
        <v/>
      </c>
      <c r="I133" s="41">
        <f>Assumptions!$B$47*I107*Assumptions!$B$193*Assumptions!$B$101/(I108*Pricing!$B$19*Assumptions!$B$135*(Assumptions!$B$127*Pricing!$G$37+Assumptions!$B$128*Pricing!$G$38+Assumptions!$B$129*Pricing!$G$39))</f>
        <v/>
      </c>
      <c r="J133" s="41">
        <f>Assumptions!$B$47*J107*Assumptions!$B$193*Assumptions!$B$101/(J108*Pricing!$B$19*Assumptions!$B$135*(Assumptions!$B$127*Pricing!$G$37+Assumptions!$B$128*Pricing!$G$38+Assumptions!$B$129*Pricing!$G$39))</f>
        <v/>
      </c>
      <c r="K133" s="41">
        <f>Assumptions!$B$47*K107*Assumptions!$B$193*Assumptions!$B$101/(K108*Pricing!$B$19*Assumptions!$B$135*(Assumptions!$B$127*Pricing!$G$37+Assumptions!$B$128*Pricing!$G$38+Assumptions!$B$129*Pricing!$G$39))</f>
        <v/>
      </c>
      <c r="L133" s="41">
        <f>Assumptions!$B$47*L107*Assumptions!$B$193*Assumptions!$B$101/(L108*Pricing!$B$19*Assumptions!$B$135*(Assumptions!$B$127*Pricing!$G$37+Assumptions!$B$128*Pricing!$G$38+Assumptions!$B$129*Pricing!$G$39))</f>
        <v/>
      </c>
      <c r="M133" s="41">
        <f>Assumptions!$B$47*M107*Assumptions!$B$193*Assumptions!$B$101/(M108*Pricing!$B$19*Assumptions!$B$135*(Assumptions!$B$127*Pricing!$G$37+Assumptions!$B$128*Pricing!$G$38+Assumptions!$B$129*Pricing!$G$39))</f>
        <v/>
      </c>
      <c r="N133" s="41">
        <f>Assumptions!$B$47*N107*Assumptions!$B$193*Assumptions!$B$101/(N108*Pricing!$B$19*Assumptions!$B$135*(Assumptions!$B$127*Pricing!$G$37+Assumptions!$B$128*Pricing!$G$38+Assumptions!$B$129*Pricing!$G$39))</f>
        <v/>
      </c>
      <c r="O133" s="41">
        <f>Assumptions!$B$47*O107*Assumptions!$B$193*Assumptions!$B$101/(O108*Pricing!$B$19*Assumptions!$B$135*(Assumptions!$B$127*Pricing!$G$37+Assumptions!$B$128*Pricing!$G$38+Assumptions!$B$129*Pricing!$G$39))</f>
        <v/>
      </c>
      <c r="P133" s="41">
        <f>Assumptions!$B$47*P107*Assumptions!$B$193*Assumptions!$B$101/(P108*Pricing!$B$19*Assumptions!$B$135*(Assumptions!$B$127*Pricing!$G$37+Assumptions!$B$128*Pricing!$G$38+Assumptions!$B$129*Pricing!$G$39))</f>
        <v/>
      </c>
      <c r="Q133" s="41">
        <f>Assumptions!$B$47*Q107*Assumptions!$B$193*Assumptions!$B$101/(Q108*Pricing!$B$19*Assumptions!$B$135*(Assumptions!$B$127*Pricing!$G$37+Assumptions!$B$128*Pricing!$G$38+Assumptions!$B$129*Pricing!$G$39))</f>
        <v/>
      </c>
      <c r="R133" s="41">
        <f>Assumptions!$B$47*R107*Assumptions!$B$193*Assumptions!$B$101/(R108*Pricing!$B$19*Assumptions!$B$135*(Assumptions!$B$127*Pricing!$G$37+Assumptions!$B$128*Pricing!$G$38+Assumptions!$B$129*Pricing!$G$39))</f>
        <v/>
      </c>
      <c r="S133" s="41">
        <f>Assumptions!$B$47*S107*Assumptions!$B$193*Assumptions!$B$101/(S108*Pricing!$B$19*Assumptions!$B$135*(Assumptions!$B$127*Pricing!$G$37+Assumptions!$B$128*Pricing!$G$38+Assumptions!$B$129*Pricing!$G$39))</f>
        <v/>
      </c>
      <c r="T133" s="41">
        <f>Assumptions!$B$47*T107*Assumptions!$B$193*Assumptions!$B$101/(T108*Pricing!$B$19*Assumptions!$B$135*(Assumptions!$B$127*Pricing!$G$37+Assumptions!$B$128*Pricing!$G$38+Assumptions!$B$129*Pricing!$G$39))</f>
        <v/>
      </c>
      <c r="U133" s="41">
        <f>Assumptions!$B$47*U107*Assumptions!$B$193*Assumptions!$B$101/(U108*Pricing!$B$19*Assumptions!$B$135*(Assumptions!$B$127*Pricing!$G$37+Assumptions!$B$128*Pricing!$G$38+Assumptions!$B$129*Pricing!$G$39))</f>
        <v/>
      </c>
      <c r="V133" s="41">
        <f>Assumptions!$B$47*V107*Assumptions!$B$193*Assumptions!$B$101/(V108*Pricing!$B$19*Assumptions!$B$135*(Assumptions!$B$127*Pricing!$G$37+Assumptions!$B$128*Pricing!$G$38+Assumptions!$B$129*Pricing!$G$39))</f>
        <v/>
      </c>
      <c r="W133" s="41">
        <f>Assumptions!$B$47*W107*Assumptions!$B$193*Assumptions!$B$101/(W108*Pricing!$B$19*Assumptions!$B$135*(Assumptions!$B$127*Pricing!$G$37+Assumptions!$B$128*Pricing!$G$38+Assumptions!$B$129*Pricing!$G$39))</f>
        <v/>
      </c>
      <c r="X133" s="41">
        <f>Assumptions!$B$47*X107*Assumptions!$B$193*Assumptions!$B$101/(X108*Pricing!$B$19*Assumptions!$B$135*(Assumptions!$B$127*Pricing!$G$37+Assumptions!$B$128*Pricing!$G$38+Assumptions!$B$129*Pricing!$G$39))</f>
        <v/>
      </c>
      <c r="Y133" s="41">
        <f>Assumptions!$B$47*Y107*Assumptions!$B$193*Assumptions!$B$101/(Y108*Pricing!$B$19*Assumptions!$B$135*(Assumptions!$B$127*Pricing!$G$37+Assumptions!$B$128*Pricing!$G$38+Assumptions!$B$129*Pricing!$G$39))</f>
        <v/>
      </c>
      <c r="Z133" s="41">
        <f>Assumptions!$B$47*Z107*Assumptions!$B$193*Assumptions!$B$101/(Z108*Pricing!$B$19*Assumptions!$B$135*(Assumptions!$B$127*Pricing!$G$37+Assumptions!$B$128*Pricing!$G$38+Assumptions!$B$129*Pricing!$G$39))</f>
        <v/>
      </c>
      <c r="AA133" s="41">
        <f>Assumptions!$B$47*AA107*Assumptions!$B$193*Assumptions!$B$101/(AA108*Pricing!$B$19*Assumptions!$B$135*(Assumptions!$B$127*Pricing!$G$37+Assumptions!$B$128*Pricing!$G$38+Assumptions!$B$129*Pricing!$G$39))</f>
        <v/>
      </c>
      <c r="AB133" s="41">
        <f>Assumptions!$B$47*AB107*Assumptions!$B$193*Assumptions!$B$101/(AB108*Pricing!$B$19*Assumptions!$B$135*(Assumptions!$B$127*Pricing!$G$37+Assumptions!$B$128*Pricing!$G$38+Assumptions!$B$129*Pricing!$G$39))</f>
        <v/>
      </c>
      <c r="AC133" s="41">
        <f>Assumptions!$B$47*AC107*Assumptions!$B$193*Assumptions!$B$101/(AC108*Pricing!$B$19*Assumptions!$B$135*(Assumptions!$B$127*Pricing!$G$37+Assumptions!$B$128*Pricing!$G$38+Assumptions!$B$129*Pricing!$G$39))</f>
        <v/>
      </c>
      <c r="AD133" s="41">
        <f>Assumptions!$B$47*AD107*Assumptions!$B$193*Assumptions!$B$101/(AD108*Pricing!$B$19*Assumptions!$B$135*(Assumptions!$B$127*Pricing!$G$37+Assumptions!$B$128*Pricing!$G$38+Assumptions!$B$129*Pricing!$G$39))</f>
        <v/>
      </c>
      <c r="AE133" s="41">
        <f>Assumptions!$B$47*AE107*Assumptions!$B$193*Assumptions!$B$101/(AE108*Pricing!$B$19*Assumptions!$B$135*(Assumptions!$B$127*Pricing!$G$37+Assumptions!$B$128*Pricing!$G$38+Assumptions!$B$129*Pricing!$G$39))</f>
        <v/>
      </c>
      <c r="AF133" s="41">
        <f>Assumptions!$B$47*AF107*Assumptions!$B$193*Assumptions!$B$101/(AF108*Pricing!$B$19*Assumptions!$B$135*(Assumptions!$B$127*Pricing!$G$37+Assumptions!$B$128*Pricing!$G$38+Assumptions!$B$129*Pricing!$G$39))</f>
        <v/>
      </c>
      <c r="AG133" s="41">
        <f>Assumptions!$B$47*AG107*Assumptions!$B$193*Assumptions!$B$101/(AG108*Pricing!$B$19*Assumptions!$B$135*(Assumptions!$B$127*Pricing!$G$37+Assumptions!$B$128*Pricing!$G$38+Assumptions!$B$129*Pricing!$G$39))</f>
        <v/>
      </c>
      <c r="AH133" s="41">
        <f>Assumptions!$B$47*AH107*Assumptions!$B$193*Assumptions!$B$101/(AH108*Pricing!$B$19*Assumptions!$B$135*(Assumptions!$B$127*Pricing!$G$37+Assumptions!$B$128*Pricing!$G$38+Assumptions!$B$129*Pricing!$G$39))</f>
        <v/>
      </c>
      <c r="AI133" s="41">
        <f>Assumptions!$B$47*AI107*Assumptions!$B$193*Assumptions!$B$101/(AI108*Pricing!$B$19*Assumptions!$B$135*(Assumptions!$B$127*Pricing!$G$37+Assumptions!$B$128*Pricing!$G$38+Assumptions!$B$129*Pricing!$G$39))</f>
        <v/>
      </c>
      <c r="AJ133" s="41">
        <f>Assumptions!$B$47*AJ107*Assumptions!$B$193*Assumptions!$B$101/(AJ108*Pricing!$B$19*Assumptions!$B$135*(Assumptions!$B$127*Pricing!$G$37+Assumptions!$B$128*Pricing!$G$38+Assumptions!$B$129*Pricing!$G$39))</f>
        <v/>
      </c>
      <c r="AK133" s="41">
        <f>Assumptions!$B$47*AK107*Assumptions!$B$193*Assumptions!$B$101/(AK108*Pricing!$B$19*Assumptions!$B$135*(Assumptions!$B$127*Pricing!$G$37+Assumptions!$B$128*Pricing!$G$38+Assumptions!$B$129*Pricing!$G$39))</f>
        <v/>
      </c>
      <c r="AL133" s="41">
        <f>Assumptions!$B$47*AL107*Assumptions!$B$193*Assumptions!$B$101/(AL108*Pricing!$B$19*Assumptions!$B$135*(Assumptions!$B$127*Pricing!$G$37+Assumptions!$B$128*Pricing!$G$38+Assumptions!$B$129*Pricing!$G$39))</f>
        <v/>
      </c>
      <c r="AM133" s="41">
        <f>Assumptions!$B$47*AM107*Assumptions!$B$193*Assumptions!$B$101/(AM108*Pricing!$B$19*Assumptions!$B$135*(Assumptions!$B$127*Pricing!$G$37+Assumptions!$B$128*Pricing!$G$38+Assumptions!$B$129*Pricing!$G$39))</f>
        <v/>
      </c>
      <c r="AN133" s="41">
        <f>Assumptions!$B$47*AN107*Assumptions!$B$193*Assumptions!$B$101/(AN108*Pricing!$B$19*Assumptions!$B$135*(Assumptions!$B$127*Pricing!$G$37+Assumptions!$B$128*Pricing!$G$38+Assumptions!$B$129*Pricing!$G$39))</f>
        <v/>
      </c>
      <c r="AO133" s="41">
        <f>Assumptions!$B$47*AO107*Assumptions!$B$193*Assumptions!$B$101/(AO108*Pricing!$B$19*Assumptions!$B$135*(Assumptions!$B$127*Pricing!$G$37+Assumptions!$B$128*Pricing!$G$38+Assumptions!$B$129*Pricing!$G$39))</f>
        <v/>
      </c>
      <c r="AP133" s="41">
        <f>Assumptions!$B$47*AP107*Assumptions!$B$193*Assumptions!$B$101/(AP108*Pricing!$B$19*Assumptions!$B$135*(Assumptions!$B$127*Pricing!$G$37+Assumptions!$B$128*Pricing!$G$38+Assumptions!$B$129*Pricing!$G$39))</f>
        <v/>
      </c>
      <c r="AQ133" s="41">
        <f>Assumptions!$B$47*AQ107*Assumptions!$B$193*Assumptions!$B$101/(AQ108*Pricing!$B$19*Assumptions!$B$135*(Assumptions!$B$127*Pricing!$G$37+Assumptions!$B$128*Pricing!$G$38+Assumptions!$B$129*Pricing!$G$39))</f>
        <v/>
      </c>
      <c r="AR133" s="41">
        <f>Assumptions!$B$47*AR107*Assumptions!$B$193*Assumptions!$B$101/(AR108*Pricing!$B$19*Assumptions!$B$135*(Assumptions!$B$127*Pricing!$G$37+Assumptions!$B$128*Pricing!$G$38+Assumptions!$B$129*Pricing!$G$39))</f>
        <v/>
      </c>
      <c r="AS133" s="41">
        <f>Assumptions!$B$47*AS107*Assumptions!$B$193*Assumptions!$B$101/(AS108*Pricing!$B$19*Assumptions!$B$135*(Assumptions!$B$127*Pricing!$G$37+Assumptions!$B$128*Pricing!$G$38+Assumptions!$B$129*Pricing!$G$39))</f>
        <v/>
      </c>
      <c r="AT133" s="41">
        <f>Assumptions!$B$47*AT107*Assumptions!$B$193*Assumptions!$B$101/(AT108*Pricing!$B$19*Assumptions!$B$135*(Assumptions!$B$127*Pricing!$G$37+Assumptions!$B$128*Pricing!$G$38+Assumptions!$B$129*Pricing!$G$39))</f>
        <v/>
      </c>
      <c r="AU133" s="41">
        <f>Assumptions!$B$47*AU107*Assumptions!$B$193*Assumptions!$B$101/(AU108*Pricing!$B$19*Assumptions!$B$135*(Assumptions!$B$127*Pricing!$G$37+Assumptions!$B$128*Pricing!$G$38+Assumptions!$B$129*Pricing!$G$39))</f>
        <v/>
      </c>
      <c r="AV133" s="41">
        <f>Assumptions!$B$47*AV107*Assumptions!$B$193*Assumptions!$B$101/(AV108*Pricing!$B$19*Assumptions!$B$135*(Assumptions!$B$127*Pricing!$G$37+Assumptions!$B$128*Pricing!$G$38+Assumptions!$B$129*Pricing!$G$39))</f>
        <v/>
      </c>
      <c r="AW133" s="41">
        <f>Assumptions!$B$47*AW107*Assumptions!$B$193*Assumptions!$B$101/(AW108*Pricing!$B$19*Assumptions!$B$135*(Assumptions!$B$127*Pricing!$G$37+Assumptions!$B$128*Pricing!$G$38+Assumptions!$B$129*Pricing!$G$39))</f>
        <v/>
      </c>
      <c r="AX133" s="41">
        <f>Assumptions!$B$47*AX107*Assumptions!$B$193*Assumptions!$B$101/(AX108*Pricing!$B$19*Assumptions!$B$135*(Assumptions!$B$127*Pricing!$G$37+Assumptions!$B$128*Pricing!$G$38+Assumptions!$B$129*Pricing!$G$39))</f>
        <v/>
      </c>
      <c r="AY133" s="41">
        <f>Assumptions!$B$47*AY107*Assumptions!$B$193*Assumptions!$B$101/(AY108*Pricing!$B$19*Assumptions!$B$135*(Assumptions!$B$127*Pricing!$G$37+Assumptions!$B$128*Pricing!$G$38+Assumptions!$B$129*Pricing!$G$39))</f>
        <v/>
      </c>
      <c r="AZ133" s="41">
        <f>Assumptions!$B$47*AZ107*Assumptions!$B$193*Assumptions!$B$101/(AZ108*Pricing!$B$19*Assumptions!$B$135*(Assumptions!$B$127*Pricing!$G$37+Assumptions!$B$128*Pricing!$G$38+Assumptions!$B$129*Pricing!$G$39))</f>
        <v/>
      </c>
      <c r="BA133" s="41">
        <f>Assumptions!$B$47*BA107*Assumptions!$B$193*Assumptions!$B$101/(BA108*Pricing!$B$19*Assumptions!$B$135*(Assumptions!$B$127*Pricing!$G$37+Assumptions!$B$128*Pricing!$G$38+Assumptions!$B$129*Pricing!$G$39))</f>
        <v/>
      </c>
      <c r="BB133" s="41">
        <f>Assumptions!$B$47*BB107*Assumptions!$B$193*Assumptions!$B$101/(BB108*Pricing!$B$19*Assumptions!$B$135*(Assumptions!$B$127*Pricing!$G$37+Assumptions!$B$128*Pricing!$G$38+Assumptions!$B$129*Pricing!$G$39))</f>
        <v/>
      </c>
      <c r="BC133" s="41">
        <f>Assumptions!$B$47*BC107*Assumptions!$B$193*Assumptions!$B$101/(BC108*Pricing!$B$19*Assumptions!$B$135*(Assumptions!$B$127*Pricing!$G$37+Assumptions!$B$128*Pricing!$G$38+Assumptions!$B$129*Pricing!$G$39))</f>
        <v/>
      </c>
      <c r="BD133" s="41">
        <f>Assumptions!$B$47*BD107*Assumptions!$B$193*Assumptions!$B$101/(BD108*Pricing!$B$19*Assumptions!$B$135*(Assumptions!$B$127*Pricing!$G$37+Assumptions!$B$128*Pricing!$G$38+Assumptions!$B$129*Pricing!$G$39))</f>
        <v/>
      </c>
      <c r="BE133" s="41">
        <f>Assumptions!$B$47*BE107*Assumptions!$B$193*Assumptions!$B$101/(BE108*Pricing!$B$19*Assumptions!$B$135*(Assumptions!$B$127*Pricing!$G$37+Assumptions!$B$128*Pricing!$G$38+Assumptions!$B$129*Pricing!$G$39))</f>
        <v/>
      </c>
      <c r="BF133" s="41">
        <f>Assumptions!$B$47*BF107*Assumptions!$B$193*Assumptions!$B$101/(BF108*Pricing!$B$19*Assumptions!$B$135*(Assumptions!$B$127*Pricing!$G$37+Assumptions!$B$128*Pricing!$G$38+Assumptions!$B$129*Pricing!$G$39))</f>
        <v/>
      </c>
      <c r="BG133" s="41">
        <f>Assumptions!$B$47*BG107*Assumptions!$B$193*Assumptions!$B$101/(BG108*Pricing!$B$19*Assumptions!$B$135*(Assumptions!$B$127*Pricing!$G$37+Assumptions!$B$128*Pricing!$G$38+Assumptions!$B$129*Pricing!$G$39))</f>
        <v/>
      </c>
      <c r="BH133" s="41">
        <f>Assumptions!$B$47*BH107*Assumptions!$B$193*Assumptions!$B$101/(BH108*Pricing!$B$19*Assumptions!$B$135*(Assumptions!$B$127*Pricing!$G$37+Assumptions!$B$128*Pricing!$G$38+Assumptions!$B$129*Pricing!$G$39))</f>
        <v/>
      </c>
      <c r="BI133" s="41">
        <f>Assumptions!$B$47*BI107*Assumptions!$B$193*Assumptions!$B$101/(BI108*Pricing!$B$19*Assumptions!$B$135*(Assumptions!$B$127*Pricing!$G$37+Assumptions!$B$128*Pricing!$G$38+Assumptions!$B$129*Pricing!$G$39))</f>
        <v/>
      </c>
      <c r="BJ133" s="41">
        <f>Assumptions!$B$47*BJ107*Assumptions!$B$193*Assumptions!$B$101/(BJ108*Pricing!$B$19*Assumptions!$B$135*(Assumptions!$B$127*Pricing!$G$37+Assumptions!$B$128*Pricing!$G$38+Assumptions!$B$129*Pricing!$G$39))</f>
        <v/>
      </c>
    </row>
    <row r="134">
      <c r="A134" s="4" t="inlineStr">
        <is>
          <t>Paid acquisition allowed (payback &lt;= max), SMEs: Botswana &amp; Namibia</t>
        </is>
      </c>
      <c r="B134" s="17" t="inlineStr">
        <is>
          <t>flag</t>
        </is>
      </c>
      <c r="C134" s="10">
        <f>IF(C133&lt;=Assumptions!$B$134,1,0)</f>
        <v/>
      </c>
      <c r="D134" s="10">
        <f>IF(D133&lt;=Assumptions!$B$134,1,0)</f>
        <v/>
      </c>
      <c r="E134" s="10">
        <f>IF(E133&lt;=Assumptions!$B$134,1,0)</f>
        <v/>
      </c>
      <c r="F134" s="10">
        <f>IF(F133&lt;=Assumptions!$B$134,1,0)</f>
        <v/>
      </c>
      <c r="G134" s="10">
        <f>IF(G133&lt;=Assumptions!$B$134,1,0)</f>
        <v/>
      </c>
      <c r="H134" s="10">
        <f>IF(H133&lt;=Assumptions!$B$134,1,0)</f>
        <v/>
      </c>
      <c r="I134" s="10">
        <f>IF(I133&lt;=Assumptions!$B$134,1,0)</f>
        <v/>
      </c>
      <c r="J134" s="10">
        <f>IF(J133&lt;=Assumptions!$B$134,1,0)</f>
        <v/>
      </c>
      <c r="K134" s="10">
        <f>IF(K133&lt;=Assumptions!$B$134,1,0)</f>
        <v/>
      </c>
      <c r="L134" s="10">
        <f>IF(L133&lt;=Assumptions!$B$134,1,0)</f>
        <v/>
      </c>
      <c r="M134" s="10">
        <f>IF(M133&lt;=Assumptions!$B$134,1,0)</f>
        <v/>
      </c>
      <c r="N134" s="10">
        <f>IF(N133&lt;=Assumptions!$B$134,1,0)</f>
        <v/>
      </c>
      <c r="O134" s="10">
        <f>IF(O133&lt;=Assumptions!$B$134,1,0)</f>
        <v/>
      </c>
      <c r="P134" s="10">
        <f>IF(P133&lt;=Assumptions!$B$134,1,0)</f>
        <v/>
      </c>
      <c r="Q134" s="10">
        <f>IF(Q133&lt;=Assumptions!$B$134,1,0)</f>
        <v/>
      </c>
      <c r="R134" s="10">
        <f>IF(R133&lt;=Assumptions!$B$134,1,0)</f>
        <v/>
      </c>
      <c r="S134" s="10">
        <f>IF(S133&lt;=Assumptions!$B$134,1,0)</f>
        <v/>
      </c>
      <c r="T134" s="10">
        <f>IF(T133&lt;=Assumptions!$B$134,1,0)</f>
        <v/>
      </c>
      <c r="U134" s="10">
        <f>IF(U133&lt;=Assumptions!$B$134,1,0)</f>
        <v/>
      </c>
      <c r="V134" s="10">
        <f>IF(V133&lt;=Assumptions!$B$134,1,0)</f>
        <v/>
      </c>
      <c r="W134" s="10">
        <f>IF(W133&lt;=Assumptions!$B$134,1,0)</f>
        <v/>
      </c>
      <c r="X134" s="10">
        <f>IF(X133&lt;=Assumptions!$B$134,1,0)</f>
        <v/>
      </c>
      <c r="Y134" s="10">
        <f>IF(Y133&lt;=Assumptions!$B$134,1,0)</f>
        <v/>
      </c>
      <c r="Z134" s="10">
        <f>IF(Z133&lt;=Assumptions!$B$134,1,0)</f>
        <v/>
      </c>
      <c r="AA134" s="10">
        <f>IF(AA133&lt;=Assumptions!$B$134,1,0)</f>
        <v/>
      </c>
      <c r="AB134" s="10">
        <f>IF(AB133&lt;=Assumptions!$B$134,1,0)</f>
        <v/>
      </c>
      <c r="AC134" s="10">
        <f>IF(AC133&lt;=Assumptions!$B$134,1,0)</f>
        <v/>
      </c>
      <c r="AD134" s="10">
        <f>IF(AD133&lt;=Assumptions!$B$134,1,0)</f>
        <v/>
      </c>
      <c r="AE134" s="10">
        <f>IF(AE133&lt;=Assumptions!$B$134,1,0)</f>
        <v/>
      </c>
      <c r="AF134" s="10">
        <f>IF(AF133&lt;=Assumptions!$B$134,1,0)</f>
        <v/>
      </c>
      <c r="AG134" s="10">
        <f>IF(AG133&lt;=Assumptions!$B$134,1,0)</f>
        <v/>
      </c>
      <c r="AH134" s="10">
        <f>IF(AH133&lt;=Assumptions!$B$134,1,0)</f>
        <v/>
      </c>
      <c r="AI134" s="10">
        <f>IF(AI133&lt;=Assumptions!$B$134,1,0)</f>
        <v/>
      </c>
      <c r="AJ134" s="10">
        <f>IF(AJ133&lt;=Assumptions!$B$134,1,0)</f>
        <v/>
      </c>
      <c r="AK134" s="10">
        <f>IF(AK133&lt;=Assumptions!$B$134,1,0)</f>
        <v/>
      </c>
      <c r="AL134" s="10">
        <f>IF(AL133&lt;=Assumptions!$B$134,1,0)</f>
        <v/>
      </c>
      <c r="AM134" s="10">
        <f>IF(AM133&lt;=Assumptions!$B$134,1,0)</f>
        <v/>
      </c>
      <c r="AN134" s="10">
        <f>IF(AN133&lt;=Assumptions!$B$134,1,0)</f>
        <v/>
      </c>
      <c r="AO134" s="10">
        <f>IF(AO133&lt;=Assumptions!$B$134,1,0)</f>
        <v/>
      </c>
      <c r="AP134" s="10">
        <f>IF(AP133&lt;=Assumptions!$B$134,1,0)</f>
        <v/>
      </c>
      <c r="AQ134" s="10">
        <f>IF(AQ133&lt;=Assumptions!$B$134,1,0)</f>
        <v/>
      </c>
      <c r="AR134" s="10">
        <f>IF(AR133&lt;=Assumptions!$B$134,1,0)</f>
        <v/>
      </c>
      <c r="AS134" s="10">
        <f>IF(AS133&lt;=Assumptions!$B$134,1,0)</f>
        <v/>
      </c>
      <c r="AT134" s="10">
        <f>IF(AT133&lt;=Assumptions!$B$134,1,0)</f>
        <v/>
      </c>
      <c r="AU134" s="10">
        <f>IF(AU133&lt;=Assumptions!$B$134,1,0)</f>
        <v/>
      </c>
      <c r="AV134" s="10">
        <f>IF(AV133&lt;=Assumptions!$B$134,1,0)</f>
        <v/>
      </c>
      <c r="AW134" s="10">
        <f>IF(AW133&lt;=Assumptions!$B$134,1,0)</f>
        <v/>
      </c>
      <c r="AX134" s="10">
        <f>IF(AX133&lt;=Assumptions!$B$134,1,0)</f>
        <v/>
      </c>
      <c r="AY134" s="10">
        <f>IF(AY133&lt;=Assumptions!$B$134,1,0)</f>
        <v/>
      </c>
      <c r="AZ134" s="10">
        <f>IF(AZ133&lt;=Assumptions!$B$134,1,0)</f>
        <v/>
      </c>
      <c r="BA134" s="10">
        <f>IF(BA133&lt;=Assumptions!$B$134,1,0)</f>
        <v/>
      </c>
      <c r="BB134" s="10">
        <f>IF(BB133&lt;=Assumptions!$B$134,1,0)</f>
        <v/>
      </c>
      <c r="BC134" s="10">
        <f>IF(BC133&lt;=Assumptions!$B$134,1,0)</f>
        <v/>
      </c>
      <c r="BD134" s="10">
        <f>IF(BD133&lt;=Assumptions!$B$134,1,0)</f>
        <v/>
      </c>
      <c r="BE134" s="10">
        <f>IF(BE133&lt;=Assumptions!$B$134,1,0)</f>
        <v/>
      </c>
      <c r="BF134" s="10">
        <f>IF(BF133&lt;=Assumptions!$B$134,1,0)</f>
        <v/>
      </c>
      <c r="BG134" s="10">
        <f>IF(BG133&lt;=Assumptions!$B$134,1,0)</f>
        <v/>
      </c>
      <c r="BH134" s="10">
        <f>IF(BH133&lt;=Assumptions!$B$134,1,0)</f>
        <v/>
      </c>
      <c r="BI134" s="10">
        <f>IF(BI133&lt;=Assumptions!$B$134,1,0)</f>
        <v/>
      </c>
      <c r="BJ134" s="10">
        <f>IF(BJ133&lt;=Assumptions!$B$134,1,0)</f>
        <v/>
      </c>
    </row>
    <row r="135">
      <c r="A135" s="4" t="inlineStr">
        <is>
          <t>Desired paid acquisition spend: Solo</t>
        </is>
      </c>
      <c r="B135" s="17" t="inlineStr">
        <is>
          <t>R</t>
        </is>
      </c>
      <c r="C135" s="8">
        <f>C106*Assumptions!$B$47*C107*Assumptions!$B$192*(C57*C112+C59*Assumptions!$B$63*C114+C61*Assumptions!$B$73*C116+C63*Assumptions!$B$83*C118+C65*Assumptions!$B$93*C120+C67*Assumptions!$B$101*C122)</f>
        <v/>
      </c>
      <c r="D135" s="8">
        <f>D106*Assumptions!$B$47*D107*Assumptions!$B$192*(D57*D112+D59*Assumptions!$B$63*D114+D61*Assumptions!$B$73*D116+D63*Assumptions!$B$83*D118+D65*Assumptions!$B$93*D120+D67*Assumptions!$B$101*D122)</f>
        <v/>
      </c>
      <c r="E135" s="8">
        <f>E106*Assumptions!$B$47*E107*Assumptions!$B$192*(E57*E112+E59*Assumptions!$B$63*E114+E61*Assumptions!$B$73*E116+E63*Assumptions!$B$83*E118+E65*Assumptions!$B$93*E120+E67*Assumptions!$B$101*E122)</f>
        <v/>
      </c>
      <c r="F135" s="8">
        <f>F106*Assumptions!$B$47*F107*Assumptions!$B$192*(F57*F112+F59*Assumptions!$B$63*F114+F61*Assumptions!$B$73*F116+F63*Assumptions!$B$83*F118+F65*Assumptions!$B$93*F120+F67*Assumptions!$B$101*F122)</f>
        <v/>
      </c>
      <c r="G135" s="8">
        <f>G106*Assumptions!$B$47*G107*Assumptions!$B$192*(G57*G112+G59*Assumptions!$B$63*G114+G61*Assumptions!$B$73*G116+G63*Assumptions!$B$83*G118+G65*Assumptions!$B$93*G120+G67*Assumptions!$B$101*G122)</f>
        <v/>
      </c>
      <c r="H135" s="8">
        <f>H106*Assumptions!$B$47*H107*Assumptions!$B$192*(H57*H112+H59*Assumptions!$B$63*H114+H61*Assumptions!$B$73*H116+H63*Assumptions!$B$83*H118+H65*Assumptions!$B$93*H120+H67*Assumptions!$B$101*H122)</f>
        <v/>
      </c>
      <c r="I135" s="8">
        <f>I106*Assumptions!$B$47*I107*Assumptions!$B$192*(I57*I112+I59*Assumptions!$B$63*I114+I61*Assumptions!$B$73*I116+I63*Assumptions!$B$83*I118+I65*Assumptions!$B$93*I120+I67*Assumptions!$B$101*I122)</f>
        <v/>
      </c>
      <c r="J135" s="8">
        <f>J106*Assumptions!$B$47*J107*Assumptions!$B$192*(J57*J112+J59*Assumptions!$B$63*J114+J61*Assumptions!$B$73*J116+J63*Assumptions!$B$83*J118+J65*Assumptions!$B$93*J120+J67*Assumptions!$B$101*J122)</f>
        <v/>
      </c>
      <c r="K135" s="8">
        <f>K106*Assumptions!$B$47*K107*Assumptions!$B$192*(K57*K112+K59*Assumptions!$B$63*K114+K61*Assumptions!$B$73*K116+K63*Assumptions!$B$83*K118+K65*Assumptions!$B$93*K120+K67*Assumptions!$B$101*K122)</f>
        <v/>
      </c>
      <c r="L135" s="8">
        <f>L106*Assumptions!$B$47*L107*Assumptions!$B$192*(L57*L112+L59*Assumptions!$B$63*L114+L61*Assumptions!$B$73*L116+L63*Assumptions!$B$83*L118+L65*Assumptions!$B$93*L120+L67*Assumptions!$B$101*L122)</f>
        <v/>
      </c>
      <c r="M135" s="8">
        <f>M106*Assumptions!$B$47*M107*Assumptions!$B$192*(M57*M112+M59*Assumptions!$B$63*M114+M61*Assumptions!$B$73*M116+M63*Assumptions!$B$83*M118+M65*Assumptions!$B$93*M120+M67*Assumptions!$B$101*M122)</f>
        <v/>
      </c>
      <c r="N135" s="8">
        <f>N106*Assumptions!$B$47*N107*Assumptions!$B$192*(N57*N112+N59*Assumptions!$B$63*N114+N61*Assumptions!$B$73*N116+N63*Assumptions!$B$83*N118+N65*Assumptions!$B$93*N120+N67*Assumptions!$B$101*N122)</f>
        <v/>
      </c>
      <c r="O135" s="8">
        <f>O106*Assumptions!$B$47*O107*Assumptions!$B$192*(O57*O112+O59*Assumptions!$B$63*O114+O61*Assumptions!$B$73*O116+O63*Assumptions!$B$83*O118+O65*Assumptions!$B$93*O120+O67*Assumptions!$B$101*O122)</f>
        <v/>
      </c>
      <c r="P135" s="8">
        <f>P106*Assumptions!$B$47*P107*Assumptions!$B$192*(P57*P112+P59*Assumptions!$B$63*P114+P61*Assumptions!$B$73*P116+P63*Assumptions!$B$83*P118+P65*Assumptions!$B$93*P120+P67*Assumptions!$B$101*P122)</f>
        <v/>
      </c>
      <c r="Q135" s="8">
        <f>Q106*Assumptions!$B$47*Q107*Assumptions!$B$192*(Q57*Q112+Q59*Assumptions!$B$63*Q114+Q61*Assumptions!$B$73*Q116+Q63*Assumptions!$B$83*Q118+Q65*Assumptions!$B$93*Q120+Q67*Assumptions!$B$101*Q122)</f>
        <v/>
      </c>
      <c r="R135" s="8">
        <f>R106*Assumptions!$B$47*R107*Assumptions!$B$192*(R57*R112+R59*Assumptions!$B$63*R114+R61*Assumptions!$B$73*R116+R63*Assumptions!$B$83*R118+R65*Assumptions!$B$93*R120+R67*Assumptions!$B$101*R122)</f>
        <v/>
      </c>
      <c r="S135" s="8">
        <f>S106*Assumptions!$B$47*S107*Assumptions!$B$192*(S57*S112+S59*Assumptions!$B$63*S114+S61*Assumptions!$B$73*S116+S63*Assumptions!$B$83*S118+S65*Assumptions!$B$93*S120+S67*Assumptions!$B$101*S122)</f>
        <v/>
      </c>
      <c r="T135" s="8">
        <f>T106*Assumptions!$B$47*T107*Assumptions!$B$192*(T57*T112+T59*Assumptions!$B$63*T114+T61*Assumptions!$B$73*T116+T63*Assumptions!$B$83*T118+T65*Assumptions!$B$93*T120+T67*Assumptions!$B$101*T122)</f>
        <v/>
      </c>
      <c r="U135" s="8">
        <f>U106*Assumptions!$B$47*U107*Assumptions!$B$192*(U57*U112+U59*Assumptions!$B$63*U114+U61*Assumptions!$B$73*U116+U63*Assumptions!$B$83*U118+U65*Assumptions!$B$93*U120+U67*Assumptions!$B$101*U122)</f>
        <v/>
      </c>
      <c r="V135" s="8">
        <f>V106*Assumptions!$B$47*V107*Assumptions!$B$192*(V57*V112+V59*Assumptions!$B$63*V114+V61*Assumptions!$B$73*V116+V63*Assumptions!$B$83*V118+V65*Assumptions!$B$93*V120+V67*Assumptions!$B$101*V122)</f>
        <v/>
      </c>
      <c r="W135" s="8">
        <f>W106*Assumptions!$B$47*W107*Assumptions!$B$192*(W57*W112+W59*Assumptions!$B$63*W114+W61*Assumptions!$B$73*W116+W63*Assumptions!$B$83*W118+W65*Assumptions!$B$93*W120+W67*Assumptions!$B$101*W122)</f>
        <v/>
      </c>
      <c r="X135" s="8">
        <f>X106*Assumptions!$B$47*X107*Assumptions!$B$192*(X57*X112+X59*Assumptions!$B$63*X114+X61*Assumptions!$B$73*X116+X63*Assumptions!$B$83*X118+X65*Assumptions!$B$93*X120+X67*Assumptions!$B$101*X122)</f>
        <v/>
      </c>
      <c r="Y135" s="8">
        <f>Y106*Assumptions!$B$47*Y107*Assumptions!$B$192*(Y57*Y112+Y59*Assumptions!$B$63*Y114+Y61*Assumptions!$B$73*Y116+Y63*Assumptions!$B$83*Y118+Y65*Assumptions!$B$93*Y120+Y67*Assumptions!$B$101*Y122)</f>
        <v/>
      </c>
      <c r="Z135" s="8">
        <f>Z106*Assumptions!$B$47*Z107*Assumptions!$B$192*(Z57*Z112+Z59*Assumptions!$B$63*Z114+Z61*Assumptions!$B$73*Z116+Z63*Assumptions!$B$83*Z118+Z65*Assumptions!$B$93*Z120+Z67*Assumptions!$B$101*Z122)</f>
        <v/>
      </c>
      <c r="AA135" s="8">
        <f>AA106*Assumptions!$B$47*AA107*Assumptions!$B$192*(AA57*AA112+AA59*Assumptions!$B$63*AA114+AA61*Assumptions!$B$73*AA116+AA63*Assumptions!$B$83*AA118+AA65*Assumptions!$B$93*AA120+AA67*Assumptions!$B$101*AA122)</f>
        <v/>
      </c>
      <c r="AB135" s="8">
        <f>AB106*Assumptions!$B$47*AB107*Assumptions!$B$192*(AB57*AB112+AB59*Assumptions!$B$63*AB114+AB61*Assumptions!$B$73*AB116+AB63*Assumptions!$B$83*AB118+AB65*Assumptions!$B$93*AB120+AB67*Assumptions!$B$101*AB122)</f>
        <v/>
      </c>
      <c r="AC135" s="8">
        <f>AC106*Assumptions!$B$47*AC107*Assumptions!$B$192*(AC57*AC112+AC59*Assumptions!$B$63*AC114+AC61*Assumptions!$B$73*AC116+AC63*Assumptions!$B$83*AC118+AC65*Assumptions!$B$93*AC120+AC67*Assumptions!$B$101*AC122)</f>
        <v/>
      </c>
      <c r="AD135" s="8">
        <f>AD106*Assumptions!$B$47*AD107*Assumptions!$B$192*(AD57*AD112+AD59*Assumptions!$B$63*AD114+AD61*Assumptions!$B$73*AD116+AD63*Assumptions!$B$83*AD118+AD65*Assumptions!$B$93*AD120+AD67*Assumptions!$B$101*AD122)</f>
        <v/>
      </c>
      <c r="AE135" s="8">
        <f>AE106*Assumptions!$B$47*AE107*Assumptions!$B$192*(AE57*AE112+AE59*Assumptions!$B$63*AE114+AE61*Assumptions!$B$73*AE116+AE63*Assumptions!$B$83*AE118+AE65*Assumptions!$B$93*AE120+AE67*Assumptions!$B$101*AE122)</f>
        <v/>
      </c>
      <c r="AF135" s="8">
        <f>AF106*Assumptions!$B$47*AF107*Assumptions!$B$192*(AF57*AF112+AF59*Assumptions!$B$63*AF114+AF61*Assumptions!$B$73*AF116+AF63*Assumptions!$B$83*AF118+AF65*Assumptions!$B$93*AF120+AF67*Assumptions!$B$101*AF122)</f>
        <v/>
      </c>
      <c r="AG135" s="8">
        <f>AG106*Assumptions!$B$47*AG107*Assumptions!$B$192*(AG57*AG112+AG59*Assumptions!$B$63*AG114+AG61*Assumptions!$B$73*AG116+AG63*Assumptions!$B$83*AG118+AG65*Assumptions!$B$93*AG120+AG67*Assumptions!$B$101*AG122)</f>
        <v/>
      </c>
      <c r="AH135" s="8">
        <f>AH106*Assumptions!$B$47*AH107*Assumptions!$B$192*(AH57*AH112+AH59*Assumptions!$B$63*AH114+AH61*Assumptions!$B$73*AH116+AH63*Assumptions!$B$83*AH118+AH65*Assumptions!$B$93*AH120+AH67*Assumptions!$B$101*AH122)</f>
        <v/>
      </c>
      <c r="AI135" s="8">
        <f>AI106*Assumptions!$B$47*AI107*Assumptions!$B$192*(AI57*AI112+AI59*Assumptions!$B$63*AI114+AI61*Assumptions!$B$73*AI116+AI63*Assumptions!$B$83*AI118+AI65*Assumptions!$B$93*AI120+AI67*Assumptions!$B$101*AI122)</f>
        <v/>
      </c>
      <c r="AJ135" s="8">
        <f>AJ106*Assumptions!$B$47*AJ107*Assumptions!$B$192*(AJ57*AJ112+AJ59*Assumptions!$B$63*AJ114+AJ61*Assumptions!$B$73*AJ116+AJ63*Assumptions!$B$83*AJ118+AJ65*Assumptions!$B$93*AJ120+AJ67*Assumptions!$B$101*AJ122)</f>
        <v/>
      </c>
      <c r="AK135" s="8">
        <f>AK106*Assumptions!$B$47*AK107*Assumptions!$B$192*(AK57*AK112+AK59*Assumptions!$B$63*AK114+AK61*Assumptions!$B$73*AK116+AK63*Assumptions!$B$83*AK118+AK65*Assumptions!$B$93*AK120+AK67*Assumptions!$B$101*AK122)</f>
        <v/>
      </c>
      <c r="AL135" s="8">
        <f>AL106*Assumptions!$B$47*AL107*Assumptions!$B$192*(AL57*AL112+AL59*Assumptions!$B$63*AL114+AL61*Assumptions!$B$73*AL116+AL63*Assumptions!$B$83*AL118+AL65*Assumptions!$B$93*AL120+AL67*Assumptions!$B$101*AL122)</f>
        <v/>
      </c>
      <c r="AM135" s="8">
        <f>AM106*Assumptions!$B$47*AM107*Assumptions!$B$192*(AM57*AM112+AM59*Assumptions!$B$63*AM114+AM61*Assumptions!$B$73*AM116+AM63*Assumptions!$B$83*AM118+AM65*Assumptions!$B$93*AM120+AM67*Assumptions!$B$101*AM122)</f>
        <v/>
      </c>
      <c r="AN135" s="8">
        <f>AN106*Assumptions!$B$47*AN107*Assumptions!$B$192*(AN57*AN112+AN59*Assumptions!$B$63*AN114+AN61*Assumptions!$B$73*AN116+AN63*Assumptions!$B$83*AN118+AN65*Assumptions!$B$93*AN120+AN67*Assumptions!$B$101*AN122)</f>
        <v/>
      </c>
      <c r="AO135" s="8">
        <f>AO106*Assumptions!$B$47*AO107*Assumptions!$B$192*(AO57*AO112+AO59*Assumptions!$B$63*AO114+AO61*Assumptions!$B$73*AO116+AO63*Assumptions!$B$83*AO118+AO65*Assumptions!$B$93*AO120+AO67*Assumptions!$B$101*AO122)</f>
        <v/>
      </c>
      <c r="AP135" s="8">
        <f>AP106*Assumptions!$B$47*AP107*Assumptions!$B$192*(AP57*AP112+AP59*Assumptions!$B$63*AP114+AP61*Assumptions!$B$73*AP116+AP63*Assumptions!$B$83*AP118+AP65*Assumptions!$B$93*AP120+AP67*Assumptions!$B$101*AP122)</f>
        <v/>
      </c>
      <c r="AQ135" s="8">
        <f>AQ106*Assumptions!$B$47*AQ107*Assumptions!$B$192*(AQ57*AQ112+AQ59*Assumptions!$B$63*AQ114+AQ61*Assumptions!$B$73*AQ116+AQ63*Assumptions!$B$83*AQ118+AQ65*Assumptions!$B$93*AQ120+AQ67*Assumptions!$B$101*AQ122)</f>
        <v/>
      </c>
      <c r="AR135" s="8">
        <f>AR106*Assumptions!$B$47*AR107*Assumptions!$B$192*(AR57*AR112+AR59*Assumptions!$B$63*AR114+AR61*Assumptions!$B$73*AR116+AR63*Assumptions!$B$83*AR118+AR65*Assumptions!$B$93*AR120+AR67*Assumptions!$B$101*AR122)</f>
        <v/>
      </c>
      <c r="AS135" s="8">
        <f>AS106*Assumptions!$B$47*AS107*Assumptions!$B$192*(AS57*AS112+AS59*Assumptions!$B$63*AS114+AS61*Assumptions!$B$73*AS116+AS63*Assumptions!$B$83*AS118+AS65*Assumptions!$B$93*AS120+AS67*Assumptions!$B$101*AS122)</f>
        <v/>
      </c>
      <c r="AT135" s="8">
        <f>AT106*Assumptions!$B$47*AT107*Assumptions!$B$192*(AT57*AT112+AT59*Assumptions!$B$63*AT114+AT61*Assumptions!$B$73*AT116+AT63*Assumptions!$B$83*AT118+AT65*Assumptions!$B$93*AT120+AT67*Assumptions!$B$101*AT122)</f>
        <v/>
      </c>
      <c r="AU135" s="8">
        <f>AU106*Assumptions!$B$47*AU107*Assumptions!$B$192*(AU57*AU112+AU59*Assumptions!$B$63*AU114+AU61*Assumptions!$B$73*AU116+AU63*Assumptions!$B$83*AU118+AU65*Assumptions!$B$93*AU120+AU67*Assumptions!$B$101*AU122)</f>
        <v/>
      </c>
      <c r="AV135" s="8">
        <f>AV106*Assumptions!$B$47*AV107*Assumptions!$B$192*(AV57*AV112+AV59*Assumptions!$B$63*AV114+AV61*Assumptions!$B$73*AV116+AV63*Assumptions!$B$83*AV118+AV65*Assumptions!$B$93*AV120+AV67*Assumptions!$B$101*AV122)</f>
        <v/>
      </c>
      <c r="AW135" s="8">
        <f>AW106*Assumptions!$B$47*AW107*Assumptions!$B$192*(AW57*AW112+AW59*Assumptions!$B$63*AW114+AW61*Assumptions!$B$73*AW116+AW63*Assumptions!$B$83*AW118+AW65*Assumptions!$B$93*AW120+AW67*Assumptions!$B$101*AW122)</f>
        <v/>
      </c>
      <c r="AX135" s="8">
        <f>AX106*Assumptions!$B$47*AX107*Assumptions!$B$192*(AX57*AX112+AX59*Assumptions!$B$63*AX114+AX61*Assumptions!$B$73*AX116+AX63*Assumptions!$B$83*AX118+AX65*Assumptions!$B$93*AX120+AX67*Assumptions!$B$101*AX122)</f>
        <v/>
      </c>
      <c r="AY135" s="8">
        <f>AY106*Assumptions!$B$47*AY107*Assumptions!$B$192*(AY57*AY112+AY59*Assumptions!$B$63*AY114+AY61*Assumptions!$B$73*AY116+AY63*Assumptions!$B$83*AY118+AY65*Assumptions!$B$93*AY120+AY67*Assumptions!$B$101*AY122)</f>
        <v/>
      </c>
      <c r="AZ135" s="8">
        <f>AZ106*Assumptions!$B$47*AZ107*Assumptions!$B$192*(AZ57*AZ112+AZ59*Assumptions!$B$63*AZ114+AZ61*Assumptions!$B$73*AZ116+AZ63*Assumptions!$B$83*AZ118+AZ65*Assumptions!$B$93*AZ120+AZ67*Assumptions!$B$101*AZ122)</f>
        <v/>
      </c>
      <c r="BA135" s="8">
        <f>BA106*Assumptions!$B$47*BA107*Assumptions!$B$192*(BA57*BA112+BA59*Assumptions!$B$63*BA114+BA61*Assumptions!$B$73*BA116+BA63*Assumptions!$B$83*BA118+BA65*Assumptions!$B$93*BA120+BA67*Assumptions!$B$101*BA122)</f>
        <v/>
      </c>
      <c r="BB135" s="8">
        <f>BB106*Assumptions!$B$47*BB107*Assumptions!$B$192*(BB57*BB112+BB59*Assumptions!$B$63*BB114+BB61*Assumptions!$B$73*BB116+BB63*Assumptions!$B$83*BB118+BB65*Assumptions!$B$93*BB120+BB67*Assumptions!$B$101*BB122)</f>
        <v/>
      </c>
      <c r="BC135" s="8">
        <f>BC106*Assumptions!$B$47*BC107*Assumptions!$B$192*(BC57*BC112+BC59*Assumptions!$B$63*BC114+BC61*Assumptions!$B$73*BC116+BC63*Assumptions!$B$83*BC118+BC65*Assumptions!$B$93*BC120+BC67*Assumptions!$B$101*BC122)</f>
        <v/>
      </c>
      <c r="BD135" s="8">
        <f>BD106*Assumptions!$B$47*BD107*Assumptions!$B$192*(BD57*BD112+BD59*Assumptions!$B$63*BD114+BD61*Assumptions!$B$73*BD116+BD63*Assumptions!$B$83*BD118+BD65*Assumptions!$B$93*BD120+BD67*Assumptions!$B$101*BD122)</f>
        <v/>
      </c>
      <c r="BE135" s="8">
        <f>BE106*Assumptions!$B$47*BE107*Assumptions!$B$192*(BE57*BE112+BE59*Assumptions!$B$63*BE114+BE61*Assumptions!$B$73*BE116+BE63*Assumptions!$B$83*BE118+BE65*Assumptions!$B$93*BE120+BE67*Assumptions!$B$101*BE122)</f>
        <v/>
      </c>
      <c r="BF135" s="8">
        <f>BF106*Assumptions!$B$47*BF107*Assumptions!$B$192*(BF57*BF112+BF59*Assumptions!$B$63*BF114+BF61*Assumptions!$B$73*BF116+BF63*Assumptions!$B$83*BF118+BF65*Assumptions!$B$93*BF120+BF67*Assumptions!$B$101*BF122)</f>
        <v/>
      </c>
      <c r="BG135" s="8">
        <f>BG106*Assumptions!$B$47*BG107*Assumptions!$B$192*(BG57*BG112+BG59*Assumptions!$B$63*BG114+BG61*Assumptions!$B$73*BG116+BG63*Assumptions!$B$83*BG118+BG65*Assumptions!$B$93*BG120+BG67*Assumptions!$B$101*BG122)</f>
        <v/>
      </c>
      <c r="BH135" s="8">
        <f>BH106*Assumptions!$B$47*BH107*Assumptions!$B$192*(BH57*BH112+BH59*Assumptions!$B$63*BH114+BH61*Assumptions!$B$73*BH116+BH63*Assumptions!$B$83*BH118+BH65*Assumptions!$B$93*BH120+BH67*Assumptions!$B$101*BH122)</f>
        <v/>
      </c>
      <c r="BI135" s="8">
        <f>BI106*Assumptions!$B$47*BI107*Assumptions!$B$192*(BI57*BI112+BI59*Assumptions!$B$63*BI114+BI61*Assumptions!$B$73*BI116+BI63*Assumptions!$B$83*BI118+BI65*Assumptions!$B$93*BI120+BI67*Assumptions!$B$101*BI122)</f>
        <v/>
      </c>
      <c r="BJ135" s="8">
        <f>BJ106*Assumptions!$B$47*BJ107*Assumptions!$B$192*(BJ57*BJ112+BJ59*Assumptions!$B$63*BJ114+BJ61*Assumptions!$B$73*BJ116+BJ63*Assumptions!$B$83*BJ118+BJ65*Assumptions!$B$93*BJ120+BJ67*Assumptions!$B$101*BJ122)</f>
        <v/>
      </c>
    </row>
    <row r="136">
      <c r="A136" s="4" t="inlineStr">
        <is>
          <t>Desired paid acquisition spend: SMEs</t>
        </is>
      </c>
      <c r="B136" s="17" t="inlineStr">
        <is>
          <t>R</t>
        </is>
      </c>
      <c r="C136" s="8">
        <f>C106*Assumptions!$B$47*C107*Assumptions!$B$193*(C58*C124+C60*Assumptions!$B$63*C126+C62*Assumptions!$B$73*C128+C64*Assumptions!$B$83*C130+C66*Assumptions!$B$93*C132+C68*Assumptions!$B$101*C134)</f>
        <v/>
      </c>
      <c r="D136" s="8">
        <f>D106*Assumptions!$B$47*D107*Assumptions!$B$193*(D58*D124+D60*Assumptions!$B$63*D126+D62*Assumptions!$B$73*D128+D64*Assumptions!$B$83*D130+D66*Assumptions!$B$93*D132+D68*Assumptions!$B$101*D134)</f>
        <v/>
      </c>
      <c r="E136" s="8">
        <f>E106*Assumptions!$B$47*E107*Assumptions!$B$193*(E58*E124+E60*Assumptions!$B$63*E126+E62*Assumptions!$B$73*E128+E64*Assumptions!$B$83*E130+E66*Assumptions!$B$93*E132+E68*Assumptions!$B$101*E134)</f>
        <v/>
      </c>
      <c r="F136" s="8">
        <f>F106*Assumptions!$B$47*F107*Assumptions!$B$193*(F58*F124+F60*Assumptions!$B$63*F126+F62*Assumptions!$B$73*F128+F64*Assumptions!$B$83*F130+F66*Assumptions!$B$93*F132+F68*Assumptions!$B$101*F134)</f>
        <v/>
      </c>
      <c r="G136" s="8">
        <f>G106*Assumptions!$B$47*G107*Assumptions!$B$193*(G58*G124+G60*Assumptions!$B$63*G126+G62*Assumptions!$B$73*G128+G64*Assumptions!$B$83*G130+G66*Assumptions!$B$93*G132+G68*Assumptions!$B$101*G134)</f>
        <v/>
      </c>
      <c r="H136" s="8">
        <f>H106*Assumptions!$B$47*H107*Assumptions!$B$193*(H58*H124+H60*Assumptions!$B$63*H126+H62*Assumptions!$B$73*H128+H64*Assumptions!$B$83*H130+H66*Assumptions!$B$93*H132+H68*Assumptions!$B$101*H134)</f>
        <v/>
      </c>
      <c r="I136" s="8">
        <f>I106*Assumptions!$B$47*I107*Assumptions!$B$193*(I58*I124+I60*Assumptions!$B$63*I126+I62*Assumptions!$B$73*I128+I64*Assumptions!$B$83*I130+I66*Assumptions!$B$93*I132+I68*Assumptions!$B$101*I134)</f>
        <v/>
      </c>
      <c r="J136" s="8">
        <f>J106*Assumptions!$B$47*J107*Assumptions!$B$193*(J58*J124+J60*Assumptions!$B$63*J126+J62*Assumptions!$B$73*J128+J64*Assumptions!$B$83*J130+J66*Assumptions!$B$93*J132+J68*Assumptions!$B$101*J134)</f>
        <v/>
      </c>
      <c r="K136" s="8">
        <f>K106*Assumptions!$B$47*K107*Assumptions!$B$193*(K58*K124+K60*Assumptions!$B$63*K126+K62*Assumptions!$B$73*K128+K64*Assumptions!$B$83*K130+K66*Assumptions!$B$93*K132+K68*Assumptions!$B$101*K134)</f>
        <v/>
      </c>
      <c r="L136" s="8">
        <f>L106*Assumptions!$B$47*L107*Assumptions!$B$193*(L58*L124+L60*Assumptions!$B$63*L126+L62*Assumptions!$B$73*L128+L64*Assumptions!$B$83*L130+L66*Assumptions!$B$93*L132+L68*Assumptions!$B$101*L134)</f>
        <v/>
      </c>
      <c r="M136" s="8">
        <f>M106*Assumptions!$B$47*M107*Assumptions!$B$193*(M58*M124+M60*Assumptions!$B$63*M126+M62*Assumptions!$B$73*M128+M64*Assumptions!$B$83*M130+M66*Assumptions!$B$93*M132+M68*Assumptions!$B$101*M134)</f>
        <v/>
      </c>
      <c r="N136" s="8">
        <f>N106*Assumptions!$B$47*N107*Assumptions!$B$193*(N58*N124+N60*Assumptions!$B$63*N126+N62*Assumptions!$B$73*N128+N64*Assumptions!$B$83*N130+N66*Assumptions!$B$93*N132+N68*Assumptions!$B$101*N134)</f>
        <v/>
      </c>
      <c r="O136" s="8">
        <f>O106*Assumptions!$B$47*O107*Assumptions!$B$193*(O58*O124+O60*Assumptions!$B$63*O126+O62*Assumptions!$B$73*O128+O64*Assumptions!$B$83*O130+O66*Assumptions!$B$93*O132+O68*Assumptions!$B$101*O134)</f>
        <v/>
      </c>
      <c r="P136" s="8">
        <f>P106*Assumptions!$B$47*P107*Assumptions!$B$193*(P58*P124+P60*Assumptions!$B$63*P126+P62*Assumptions!$B$73*P128+P64*Assumptions!$B$83*P130+P66*Assumptions!$B$93*P132+P68*Assumptions!$B$101*P134)</f>
        <v/>
      </c>
      <c r="Q136" s="8">
        <f>Q106*Assumptions!$B$47*Q107*Assumptions!$B$193*(Q58*Q124+Q60*Assumptions!$B$63*Q126+Q62*Assumptions!$B$73*Q128+Q64*Assumptions!$B$83*Q130+Q66*Assumptions!$B$93*Q132+Q68*Assumptions!$B$101*Q134)</f>
        <v/>
      </c>
      <c r="R136" s="8">
        <f>R106*Assumptions!$B$47*R107*Assumptions!$B$193*(R58*R124+R60*Assumptions!$B$63*R126+R62*Assumptions!$B$73*R128+R64*Assumptions!$B$83*R130+R66*Assumptions!$B$93*R132+R68*Assumptions!$B$101*R134)</f>
        <v/>
      </c>
      <c r="S136" s="8">
        <f>S106*Assumptions!$B$47*S107*Assumptions!$B$193*(S58*S124+S60*Assumptions!$B$63*S126+S62*Assumptions!$B$73*S128+S64*Assumptions!$B$83*S130+S66*Assumptions!$B$93*S132+S68*Assumptions!$B$101*S134)</f>
        <v/>
      </c>
      <c r="T136" s="8">
        <f>T106*Assumptions!$B$47*T107*Assumptions!$B$193*(T58*T124+T60*Assumptions!$B$63*T126+T62*Assumptions!$B$73*T128+T64*Assumptions!$B$83*T130+T66*Assumptions!$B$93*T132+T68*Assumptions!$B$101*T134)</f>
        <v/>
      </c>
      <c r="U136" s="8">
        <f>U106*Assumptions!$B$47*U107*Assumptions!$B$193*(U58*U124+U60*Assumptions!$B$63*U126+U62*Assumptions!$B$73*U128+U64*Assumptions!$B$83*U130+U66*Assumptions!$B$93*U132+U68*Assumptions!$B$101*U134)</f>
        <v/>
      </c>
      <c r="V136" s="8">
        <f>V106*Assumptions!$B$47*V107*Assumptions!$B$193*(V58*V124+V60*Assumptions!$B$63*V126+V62*Assumptions!$B$73*V128+V64*Assumptions!$B$83*V130+V66*Assumptions!$B$93*V132+V68*Assumptions!$B$101*V134)</f>
        <v/>
      </c>
      <c r="W136" s="8">
        <f>W106*Assumptions!$B$47*W107*Assumptions!$B$193*(W58*W124+W60*Assumptions!$B$63*W126+W62*Assumptions!$B$73*W128+W64*Assumptions!$B$83*W130+W66*Assumptions!$B$93*W132+W68*Assumptions!$B$101*W134)</f>
        <v/>
      </c>
      <c r="X136" s="8">
        <f>X106*Assumptions!$B$47*X107*Assumptions!$B$193*(X58*X124+X60*Assumptions!$B$63*X126+X62*Assumptions!$B$73*X128+X64*Assumptions!$B$83*X130+X66*Assumptions!$B$93*X132+X68*Assumptions!$B$101*X134)</f>
        <v/>
      </c>
      <c r="Y136" s="8">
        <f>Y106*Assumptions!$B$47*Y107*Assumptions!$B$193*(Y58*Y124+Y60*Assumptions!$B$63*Y126+Y62*Assumptions!$B$73*Y128+Y64*Assumptions!$B$83*Y130+Y66*Assumptions!$B$93*Y132+Y68*Assumptions!$B$101*Y134)</f>
        <v/>
      </c>
      <c r="Z136" s="8">
        <f>Z106*Assumptions!$B$47*Z107*Assumptions!$B$193*(Z58*Z124+Z60*Assumptions!$B$63*Z126+Z62*Assumptions!$B$73*Z128+Z64*Assumptions!$B$83*Z130+Z66*Assumptions!$B$93*Z132+Z68*Assumptions!$B$101*Z134)</f>
        <v/>
      </c>
      <c r="AA136" s="8">
        <f>AA106*Assumptions!$B$47*AA107*Assumptions!$B$193*(AA58*AA124+AA60*Assumptions!$B$63*AA126+AA62*Assumptions!$B$73*AA128+AA64*Assumptions!$B$83*AA130+AA66*Assumptions!$B$93*AA132+AA68*Assumptions!$B$101*AA134)</f>
        <v/>
      </c>
      <c r="AB136" s="8">
        <f>AB106*Assumptions!$B$47*AB107*Assumptions!$B$193*(AB58*AB124+AB60*Assumptions!$B$63*AB126+AB62*Assumptions!$B$73*AB128+AB64*Assumptions!$B$83*AB130+AB66*Assumptions!$B$93*AB132+AB68*Assumptions!$B$101*AB134)</f>
        <v/>
      </c>
      <c r="AC136" s="8">
        <f>AC106*Assumptions!$B$47*AC107*Assumptions!$B$193*(AC58*AC124+AC60*Assumptions!$B$63*AC126+AC62*Assumptions!$B$73*AC128+AC64*Assumptions!$B$83*AC130+AC66*Assumptions!$B$93*AC132+AC68*Assumptions!$B$101*AC134)</f>
        <v/>
      </c>
      <c r="AD136" s="8">
        <f>AD106*Assumptions!$B$47*AD107*Assumptions!$B$193*(AD58*AD124+AD60*Assumptions!$B$63*AD126+AD62*Assumptions!$B$73*AD128+AD64*Assumptions!$B$83*AD130+AD66*Assumptions!$B$93*AD132+AD68*Assumptions!$B$101*AD134)</f>
        <v/>
      </c>
      <c r="AE136" s="8">
        <f>AE106*Assumptions!$B$47*AE107*Assumptions!$B$193*(AE58*AE124+AE60*Assumptions!$B$63*AE126+AE62*Assumptions!$B$73*AE128+AE64*Assumptions!$B$83*AE130+AE66*Assumptions!$B$93*AE132+AE68*Assumptions!$B$101*AE134)</f>
        <v/>
      </c>
      <c r="AF136" s="8">
        <f>AF106*Assumptions!$B$47*AF107*Assumptions!$B$193*(AF58*AF124+AF60*Assumptions!$B$63*AF126+AF62*Assumptions!$B$73*AF128+AF64*Assumptions!$B$83*AF130+AF66*Assumptions!$B$93*AF132+AF68*Assumptions!$B$101*AF134)</f>
        <v/>
      </c>
      <c r="AG136" s="8">
        <f>AG106*Assumptions!$B$47*AG107*Assumptions!$B$193*(AG58*AG124+AG60*Assumptions!$B$63*AG126+AG62*Assumptions!$B$73*AG128+AG64*Assumptions!$B$83*AG130+AG66*Assumptions!$B$93*AG132+AG68*Assumptions!$B$101*AG134)</f>
        <v/>
      </c>
      <c r="AH136" s="8">
        <f>AH106*Assumptions!$B$47*AH107*Assumptions!$B$193*(AH58*AH124+AH60*Assumptions!$B$63*AH126+AH62*Assumptions!$B$73*AH128+AH64*Assumptions!$B$83*AH130+AH66*Assumptions!$B$93*AH132+AH68*Assumptions!$B$101*AH134)</f>
        <v/>
      </c>
      <c r="AI136" s="8">
        <f>AI106*Assumptions!$B$47*AI107*Assumptions!$B$193*(AI58*AI124+AI60*Assumptions!$B$63*AI126+AI62*Assumptions!$B$73*AI128+AI64*Assumptions!$B$83*AI130+AI66*Assumptions!$B$93*AI132+AI68*Assumptions!$B$101*AI134)</f>
        <v/>
      </c>
      <c r="AJ136" s="8">
        <f>AJ106*Assumptions!$B$47*AJ107*Assumptions!$B$193*(AJ58*AJ124+AJ60*Assumptions!$B$63*AJ126+AJ62*Assumptions!$B$73*AJ128+AJ64*Assumptions!$B$83*AJ130+AJ66*Assumptions!$B$93*AJ132+AJ68*Assumptions!$B$101*AJ134)</f>
        <v/>
      </c>
      <c r="AK136" s="8">
        <f>AK106*Assumptions!$B$47*AK107*Assumptions!$B$193*(AK58*AK124+AK60*Assumptions!$B$63*AK126+AK62*Assumptions!$B$73*AK128+AK64*Assumptions!$B$83*AK130+AK66*Assumptions!$B$93*AK132+AK68*Assumptions!$B$101*AK134)</f>
        <v/>
      </c>
      <c r="AL136" s="8">
        <f>AL106*Assumptions!$B$47*AL107*Assumptions!$B$193*(AL58*AL124+AL60*Assumptions!$B$63*AL126+AL62*Assumptions!$B$73*AL128+AL64*Assumptions!$B$83*AL130+AL66*Assumptions!$B$93*AL132+AL68*Assumptions!$B$101*AL134)</f>
        <v/>
      </c>
      <c r="AM136" s="8">
        <f>AM106*Assumptions!$B$47*AM107*Assumptions!$B$193*(AM58*AM124+AM60*Assumptions!$B$63*AM126+AM62*Assumptions!$B$73*AM128+AM64*Assumptions!$B$83*AM130+AM66*Assumptions!$B$93*AM132+AM68*Assumptions!$B$101*AM134)</f>
        <v/>
      </c>
      <c r="AN136" s="8">
        <f>AN106*Assumptions!$B$47*AN107*Assumptions!$B$193*(AN58*AN124+AN60*Assumptions!$B$63*AN126+AN62*Assumptions!$B$73*AN128+AN64*Assumptions!$B$83*AN130+AN66*Assumptions!$B$93*AN132+AN68*Assumptions!$B$101*AN134)</f>
        <v/>
      </c>
      <c r="AO136" s="8">
        <f>AO106*Assumptions!$B$47*AO107*Assumptions!$B$193*(AO58*AO124+AO60*Assumptions!$B$63*AO126+AO62*Assumptions!$B$73*AO128+AO64*Assumptions!$B$83*AO130+AO66*Assumptions!$B$93*AO132+AO68*Assumptions!$B$101*AO134)</f>
        <v/>
      </c>
      <c r="AP136" s="8">
        <f>AP106*Assumptions!$B$47*AP107*Assumptions!$B$193*(AP58*AP124+AP60*Assumptions!$B$63*AP126+AP62*Assumptions!$B$73*AP128+AP64*Assumptions!$B$83*AP130+AP66*Assumptions!$B$93*AP132+AP68*Assumptions!$B$101*AP134)</f>
        <v/>
      </c>
      <c r="AQ136" s="8">
        <f>AQ106*Assumptions!$B$47*AQ107*Assumptions!$B$193*(AQ58*AQ124+AQ60*Assumptions!$B$63*AQ126+AQ62*Assumptions!$B$73*AQ128+AQ64*Assumptions!$B$83*AQ130+AQ66*Assumptions!$B$93*AQ132+AQ68*Assumptions!$B$101*AQ134)</f>
        <v/>
      </c>
      <c r="AR136" s="8">
        <f>AR106*Assumptions!$B$47*AR107*Assumptions!$B$193*(AR58*AR124+AR60*Assumptions!$B$63*AR126+AR62*Assumptions!$B$73*AR128+AR64*Assumptions!$B$83*AR130+AR66*Assumptions!$B$93*AR132+AR68*Assumptions!$B$101*AR134)</f>
        <v/>
      </c>
      <c r="AS136" s="8">
        <f>AS106*Assumptions!$B$47*AS107*Assumptions!$B$193*(AS58*AS124+AS60*Assumptions!$B$63*AS126+AS62*Assumptions!$B$73*AS128+AS64*Assumptions!$B$83*AS130+AS66*Assumptions!$B$93*AS132+AS68*Assumptions!$B$101*AS134)</f>
        <v/>
      </c>
      <c r="AT136" s="8">
        <f>AT106*Assumptions!$B$47*AT107*Assumptions!$B$193*(AT58*AT124+AT60*Assumptions!$B$63*AT126+AT62*Assumptions!$B$73*AT128+AT64*Assumptions!$B$83*AT130+AT66*Assumptions!$B$93*AT132+AT68*Assumptions!$B$101*AT134)</f>
        <v/>
      </c>
      <c r="AU136" s="8">
        <f>AU106*Assumptions!$B$47*AU107*Assumptions!$B$193*(AU58*AU124+AU60*Assumptions!$B$63*AU126+AU62*Assumptions!$B$73*AU128+AU64*Assumptions!$B$83*AU130+AU66*Assumptions!$B$93*AU132+AU68*Assumptions!$B$101*AU134)</f>
        <v/>
      </c>
      <c r="AV136" s="8">
        <f>AV106*Assumptions!$B$47*AV107*Assumptions!$B$193*(AV58*AV124+AV60*Assumptions!$B$63*AV126+AV62*Assumptions!$B$73*AV128+AV64*Assumptions!$B$83*AV130+AV66*Assumptions!$B$93*AV132+AV68*Assumptions!$B$101*AV134)</f>
        <v/>
      </c>
      <c r="AW136" s="8">
        <f>AW106*Assumptions!$B$47*AW107*Assumptions!$B$193*(AW58*AW124+AW60*Assumptions!$B$63*AW126+AW62*Assumptions!$B$73*AW128+AW64*Assumptions!$B$83*AW130+AW66*Assumptions!$B$93*AW132+AW68*Assumptions!$B$101*AW134)</f>
        <v/>
      </c>
      <c r="AX136" s="8">
        <f>AX106*Assumptions!$B$47*AX107*Assumptions!$B$193*(AX58*AX124+AX60*Assumptions!$B$63*AX126+AX62*Assumptions!$B$73*AX128+AX64*Assumptions!$B$83*AX130+AX66*Assumptions!$B$93*AX132+AX68*Assumptions!$B$101*AX134)</f>
        <v/>
      </c>
      <c r="AY136" s="8">
        <f>AY106*Assumptions!$B$47*AY107*Assumptions!$B$193*(AY58*AY124+AY60*Assumptions!$B$63*AY126+AY62*Assumptions!$B$73*AY128+AY64*Assumptions!$B$83*AY130+AY66*Assumptions!$B$93*AY132+AY68*Assumptions!$B$101*AY134)</f>
        <v/>
      </c>
      <c r="AZ136" s="8">
        <f>AZ106*Assumptions!$B$47*AZ107*Assumptions!$B$193*(AZ58*AZ124+AZ60*Assumptions!$B$63*AZ126+AZ62*Assumptions!$B$73*AZ128+AZ64*Assumptions!$B$83*AZ130+AZ66*Assumptions!$B$93*AZ132+AZ68*Assumptions!$B$101*AZ134)</f>
        <v/>
      </c>
      <c r="BA136" s="8">
        <f>BA106*Assumptions!$B$47*BA107*Assumptions!$B$193*(BA58*BA124+BA60*Assumptions!$B$63*BA126+BA62*Assumptions!$B$73*BA128+BA64*Assumptions!$B$83*BA130+BA66*Assumptions!$B$93*BA132+BA68*Assumptions!$B$101*BA134)</f>
        <v/>
      </c>
      <c r="BB136" s="8">
        <f>BB106*Assumptions!$B$47*BB107*Assumptions!$B$193*(BB58*BB124+BB60*Assumptions!$B$63*BB126+BB62*Assumptions!$B$73*BB128+BB64*Assumptions!$B$83*BB130+BB66*Assumptions!$B$93*BB132+BB68*Assumptions!$B$101*BB134)</f>
        <v/>
      </c>
      <c r="BC136" s="8">
        <f>BC106*Assumptions!$B$47*BC107*Assumptions!$B$193*(BC58*BC124+BC60*Assumptions!$B$63*BC126+BC62*Assumptions!$B$73*BC128+BC64*Assumptions!$B$83*BC130+BC66*Assumptions!$B$93*BC132+BC68*Assumptions!$B$101*BC134)</f>
        <v/>
      </c>
      <c r="BD136" s="8">
        <f>BD106*Assumptions!$B$47*BD107*Assumptions!$B$193*(BD58*BD124+BD60*Assumptions!$B$63*BD126+BD62*Assumptions!$B$73*BD128+BD64*Assumptions!$B$83*BD130+BD66*Assumptions!$B$93*BD132+BD68*Assumptions!$B$101*BD134)</f>
        <v/>
      </c>
      <c r="BE136" s="8">
        <f>BE106*Assumptions!$B$47*BE107*Assumptions!$B$193*(BE58*BE124+BE60*Assumptions!$B$63*BE126+BE62*Assumptions!$B$73*BE128+BE64*Assumptions!$B$83*BE130+BE66*Assumptions!$B$93*BE132+BE68*Assumptions!$B$101*BE134)</f>
        <v/>
      </c>
      <c r="BF136" s="8">
        <f>BF106*Assumptions!$B$47*BF107*Assumptions!$B$193*(BF58*BF124+BF60*Assumptions!$B$63*BF126+BF62*Assumptions!$B$73*BF128+BF64*Assumptions!$B$83*BF130+BF66*Assumptions!$B$93*BF132+BF68*Assumptions!$B$101*BF134)</f>
        <v/>
      </c>
      <c r="BG136" s="8">
        <f>BG106*Assumptions!$B$47*BG107*Assumptions!$B$193*(BG58*BG124+BG60*Assumptions!$B$63*BG126+BG62*Assumptions!$B$73*BG128+BG64*Assumptions!$B$83*BG130+BG66*Assumptions!$B$93*BG132+BG68*Assumptions!$B$101*BG134)</f>
        <v/>
      </c>
      <c r="BH136" s="8">
        <f>BH106*Assumptions!$B$47*BH107*Assumptions!$B$193*(BH58*BH124+BH60*Assumptions!$B$63*BH126+BH62*Assumptions!$B$73*BH128+BH64*Assumptions!$B$83*BH130+BH66*Assumptions!$B$93*BH132+BH68*Assumptions!$B$101*BH134)</f>
        <v/>
      </c>
      <c r="BI136" s="8">
        <f>BI106*Assumptions!$B$47*BI107*Assumptions!$B$193*(BI58*BI124+BI60*Assumptions!$B$63*BI126+BI62*Assumptions!$B$73*BI128+BI64*Assumptions!$B$83*BI130+BI66*Assumptions!$B$93*BI132+BI68*Assumptions!$B$101*BI134)</f>
        <v/>
      </c>
      <c r="BJ136" s="8">
        <f>BJ106*Assumptions!$B$47*BJ107*Assumptions!$B$193*(BJ58*BJ124+BJ60*Assumptions!$B$63*BJ126+BJ62*Assumptions!$B$73*BJ128+BJ64*Assumptions!$B$83*BJ130+BJ66*Assumptions!$B$93*BJ132+BJ68*Assumptions!$B$101*BJ134)</f>
        <v/>
      </c>
    </row>
    <row r="137">
      <c r="A137" s="4" t="inlineStr">
        <is>
          <t>Desired paid acquisition spend: total</t>
        </is>
      </c>
      <c r="B137" s="17" t="inlineStr">
        <is>
          <t>R</t>
        </is>
      </c>
      <c r="C137" s="8">
        <f>C135+C136</f>
        <v/>
      </c>
      <c r="D137" s="8">
        <f>D135+D136</f>
        <v/>
      </c>
      <c r="E137" s="8">
        <f>E135+E136</f>
        <v/>
      </c>
      <c r="F137" s="8">
        <f>F135+F136</f>
        <v/>
      </c>
      <c r="G137" s="8">
        <f>G135+G136</f>
        <v/>
      </c>
      <c r="H137" s="8">
        <f>H135+H136</f>
        <v/>
      </c>
      <c r="I137" s="8">
        <f>I135+I136</f>
        <v/>
      </c>
      <c r="J137" s="8">
        <f>J135+J136</f>
        <v/>
      </c>
      <c r="K137" s="8">
        <f>K135+K136</f>
        <v/>
      </c>
      <c r="L137" s="8">
        <f>L135+L136</f>
        <v/>
      </c>
      <c r="M137" s="8">
        <f>M135+M136</f>
        <v/>
      </c>
      <c r="N137" s="8">
        <f>N135+N136</f>
        <v/>
      </c>
      <c r="O137" s="8">
        <f>O135+O136</f>
        <v/>
      </c>
      <c r="P137" s="8">
        <f>P135+P136</f>
        <v/>
      </c>
      <c r="Q137" s="8">
        <f>Q135+Q136</f>
        <v/>
      </c>
      <c r="R137" s="8">
        <f>R135+R136</f>
        <v/>
      </c>
      <c r="S137" s="8">
        <f>S135+S136</f>
        <v/>
      </c>
      <c r="T137" s="8">
        <f>T135+T136</f>
        <v/>
      </c>
      <c r="U137" s="8">
        <f>U135+U136</f>
        <v/>
      </c>
      <c r="V137" s="8">
        <f>V135+V136</f>
        <v/>
      </c>
      <c r="W137" s="8">
        <f>W135+W136</f>
        <v/>
      </c>
      <c r="X137" s="8">
        <f>X135+X136</f>
        <v/>
      </c>
      <c r="Y137" s="8">
        <f>Y135+Y136</f>
        <v/>
      </c>
      <c r="Z137" s="8">
        <f>Z135+Z136</f>
        <v/>
      </c>
      <c r="AA137" s="8">
        <f>AA135+AA136</f>
        <v/>
      </c>
      <c r="AB137" s="8">
        <f>AB135+AB136</f>
        <v/>
      </c>
      <c r="AC137" s="8">
        <f>AC135+AC136</f>
        <v/>
      </c>
      <c r="AD137" s="8">
        <f>AD135+AD136</f>
        <v/>
      </c>
      <c r="AE137" s="8">
        <f>AE135+AE136</f>
        <v/>
      </c>
      <c r="AF137" s="8">
        <f>AF135+AF136</f>
        <v/>
      </c>
      <c r="AG137" s="8">
        <f>AG135+AG136</f>
        <v/>
      </c>
      <c r="AH137" s="8">
        <f>AH135+AH136</f>
        <v/>
      </c>
      <c r="AI137" s="8">
        <f>AI135+AI136</f>
        <v/>
      </c>
      <c r="AJ137" s="8">
        <f>AJ135+AJ136</f>
        <v/>
      </c>
      <c r="AK137" s="8">
        <f>AK135+AK136</f>
        <v/>
      </c>
      <c r="AL137" s="8">
        <f>AL135+AL136</f>
        <v/>
      </c>
      <c r="AM137" s="8">
        <f>AM135+AM136</f>
        <v/>
      </c>
      <c r="AN137" s="8">
        <f>AN135+AN136</f>
        <v/>
      </c>
      <c r="AO137" s="8">
        <f>AO135+AO136</f>
        <v/>
      </c>
      <c r="AP137" s="8">
        <f>AP135+AP136</f>
        <v/>
      </c>
      <c r="AQ137" s="8">
        <f>AQ135+AQ136</f>
        <v/>
      </c>
      <c r="AR137" s="8">
        <f>AR135+AR136</f>
        <v/>
      </c>
      <c r="AS137" s="8">
        <f>AS135+AS136</f>
        <v/>
      </c>
      <c r="AT137" s="8">
        <f>AT135+AT136</f>
        <v/>
      </c>
      <c r="AU137" s="8">
        <f>AU135+AU136</f>
        <v/>
      </c>
      <c r="AV137" s="8">
        <f>AV135+AV136</f>
        <v/>
      </c>
      <c r="AW137" s="8">
        <f>AW135+AW136</f>
        <v/>
      </c>
      <c r="AX137" s="8">
        <f>AX135+AX136</f>
        <v/>
      </c>
      <c r="AY137" s="8">
        <f>AY135+AY136</f>
        <v/>
      </c>
      <c r="AZ137" s="8">
        <f>AZ135+AZ136</f>
        <v/>
      </c>
      <c r="BA137" s="8">
        <f>BA135+BA136</f>
        <v/>
      </c>
      <c r="BB137" s="8">
        <f>BB135+BB136</f>
        <v/>
      </c>
      <c r="BC137" s="8">
        <f>BC135+BC136</f>
        <v/>
      </c>
      <c r="BD137" s="8">
        <f>BD135+BD136</f>
        <v/>
      </c>
      <c r="BE137" s="8">
        <f>BE135+BE136</f>
        <v/>
      </c>
      <c r="BF137" s="8">
        <f>BF135+BF136</f>
        <v/>
      </c>
      <c r="BG137" s="8">
        <f>BG135+BG136</f>
        <v/>
      </c>
      <c r="BH137" s="8">
        <f>BH135+BH136</f>
        <v/>
      </c>
      <c r="BI137" s="8">
        <f>BI135+BI136</f>
        <v/>
      </c>
      <c r="BJ137" s="8">
        <f>BJ135+BJ136</f>
        <v/>
      </c>
    </row>
    <row r="138">
      <c r="A138" s="4" t="inlineStr">
        <is>
          <t>Paid acquisition cap (floor + cap % x last month's net MRR; 0 before seed)</t>
        </is>
      </c>
      <c r="B138" s="17" t="inlineStr">
        <is>
          <t>R</t>
        </is>
      </c>
      <c r="C138" s="8">
        <f>C8*(Assumptions!$B$195+Assumptions!$B$50*C10)</f>
        <v/>
      </c>
      <c r="D138" s="8">
        <f>D8*(Assumptions!$B$195+Assumptions!$B$50*D10)</f>
        <v/>
      </c>
      <c r="E138" s="8">
        <f>E8*(Assumptions!$B$195+Assumptions!$B$50*E10)</f>
        <v/>
      </c>
      <c r="F138" s="8">
        <f>F8*(Assumptions!$B$195+Assumptions!$B$50*F10)</f>
        <v/>
      </c>
      <c r="G138" s="8">
        <f>G8*(Assumptions!$B$195+Assumptions!$B$50*G10)</f>
        <v/>
      </c>
      <c r="H138" s="8">
        <f>H8*(Assumptions!$B$195+Assumptions!$B$50*H10)</f>
        <v/>
      </c>
      <c r="I138" s="8">
        <f>I8*(Assumptions!$B$195+Assumptions!$B$50*I10)</f>
        <v/>
      </c>
      <c r="J138" s="8">
        <f>J8*(Assumptions!$B$195+Assumptions!$B$50*J10)</f>
        <v/>
      </c>
      <c r="K138" s="8">
        <f>K8*(Assumptions!$B$195+Assumptions!$B$50*K10)</f>
        <v/>
      </c>
      <c r="L138" s="8">
        <f>L8*(Assumptions!$B$195+Assumptions!$B$50*L10)</f>
        <v/>
      </c>
      <c r="M138" s="8">
        <f>M8*(Assumptions!$B$195+Assumptions!$B$50*M10)</f>
        <v/>
      </c>
      <c r="N138" s="8">
        <f>N8*(Assumptions!$B$195+Assumptions!$B$50*N10)</f>
        <v/>
      </c>
      <c r="O138" s="8">
        <f>O8*(Assumptions!$B$195+Assumptions!$B$50*O10)</f>
        <v/>
      </c>
      <c r="P138" s="8">
        <f>P8*(Assumptions!$B$195+Assumptions!$B$50*P10)</f>
        <v/>
      </c>
      <c r="Q138" s="8">
        <f>Q8*(Assumptions!$B$195+Assumptions!$B$50*Q10)</f>
        <v/>
      </c>
      <c r="R138" s="8">
        <f>R8*(Assumptions!$B$195+Assumptions!$B$50*R10)</f>
        <v/>
      </c>
      <c r="S138" s="8">
        <f>S8*(Assumptions!$B$195+Assumptions!$B$50*S10)</f>
        <v/>
      </c>
      <c r="T138" s="8">
        <f>T8*(Assumptions!$B$195+Assumptions!$B$50*T10)</f>
        <v/>
      </c>
      <c r="U138" s="8">
        <f>U8*(Assumptions!$B$195+Assumptions!$B$50*U10)</f>
        <v/>
      </c>
      <c r="V138" s="8">
        <f>V8*(Assumptions!$B$195+Assumptions!$B$50*V10)</f>
        <v/>
      </c>
      <c r="W138" s="8">
        <f>W8*(Assumptions!$B$195+Assumptions!$B$50*W10)</f>
        <v/>
      </c>
      <c r="X138" s="8">
        <f>X8*(Assumptions!$B$195+Assumptions!$B$50*X10)</f>
        <v/>
      </c>
      <c r="Y138" s="8">
        <f>Y8*(Assumptions!$B$195+Assumptions!$B$50*Y10)</f>
        <v/>
      </c>
      <c r="Z138" s="8">
        <f>Z8*(Assumptions!$B$195+Assumptions!$B$50*Z10)</f>
        <v/>
      </c>
      <c r="AA138" s="8">
        <f>AA8*(Assumptions!$B$195+Assumptions!$B$50*AA10)</f>
        <v/>
      </c>
      <c r="AB138" s="8">
        <f>AB8*(Assumptions!$B$195+Assumptions!$B$50*AB10)</f>
        <v/>
      </c>
      <c r="AC138" s="8">
        <f>AC8*(Assumptions!$B$195+Assumptions!$B$50*AC10)</f>
        <v/>
      </c>
      <c r="AD138" s="8">
        <f>AD8*(Assumptions!$B$195+Assumptions!$B$50*AD10)</f>
        <v/>
      </c>
      <c r="AE138" s="8">
        <f>AE8*(Assumptions!$B$195+Assumptions!$B$50*AE10)</f>
        <v/>
      </c>
      <c r="AF138" s="8">
        <f>AF8*(Assumptions!$B$195+Assumptions!$B$50*AF10)</f>
        <v/>
      </c>
      <c r="AG138" s="8">
        <f>AG8*(Assumptions!$B$195+Assumptions!$B$50*AG10)</f>
        <v/>
      </c>
      <c r="AH138" s="8">
        <f>AH8*(Assumptions!$B$195+Assumptions!$B$50*AH10)</f>
        <v/>
      </c>
      <c r="AI138" s="8">
        <f>AI8*(Assumptions!$B$195+Assumptions!$B$50*AI10)</f>
        <v/>
      </c>
      <c r="AJ138" s="8">
        <f>AJ8*(Assumptions!$B$195+Assumptions!$B$50*AJ10)</f>
        <v/>
      </c>
      <c r="AK138" s="8">
        <f>AK8*(Assumptions!$B$195+Assumptions!$B$50*AK10)</f>
        <v/>
      </c>
      <c r="AL138" s="8">
        <f>AL8*(Assumptions!$B$195+Assumptions!$B$50*AL10)</f>
        <v/>
      </c>
      <c r="AM138" s="8">
        <f>AM8*(Assumptions!$B$195+Assumptions!$B$50*AM10)</f>
        <v/>
      </c>
      <c r="AN138" s="8">
        <f>AN8*(Assumptions!$B$195+Assumptions!$B$50*AN10)</f>
        <v/>
      </c>
      <c r="AO138" s="8">
        <f>AO8*(Assumptions!$B$195+Assumptions!$B$50*AO10)</f>
        <v/>
      </c>
      <c r="AP138" s="8">
        <f>AP8*(Assumptions!$B$195+Assumptions!$B$50*AP10)</f>
        <v/>
      </c>
      <c r="AQ138" s="8">
        <f>AQ8*(Assumptions!$B$195+Assumptions!$B$50*AQ10)</f>
        <v/>
      </c>
      <c r="AR138" s="8">
        <f>AR8*(Assumptions!$B$195+Assumptions!$B$50*AR10)</f>
        <v/>
      </c>
      <c r="AS138" s="8">
        <f>AS8*(Assumptions!$B$195+Assumptions!$B$50*AS10)</f>
        <v/>
      </c>
      <c r="AT138" s="8">
        <f>AT8*(Assumptions!$B$195+Assumptions!$B$50*AT10)</f>
        <v/>
      </c>
      <c r="AU138" s="8">
        <f>AU8*(Assumptions!$B$195+Assumptions!$B$50*AU10)</f>
        <v/>
      </c>
      <c r="AV138" s="8">
        <f>AV8*(Assumptions!$B$195+Assumptions!$B$50*AV10)</f>
        <v/>
      </c>
      <c r="AW138" s="8">
        <f>AW8*(Assumptions!$B$195+Assumptions!$B$50*AW10)</f>
        <v/>
      </c>
      <c r="AX138" s="8">
        <f>AX8*(Assumptions!$B$195+Assumptions!$B$50*AX10)</f>
        <v/>
      </c>
      <c r="AY138" s="8">
        <f>AY8*(Assumptions!$B$195+Assumptions!$B$50*AY10)</f>
        <v/>
      </c>
      <c r="AZ138" s="8">
        <f>AZ8*(Assumptions!$B$195+Assumptions!$B$50*AZ10)</f>
        <v/>
      </c>
      <c r="BA138" s="8">
        <f>BA8*(Assumptions!$B$195+Assumptions!$B$50*BA10)</f>
        <v/>
      </c>
      <c r="BB138" s="8">
        <f>BB8*(Assumptions!$B$195+Assumptions!$B$50*BB10)</f>
        <v/>
      </c>
      <c r="BC138" s="8">
        <f>BC8*(Assumptions!$B$195+Assumptions!$B$50*BC10)</f>
        <v/>
      </c>
      <c r="BD138" s="8">
        <f>BD8*(Assumptions!$B$195+Assumptions!$B$50*BD10)</f>
        <v/>
      </c>
      <c r="BE138" s="8">
        <f>BE8*(Assumptions!$B$195+Assumptions!$B$50*BE10)</f>
        <v/>
      </c>
      <c r="BF138" s="8">
        <f>BF8*(Assumptions!$B$195+Assumptions!$B$50*BF10)</f>
        <v/>
      </c>
      <c r="BG138" s="8">
        <f>BG8*(Assumptions!$B$195+Assumptions!$B$50*BG10)</f>
        <v/>
      </c>
      <c r="BH138" s="8">
        <f>BH8*(Assumptions!$B$195+Assumptions!$B$50*BH10)</f>
        <v/>
      </c>
      <c r="BI138" s="8">
        <f>BI8*(Assumptions!$B$195+Assumptions!$B$50*BI10)</f>
        <v/>
      </c>
      <c r="BJ138" s="8">
        <f>BJ8*(Assumptions!$B$195+Assumptions!$B$50*BJ10)</f>
        <v/>
      </c>
    </row>
    <row r="139">
      <c r="A139" s="4" t="inlineStr">
        <is>
          <t>Share of desired paid acquisition funded</t>
        </is>
      </c>
      <c r="B139" s="17" t="inlineStr">
        <is>
          <t>%</t>
        </is>
      </c>
      <c r="C139" s="9">
        <f>IF(C137=0,C8,MIN(1,C138/C137))</f>
        <v/>
      </c>
      <c r="D139" s="9">
        <f>IF(D137=0,D8,MIN(1,D138/D137))</f>
        <v/>
      </c>
      <c r="E139" s="9">
        <f>IF(E137=0,E8,MIN(1,E138/E137))</f>
        <v/>
      </c>
      <c r="F139" s="9">
        <f>IF(F137=0,F8,MIN(1,F138/F137))</f>
        <v/>
      </c>
      <c r="G139" s="9">
        <f>IF(G137=0,G8,MIN(1,G138/G137))</f>
        <v/>
      </c>
      <c r="H139" s="9">
        <f>IF(H137=0,H8,MIN(1,H138/H137))</f>
        <v/>
      </c>
      <c r="I139" s="9">
        <f>IF(I137=0,I8,MIN(1,I138/I137))</f>
        <v/>
      </c>
      <c r="J139" s="9">
        <f>IF(J137=0,J8,MIN(1,J138/J137))</f>
        <v/>
      </c>
      <c r="K139" s="9">
        <f>IF(K137=0,K8,MIN(1,K138/K137))</f>
        <v/>
      </c>
      <c r="L139" s="9">
        <f>IF(L137=0,L8,MIN(1,L138/L137))</f>
        <v/>
      </c>
      <c r="M139" s="9">
        <f>IF(M137=0,M8,MIN(1,M138/M137))</f>
        <v/>
      </c>
      <c r="N139" s="9">
        <f>IF(N137=0,N8,MIN(1,N138/N137))</f>
        <v/>
      </c>
      <c r="O139" s="9">
        <f>IF(O137=0,O8,MIN(1,O138/O137))</f>
        <v/>
      </c>
      <c r="P139" s="9">
        <f>IF(P137=0,P8,MIN(1,P138/P137))</f>
        <v/>
      </c>
      <c r="Q139" s="9">
        <f>IF(Q137=0,Q8,MIN(1,Q138/Q137))</f>
        <v/>
      </c>
      <c r="R139" s="9">
        <f>IF(R137=0,R8,MIN(1,R138/R137))</f>
        <v/>
      </c>
      <c r="S139" s="9">
        <f>IF(S137=0,S8,MIN(1,S138/S137))</f>
        <v/>
      </c>
      <c r="T139" s="9">
        <f>IF(T137=0,T8,MIN(1,T138/T137))</f>
        <v/>
      </c>
      <c r="U139" s="9">
        <f>IF(U137=0,U8,MIN(1,U138/U137))</f>
        <v/>
      </c>
      <c r="V139" s="9">
        <f>IF(V137=0,V8,MIN(1,V138/V137))</f>
        <v/>
      </c>
      <c r="W139" s="9">
        <f>IF(W137=0,W8,MIN(1,W138/W137))</f>
        <v/>
      </c>
      <c r="X139" s="9">
        <f>IF(X137=0,X8,MIN(1,X138/X137))</f>
        <v/>
      </c>
      <c r="Y139" s="9">
        <f>IF(Y137=0,Y8,MIN(1,Y138/Y137))</f>
        <v/>
      </c>
      <c r="Z139" s="9">
        <f>IF(Z137=0,Z8,MIN(1,Z138/Z137))</f>
        <v/>
      </c>
      <c r="AA139" s="9">
        <f>IF(AA137=0,AA8,MIN(1,AA138/AA137))</f>
        <v/>
      </c>
      <c r="AB139" s="9">
        <f>IF(AB137=0,AB8,MIN(1,AB138/AB137))</f>
        <v/>
      </c>
      <c r="AC139" s="9">
        <f>IF(AC137=0,AC8,MIN(1,AC138/AC137))</f>
        <v/>
      </c>
      <c r="AD139" s="9">
        <f>IF(AD137=0,AD8,MIN(1,AD138/AD137))</f>
        <v/>
      </c>
      <c r="AE139" s="9">
        <f>IF(AE137=0,AE8,MIN(1,AE138/AE137))</f>
        <v/>
      </c>
      <c r="AF139" s="9">
        <f>IF(AF137=0,AF8,MIN(1,AF138/AF137))</f>
        <v/>
      </c>
      <c r="AG139" s="9">
        <f>IF(AG137=0,AG8,MIN(1,AG138/AG137))</f>
        <v/>
      </c>
      <c r="AH139" s="9">
        <f>IF(AH137=0,AH8,MIN(1,AH138/AH137))</f>
        <v/>
      </c>
      <c r="AI139" s="9">
        <f>IF(AI137=0,AI8,MIN(1,AI138/AI137))</f>
        <v/>
      </c>
      <c r="AJ139" s="9">
        <f>IF(AJ137=0,AJ8,MIN(1,AJ138/AJ137))</f>
        <v/>
      </c>
      <c r="AK139" s="9">
        <f>IF(AK137=0,AK8,MIN(1,AK138/AK137))</f>
        <v/>
      </c>
      <c r="AL139" s="9">
        <f>IF(AL137=0,AL8,MIN(1,AL138/AL137))</f>
        <v/>
      </c>
      <c r="AM139" s="9">
        <f>IF(AM137=0,AM8,MIN(1,AM138/AM137))</f>
        <v/>
      </c>
      <c r="AN139" s="9">
        <f>IF(AN137=0,AN8,MIN(1,AN138/AN137))</f>
        <v/>
      </c>
      <c r="AO139" s="9">
        <f>IF(AO137=0,AO8,MIN(1,AO138/AO137))</f>
        <v/>
      </c>
      <c r="AP139" s="9">
        <f>IF(AP137=0,AP8,MIN(1,AP138/AP137))</f>
        <v/>
      </c>
      <c r="AQ139" s="9">
        <f>IF(AQ137=0,AQ8,MIN(1,AQ138/AQ137))</f>
        <v/>
      </c>
      <c r="AR139" s="9">
        <f>IF(AR137=0,AR8,MIN(1,AR138/AR137))</f>
        <v/>
      </c>
      <c r="AS139" s="9">
        <f>IF(AS137=0,AS8,MIN(1,AS138/AS137))</f>
        <v/>
      </c>
      <c r="AT139" s="9">
        <f>IF(AT137=0,AT8,MIN(1,AT138/AT137))</f>
        <v/>
      </c>
      <c r="AU139" s="9">
        <f>IF(AU137=0,AU8,MIN(1,AU138/AU137))</f>
        <v/>
      </c>
      <c r="AV139" s="9">
        <f>IF(AV137=0,AV8,MIN(1,AV138/AV137))</f>
        <v/>
      </c>
      <c r="AW139" s="9">
        <f>IF(AW137=0,AW8,MIN(1,AW138/AW137))</f>
        <v/>
      </c>
      <c r="AX139" s="9">
        <f>IF(AX137=0,AX8,MIN(1,AX138/AX137))</f>
        <v/>
      </c>
      <c r="AY139" s="9">
        <f>IF(AY137=0,AY8,MIN(1,AY138/AY137))</f>
        <v/>
      </c>
      <c r="AZ139" s="9">
        <f>IF(AZ137=0,AZ8,MIN(1,AZ138/AZ137))</f>
        <v/>
      </c>
      <c r="BA139" s="9">
        <f>IF(BA137=0,BA8,MIN(1,BA138/BA137))</f>
        <v/>
      </c>
      <c r="BB139" s="9">
        <f>IF(BB137=0,BB8,MIN(1,BB138/BB137))</f>
        <v/>
      </c>
      <c r="BC139" s="9">
        <f>IF(BC137=0,BC8,MIN(1,BC138/BC137))</f>
        <v/>
      </c>
      <c r="BD139" s="9">
        <f>IF(BD137=0,BD8,MIN(1,BD138/BD137))</f>
        <v/>
      </c>
      <c r="BE139" s="9">
        <f>IF(BE137=0,BE8,MIN(1,BE138/BE137))</f>
        <v/>
      </c>
      <c r="BF139" s="9">
        <f>IF(BF137=0,BF8,MIN(1,BF138/BF137))</f>
        <v/>
      </c>
      <c r="BG139" s="9">
        <f>IF(BG137=0,BG8,MIN(1,BG138/BG137))</f>
        <v/>
      </c>
      <c r="BH139" s="9">
        <f>IF(BH137=0,BH8,MIN(1,BH138/BH137))</f>
        <v/>
      </c>
      <c r="BI139" s="9">
        <f>IF(BI137=0,BI8,MIN(1,BI138/BI137))</f>
        <v/>
      </c>
      <c r="BJ139" s="9">
        <f>IF(BJ137=0,BJ8,MIN(1,BJ138/BJ137))</f>
        <v/>
      </c>
    </row>
    <row r="140">
      <c r="A140" s="4" t="inlineStr">
        <is>
          <t>Paid acquisition spend: Solo</t>
        </is>
      </c>
      <c r="B140" s="17" t="inlineStr">
        <is>
          <t>R</t>
        </is>
      </c>
      <c r="C140" s="8">
        <f>C135*C139</f>
        <v/>
      </c>
      <c r="D140" s="8">
        <f>D135*D139</f>
        <v/>
      </c>
      <c r="E140" s="8">
        <f>E135*E139</f>
        <v/>
      </c>
      <c r="F140" s="8">
        <f>F135*F139</f>
        <v/>
      </c>
      <c r="G140" s="8">
        <f>G135*G139</f>
        <v/>
      </c>
      <c r="H140" s="8">
        <f>H135*H139</f>
        <v/>
      </c>
      <c r="I140" s="8">
        <f>I135*I139</f>
        <v/>
      </c>
      <c r="J140" s="8">
        <f>J135*J139</f>
        <v/>
      </c>
      <c r="K140" s="8">
        <f>K135*K139</f>
        <v/>
      </c>
      <c r="L140" s="8">
        <f>L135*L139</f>
        <v/>
      </c>
      <c r="M140" s="8">
        <f>M135*M139</f>
        <v/>
      </c>
      <c r="N140" s="8">
        <f>N135*N139</f>
        <v/>
      </c>
      <c r="O140" s="8">
        <f>O135*O139</f>
        <v/>
      </c>
      <c r="P140" s="8">
        <f>P135*P139</f>
        <v/>
      </c>
      <c r="Q140" s="8">
        <f>Q135*Q139</f>
        <v/>
      </c>
      <c r="R140" s="8">
        <f>R135*R139</f>
        <v/>
      </c>
      <c r="S140" s="8">
        <f>S135*S139</f>
        <v/>
      </c>
      <c r="T140" s="8">
        <f>T135*T139</f>
        <v/>
      </c>
      <c r="U140" s="8">
        <f>U135*U139</f>
        <v/>
      </c>
      <c r="V140" s="8">
        <f>V135*V139</f>
        <v/>
      </c>
      <c r="W140" s="8">
        <f>W135*W139</f>
        <v/>
      </c>
      <c r="X140" s="8">
        <f>X135*X139</f>
        <v/>
      </c>
      <c r="Y140" s="8">
        <f>Y135*Y139</f>
        <v/>
      </c>
      <c r="Z140" s="8">
        <f>Z135*Z139</f>
        <v/>
      </c>
      <c r="AA140" s="8">
        <f>AA135*AA139</f>
        <v/>
      </c>
      <c r="AB140" s="8">
        <f>AB135*AB139</f>
        <v/>
      </c>
      <c r="AC140" s="8">
        <f>AC135*AC139</f>
        <v/>
      </c>
      <c r="AD140" s="8">
        <f>AD135*AD139</f>
        <v/>
      </c>
      <c r="AE140" s="8">
        <f>AE135*AE139</f>
        <v/>
      </c>
      <c r="AF140" s="8">
        <f>AF135*AF139</f>
        <v/>
      </c>
      <c r="AG140" s="8">
        <f>AG135*AG139</f>
        <v/>
      </c>
      <c r="AH140" s="8">
        <f>AH135*AH139</f>
        <v/>
      </c>
      <c r="AI140" s="8">
        <f>AI135*AI139</f>
        <v/>
      </c>
      <c r="AJ140" s="8">
        <f>AJ135*AJ139</f>
        <v/>
      </c>
      <c r="AK140" s="8">
        <f>AK135*AK139</f>
        <v/>
      </c>
      <c r="AL140" s="8">
        <f>AL135*AL139</f>
        <v/>
      </c>
      <c r="AM140" s="8">
        <f>AM135*AM139</f>
        <v/>
      </c>
      <c r="AN140" s="8">
        <f>AN135*AN139</f>
        <v/>
      </c>
      <c r="AO140" s="8">
        <f>AO135*AO139</f>
        <v/>
      </c>
      <c r="AP140" s="8">
        <f>AP135*AP139</f>
        <v/>
      </c>
      <c r="AQ140" s="8">
        <f>AQ135*AQ139</f>
        <v/>
      </c>
      <c r="AR140" s="8">
        <f>AR135*AR139</f>
        <v/>
      </c>
      <c r="AS140" s="8">
        <f>AS135*AS139</f>
        <v/>
      </c>
      <c r="AT140" s="8">
        <f>AT135*AT139</f>
        <v/>
      </c>
      <c r="AU140" s="8">
        <f>AU135*AU139</f>
        <v/>
      </c>
      <c r="AV140" s="8">
        <f>AV135*AV139</f>
        <v/>
      </c>
      <c r="AW140" s="8">
        <f>AW135*AW139</f>
        <v/>
      </c>
      <c r="AX140" s="8">
        <f>AX135*AX139</f>
        <v/>
      </c>
      <c r="AY140" s="8">
        <f>AY135*AY139</f>
        <v/>
      </c>
      <c r="AZ140" s="8">
        <f>AZ135*AZ139</f>
        <v/>
      </c>
      <c r="BA140" s="8">
        <f>BA135*BA139</f>
        <v/>
      </c>
      <c r="BB140" s="8">
        <f>BB135*BB139</f>
        <v/>
      </c>
      <c r="BC140" s="8">
        <f>BC135*BC139</f>
        <v/>
      </c>
      <c r="BD140" s="8">
        <f>BD135*BD139</f>
        <v/>
      </c>
      <c r="BE140" s="8">
        <f>BE135*BE139</f>
        <v/>
      </c>
      <c r="BF140" s="8">
        <f>BF135*BF139</f>
        <v/>
      </c>
      <c r="BG140" s="8">
        <f>BG135*BG139</f>
        <v/>
      </c>
      <c r="BH140" s="8">
        <f>BH135*BH139</f>
        <v/>
      </c>
      <c r="BI140" s="8">
        <f>BI135*BI139</f>
        <v/>
      </c>
      <c r="BJ140" s="8">
        <f>BJ135*BJ139</f>
        <v/>
      </c>
    </row>
    <row r="141">
      <c r="A141" s="4" t="inlineStr">
        <is>
          <t>Paid acquisition spend: SMEs</t>
        </is>
      </c>
      <c r="B141" s="17" t="inlineStr">
        <is>
          <t>R</t>
        </is>
      </c>
      <c r="C141" s="8">
        <f>C136*C139</f>
        <v/>
      </c>
      <c r="D141" s="8">
        <f>D136*D139</f>
        <v/>
      </c>
      <c r="E141" s="8">
        <f>E136*E139</f>
        <v/>
      </c>
      <c r="F141" s="8">
        <f>F136*F139</f>
        <v/>
      </c>
      <c r="G141" s="8">
        <f>G136*G139</f>
        <v/>
      </c>
      <c r="H141" s="8">
        <f>H136*H139</f>
        <v/>
      </c>
      <c r="I141" s="8">
        <f>I136*I139</f>
        <v/>
      </c>
      <c r="J141" s="8">
        <f>J136*J139</f>
        <v/>
      </c>
      <c r="K141" s="8">
        <f>K136*K139</f>
        <v/>
      </c>
      <c r="L141" s="8">
        <f>L136*L139</f>
        <v/>
      </c>
      <c r="M141" s="8">
        <f>M136*M139</f>
        <v/>
      </c>
      <c r="N141" s="8">
        <f>N136*N139</f>
        <v/>
      </c>
      <c r="O141" s="8">
        <f>O136*O139</f>
        <v/>
      </c>
      <c r="P141" s="8">
        <f>P136*P139</f>
        <v/>
      </c>
      <c r="Q141" s="8">
        <f>Q136*Q139</f>
        <v/>
      </c>
      <c r="R141" s="8">
        <f>R136*R139</f>
        <v/>
      </c>
      <c r="S141" s="8">
        <f>S136*S139</f>
        <v/>
      </c>
      <c r="T141" s="8">
        <f>T136*T139</f>
        <v/>
      </c>
      <c r="U141" s="8">
        <f>U136*U139</f>
        <v/>
      </c>
      <c r="V141" s="8">
        <f>V136*V139</f>
        <v/>
      </c>
      <c r="W141" s="8">
        <f>W136*W139</f>
        <v/>
      </c>
      <c r="X141" s="8">
        <f>X136*X139</f>
        <v/>
      </c>
      <c r="Y141" s="8">
        <f>Y136*Y139</f>
        <v/>
      </c>
      <c r="Z141" s="8">
        <f>Z136*Z139</f>
        <v/>
      </c>
      <c r="AA141" s="8">
        <f>AA136*AA139</f>
        <v/>
      </c>
      <c r="AB141" s="8">
        <f>AB136*AB139</f>
        <v/>
      </c>
      <c r="AC141" s="8">
        <f>AC136*AC139</f>
        <v/>
      </c>
      <c r="AD141" s="8">
        <f>AD136*AD139</f>
        <v/>
      </c>
      <c r="AE141" s="8">
        <f>AE136*AE139</f>
        <v/>
      </c>
      <c r="AF141" s="8">
        <f>AF136*AF139</f>
        <v/>
      </c>
      <c r="AG141" s="8">
        <f>AG136*AG139</f>
        <v/>
      </c>
      <c r="AH141" s="8">
        <f>AH136*AH139</f>
        <v/>
      </c>
      <c r="AI141" s="8">
        <f>AI136*AI139</f>
        <v/>
      </c>
      <c r="AJ141" s="8">
        <f>AJ136*AJ139</f>
        <v/>
      </c>
      <c r="AK141" s="8">
        <f>AK136*AK139</f>
        <v/>
      </c>
      <c r="AL141" s="8">
        <f>AL136*AL139</f>
        <v/>
      </c>
      <c r="AM141" s="8">
        <f>AM136*AM139</f>
        <v/>
      </c>
      <c r="AN141" s="8">
        <f>AN136*AN139</f>
        <v/>
      </c>
      <c r="AO141" s="8">
        <f>AO136*AO139</f>
        <v/>
      </c>
      <c r="AP141" s="8">
        <f>AP136*AP139</f>
        <v/>
      </c>
      <c r="AQ141" s="8">
        <f>AQ136*AQ139</f>
        <v/>
      </c>
      <c r="AR141" s="8">
        <f>AR136*AR139</f>
        <v/>
      </c>
      <c r="AS141" s="8">
        <f>AS136*AS139</f>
        <v/>
      </c>
      <c r="AT141" s="8">
        <f>AT136*AT139</f>
        <v/>
      </c>
      <c r="AU141" s="8">
        <f>AU136*AU139</f>
        <v/>
      </c>
      <c r="AV141" s="8">
        <f>AV136*AV139</f>
        <v/>
      </c>
      <c r="AW141" s="8">
        <f>AW136*AW139</f>
        <v/>
      </c>
      <c r="AX141" s="8">
        <f>AX136*AX139</f>
        <v/>
      </c>
      <c r="AY141" s="8">
        <f>AY136*AY139</f>
        <v/>
      </c>
      <c r="AZ141" s="8">
        <f>AZ136*AZ139</f>
        <v/>
      </c>
      <c r="BA141" s="8">
        <f>BA136*BA139</f>
        <v/>
      </c>
      <c r="BB141" s="8">
        <f>BB136*BB139</f>
        <v/>
      </c>
      <c r="BC141" s="8">
        <f>BC136*BC139</f>
        <v/>
      </c>
      <c r="BD141" s="8">
        <f>BD136*BD139</f>
        <v/>
      </c>
      <c r="BE141" s="8">
        <f>BE136*BE139</f>
        <v/>
      </c>
      <c r="BF141" s="8">
        <f>BF136*BF139</f>
        <v/>
      </c>
      <c r="BG141" s="8">
        <f>BG136*BG139</f>
        <v/>
      </c>
      <c r="BH141" s="8">
        <f>BH136*BH139</f>
        <v/>
      </c>
      <c r="BI141" s="8">
        <f>BI136*BI139</f>
        <v/>
      </c>
      <c r="BJ141" s="8">
        <f>BJ136*BJ139</f>
        <v/>
      </c>
    </row>
    <row r="142">
      <c r="A142" s="3" t="inlineStr">
        <is>
          <t>Paid acquisition spend: total</t>
        </is>
      </c>
      <c r="B142" s="17" t="inlineStr">
        <is>
          <t>R</t>
        </is>
      </c>
      <c r="C142" s="42">
        <f>C140+C141</f>
        <v/>
      </c>
      <c r="D142" s="42">
        <f>D140+D141</f>
        <v/>
      </c>
      <c r="E142" s="42">
        <f>E140+E141</f>
        <v/>
      </c>
      <c r="F142" s="42">
        <f>F140+F141</f>
        <v/>
      </c>
      <c r="G142" s="42">
        <f>G140+G141</f>
        <v/>
      </c>
      <c r="H142" s="42">
        <f>H140+H141</f>
        <v/>
      </c>
      <c r="I142" s="42">
        <f>I140+I141</f>
        <v/>
      </c>
      <c r="J142" s="42">
        <f>J140+J141</f>
        <v/>
      </c>
      <c r="K142" s="42">
        <f>K140+K141</f>
        <v/>
      </c>
      <c r="L142" s="42">
        <f>L140+L141</f>
        <v/>
      </c>
      <c r="M142" s="42">
        <f>M140+M141</f>
        <v/>
      </c>
      <c r="N142" s="42">
        <f>N140+N141</f>
        <v/>
      </c>
      <c r="O142" s="42">
        <f>O140+O141</f>
        <v/>
      </c>
      <c r="P142" s="42">
        <f>P140+P141</f>
        <v/>
      </c>
      <c r="Q142" s="42">
        <f>Q140+Q141</f>
        <v/>
      </c>
      <c r="R142" s="42">
        <f>R140+R141</f>
        <v/>
      </c>
      <c r="S142" s="42">
        <f>S140+S141</f>
        <v/>
      </c>
      <c r="T142" s="42">
        <f>T140+T141</f>
        <v/>
      </c>
      <c r="U142" s="42">
        <f>U140+U141</f>
        <v/>
      </c>
      <c r="V142" s="42">
        <f>V140+V141</f>
        <v/>
      </c>
      <c r="W142" s="42">
        <f>W140+W141</f>
        <v/>
      </c>
      <c r="X142" s="42">
        <f>X140+X141</f>
        <v/>
      </c>
      <c r="Y142" s="42">
        <f>Y140+Y141</f>
        <v/>
      </c>
      <c r="Z142" s="42">
        <f>Z140+Z141</f>
        <v/>
      </c>
      <c r="AA142" s="42">
        <f>AA140+AA141</f>
        <v/>
      </c>
      <c r="AB142" s="42">
        <f>AB140+AB141</f>
        <v/>
      </c>
      <c r="AC142" s="42">
        <f>AC140+AC141</f>
        <v/>
      </c>
      <c r="AD142" s="42">
        <f>AD140+AD141</f>
        <v/>
      </c>
      <c r="AE142" s="42">
        <f>AE140+AE141</f>
        <v/>
      </c>
      <c r="AF142" s="42">
        <f>AF140+AF141</f>
        <v/>
      </c>
      <c r="AG142" s="42">
        <f>AG140+AG141</f>
        <v/>
      </c>
      <c r="AH142" s="42">
        <f>AH140+AH141</f>
        <v/>
      </c>
      <c r="AI142" s="42">
        <f>AI140+AI141</f>
        <v/>
      </c>
      <c r="AJ142" s="42">
        <f>AJ140+AJ141</f>
        <v/>
      </c>
      <c r="AK142" s="42">
        <f>AK140+AK141</f>
        <v/>
      </c>
      <c r="AL142" s="42">
        <f>AL140+AL141</f>
        <v/>
      </c>
      <c r="AM142" s="42">
        <f>AM140+AM141</f>
        <v/>
      </c>
      <c r="AN142" s="42">
        <f>AN140+AN141</f>
        <v/>
      </c>
      <c r="AO142" s="42">
        <f>AO140+AO141</f>
        <v/>
      </c>
      <c r="AP142" s="42">
        <f>AP140+AP141</f>
        <v/>
      </c>
      <c r="AQ142" s="42">
        <f>AQ140+AQ141</f>
        <v/>
      </c>
      <c r="AR142" s="42">
        <f>AR140+AR141</f>
        <v/>
      </c>
      <c r="AS142" s="42">
        <f>AS140+AS141</f>
        <v/>
      </c>
      <c r="AT142" s="42">
        <f>AT140+AT141</f>
        <v/>
      </c>
      <c r="AU142" s="42">
        <f>AU140+AU141</f>
        <v/>
      </c>
      <c r="AV142" s="42">
        <f>AV140+AV141</f>
        <v/>
      </c>
      <c r="AW142" s="42">
        <f>AW140+AW141</f>
        <v/>
      </c>
      <c r="AX142" s="42">
        <f>AX140+AX141</f>
        <v/>
      </c>
      <c r="AY142" s="42">
        <f>AY140+AY141</f>
        <v/>
      </c>
      <c r="AZ142" s="42">
        <f>AZ140+AZ141</f>
        <v/>
      </c>
      <c r="BA142" s="42">
        <f>BA140+BA141</f>
        <v/>
      </c>
      <c r="BB142" s="42">
        <f>BB140+BB141</f>
        <v/>
      </c>
      <c r="BC142" s="42">
        <f>BC140+BC141</f>
        <v/>
      </c>
      <c r="BD142" s="42">
        <f>BD140+BD141</f>
        <v/>
      </c>
      <c r="BE142" s="42">
        <f>BE140+BE141</f>
        <v/>
      </c>
      <c r="BF142" s="42">
        <f>BF140+BF141</f>
        <v/>
      </c>
      <c r="BG142" s="42">
        <f>BG140+BG141</f>
        <v/>
      </c>
      <c r="BH142" s="42">
        <f>BH140+BH141</f>
        <v/>
      </c>
      <c r="BI142" s="42">
        <f>BI140+BI141</f>
        <v/>
      </c>
      <c r="BJ142" s="42">
        <f>BJ140+BJ141</f>
        <v/>
      </c>
    </row>
    <row r="143"/>
    <row r="144">
      <c r="A144" s="19" t="inlineStr">
        <is>
          <t>New paying customers by market &amp; segment (direct paid after the cap + Free upgrades + first group set up by hand)</t>
        </is>
      </c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19" t="n"/>
      <c r="BA144" s="19" t="n"/>
      <c r="BB144" s="19" t="n"/>
      <c r="BC144" s="19" t="n"/>
      <c r="BD144" s="19" t="n"/>
      <c r="BE144" s="19" t="n"/>
      <c r="BF144" s="19" t="n"/>
      <c r="BG144" s="19" t="n"/>
      <c r="BH144" s="19" t="n"/>
      <c r="BI144" s="19" t="n"/>
      <c r="BJ144" s="19" t="n"/>
    </row>
    <row r="145">
      <c r="A145" s="4" t="inlineStr">
        <is>
          <t>First group set up by hand (South Africa, paying list price less Founding Member)</t>
        </is>
      </c>
      <c r="B145" s="17" t="inlineStr">
        <is>
          <t>workspaces</t>
        </is>
      </c>
      <c r="C145" s="41">
        <f>C9*C13*Assumptions!$B$21</f>
        <v/>
      </c>
      <c r="D145" s="41">
        <f>D9*D13*Assumptions!$B$21</f>
        <v/>
      </c>
      <c r="E145" s="41">
        <f>E9*E13*Assumptions!$B$21</f>
        <v/>
      </c>
      <c r="F145" s="41">
        <f>F9*F13*Assumptions!$B$21</f>
        <v/>
      </c>
      <c r="G145" s="41">
        <f>G9*G13*Assumptions!$B$21</f>
        <v/>
      </c>
      <c r="H145" s="41">
        <f>H9*H13*Assumptions!$B$21</f>
        <v/>
      </c>
      <c r="I145" s="41">
        <f>I9*I13*Assumptions!$B$21</f>
        <v/>
      </c>
      <c r="J145" s="41">
        <f>J9*J13*Assumptions!$B$21</f>
        <v/>
      </c>
      <c r="K145" s="41">
        <f>K9*K13*Assumptions!$B$21</f>
        <v/>
      </c>
      <c r="L145" s="41">
        <f>L9*L13*Assumptions!$B$21</f>
        <v/>
      </c>
      <c r="M145" s="41">
        <f>M9*M13*Assumptions!$B$21</f>
        <v/>
      </c>
      <c r="N145" s="41">
        <f>N9*N13*Assumptions!$B$21</f>
        <v/>
      </c>
      <c r="O145" s="41">
        <f>O9*O13*Assumptions!$B$21</f>
        <v/>
      </c>
      <c r="P145" s="41">
        <f>P9*P13*Assumptions!$B$21</f>
        <v/>
      </c>
      <c r="Q145" s="41">
        <f>Q9*Q13*Assumptions!$B$21</f>
        <v/>
      </c>
      <c r="R145" s="41">
        <f>R9*R13*Assumptions!$B$21</f>
        <v/>
      </c>
      <c r="S145" s="41">
        <f>S9*S13*Assumptions!$B$21</f>
        <v/>
      </c>
      <c r="T145" s="41">
        <f>T9*T13*Assumptions!$B$21</f>
        <v/>
      </c>
      <c r="U145" s="41">
        <f>U9*U13*Assumptions!$B$21</f>
        <v/>
      </c>
      <c r="V145" s="41">
        <f>V9*V13*Assumptions!$B$21</f>
        <v/>
      </c>
      <c r="W145" s="41">
        <f>W9*W13*Assumptions!$B$21</f>
        <v/>
      </c>
      <c r="X145" s="41">
        <f>X9*X13*Assumptions!$B$21</f>
        <v/>
      </c>
      <c r="Y145" s="41">
        <f>Y9*Y13*Assumptions!$B$21</f>
        <v/>
      </c>
      <c r="Z145" s="41">
        <f>Z9*Z13*Assumptions!$B$21</f>
        <v/>
      </c>
      <c r="AA145" s="41">
        <f>AA9*AA13*Assumptions!$B$21</f>
        <v/>
      </c>
      <c r="AB145" s="41">
        <f>AB9*AB13*Assumptions!$B$21</f>
        <v/>
      </c>
      <c r="AC145" s="41">
        <f>AC9*AC13*Assumptions!$B$21</f>
        <v/>
      </c>
      <c r="AD145" s="41">
        <f>AD9*AD13*Assumptions!$B$21</f>
        <v/>
      </c>
      <c r="AE145" s="41">
        <f>AE9*AE13*Assumptions!$B$21</f>
        <v/>
      </c>
      <c r="AF145" s="41">
        <f>AF9*AF13*Assumptions!$B$21</f>
        <v/>
      </c>
      <c r="AG145" s="41">
        <f>AG9*AG13*Assumptions!$B$21</f>
        <v/>
      </c>
      <c r="AH145" s="41">
        <f>AH9*AH13*Assumptions!$B$21</f>
        <v/>
      </c>
      <c r="AI145" s="41">
        <f>AI9*AI13*Assumptions!$B$21</f>
        <v/>
      </c>
      <c r="AJ145" s="41">
        <f>AJ9*AJ13*Assumptions!$B$21</f>
        <v/>
      </c>
      <c r="AK145" s="41">
        <f>AK9*AK13*Assumptions!$B$21</f>
        <v/>
      </c>
      <c r="AL145" s="41">
        <f>AL9*AL13*Assumptions!$B$21</f>
        <v/>
      </c>
      <c r="AM145" s="41">
        <f>AM9*AM13*Assumptions!$B$21</f>
        <v/>
      </c>
      <c r="AN145" s="41">
        <f>AN9*AN13*Assumptions!$B$21</f>
        <v/>
      </c>
      <c r="AO145" s="41">
        <f>AO9*AO13*Assumptions!$B$21</f>
        <v/>
      </c>
      <c r="AP145" s="41">
        <f>AP9*AP13*Assumptions!$B$21</f>
        <v/>
      </c>
      <c r="AQ145" s="41">
        <f>AQ9*AQ13*Assumptions!$B$21</f>
        <v/>
      </c>
      <c r="AR145" s="41">
        <f>AR9*AR13*Assumptions!$B$21</f>
        <v/>
      </c>
      <c r="AS145" s="41">
        <f>AS9*AS13*Assumptions!$B$21</f>
        <v/>
      </c>
      <c r="AT145" s="41">
        <f>AT9*AT13*Assumptions!$B$21</f>
        <v/>
      </c>
      <c r="AU145" s="41">
        <f>AU9*AU13*Assumptions!$B$21</f>
        <v/>
      </c>
      <c r="AV145" s="41">
        <f>AV9*AV13*Assumptions!$B$21</f>
        <v/>
      </c>
      <c r="AW145" s="41">
        <f>AW9*AW13*Assumptions!$B$21</f>
        <v/>
      </c>
      <c r="AX145" s="41">
        <f>AX9*AX13*Assumptions!$B$21</f>
        <v/>
      </c>
      <c r="AY145" s="41">
        <f>AY9*AY13*Assumptions!$B$21</f>
        <v/>
      </c>
      <c r="AZ145" s="41">
        <f>AZ9*AZ13*Assumptions!$B$21</f>
        <v/>
      </c>
      <c r="BA145" s="41">
        <f>BA9*BA13*Assumptions!$B$21</f>
        <v/>
      </c>
      <c r="BB145" s="41">
        <f>BB9*BB13*Assumptions!$B$21</f>
        <v/>
      </c>
      <c r="BC145" s="41">
        <f>BC9*BC13*Assumptions!$B$21</f>
        <v/>
      </c>
      <c r="BD145" s="41">
        <f>BD9*BD13*Assumptions!$B$21</f>
        <v/>
      </c>
      <c r="BE145" s="41">
        <f>BE9*BE13*Assumptions!$B$21</f>
        <v/>
      </c>
      <c r="BF145" s="41">
        <f>BF9*BF13*Assumptions!$B$21</f>
        <v/>
      </c>
      <c r="BG145" s="41">
        <f>BG9*BG13*Assumptions!$B$21</f>
        <v/>
      </c>
      <c r="BH145" s="41">
        <f>BH9*BH13*Assumptions!$B$21</f>
        <v/>
      </c>
      <c r="BI145" s="41">
        <f>BI9*BI13*Assumptions!$B$21</f>
        <v/>
      </c>
      <c r="BJ145" s="41">
        <f>BJ9*BJ13*Assumptions!$B$21</f>
        <v/>
      </c>
    </row>
    <row r="146">
      <c r="A146" s="4" t="inlineStr">
        <is>
          <t>New Solo: South Africa</t>
        </is>
      </c>
      <c r="B146" s="17" t="inlineStr">
        <is>
          <t>workspaces</t>
        </is>
      </c>
      <c r="C146" s="41">
        <f>C57*(1-C106+C106*C139*C112)+C73*Assumptions!$B$116+C145*Assumptions!$B$23</f>
        <v/>
      </c>
      <c r="D146" s="41">
        <f>D57*(1-D106+D106*D139*D112)+D73*Assumptions!$B$116+D145*Assumptions!$B$23</f>
        <v/>
      </c>
      <c r="E146" s="41">
        <f>E57*(1-E106+E106*E139*E112)+E73*Assumptions!$B$116+E145*Assumptions!$B$23</f>
        <v/>
      </c>
      <c r="F146" s="41">
        <f>F57*(1-F106+F106*F139*F112)+F73*Assumptions!$B$116+F145*Assumptions!$B$23</f>
        <v/>
      </c>
      <c r="G146" s="41">
        <f>G57*(1-G106+G106*G139*G112)+G73*Assumptions!$B$116+G145*Assumptions!$B$23</f>
        <v/>
      </c>
      <c r="H146" s="41">
        <f>H57*(1-H106+H106*H139*H112)+H73*Assumptions!$B$116+H145*Assumptions!$B$23</f>
        <v/>
      </c>
      <c r="I146" s="41">
        <f>I57*(1-I106+I106*I139*I112)+I73*Assumptions!$B$116+I145*Assumptions!$B$23</f>
        <v/>
      </c>
      <c r="J146" s="41">
        <f>J57*(1-J106+J106*J139*J112)+J73*Assumptions!$B$116+J145*Assumptions!$B$23</f>
        <v/>
      </c>
      <c r="K146" s="41">
        <f>K57*(1-K106+K106*K139*K112)+K73*Assumptions!$B$116+K145*Assumptions!$B$23</f>
        <v/>
      </c>
      <c r="L146" s="41">
        <f>L57*(1-L106+L106*L139*L112)+L73*Assumptions!$B$116+L145*Assumptions!$B$23</f>
        <v/>
      </c>
      <c r="M146" s="41">
        <f>M57*(1-M106+M106*M139*M112)+M73*Assumptions!$B$116+M145*Assumptions!$B$23</f>
        <v/>
      </c>
      <c r="N146" s="41">
        <f>N57*(1-N106+N106*N139*N112)+N73*Assumptions!$B$116+N145*Assumptions!$B$23</f>
        <v/>
      </c>
      <c r="O146" s="41">
        <f>O57*(1-O106+O106*O139*O112)+O73*Assumptions!$B$116+O145*Assumptions!$B$23</f>
        <v/>
      </c>
      <c r="P146" s="41">
        <f>P57*(1-P106+P106*P139*P112)+P73*Assumptions!$B$116+P145*Assumptions!$B$23</f>
        <v/>
      </c>
      <c r="Q146" s="41">
        <f>Q57*(1-Q106+Q106*Q139*Q112)+Q73*Assumptions!$B$116+Q145*Assumptions!$B$23</f>
        <v/>
      </c>
      <c r="R146" s="41">
        <f>R57*(1-R106+R106*R139*R112)+R73*Assumptions!$B$116+R145*Assumptions!$B$23</f>
        <v/>
      </c>
      <c r="S146" s="41">
        <f>S57*(1-S106+S106*S139*S112)+S73*Assumptions!$B$116+S145*Assumptions!$B$23</f>
        <v/>
      </c>
      <c r="T146" s="41">
        <f>T57*(1-T106+T106*T139*T112)+T73*Assumptions!$B$116+T145*Assumptions!$B$23</f>
        <v/>
      </c>
      <c r="U146" s="41">
        <f>U57*(1-U106+U106*U139*U112)+U73*Assumptions!$B$116+U145*Assumptions!$B$23</f>
        <v/>
      </c>
      <c r="V146" s="41">
        <f>V57*(1-V106+V106*V139*V112)+V73*Assumptions!$B$116+V145*Assumptions!$B$23</f>
        <v/>
      </c>
      <c r="W146" s="41">
        <f>W57*(1-W106+W106*W139*W112)+W73*Assumptions!$B$116+W145*Assumptions!$B$23</f>
        <v/>
      </c>
      <c r="X146" s="41">
        <f>X57*(1-X106+X106*X139*X112)+X73*Assumptions!$B$116+X145*Assumptions!$B$23</f>
        <v/>
      </c>
      <c r="Y146" s="41">
        <f>Y57*(1-Y106+Y106*Y139*Y112)+Y73*Assumptions!$B$116+Y145*Assumptions!$B$23</f>
        <v/>
      </c>
      <c r="Z146" s="41">
        <f>Z57*(1-Z106+Z106*Z139*Z112)+Z73*Assumptions!$B$116+Z145*Assumptions!$B$23</f>
        <v/>
      </c>
      <c r="AA146" s="41">
        <f>AA57*(1-AA106+AA106*AA139*AA112)+AA73*Assumptions!$B$116+AA145*Assumptions!$B$23</f>
        <v/>
      </c>
      <c r="AB146" s="41">
        <f>AB57*(1-AB106+AB106*AB139*AB112)+AB73*Assumptions!$B$116+AB145*Assumptions!$B$23</f>
        <v/>
      </c>
      <c r="AC146" s="41">
        <f>AC57*(1-AC106+AC106*AC139*AC112)+AC73*Assumptions!$B$116+AC145*Assumptions!$B$23</f>
        <v/>
      </c>
      <c r="AD146" s="41">
        <f>AD57*(1-AD106+AD106*AD139*AD112)+AD73*Assumptions!$B$116+AD145*Assumptions!$B$23</f>
        <v/>
      </c>
      <c r="AE146" s="41">
        <f>AE57*(1-AE106+AE106*AE139*AE112)+AE73*Assumptions!$B$116+AE145*Assumptions!$B$23</f>
        <v/>
      </c>
      <c r="AF146" s="41">
        <f>AF57*(1-AF106+AF106*AF139*AF112)+AF73*Assumptions!$B$116+AF145*Assumptions!$B$23</f>
        <v/>
      </c>
      <c r="AG146" s="41">
        <f>AG57*(1-AG106+AG106*AG139*AG112)+AG73*Assumptions!$B$116+AG145*Assumptions!$B$23</f>
        <v/>
      </c>
      <c r="AH146" s="41">
        <f>AH57*(1-AH106+AH106*AH139*AH112)+AH73*Assumptions!$B$116+AH145*Assumptions!$B$23</f>
        <v/>
      </c>
      <c r="AI146" s="41">
        <f>AI57*(1-AI106+AI106*AI139*AI112)+AI73*Assumptions!$B$116+AI145*Assumptions!$B$23</f>
        <v/>
      </c>
      <c r="AJ146" s="41">
        <f>AJ57*(1-AJ106+AJ106*AJ139*AJ112)+AJ73*Assumptions!$B$116+AJ145*Assumptions!$B$23</f>
        <v/>
      </c>
      <c r="AK146" s="41">
        <f>AK57*(1-AK106+AK106*AK139*AK112)+AK73*Assumptions!$B$116+AK145*Assumptions!$B$23</f>
        <v/>
      </c>
      <c r="AL146" s="41">
        <f>AL57*(1-AL106+AL106*AL139*AL112)+AL73*Assumptions!$B$116+AL145*Assumptions!$B$23</f>
        <v/>
      </c>
      <c r="AM146" s="41">
        <f>AM57*(1-AM106+AM106*AM139*AM112)+AM73*Assumptions!$B$116+AM145*Assumptions!$B$23</f>
        <v/>
      </c>
      <c r="AN146" s="41">
        <f>AN57*(1-AN106+AN106*AN139*AN112)+AN73*Assumptions!$B$116+AN145*Assumptions!$B$23</f>
        <v/>
      </c>
      <c r="AO146" s="41">
        <f>AO57*(1-AO106+AO106*AO139*AO112)+AO73*Assumptions!$B$116+AO145*Assumptions!$B$23</f>
        <v/>
      </c>
      <c r="AP146" s="41">
        <f>AP57*(1-AP106+AP106*AP139*AP112)+AP73*Assumptions!$B$116+AP145*Assumptions!$B$23</f>
        <v/>
      </c>
      <c r="AQ146" s="41">
        <f>AQ57*(1-AQ106+AQ106*AQ139*AQ112)+AQ73*Assumptions!$B$116+AQ145*Assumptions!$B$23</f>
        <v/>
      </c>
      <c r="AR146" s="41">
        <f>AR57*(1-AR106+AR106*AR139*AR112)+AR73*Assumptions!$B$116+AR145*Assumptions!$B$23</f>
        <v/>
      </c>
      <c r="AS146" s="41">
        <f>AS57*(1-AS106+AS106*AS139*AS112)+AS73*Assumptions!$B$116+AS145*Assumptions!$B$23</f>
        <v/>
      </c>
      <c r="AT146" s="41">
        <f>AT57*(1-AT106+AT106*AT139*AT112)+AT73*Assumptions!$B$116+AT145*Assumptions!$B$23</f>
        <v/>
      </c>
      <c r="AU146" s="41">
        <f>AU57*(1-AU106+AU106*AU139*AU112)+AU73*Assumptions!$B$116+AU145*Assumptions!$B$23</f>
        <v/>
      </c>
      <c r="AV146" s="41">
        <f>AV57*(1-AV106+AV106*AV139*AV112)+AV73*Assumptions!$B$116+AV145*Assumptions!$B$23</f>
        <v/>
      </c>
      <c r="AW146" s="41">
        <f>AW57*(1-AW106+AW106*AW139*AW112)+AW73*Assumptions!$B$116+AW145*Assumptions!$B$23</f>
        <v/>
      </c>
      <c r="AX146" s="41">
        <f>AX57*(1-AX106+AX106*AX139*AX112)+AX73*Assumptions!$B$116+AX145*Assumptions!$B$23</f>
        <v/>
      </c>
      <c r="AY146" s="41">
        <f>AY57*(1-AY106+AY106*AY139*AY112)+AY73*Assumptions!$B$116+AY145*Assumptions!$B$23</f>
        <v/>
      </c>
      <c r="AZ146" s="41">
        <f>AZ57*(1-AZ106+AZ106*AZ139*AZ112)+AZ73*Assumptions!$B$116+AZ145*Assumptions!$B$23</f>
        <v/>
      </c>
      <c r="BA146" s="41">
        <f>BA57*(1-BA106+BA106*BA139*BA112)+BA73*Assumptions!$B$116+BA145*Assumptions!$B$23</f>
        <v/>
      </c>
      <c r="BB146" s="41">
        <f>BB57*(1-BB106+BB106*BB139*BB112)+BB73*Assumptions!$B$116+BB145*Assumptions!$B$23</f>
        <v/>
      </c>
      <c r="BC146" s="41">
        <f>BC57*(1-BC106+BC106*BC139*BC112)+BC73*Assumptions!$B$116+BC145*Assumptions!$B$23</f>
        <v/>
      </c>
      <c r="BD146" s="41">
        <f>BD57*(1-BD106+BD106*BD139*BD112)+BD73*Assumptions!$B$116+BD145*Assumptions!$B$23</f>
        <v/>
      </c>
      <c r="BE146" s="41">
        <f>BE57*(1-BE106+BE106*BE139*BE112)+BE73*Assumptions!$B$116+BE145*Assumptions!$B$23</f>
        <v/>
      </c>
      <c r="BF146" s="41">
        <f>BF57*(1-BF106+BF106*BF139*BF112)+BF73*Assumptions!$B$116+BF145*Assumptions!$B$23</f>
        <v/>
      </c>
      <c r="BG146" s="41">
        <f>BG57*(1-BG106+BG106*BG139*BG112)+BG73*Assumptions!$B$116+BG145*Assumptions!$B$23</f>
        <v/>
      </c>
      <c r="BH146" s="41">
        <f>BH57*(1-BH106+BH106*BH139*BH112)+BH73*Assumptions!$B$116+BH145*Assumptions!$B$23</f>
        <v/>
      </c>
      <c r="BI146" s="41">
        <f>BI57*(1-BI106+BI106*BI139*BI112)+BI73*Assumptions!$B$116+BI145*Assumptions!$B$23</f>
        <v/>
      </c>
      <c r="BJ146" s="41">
        <f>BJ57*(1-BJ106+BJ106*BJ139*BJ112)+BJ73*Assumptions!$B$116+BJ145*Assumptions!$B$23</f>
        <v/>
      </c>
    </row>
    <row r="147">
      <c r="A147" s="4" t="inlineStr">
        <is>
          <t>New SMEs: South Africa</t>
        </is>
      </c>
      <c r="B147" s="17" t="inlineStr">
        <is>
          <t>workspaces</t>
        </is>
      </c>
      <c r="C147" s="41">
        <f>C58*(1-C106+C106*C139*C124)+C73*(1-Assumptions!$B$116)+C145*(1-Assumptions!$B$23)</f>
        <v/>
      </c>
      <c r="D147" s="41">
        <f>D58*(1-D106+D106*D139*D124)+D73*(1-Assumptions!$B$116)+D145*(1-Assumptions!$B$23)</f>
        <v/>
      </c>
      <c r="E147" s="41">
        <f>E58*(1-E106+E106*E139*E124)+E73*(1-Assumptions!$B$116)+E145*(1-Assumptions!$B$23)</f>
        <v/>
      </c>
      <c r="F147" s="41">
        <f>F58*(1-F106+F106*F139*F124)+F73*(1-Assumptions!$B$116)+F145*(1-Assumptions!$B$23)</f>
        <v/>
      </c>
      <c r="G147" s="41">
        <f>G58*(1-G106+G106*G139*G124)+G73*(1-Assumptions!$B$116)+G145*(1-Assumptions!$B$23)</f>
        <v/>
      </c>
      <c r="H147" s="41">
        <f>H58*(1-H106+H106*H139*H124)+H73*(1-Assumptions!$B$116)+H145*(1-Assumptions!$B$23)</f>
        <v/>
      </c>
      <c r="I147" s="41">
        <f>I58*(1-I106+I106*I139*I124)+I73*(1-Assumptions!$B$116)+I145*(1-Assumptions!$B$23)</f>
        <v/>
      </c>
      <c r="J147" s="41">
        <f>J58*(1-J106+J106*J139*J124)+J73*(1-Assumptions!$B$116)+J145*(1-Assumptions!$B$23)</f>
        <v/>
      </c>
      <c r="K147" s="41">
        <f>K58*(1-K106+K106*K139*K124)+K73*(1-Assumptions!$B$116)+K145*(1-Assumptions!$B$23)</f>
        <v/>
      </c>
      <c r="L147" s="41">
        <f>L58*(1-L106+L106*L139*L124)+L73*(1-Assumptions!$B$116)+L145*(1-Assumptions!$B$23)</f>
        <v/>
      </c>
      <c r="M147" s="41">
        <f>M58*(1-M106+M106*M139*M124)+M73*(1-Assumptions!$B$116)+M145*(1-Assumptions!$B$23)</f>
        <v/>
      </c>
      <c r="N147" s="41">
        <f>N58*(1-N106+N106*N139*N124)+N73*(1-Assumptions!$B$116)+N145*(1-Assumptions!$B$23)</f>
        <v/>
      </c>
      <c r="O147" s="41">
        <f>O58*(1-O106+O106*O139*O124)+O73*(1-Assumptions!$B$116)+O145*(1-Assumptions!$B$23)</f>
        <v/>
      </c>
      <c r="P147" s="41">
        <f>P58*(1-P106+P106*P139*P124)+P73*(1-Assumptions!$B$116)+P145*(1-Assumptions!$B$23)</f>
        <v/>
      </c>
      <c r="Q147" s="41">
        <f>Q58*(1-Q106+Q106*Q139*Q124)+Q73*(1-Assumptions!$B$116)+Q145*(1-Assumptions!$B$23)</f>
        <v/>
      </c>
      <c r="R147" s="41">
        <f>R58*(1-R106+R106*R139*R124)+R73*(1-Assumptions!$B$116)+R145*(1-Assumptions!$B$23)</f>
        <v/>
      </c>
      <c r="S147" s="41">
        <f>S58*(1-S106+S106*S139*S124)+S73*(1-Assumptions!$B$116)+S145*(1-Assumptions!$B$23)</f>
        <v/>
      </c>
      <c r="T147" s="41">
        <f>T58*(1-T106+T106*T139*T124)+T73*(1-Assumptions!$B$116)+T145*(1-Assumptions!$B$23)</f>
        <v/>
      </c>
      <c r="U147" s="41">
        <f>U58*(1-U106+U106*U139*U124)+U73*(1-Assumptions!$B$116)+U145*(1-Assumptions!$B$23)</f>
        <v/>
      </c>
      <c r="V147" s="41">
        <f>V58*(1-V106+V106*V139*V124)+V73*(1-Assumptions!$B$116)+V145*(1-Assumptions!$B$23)</f>
        <v/>
      </c>
      <c r="W147" s="41">
        <f>W58*(1-W106+W106*W139*W124)+W73*(1-Assumptions!$B$116)+W145*(1-Assumptions!$B$23)</f>
        <v/>
      </c>
      <c r="X147" s="41">
        <f>X58*(1-X106+X106*X139*X124)+X73*(1-Assumptions!$B$116)+X145*(1-Assumptions!$B$23)</f>
        <v/>
      </c>
      <c r="Y147" s="41">
        <f>Y58*(1-Y106+Y106*Y139*Y124)+Y73*(1-Assumptions!$B$116)+Y145*(1-Assumptions!$B$23)</f>
        <v/>
      </c>
      <c r="Z147" s="41">
        <f>Z58*(1-Z106+Z106*Z139*Z124)+Z73*(1-Assumptions!$B$116)+Z145*(1-Assumptions!$B$23)</f>
        <v/>
      </c>
      <c r="AA147" s="41">
        <f>AA58*(1-AA106+AA106*AA139*AA124)+AA73*(1-Assumptions!$B$116)+AA145*(1-Assumptions!$B$23)</f>
        <v/>
      </c>
      <c r="AB147" s="41">
        <f>AB58*(1-AB106+AB106*AB139*AB124)+AB73*(1-Assumptions!$B$116)+AB145*(1-Assumptions!$B$23)</f>
        <v/>
      </c>
      <c r="AC147" s="41">
        <f>AC58*(1-AC106+AC106*AC139*AC124)+AC73*(1-Assumptions!$B$116)+AC145*(1-Assumptions!$B$23)</f>
        <v/>
      </c>
      <c r="AD147" s="41">
        <f>AD58*(1-AD106+AD106*AD139*AD124)+AD73*(1-Assumptions!$B$116)+AD145*(1-Assumptions!$B$23)</f>
        <v/>
      </c>
      <c r="AE147" s="41">
        <f>AE58*(1-AE106+AE106*AE139*AE124)+AE73*(1-Assumptions!$B$116)+AE145*(1-Assumptions!$B$23)</f>
        <v/>
      </c>
      <c r="AF147" s="41">
        <f>AF58*(1-AF106+AF106*AF139*AF124)+AF73*(1-Assumptions!$B$116)+AF145*(1-Assumptions!$B$23)</f>
        <v/>
      </c>
      <c r="AG147" s="41">
        <f>AG58*(1-AG106+AG106*AG139*AG124)+AG73*(1-Assumptions!$B$116)+AG145*(1-Assumptions!$B$23)</f>
        <v/>
      </c>
      <c r="AH147" s="41">
        <f>AH58*(1-AH106+AH106*AH139*AH124)+AH73*(1-Assumptions!$B$116)+AH145*(1-Assumptions!$B$23)</f>
        <v/>
      </c>
      <c r="AI147" s="41">
        <f>AI58*(1-AI106+AI106*AI139*AI124)+AI73*(1-Assumptions!$B$116)+AI145*(1-Assumptions!$B$23)</f>
        <v/>
      </c>
      <c r="AJ147" s="41">
        <f>AJ58*(1-AJ106+AJ106*AJ139*AJ124)+AJ73*(1-Assumptions!$B$116)+AJ145*(1-Assumptions!$B$23)</f>
        <v/>
      </c>
      <c r="AK147" s="41">
        <f>AK58*(1-AK106+AK106*AK139*AK124)+AK73*(1-Assumptions!$B$116)+AK145*(1-Assumptions!$B$23)</f>
        <v/>
      </c>
      <c r="AL147" s="41">
        <f>AL58*(1-AL106+AL106*AL139*AL124)+AL73*(1-Assumptions!$B$116)+AL145*(1-Assumptions!$B$23)</f>
        <v/>
      </c>
      <c r="AM147" s="41">
        <f>AM58*(1-AM106+AM106*AM139*AM124)+AM73*(1-Assumptions!$B$116)+AM145*(1-Assumptions!$B$23)</f>
        <v/>
      </c>
      <c r="AN147" s="41">
        <f>AN58*(1-AN106+AN106*AN139*AN124)+AN73*(1-Assumptions!$B$116)+AN145*(1-Assumptions!$B$23)</f>
        <v/>
      </c>
      <c r="AO147" s="41">
        <f>AO58*(1-AO106+AO106*AO139*AO124)+AO73*(1-Assumptions!$B$116)+AO145*(1-Assumptions!$B$23)</f>
        <v/>
      </c>
      <c r="AP147" s="41">
        <f>AP58*(1-AP106+AP106*AP139*AP124)+AP73*(1-Assumptions!$B$116)+AP145*(1-Assumptions!$B$23)</f>
        <v/>
      </c>
      <c r="AQ147" s="41">
        <f>AQ58*(1-AQ106+AQ106*AQ139*AQ124)+AQ73*(1-Assumptions!$B$116)+AQ145*(1-Assumptions!$B$23)</f>
        <v/>
      </c>
      <c r="AR147" s="41">
        <f>AR58*(1-AR106+AR106*AR139*AR124)+AR73*(1-Assumptions!$B$116)+AR145*(1-Assumptions!$B$23)</f>
        <v/>
      </c>
      <c r="AS147" s="41">
        <f>AS58*(1-AS106+AS106*AS139*AS124)+AS73*(1-Assumptions!$B$116)+AS145*(1-Assumptions!$B$23)</f>
        <v/>
      </c>
      <c r="AT147" s="41">
        <f>AT58*(1-AT106+AT106*AT139*AT124)+AT73*(1-Assumptions!$B$116)+AT145*(1-Assumptions!$B$23)</f>
        <v/>
      </c>
      <c r="AU147" s="41">
        <f>AU58*(1-AU106+AU106*AU139*AU124)+AU73*(1-Assumptions!$B$116)+AU145*(1-Assumptions!$B$23)</f>
        <v/>
      </c>
      <c r="AV147" s="41">
        <f>AV58*(1-AV106+AV106*AV139*AV124)+AV73*(1-Assumptions!$B$116)+AV145*(1-Assumptions!$B$23)</f>
        <v/>
      </c>
      <c r="AW147" s="41">
        <f>AW58*(1-AW106+AW106*AW139*AW124)+AW73*(1-Assumptions!$B$116)+AW145*(1-Assumptions!$B$23)</f>
        <v/>
      </c>
      <c r="AX147" s="41">
        <f>AX58*(1-AX106+AX106*AX139*AX124)+AX73*(1-Assumptions!$B$116)+AX145*(1-Assumptions!$B$23)</f>
        <v/>
      </c>
      <c r="AY147" s="41">
        <f>AY58*(1-AY106+AY106*AY139*AY124)+AY73*(1-Assumptions!$B$116)+AY145*(1-Assumptions!$B$23)</f>
        <v/>
      </c>
      <c r="AZ147" s="41">
        <f>AZ58*(1-AZ106+AZ106*AZ139*AZ124)+AZ73*(1-Assumptions!$B$116)+AZ145*(1-Assumptions!$B$23)</f>
        <v/>
      </c>
      <c r="BA147" s="41">
        <f>BA58*(1-BA106+BA106*BA139*BA124)+BA73*(1-Assumptions!$B$116)+BA145*(1-Assumptions!$B$23)</f>
        <v/>
      </c>
      <c r="BB147" s="41">
        <f>BB58*(1-BB106+BB106*BB139*BB124)+BB73*(1-Assumptions!$B$116)+BB145*(1-Assumptions!$B$23)</f>
        <v/>
      </c>
      <c r="BC147" s="41">
        <f>BC58*(1-BC106+BC106*BC139*BC124)+BC73*(1-Assumptions!$B$116)+BC145*(1-Assumptions!$B$23)</f>
        <v/>
      </c>
      <c r="BD147" s="41">
        <f>BD58*(1-BD106+BD106*BD139*BD124)+BD73*(1-Assumptions!$B$116)+BD145*(1-Assumptions!$B$23)</f>
        <v/>
      </c>
      <c r="BE147" s="41">
        <f>BE58*(1-BE106+BE106*BE139*BE124)+BE73*(1-Assumptions!$B$116)+BE145*(1-Assumptions!$B$23)</f>
        <v/>
      </c>
      <c r="BF147" s="41">
        <f>BF58*(1-BF106+BF106*BF139*BF124)+BF73*(1-Assumptions!$B$116)+BF145*(1-Assumptions!$B$23)</f>
        <v/>
      </c>
      <c r="BG147" s="41">
        <f>BG58*(1-BG106+BG106*BG139*BG124)+BG73*(1-Assumptions!$B$116)+BG145*(1-Assumptions!$B$23)</f>
        <v/>
      </c>
      <c r="BH147" s="41">
        <f>BH58*(1-BH106+BH106*BH139*BH124)+BH73*(1-Assumptions!$B$116)+BH145*(1-Assumptions!$B$23)</f>
        <v/>
      </c>
      <c r="BI147" s="41">
        <f>BI58*(1-BI106+BI106*BI139*BI124)+BI73*(1-Assumptions!$B$116)+BI145*(1-Assumptions!$B$23)</f>
        <v/>
      </c>
      <c r="BJ147" s="41">
        <f>BJ58*(1-BJ106+BJ106*BJ139*BJ124)+BJ73*(1-Assumptions!$B$116)+BJ145*(1-Assumptions!$B$23)</f>
        <v/>
      </c>
    </row>
    <row r="148">
      <c r="A148" s="4" t="inlineStr">
        <is>
          <t>New Solo: Nigeria</t>
        </is>
      </c>
      <c r="B148" s="17" t="inlineStr">
        <is>
          <t>workspaces</t>
        </is>
      </c>
      <c r="C148" s="41">
        <f>C59*(1-C106+C106*C139*C114)+C78*Assumptions!$B$116</f>
        <v/>
      </c>
      <c r="D148" s="41">
        <f>D59*(1-D106+D106*D139*D114)+D78*Assumptions!$B$116</f>
        <v/>
      </c>
      <c r="E148" s="41">
        <f>E59*(1-E106+E106*E139*E114)+E78*Assumptions!$B$116</f>
        <v/>
      </c>
      <c r="F148" s="41">
        <f>F59*(1-F106+F106*F139*F114)+F78*Assumptions!$B$116</f>
        <v/>
      </c>
      <c r="G148" s="41">
        <f>G59*(1-G106+G106*G139*G114)+G78*Assumptions!$B$116</f>
        <v/>
      </c>
      <c r="H148" s="41">
        <f>H59*(1-H106+H106*H139*H114)+H78*Assumptions!$B$116</f>
        <v/>
      </c>
      <c r="I148" s="41">
        <f>I59*(1-I106+I106*I139*I114)+I78*Assumptions!$B$116</f>
        <v/>
      </c>
      <c r="J148" s="41">
        <f>J59*(1-J106+J106*J139*J114)+J78*Assumptions!$B$116</f>
        <v/>
      </c>
      <c r="K148" s="41">
        <f>K59*(1-K106+K106*K139*K114)+K78*Assumptions!$B$116</f>
        <v/>
      </c>
      <c r="L148" s="41">
        <f>L59*(1-L106+L106*L139*L114)+L78*Assumptions!$B$116</f>
        <v/>
      </c>
      <c r="M148" s="41">
        <f>M59*(1-M106+M106*M139*M114)+M78*Assumptions!$B$116</f>
        <v/>
      </c>
      <c r="N148" s="41">
        <f>N59*(1-N106+N106*N139*N114)+N78*Assumptions!$B$116</f>
        <v/>
      </c>
      <c r="O148" s="41">
        <f>O59*(1-O106+O106*O139*O114)+O78*Assumptions!$B$116</f>
        <v/>
      </c>
      <c r="P148" s="41">
        <f>P59*(1-P106+P106*P139*P114)+P78*Assumptions!$B$116</f>
        <v/>
      </c>
      <c r="Q148" s="41">
        <f>Q59*(1-Q106+Q106*Q139*Q114)+Q78*Assumptions!$B$116</f>
        <v/>
      </c>
      <c r="R148" s="41">
        <f>R59*(1-R106+R106*R139*R114)+R78*Assumptions!$B$116</f>
        <v/>
      </c>
      <c r="S148" s="41">
        <f>S59*(1-S106+S106*S139*S114)+S78*Assumptions!$B$116</f>
        <v/>
      </c>
      <c r="T148" s="41">
        <f>T59*(1-T106+T106*T139*T114)+T78*Assumptions!$B$116</f>
        <v/>
      </c>
      <c r="U148" s="41">
        <f>U59*(1-U106+U106*U139*U114)+U78*Assumptions!$B$116</f>
        <v/>
      </c>
      <c r="V148" s="41">
        <f>V59*(1-V106+V106*V139*V114)+V78*Assumptions!$B$116</f>
        <v/>
      </c>
      <c r="W148" s="41">
        <f>W59*(1-W106+W106*W139*W114)+W78*Assumptions!$B$116</f>
        <v/>
      </c>
      <c r="X148" s="41">
        <f>X59*(1-X106+X106*X139*X114)+X78*Assumptions!$B$116</f>
        <v/>
      </c>
      <c r="Y148" s="41">
        <f>Y59*(1-Y106+Y106*Y139*Y114)+Y78*Assumptions!$B$116</f>
        <v/>
      </c>
      <c r="Z148" s="41">
        <f>Z59*(1-Z106+Z106*Z139*Z114)+Z78*Assumptions!$B$116</f>
        <v/>
      </c>
      <c r="AA148" s="41">
        <f>AA59*(1-AA106+AA106*AA139*AA114)+AA78*Assumptions!$B$116</f>
        <v/>
      </c>
      <c r="AB148" s="41">
        <f>AB59*(1-AB106+AB106*AB139*AB114)+AB78*Assumptions!$B$116</f>
        <v/>
      </c>
      <c r="AC148" s="41">
        <f>AC59*(1-AC106+AC106*AC139*AC114)+AC78*Assumptions!$B$116</f>
        <v/>
      </c>
      <c r="AD148" s="41">
        <f>AD59*(1-AD106+AD106*AD139*AD114)+AD78*Assumptions!$B$116</f>
        <v/>
      </c>
      <c r="AE148" s="41">
        <f>AE59*(1-AE106+AE106*AE139*AE114)+AE78*Assumptions!$B$116</f>
        <v/>
      </c>
      <c r="AF148" s="41">
        <f>AF59*(1-AF106+AF106*AF139*AF114)+AF78*Assumptions!$B$116</f>
        <v/>
      </c>
      <c r="AG148" s="41">
        <f>AG59*(1-AG106+AG106*AG139*AG114)+AG78*Assumptions!$B$116</f>
        <v/>
      </c>
      <c r="AH148" s="41">
        <f>AH59*(1-AH106+AH106*AH139*AH114)+AH78*Assumptions!$B$116</f>
        <v/>
      </c>
      <c r="AI148" s="41">
        <f>AI59*(1-AI106+AI106*AI139*AI114)+AI78*Assumptions!$B$116</f>
        <v/>
      </c>
      <c r="AJ148" s="41">
        <f>AJ59*(1-AJ106+AJ106*AJ139*AJ114)+AJ78*Assumptions!$B$116</f>
        <v/>
      </c>
      <c r="AK148" s="41">
        <f>AK59*(1-AK106+AK106*AK139*AK114)+AK78*Assumptions!$B$116</f>
        <v/>
      </c>
      <c r="AL148" s="41">
        <f>AL59*(1-AL106+AL106*AL139*AL114)+AL78*Assumptions!$B$116</f>
        <v/>
      </c>
      <c r="AM148" s="41">
        <f>AM59*(1-AM106+AM106*AM139*AM114)+AM78*Assumptions!$B$116</f>
        <v/>
      </c>
      <c r="AN148" s="41">
        <f>AN59*(1-AN106+AN106*AN139*AN114)+AN78*Assumptions!$B$116</f>
        <v/>
      </c>
      <c r="AO148" s="41">
        <f>AO59*(1-AO106+AO106*AO139*AO114)+AO78*Assumptions!$B$116</f>
        <v/>
      </c>
      <c r="AP148" s="41">
        <f>AP59*(1-AP106+AP106*AP139*AP114)+AP78*Assumptions!$B$116</f>
        <v/>
      </c>
      <c r="AQ148" s="41">
        <f>AQ59*(1-AQ106+AQ106*AQ139*AQ114)+AQ78*Assumptions!$B$116</f>
        <v/>
      </c>
      <c r="AR148" s="41">
        <f>AR59*(1-AR106+AR106*AR139*AR114)+AR78*Assumptions!$B$116</f>
        <v/>
      </c>
      <c r="AS148" s="41">
        <f>AS59*(1-AS106+AS106*AS139*AS114)+AS78*Assumptions!$B$116</f>
        <v/>
      </c>
      <c r="AT148" s="41">
        <f>AT59*(1-AT106+AT106*AT139*AT114)+AT78*Assumptions!$B$116</f>
        <v/>
      </c>
      <c r="AU148" s="41">
        <f>AU59*(1-AU106+AU106*AU139*AU114)+AU78*Assumptions!$B$116</f>
        <v/>
      </c>
      <c r="AV148" s="41">
        <f>AV59*(1-AV106+AV106*AV139*AV114)+AV78*Assumptions!$B$116</f>
        <v/>
      </c>
      <c r="AW148" s="41">
        <f>AW59*(1-AW106+AW106*AW139*AW114)+AW78*Assumptions!$B$116</f>
        <v/>
      </c>
      <c r="AX148" s="41">
        <f>AX59*(1-AX106+AX106*AX139*AX114)+AX78*Assumptions!$B$116</f>
        <v/>
      </c>
      <c r="AY148" s="41">
        <f>AY59*(1-AY106+AY106*AY139*AY114)+AY78*Assumptions!$B$116</f>
        <v/>
      </c>
      <c r="AZ148" s="41">
        <f>AZ59*(1-AZ106+AZ106*AZ139*AZ114)+AZ78*Assumptions!$B$116</f>
        <v/>
      </c>
      <c r="BA148" s="41">
        <f>BA59*(1-BA106+BA106*BA139*BA114)+BA78*Assumptions!$B$116</f>
        <v/>
      </c>
      <c r="BB148" s="41">
        <f>BB59*(1-BB106+BB106*BB139*BB114)+BB78*Assumptions!$B$116</f>
        <v/>
      </c>
      <c r="BC148" s="41">
        <f>BC59*(1-BC106+BC106*BC139*BC114)+BC78*Assumptions!$B$116</f>
        <v/>
      </c>
      <c r="BD148" s="41">
        <f>BD59*(1-BD106+BD106*BD139*BD114)+BD78*Assumptions!$B$116</f>
        <v/>
      </c>
      <c r="BE148" s="41">
        <f>BE59*(1-BE106+BE106*BE139*BE114)+BE78*Assumptions!$B$116</f>
        <v/>
      </c>
      <c r="BF148" s="41">
        <f>BF59*(1-BF106+BF106*BF139*BF114)+BF78*Assumptions!$B$116</f>
        <v/>
      </c>
      <c r="BG148" s="41">
        <f>BG59*(1-BG106+BG106*BG139*BG114)+BG78*Assumptions!$B$116</f>
        <v/>
      </c>
      <c r="BH148" s="41">
        <f>BH59*(1-BH106+BH106*BH139*BH114)+BH78*Assumptions!$B$116</f>
        <v/>
      </c>
      <c r="BI148" s="41">
        <f>BI59*(1-BI106+BI106*BI139*BI114)+BI78*Assumptions!$B$116</f>
        <v/>
      </c>
      <c r="BJ148" s="41">
        <f>BJ59*(1-BJ106+BJ106*BJ139*BJ114)+BJ78*Assumptions!$B$116</f>
        <v/>
      </c>
    </row>
    <row r="149">
      <c r="A149" s="4" t="inlineStr">
        <is>
          <t>New SMEs: Nigeria</t>
        </is>
      </c>
      <c r="B149" s="17" t="inlineStr">
        <is>
          <t>workspaces</t>
        </is>
      </c>
      <c r="C149" s="41">
        <f>C60*(1-C106+C106*C139*C126)+C78*(1-Assumptions!$B$116)</f>
        <v/>
      </c>
      <c r="D149" s="41">
        <f>D60*(1-D106+D106*D139*D126)+D78*(1-Assumptions!$B$116)</f>
        <v/>
      </c>
      <c r="E149" s="41">
        <f>E60*(1-E106+E106*E139*E126)+E78*(1-Assumptions!$B$116)</f>
        <v/>
      </c>
      <c r="F149" s="41">
        <f>F60*(1-F106+F106*F139*F126)+F78*(1-Assumptions!$B$116)</f>
        <v/>
      </c>
      <c r="G149" s="41">
        <f>G60*(1-G106+G106*G139*G126)+G78*(1-Assumptions!$B$116)</f>
        <v/>
      </c>
      <c r="H149" s="41">
        <f>H60*(1-H106+H106*H139*H126)+H78*(1-Assumptions!$B$116)</f>
        <v/>
      </c>
      <c r="I149" s="41">
        <f>I60*(1-I106+I106*I139*I126)+I78*(1-Assumptions!$B$116)</f>
        <v/>
      </c>
      <c r="J149" s="41">
        <f>J60*(1-J106+J106*J139*J126)+J78*(1-Assumptions!$B$116)</f>
        <v/>
      </c>
      <c r="K149" s="41">
        <f>K60*(1-K106+K106*K139*K126)+K78*(1-Assumptions!$B$116)</f>
        <v/>
      </c>
      <c r="L149" s="41">
        <f>L60*(1-L106+L106*L139*L126)+L78*(1-Assumptions!$B$116)</f>
        <v/>
      </c>
      <c r="M149" s="41">
        <f>M60*(1-M106+M106*M139*M126)+M78*(1-Assumptions!$B$116)</f>
        <v/>
      </c>
      <c r="N149" s="41">
        <f>N60*(1-N106+N106*N139*N126)+N78*(1-Assumptions!$B$116)</f>
        <v/>
      </c>
      <c r="O149" s="41">
        <f>O60*(1-O106+O106*O139*O126)+O78*(1-Assumptions!$B$116)</f>
        <v/>
      </c>
      <c r="P149" s="41">
        <f>P60*(1-P106+P106*P139*P126)+P78*(1-Assumptions!$B$116)</f>
        <v/>
      </c>
      <c r="Q149" s="41">
        <f>Q60*(1-Q106+Q106*Q139*Q126)+Q78*(1-Assumptions!$B$116)</f>
        <v/>
      </c>
      <c r="R149" s="41">
        <f>R60*(1-R106+R106*R139*R126)+R78*(1-Assumptions!$B$116)</f>
        <v/>
      </c>
      <c r="S149" s="41">
        <f>S60*(1-S106+S106*S139*S126)+S78*(1-Assumptions!$B$116)</f>
        <v/>
      </c>
      <c r="T149" s="41">
        <f>T60*(1-T106+T106*T139*T126)+T78*(1-Assumptions!$B$116)</f>
        <v/>
      </c>
      <c r="U149" s="41">
        <f>U60*(1-U106+U106*U139*U126)+U78*(1-Assumptions!$B$116)</f>
        <v/>
      </c>
      <c r="V149" s="41">
        <f>V60*(1-V106+V106*V139*V126)+V78*(1-Assumptions!$B$116)</f>
        <v/>
      </c>
      <c r="W149" s="41">
        <f>W60*(1-W106+W106*W139*W126)+W78*(1-Assumptions!$B$116)</f>
        <v/>
      </c>
      <c r="X149" s="41">
        <f>X60*(1-X106+X106*X139*X126)+X78*(1-Assumptions!$B$116)</f>
        <v/>
      </c>
      <c r="Y149" s="41">
        <f>Y60*(1-Y106+Y106*Y139*Y126)+Y78*(1-Assumptions!$B$116)</f>
        <v/>
      </c>
      <c r="Z149" s="41">
        <f>Z60*(1-Z106+Z106*Z139*Z126)+Z78*(1-Assumptions!$B$116)</f>
        <v/>
      </c>
      <c r="AA149" s="41">
        <f>AA60*(1-AA106+AA106*AA139*AA126)+AA78*(1-Assumptions!$B$116)</f>
        <v/>
      </c>
      <c r="AB149" s="41">
        <f>AB60*(1-AB106+AB106*AB139*AB126)+AB78*(1-Assumptions!$B$116)</f>
        <v/>
      </c>
      <c r="AC149" s="41">
        <f>AC60*(1-AC106+AC106*AC139*AC126)+AC78*(1-Assumptions!$B$116)</f>
        <v/>
      </c>
      <c r="AD149" s="41">
        <f>AD60*(1-AD106+AD106*AD139*AD126)+AD78*(1-Assumptions!$B$116)</f>
        <v/>
      </c>
      <c r="AE149" s="41">
        <f>AE60*(1-AE106+AE106*AE139*AE126)+AE78*(1-Assumptions!$B$116)</f>
        <v/>
      </c>
      <c r="AF149" s="41">
        <f>AF60*(1-AF106+AF106*AF139*AF126)+AF78*(1-Assumptions!$B$116)</f>
        <v/>
      </c>
      <c r="AG149" s="41">
        <f>AG60*(1-AG106+AG106*AG139*AG126)+AG78*(1-Assumptions!$B$116)</f>
        <v/>
      </c>
      <c r="AH149" s="41">
        <f>AH60*(1-AH106+AH106*AH139*AH126)+AH78*(1-Assumptions!$B$116)</f>
        <v/>
      </c>
      <c r="AI149" s="41">
        <f>AI60*(1-AI106+AI106*AI139*AI126)+AI78*(1-Assumptions!$B$116)</f>
        <v/>
      </c>
      <c r="AJ149" s="41">
        <f>AJ60*(1-AJ106+AJ106*AJ139*AJ126)+AJ78*(1-Assumptions!$B$116)</f>
        <v/>
      </c>
      <c r="AK149" s="41">
        <f>AK60*(1-AK106+AK106*AK139*AK126)+AK78*(1-Assumptions!$B$116)</f>
        <v/>
      </c>
      <c r="AL149" s="41">
        <f>AL60*(1-AL106+AL106*AL139*AL126)+AL78*(1-Assumptions!$B$116)</f>
        <v/>
      </c>
      <c r="AM149" s="41">
        <f>AM60*(1-AM106+AM106*AM139*AM126)+AM78*(1-Assumptions!$B$116)</f>
        <v/>
      </c>
      <c r="AN149" s="41">
        <f>AN60*(1-AN106+AN106*AN139*AN126)+AN78*(1-Assumptions!$B$116)</f>
        <v/>
      </c>
      <c r="AO149" s="41">
        <f>AO60*(1-AO106+AO106*AO139*AO126)+AO78*(1-Assumptions!$B$116)</f>
        <v/>
      </c>
      <c r="AP149" s="41">
        <f>AP60*(1-AP106+AP106*AP139*AP126)+AP78*(1-Assumptions!$B$116)</f>
        <v/>
      </c>
      <c r="AQ149" s="41">
        <f>AQ60*(1-AQ106+AQ106*AQ139*AQ126)+AQ78*(1-Assumptions!$B$116)</f>
        <v/>
      </c>
      <c r="AR149" s="41">
        <f>AR60*(1-AR106+AR106*AR139*AR126)+AR78*(1-Assumptions!$B$116)</f>
        <v/>
      </c>
      <c r="AS149" s="41">
        <f>AS60*(1-AS106+AS106*AS139*AS126)+AS78*(1-Assumptions!$B$116)</f>
        <v/>
      </c>
      <c r="AT149" s="41">
        <f>AT60*(1-AT106+AT106*AT139*AT126)+AT78*(1-Assumptions!$B$116)</f>
        <v/>
      </c>
      <c r="AU149" s="41">
        <f>AU60*(1-AU106+AU106*AU139*AU126)+AU78*(1-Assumptions!$B$116)</f>
        <v/>
      </c>
      <c r="AV149" s="41">
        <f>AV60*(1-AV106+AV106*AV139*AV126)+AV78*(1-Assumptions!$B$116)</f>
        <v/>
      </c>
      <c r="AW149" s="41">
        <f>AW60*(1-AW106+AW106*AW139*AW126)+AW78*(1-Assumptions!$B$116)</f>
        <v/>
      </c>
      <c r="AX149" s="41">
        <f>AX60*(1-AX106+AX106*AX139*AX126)+AX78*(1-Assumptions!$B$116)</f>
        <v/>
      </c>
      <c r="AY149" s="41">
        <f>AY60*(1-AY106+AY106*AY139*AY126)+AY78*(1-Assumptions!$B$116)</f>
        <v/>
      </c>
      <c r="AZ149" s="41">
        <f>AZ60*(1-AZ106+AZ106*AZ139*AZ126)+AZ78*(1-Assumptions!$B$116)</f>
        <v/>
      </c>
      <c r="BA149" s="41">
        <f>BA60*(1-BA106+BA106*BA139*BA126)+BA78*(1-Assumptions!$B$116)</f>
        <v/>
      </c>
      <c r="BB149" s="41">
        <f>BB60*(1-BB106+BB106*BB139*BB126)+BB78*(1-Assumptions!$B$116)</f>
        <v/>
      </c>
      <c r="BC149" s="41">
        <f>BC60*(1-BC106+BC106*BC139*BC126)+BC78*(1-Assumptions!$B$116)</f>
        <v/>
      </c>
      <c r="BD149" s="41">
        <f>BD60*(1-BD106+BD106*BD139*BD126)+BD78*(1-Assumptions!$B$116)</f>
        <v/>
      </c>
      <c r="BE149" s="41">
        <f>BE60*(1-BE106+BE106*BE139*BE126)+BE78*(1-Assumptions!$B$116)</f>
        <v/>
      </c>
      <c r="BF149" s="41">
        <f>BF60*(1-BF106+BF106*BF139*BF126)+BF78*(1-Assumptions!$B$116)</f>
        <v/>
      </c>
      <c r="BG149" s="41">
        <f>BG60*(1-BG106+BG106*BG139*BG126)+BG78*(1-Assumptions!$B$116)</f>
        <v/>
      </c>
      <c r="BH149" s="41">
        <f>BH60*(1-BH106+BH106*BH139*BH126)+BH78*(1-Assumptions!$B$116)</f>
        <v/>
      </c>
      <c r="BI149" s="41">
        <f>BI60*(1-BI106+BI106*BI139*BI126)+BI78*(1-Assumptions!$B$116)</f>
        <v/>
      </c>
      <c r="BJ149" s="41">
        <f>BJ60*(1-BJ106+BJ106*BJ139*BJ126)+BJ78*(1-Assumptions!$B$116)</f>
        <v/>
      </c>
    </row>
    <row r="150">
      <c r="A150" s="4" t="inlineStr">
        <is>
          <t>New Solo: Kenya</t>
        </is>
      </c>
      <c r="B150" s="17" t="inlineStr">
        <is>
          <t>workspaces</t>
        </is>
      </c>
      <c r="C150" s="41">
        <f>C61*(1-C106+C106*C139*C116)+C83*Assumptions!$B$116</f>
        <v/>
      </c>
      <c r="D150" s="41">
        <f>D61*(1-D106+D106*D139*D116)+D83*Assumptions!$B$116</f>
        <v/>
      </c>
      <c r="E150" s="41">
        <f>E61*(1-E106+E106*E139*E116)+E83*Assumptions!$B$116</f>
        <v/>
      </c>
      <c r="F150" s="41">
        <f>F61*(1-F106+F106*F139*F116)+F83*Assumptions!$B$116</f>
        <v/>
      </c>
      <c r="G150" s="41">
        <f>G61*(1-G106+G106*G139*G116)+G83*Assumptions!$B$116</f>
        <v/>
      </c>
      <c r="H150" s="41">
        <f>H61*(1-H106+H106*H139*H116)+H83*Assumptions!$B$116</f>
        <v/>
      </c>
      <c r="I150" s="41">
        <f>I61*(1-I106+I106*I139*I116)+I83*Assumptions!$B$116</f>
        <v/>
      </c>
      <c r="J150" s="41">
        <f>J61*(1-J106+J106*J139*J116)+J83*Assumptions!$B$116</f>
        <v/>
      </c>
      <c r="K150" s="41">
        <f>K61*(1-K106+K106*K139*K116)+K83*Assumptions!$B$116</f>
        <v/>
      </c>
      <c r="L150" s="41">
        <f>L61*(1-L106+L106*L139*L116)+L83*Assumptions!$B$116</f>
        <v/>
      </c>
      <c r="M150" s="41">
        <f>M61*(1-M106+M106*M139*M116)+M83*Assumptions!$B$116</f>
        <v/>
      </c>
      <c r="N150" s="41">
        <f>N61*(1-N106+N106*N139*N116)+N83*Assumptions!$B$116</f>
        <v/>
      </c>
      <c r="O150" s="41">
        <f>O61*(1-O106+O106*O139*O116)+O83*Assumptions!$B$116</f>
        <v/>
      </c>
      <c r="P150" s="41">
        <f>P61*(1-P106+P106*P139*P116)+P83*Assumptions!$B$116</f>
        <v/>
      </c>
      <c r="Q150" s="41">
        <f>Q61*(1-Q106+Q106*Q139*Q116)+Q83*Assumptions!$B$116</f>
        <v/>
      </c>
      <c r="R150" s="41">
        <f>R61*(1-R106+R106*R139*R116)+R83*Assumptions!$B$116</f>
        <v/>
      </c>
      <c r="S150" s="41">
        <f>S61*(1-S106+S106*S139*S116)+S83*Assumptions!$B$116</f>
        <v/>
      </c>
      <c r="T150" s="41">
        <f>T61*(1-T106+T106*T139*T116)+T83*Assumptions!$B$116</f>
        <v/>
      </c>
      <c r="U150" s="41">
        <f>U61*(1-U106+U106*U139*U116)+U83*Assumptions!$B$116</f>
        <v/>
      </c>
      <c r="V150" s="41">
        <f>V61*(1-V106+V106*V139*V116)+V83*Assumptions!$B$116</f>
        <v/>
      </c>
      <c r="W150" s="41">
        <f>W61*(1-W106+W106*W139*W116)+W83*Assumptions!$B$116</f>
        <v/>
      </c>
      <c r="X150" s="41">
        <f>X61*(1-X106+X106*X139*X116)+X83*Assumptions!$B$116</f>
        <v/>
      </c>
      <c r="Y150" s="41">
        <f>Y61*(1-Y106+Y106*Y139*Y116)+Y83*Assumptions!$B$116</f>
        <v/>
      </c>
      <c r="Z150" s="41">
        <f>Z61*(1-Z106+Z106*Z139*Z116)+Z83*Assumptions!$B$116</f>
        <v/>
      </c>
      <c r="AA150" s="41">
        <f>AA61*(1-AA106+AA106*AA139*AA116)+AA83*Assumptions!$B$116</f>
        <v/>
      </c>
      <c r="AB150" s="41">
        <f>AB61*(1-AB106+AB106*AB139*AB116)+AB83*Assumptions!$B$116</f>
        <v/>
      </c>
      <c r="AC150" s="41">
        <f>AC61*(1-AC106+AC106*AC139*AC116)+AC83*Assumptions!$B$116</f>
        <v/>
      </c>
      <c r="AD150" s="41">
        <f>AD61*(1-AD106+AD106*AD139*AD116)+AD83*Assumptions!$B$116</f>
        <v/>
      </c>
      <c r="AE150" s="41">
        <f>AE61*(1-AE106+AE106*AE139*AE116)+AE83*Assumptions!$B$116</f>
        <v/>
      </c>
      <c r="AF150" s="41">
        <f>AF61*(1-AF106+AF106*AF139*AF116)+AF83*Assumptions!$B$116</f>
        <v/>
      </c>
      <c r="AG150" s="41">
        <f>AG61*(1-AG106+AG106*AG139*AG116)+AG83*Assumptions!$B$116</f>
        <v/>
      </c>
      <c r="AH150" s="41">
        <f>AH61*(1-AH106+AH106*AH139*AH116)+AH83*Assumptions!$B$116</f>
        <v/>
      </c>
      <c r="AI150" s="41">
        <f>AI61*(1-AI106+AI106*AI139*AI116)+AI83*Assumptions!$B$116</f>
        <v/>
      </c>
      <c r="AJ150" s="41">
        <f>AJ61*(1-AJ106+AJ106*AJ139*AJ116)+AJ83*Assumptions!$B$116</f>
        <v/>
      </c>
      <c r="AK150" s="41">
        <f>AK61*(1-AK106+AK106*AK139*AK116)+AK83*Assumptions!$B$116</f>
        <v/>
      </c>
      <c r="AL150" s="41">
        <f>AL61*(1-AL106+AL106*AL139*AL116)+AL83*Assumptions!$B$116</f>
        <v/>
      </c>
      <c r="AM150" s="41">
        <f>AM61*(1-AM106+AM106*AM139*AM116)+AM83*Assumptions!$B$116</f>
        <v/>
      </c>
      <c r="AN150" s="41">
        <f>AN61*(1-AN106+AN106*AN139*AN116)+AN83*Assumptions!$B$116</f>
        <v/>
      </c>
      <c r="AO150" s="41">
        <f>AO61*(1-AO106+AO106*AO139*AO116)+AO83*Assumptions!$B$116</f>
        <v/>
      </c>
      <c r="AP150" s="41">
        <f>AP61*(1-AP106+AP106*AP139*AP116)+AP83*Assumptions!$B$116</f>
        <v/>
      </c>
      <c r="AQ150" s="41">
        <f>AQ61*(1-AQ106+AQ106*AQ139*AQ116)+AQ83*Assumptions!$B$116</f>
        <v/>
      </c>
      <c r="AR150" s="41">
        <f>AR61*(1-AR106+AR106*AR139*AR116)+AR83*Assumptions!$B$116</f>
        <v/>
      </c>
      <c r="AS150" s="41">
        <f>AS61*(1-AS106+AS106*AS139*AS116)+AS83*Assumptions!$B$116</f>
        <v/>
      </c>
      <c r="AT150" s="41">
        <f>AT61*(1-AT106+AT106*AT139*AT116)+AT83*Assumptions!$B$116</f>
        <v/>
      </c>
      <c r="AU150" s="41">
        <f>AU61*(1-AU106+AU106*AU139*AU116)+AU83*Assumptions!$B$116</f>
        <v/>
      </c>
      <c r="AV150" s="41">
        <f>AV61*(1-AV106+AV106*AV139*AV116)+AV83*Assumptions!$B$116</f>
        <v/>
      </c>
      <c r="AW150" s="41">
        <f>AW61*(1-AW106+AW106*AW139*AW116)+AW83*Assumptions!$B$116</f>
        <v/>
      </c>
      <c r="AX150" s="41">
        <f>AX61*(1-AX106+AX106*AX139*AX116)+AX83*Assumptions!$B$116</f>
        <v/>
      </c>
      <c r="AY150" s="41">
        <f>AY61*(1-AY106+AY106*AY139*AY116)+AY83*Assumptions!$B$116</f>
        <v/>
      </c>
      <c r="AZ150" s="41">
        <f>AZ61*(1-AZ106+AZ106*AZ139*AZ116)+AZ83*Assumptions!$B$116</f>
        <v/>
      </c>
      <c r="BA150" s="41">
        <f>BA61*(1-BA106+BA106*BA139*BA116)+BA83*Assumptions!$B$116</f>
        <v/>
      </c>
      <c r="BB150" s="41">
        <f>BB61*(1-BB106+BB106*BB139*BB116)+BB83*Assumptions!$B$116</f>
        <v/>
      </c>
      <c r="BC150" s="41">
        <f>BC61*(1-BC106+BC106*BC139*BC116)+BC83*Assumptions!$B$116</f>
        <v/>
      </c>
      <c r="BD150" s="41">
        <f>BD61*(1-BD106+BD106*BD139*BD116)+BD83*Assumptions!$B$116</f>
        <v/>
      </c>
      <c r="BE150" s="41">
        <f>BE61*(1-BE106+BE106*BE139*BE116)+BE83*Assumptions!$B$116</f>
        <v/>
      </c>
      <c r="BF150" s="41">
        <f>BF61*(1-BF106+BF106*BF139*BF116)+BF83*Assumptions!$B$116</f>
        <v/>
      </c>
      <c r="BG150" s="41">
        <f>BG61*(1-BG106+BG106*BG139*BG116)+BG83*Assumptions!$B$116</f>
        <v/>
      </c>
      <c r="BH150" s="41">
        <f>BH61*(1-BH106+BH106*BH139*BH116)+BH83*Assumptions!$B$116</f>
        <v/>
      </c>
      <c r="BI150" s="41">
        <f>BI61*(1-BI106+BI106*BI139*BI116)+BI83*Assumptions!$B$116</f>
        <v/>
      </c>
      <c r="BJ150" s="41">
        <f>BJ61*(1-BJ106+BJ106*BJ139*BJ116)+BJ83*Assumptions!$B$116</f>
        <v/>
      </c>
    </row>
    <row r="151">
      <c r="A151" s="4" t="inlineStr">
        <is>
          <t>New SMEs: Kenya</t>
        </is>
      </c>
      <c r="B151" s="17" t="inlineStr">
        <is>
          <t>workspaces</t>
        </is>
      </c>
      <c r="C151" s="41">
        <f>C62*(1-C106+C106*C139*C128)+C83*(1-Assumptions!$B$116)</f>
        <v/>
      </c>
      <c r="D151" s="41">
        <f>D62*(1-D106+D106*D139*D128)+D83*(1-Assumptions!$B$116)</f>
        <v/>
      </c>
      <c r="E151" s="41">
        <f>E62*(1-E106+E106*E139*E128)+E83*(1-Assumptions!$B$116)</f>
        <v/>
      </c>
      <c r="F151" s="41">
        <f>F62*(1-F106+F106*F139*F128)+F83*(1-Assumptions!$B$116)</f>
        <v/>
      </c>
      <c r="G151" s="41">
        <f>G62*(1-G106+G106*G139*G128)+G83*(1-Assumptions!$B$116)</f>
        <v/>
      </c>
      <c r="H151" s="41">
        <f>H62*(1-H106+H106*H139*H128)+H83*(1-Assumptions!$B$116)</f>
        <v/>
      </c>
      <c r="I151" s="41">
        <f>I62*(1-I106+I106*I139*I128)+I83*(1-Assumptions!$B$116)</f>
        <v/>
      </c>
      <c r="J151" s="41">
        <f>J62*(1-J106+J106*J139*J128)+J83*(1-Assumptions!$B$116)</f>
        <v/>
      </c>
      <c r="K151" s="41">
        <f>K62*(1-K106+K106*K139*K128)+K83*(1-Assumptions!$B$116)</f>
        <v/>
      </c>
      <c r="L151" s="41">
        <f>L62*(1-L106+L106*L139*L128)+L83*(1-Assumptions!$B$116)</f>
        <v/>
      </c>
      <c r="M151" s="41">
        <f>M62*(1-M106+M106*M139*M128)+M83*(1-Assumptions!$B$116)</f>
        <v/>
      </c>
      <c r="N151" s="41">
        <f>N62*(1-N106+N106*N139*N128)+N83*(1-Assumptions!$B$116)</f>
        <v/>
      </c>
      <c r="O151" s="41">
        <f>O62*(1-O106+O106*O139*O128)+O83*(1-Assumptions!$B$116)</f>
        <v/>
      </c>
      <c r="P151" s="41">
        <f>P62*(1-P106+P106*P139*P128)+P83*(1-Assumptions!$B$116)</f>
        <v/>
      </c>
      <c r="Q151" s="41">
        <f>Q62*(1-Q106+Q106*Q139*Q128)+Q83*(1-Assumptions!$B$116)</f>
        <v/>
      </c>
      <c r="R151" s="41">
        <f>R62*(1-R106+R106*R139*R128)+R83*(1-Assumptions!$B$116)</f>
        <v/>
      </c>
      <c r="S151" s="41">
        <f>S62*(1-S106+S106*S139*S128)+S83*(1-Assumptions!$B$116)</f>
        <v/>
      </c>
      <c r="T151" s="41">
        <f>T62*(1-T106+T106*T139*T128)+T83*(1-Assumptions!$B$116)</f>
        <v/>
      </c>
      <c r="U151" s="41">
        <f>U62*(1-U106+U106*U139*U128)+U83*(1-Assumptions!$B$116)</f>
        <v/>
      </c>
      <c r="V151" s="41">
        <f>V62*(1-V106+V106*V139*V128)+V83*(1-Assumptions!$B$116)</f>
        <v/>
      </c>
      <c r="W151" s="41">
        <f>W62*(1-W106+W106*W139*W128)+W83*(1-Assumptions!$B$116)</f>
        <v/>
      </c>
      <c r="X151" s="41">
        <f>X62*(1-X106+X106*X139*X128)+X83*(1-Assumptions!$B$116)</f>
        <v/>
      </c>
      <c r="Y151" s="41">
        <f>Y62*(1-Y106+Y106*Y139*Y128)+Y83*(1-Assumptions!$B$116)</f>
        <v/>
      </c>
      <c r="Z151" s="41">
        <f>Z62*(1-Z106+Z106*Z139*Z128)+Z83*(1-Assumptions!$B$116)</f>
        <v/>
      </c>
      <c r="AA151" s="41">
        <f>AA62*(1-AA106+AA106*AA139*AA128)+AA83*(1-Assumptions!$B$116)</f>
        <v/>
      </c>
      <c r="AB151" s="41">
        <f>AB62*(1-AB106+AB106*AB139*AB128)+AB83*(1-Assumptions!$B$116)</f>
        <v/>
      </c>
      <c r="AC151" s="41">
        <f>AC62*(1-AC106+AC106*AC139*AC128)+AC83*(1-Assumptions!$B$116)</f>
        <v/>
      </c>
      <c r="AD151" s="41">
        <f>AD62*(1-AD106+AD106*AD139*AD128)+AD83*(1-Assumptions!$B$116)</f>
        <v/>
      </c>
      <c r="AE151" s="41">
        <f>AE62*(1-AE106+AE106*AE139*AE128)+AE83*(1-Assumptions!$B$116)</f>
        <v/>
      </c>
      <c r="AF151" s="41">
        <f>AF62*(1-AF106+AF106*AF139*AF128)+AF83*(1-Assumptions!$B$116)</f>
        <v/>
      </c>
      <c r="AG151" s="41">
        <f>AG62*(1-AG106+AG106*AG139*AG128)+AG83*(1-Assumptions!$B$116)</f>
        <v/>
      </c>
      <c r="AH151" s="41">
        <f>AH62*(1-AH106+AH106*AH139*AH128)+AH83*(1-Assumptions!$B$116)</f>
        <v/>
      </c>
      <c r="AI151" s="41">
        <f>AI62*(1-AI106+AI106*AI139*AI128)+AI83*(1-Assumptions!$B$116)</f>
        <v/>
      </c>
      <c r="AJ151" s="41">
        <f>AJ62*(1-AJ106+AJ106*AJ139*AJ128)+AJ83*(1-Assumptions!$B$116)</f>
        <v/>
      </c>
      <c r="AK151" s="41">
        <f>AK62*(1-AK106+AK106*AK139*AK128)+AK83*(1-Assumptions!$B$116)</f>
        <v/>
      </c>
      <c r="AL151" s="41">
        <f>AL62*(1-AL106+AL106*AL139*AL128)+AL83*(1-Assumptions!$B$116)</f>
        <v/>
      </c>
      <c r="AM151" s="41">
        <f>AM62*(1-AM106+AM106*AM139*AM128)+AM83*(1-Assumptions!$B$116)</f>
        <v/>
      </c>
      <c r="AN151" s="41">
        <f>AN62*(1-AN106+AN106*AN139*AN128)+AN83*(1-Assumptions!$B$116)</f>
        <v/>
      </c>
      <c r="AO151" s="41">
        <f>AO62*(1-AO106+AO106*AO139*AO128)+AO83*(1-Assumptions!$B$116)</f>
        <v/>
      </c>
      <c r="AP151" s="41">
        <f>AP62*(1-AP106+AP106*AP139*AP128)+AP83*(1-Assumptions!$B$116)</f>
        <v/>
      </c>
      <c r="AQ151" s="41">
        <f>AQ62*(1-AQ106+AQ106*AQ139*AQ128)+AQ83*(1-Assumptions!$B$116)</f>
        <v/>
      </c>
      <c r="AR151" s="41">
        <f>AR62*(1-AR106+AR106*AR139*AR128)+AR83*(1-Assumptions!$B$116)</f>
        <v/>
      </c>
      <c r="AS151" s="41">
        <f>AS62*(1-AS106+AS106*AS139*AS128)+AS83*(1-Assumptions!$B$116)</f>
        <v/>
      </c>
      <c r="AT151" s="41">
        <f>AT62*(1-AT106+AT106*AT139*AT128)+AT83*(1-Assumptions!$B$116)</f>
        <v/>
      </c>
      <c r="AU151" s="41">
        <f>AU62*(1-AU106+AU106*AU139*AU128)+AU83*(1-Assumptions!$B$116)</f>
        <v/>
      </c>
      <c r="AV151" s="41">
        <f>AV62*(1-AV106+AV106*AV139*AV128)+AV83*(1-Assumptions!$B$116)</f>
        <v/>
      </c>
      <c r="AW151" s="41">
        <f>AW62*(1-AW106+AW106*AW139*AW128)+AW83*(1-Assumptions!$B$116)</f>
        <v/>
      </c>
      <c r="AX151" s="41">
        <f>AX62*(1-AX106+AX106*AX139*AX128)+AX83*(1-Assumptions!$B$116)</f>
        <v/>
      </c>
      <c r="AY151" s="41">
        <f>AY62*(1-AY106+AY106*AY139*AY128)+AY83*(1-Assumptions!$B$116)</f>
        <v/>
      </c>
      <c r="AZ151" s="41">
        <f>AZ62*(1-AZ106+AZ106*AZ139*AZ128)+AZ83*(1-Assumptions!$B$116)</f>
        <v/>
      </c>
      <c r="BA151" s="41">
        <f>BA62*(1-BA106+BA106*BA139*BA128)+BA83*(1-Assumptions!$B$116)</f>
        <v/>
      </c>
      <c r="BB151" s="41">
        <f>BB62*(1-BB106+BB106*BB139*BB128)+BB83*(1-Assumptions!$B$116)</f>
        <v/>
      </c>
      <c r="BC151" s="41">
        <f>BC62*(1-BC106+BC106*BC139*BC128)+BC83*(1-Assumptions!$B$116)</f>
        <v/>
      </c>
      <c r="BD151" s="41">
        <f>BD62*(1-BD106+BD106*BD139*BD128)+BD83*(1-Assumptions!$B$116)</f>
        <v/>
      </c>
      <c r="BE151" s="41">
        <f>BE62*(1-BE106+BE106*BE139*BE128)+BE83*(1-Assumptions!$B$116)</f>
        <v/>
      </c>
      <c r="BF151" s="41">
        <f>BF62*(1-BF106+BF106*BF139*BF128)+BF83*(1-Assumptions!$B$116)</f>
        <v/>
      </c>
      <c r="BG151" s="41">
        <f>BG62*(1-BG106+BG106*BG139*BG128)+BG83*(1-Assumptions!$B$116)</f>
        <v/>
      </c>
      <c r="BH151" s="41">
        <f>BH62*(1-BH106+BH106*BH139*BH128)+BH83*(1-Assumptions!$B$116)</f>
        <v/>
      </c>
      <c r="BI151" s="41">
        <f>BI62*(1-BI106+BI106*BI139*BI128)+BI83*(1-Assumptions!$B$116)</f>
        <v/>
      </c>
      <c r="BJ151" s="41">
        <f>BJ62*(1-BJ106+BJ106*BJ139*BJ128)+BJ83*(1-Assumptions!$B$116)</f>
        <v/>
      </c>
    </row>
    <row r="152">
      <c r="A152" s="4" t="inlineStr">
        <is>
          <t>New Solo: Ghana</t>
        </is>
      </c>
      <c r="B152" s="17" t="inlineStr">
        <is>
          <t>workspaces</t>
        </is>
      </c>
      <c r="C152" s="41">
        <f>C63*(1-C106+C106*C139*C118)+C88*Assumptions!$B$116</f>
        <v/>
      </c>
      <c r="D152" s="41">
        <f>D63*(1-D106+D106*D139*D118)+D88*Assumptions!$B$116</f>
        <v/>
      </c>
      <c r="E152" s="41">
        <f>E63*(1-E106+E106*E139*E118)+E88*Assumptions!$B$116</f>
        <v/>
      </c>
      <c r="F152" s="41">
        <f>F63*(1-F106+F106*F139*F118)+F88*Assumptions!$B$116</f>
        <v/>
      </c>
      <c r="G152" s="41">
        <f>G63*(1-G106+G106*G139*G118)+G88*Assumptions!$B$116</f>
        <v/>
      </c>
      <c r="H152" s="41">
        <f>H63*(1-H106+H106*H139*H118)+H88*Assumptions!$B$116</f>
        <v/>
      </c>
      <c r="I152" s="41">
        <f>I63*(1-I106+I106*I139*I118)+I88*Assumptions!$B$116</f>
        <v/>
      </c>
      <c r="J152" s="41">
        <f>J63*(1-J106+J106*J139*J118)+J88*Assumptions!$B$116</f>
        <v/>
      </c>
      <c r="K152" s="41">
        <f>K63*(1-K106+K106*K139*K118)+K88*Assumptions!$B$116</f>
        <v/>
      </c>
      <c r="L152" s="41">
        <f>L63*(1-L106+L106*L139*L118)+L88*Assumptions!$B$116</f>
        <v/>
      </c>
      <c r="M152" s="41">
        <f>M63*(1-M106+M106*M139*M118)+M88*Assumptions!$B$116</f>
        <v/>
      </c>
      <c r="N152" s="41">
        <f>N63*(1-N106+N106*N139*N118)+N88*Assumptions!$B$116</f>
        <v/>
      </c>
      <c r="O152" s="41">
        <f>O63*(1-O106+O106*O139*O118)+O88*Assumptions!$B$116</f>
        <v/>
      </c>
      <c r="P152" s="41">
        <f>P63*(1-P106+P106*P139*P118)+P88*Assumptions!$B$116</f>
        <v/>
      </c>
      <c r="Q152" s="41">
        <f>Q63*(1-Q106+Q106*Q139*Q118)+Q88*Assumptions!$B$116</f>
        <v/>
      </c>
      <c r="R152" s="41">
        <f>R63*(1-R106+R106*R139*R118)+R88*Assumptions!$B$116</f>
        <v/>
      </c>
      <c r="S152" s="41">
        <f>S63*(1-S106+S106*S139*S118)+S88*Assumptions!$B$116</f>
        <v/>
      </c>
      <c r="T152" s="41">
        <f>T63*(1-T106+T106*T139*T118)+T88*Assumptions!$B$116</f>
        <v/>
      </c>
      <c r="U152" s="41">
        <f>U63*(1-U106+U106*U139*U118)+U88*Assumptions!$B$116</f>
        <v/>
      </c>
      <c r="V152" s="41">
        <f>V63*(1-V106+V106*V139*V118)+V88*Assumptions!$B$116</f>
        <v/>
      </c>
      <c r="W152" s="41">
        <f>W63*(1-W106+W106*W139*W118)+W88*Assumptions!$B$116</f>
        <v/>
      </c>
      <c r="X152" s="41">
        <f>X63*(1-X106+X106*X139*X118)+X88*Assumptions!$B$116</f>
        <v/>
      </c>
      <c r="Y152" s="41">
        <f>Y63*(1-Y106+Y106*Y139*Y118)+Y88*Assumptions!$B$116</f>
        <v/>
      </c>
      <c r="Z152" s="41">
        <f>Z63*(1-Z106+Z106*Z139*Z118)+Z88*Assumptions!$B$116</f>
        <v/>
      </c>
      <c r="AA152" s="41">
        <f>AA63*(1-AA106+AA106*AA139*AA118)+AA88*Assumptions!$B$116</f>
        <v/>
      </c>
      <c r="AB152" s="41">
        <f>AB63*(1-AB106+AB106*AB139*AB118)+AB88*Assumptions!$B$116</f>
        <v/>
      </c>
      <c r="AC152" s="41">
        <f>AC63*(1-AC106+AC106*AC139*AC118)+AC88*Assumptions!$B$116</f>
        <v/>
      </c>
      <c r="AD152" s="41">
        <f>AD63*(1-AD106+AD106*AD139*AD118)+AD88*Assumptions!$B$116</f>
        <v/>
      </c>
      <c r="AE152" s="41">
        <f>AE63*(1-AE106+AE106*AE139*AE118)+AE88*Assumptions!$B$116</f>
        <v/>
      </c>
      <c r="AF152" s="41">
        <f>AF63*(1-AF106+AF106*AF139*AF118)+AF88*Assumptions!$B$116</f>
        <v/>
      </c>
      <c r="AG152" s="41">
        <f>AG63*(1-AG106+AG106*AG139*AG118)+AG88*Assumptions!$B$116</f>
        <v/>
      </c>
      <c r="AH152" s="41">
        <f>AH63*(1-AH106+AH106*AH139*AH118)+AH88*Assumptions!$B$116</f>
        <v/>
      </c>
      <c r="AI152" s="41">
        <f>AI63*(1-AI106+AI106*AI139*AI118)+AI88*Assumptions!$B$116</f>
        <v/>
      </c>
      <c r="AJ152" s="41">
        <f>AJ63*(1-AJ106+AJ106*AJ139*AJ118)+AJ88*Assumptions!$B$116</f>
        <v/>
      </c>
      <c r="AK152" s="41">
        <f>AK63*(1-AK106+AK106*AK139*AK118)+AK88*Assumptions!$B$116</f>
        <v/>
      </c>
      <c r="AL152" s="41">
        <f>AL63*(1-AL106+AL106*AL139*AL118)+AL88*Assumptions!$B$116</f>
        <v/>
      </c>
      <c r="AM152" s="41">
        <f>AM63*(1-AM106+AM106*AM139*AM118)+AM88*Assumptions!$B$116</f>
        <v/>
      </c>
      <c r="AN152" s="41">
        <f>AN63*(1-AN106+AN106*AN139*AN118)+AN88*Assumptions!$B$116</f>
        <v/>
      </c>
      <c r="AO152" s="41">
        <f>AO63*(1-AO106+AO106*AO139*AO118)+AO88*Assumptions!$B$116</f>
        <v/>
      </c>
      <c r="AP152" s="41">
        <f>AP63*(1-AP106+AP106*AP139*AP118)+AP88*Assumptions!$B$116</f>
        <v/>
      </c>
      <c r="AQ152" s="41">
        <f>AQ63*(1-AQ106+AQ106*AQ139*AQ118)+AQ88*Assumptions!$B$116</f>
        <v/>
      </c>
      <c r="AR152" s="41">
        <f>AR63*(1-AR106+AR106*AR139*AR118)+AR88*Assumptions!$B$116</f>
        <v/>
      </c>
      <c r="AS152" s="41">
        <f>AS63*(1-AS106+AS106*AS139*AS118)+AS88*Assumptions!$B$116</f>
        <v/>
      </c>
      <c r="AT152" s="41">
        <f>AT63*(1-AT106+AT106*AT139*AT118)+AT88*Assumptions!$B$116</f>
        <v/>
      </c>
      <c r="AU152" s="41">
        <f>AU63*(1-AU106+AU106*AU139*AU118)+AU88*Assumptions!$B$116</f>
        <v/>
      </c>
      <c r="AV152" s="41">
        <f>AV63*(1-AV106+AV106*AV139*AV118)+AV88*Assumptions!$B$116</f>
        <v/>
      </c>
      <c r="AW152" s="41">
        <f>AW63*(1-AW106+AW106*AW139*AW118)+AW88*Assumptions!$B$116</f>
        <v/>
      </c>
      <c r="AX152" s="41">
        <f>AX63*(1-AX106+AX106*AX139*AX118)+AX88*Assumptions!$B$116</f>
        <v/>
      </c>
      <c r="AY152" s="41">
        <f>AY63*(1-AY106+AY106*AY139*AY118)+AY88*Assumptions!$B$116</f>
        <v/>
      </c>
      <c r="AZ152" s="41">
        <f>AZ63*(1-AZ106+AZ106*AZ139*AZ118)+AZ88*Assumptions!$B$116</f>
        <v/>
      </c>
      <c r="BA152" s="41">
        <f>BA63*(1-BA106+BA106*BA139*BA118)+BA88*Assumptions!$B$116</f>
        <v/>
      </c>
      <c r="BB152" s="41">
        <f>BB63*(1-BB106+BB106*BB139*BB118)+BB88*Assumptions!$B$116</f>
        <v/>
      </c>
      <c r="BC152" s="41">
        <f>BC63*(1-BC106+BC106*BC139*BC118)+BC88*Assumptions!$B$116</f>
        <v/>
      </c>
      <c r="BD152" s="41">
        <f>BD63*(1-BD106+BD106*BD139*BD118)+BD88*Assumptions!$B$116</f>
        <v/>
      </c>
      <c r="BE152" s="41">
        <f>BE63*(1-BE106+BE106*BE139*BE118)+BE88*Assumptions!$B$116</f>
        <v/>
      </c>
      <c r="BF152" s="41">
        <f>BF63*(1-BF106+BF106*BF139*BF118)+BF88*Assumptions!$B$116</f>
        <v/>
      </c>
      <c r="BG152" s="41">
        <f>BG63*(1-BG106+BG106*BG139*BG118)+BG88*Assumptions!$B$116</f>
        <v/>
      </c>
      <c r="BH152" s="41">
        <f>BH63*(1-BH106+BH106*BH139*BH118)+BH88*Assumptions!$B$116</f>
        <v/>
      </c>
      <c r="BI152" s="41">
        <f>BI63*(1-BI106+BI106*BI139*BI118)+BI88*Assumptions!$B$116</f>
        <v/>
      </c>
      <c r="BJ152" s="41">
        <f>BJ63*(1-BJ106+BJ106*BJ139*BJ118)+BJ88*Assumptions!$B$116</f>
        <v/>
      </c>
    </row>
    <row r="153">
      <c r="A153" s="4" t="inlineStr">
        <is>
          <t>New SMEs: Ghana</t>
        </is>
      </c>
      <c r="B153" s="17" t="inlineStr">
        <is>
          <t>workspaces</t>
        </is>
      </c>
      <c r="C153" s="41">
        <f>C64*(1-C106+C106*C139*C130)+C88*(1-Assumptions!$B$116)</f>
        <v/>
      </c>
      <c r="D153" s="41">
        <f>D64*(1-D106+D106*D139*D130)+D88*(1-Assumptions!$B$116)</f>
        <v/>
      </c>
      <c r="E153" s="41">
        <f>E64*(1-E106+E106*E139*E130)+E88*(1-Assumptions!$B$116)</f>
        <v/>
      </c>
      <c r="F153" s="41">
        <f>F64*(1-F106+F106*F139*F130)+F88*(1-Assumptions!$B$116)</f>
        <v/>
      </c>
      <c r="G153" s="41">
        <f>G64*(1-G106+G106*G139*G130)+G88*(1-Assumptions!$B$116)</f>
        <v/>
      </c>
      <c r="H153" s="41">
        <f>H64*(1-H106+H106*H139*H130)+H88*(1-Assumptions!$B$116)</f>
        <v/>
      </c>
      <c r="I153" s="41">
        <f>I64*(1-I106+I106*I139*I130)+I88*(1-Assumptions!$B$116)</f>
        <v/>
      </c>
      <c r="J153" s="41">
        <f>J64*(1-J106+J106*J139*J130)+J88*(1-Assumptions!$B$116)</f>
        <v/>
      </c>
      <c r="K153" s="41">
        <f>K64*(1-K106+K106*K139*K130)+K88*(1-Assumptions!$B$116)</f>
        <v/>
      </c>
      <c r="L153" s="41">
        <f>L64*(1-L106+L106*L139*L130)+L88*(1-Assumptions!$B$116)</f>
        <v/>
      </c>
      <c r="M153" s="41">
        <f>M64*(1-M106+M106*M139*M130)+M88*(1-Assumptions!$B$116)</f>
        <v/>
      </c>
      <c r="N153" s="41">
        <f>N64*(1-N106+N106*N139*N130)+N88*(1-Assumptions!$B$116)</f>
        <v/>
      </c>
      <c r="O153" s="41">
        <f>O64*(1-O106+O106*O139*O130)+O88*(1-Assumptions!$B$116)</f>
        <v/>
      </c>
      <c r="P153" s="41">
        <f>P64*(1-P106+P106*P139*P130)+P88*(1-Assumptions!$B$116)</f>
        <v/>
      </c>
      <c r="Q153" s="41">
        <f>Q64*(1-Q106+Q106*Q139*Q130)+Q88*(1-Assumptions!$B$116)</f>
        <v/>
      </c>
      <c r="R153" s="41">
        <f>R64*(1-R106+R106*R139*R130)+R88*(1-Assumptions!$B$116)</f>
        <v/>
      </c>
      <c r="S153" s="41">
        <f>S64*(1-S106+S106*S139*S130)+S88*(1-Assumptions!$B$116)</f>
        <v/>
      </c>
      <c r="T153" s="41">
        <f>T64*(1-T106+T106*T139*T130)+T88*(1-Assumptions!$B$116)</f>
        <v/>
      </c>
      <c r="U153" s="41">
        <f>U64*(1-U106+U106*U139*U130)+U88*(1-Assumptions!$B$116)</f>
        <v/>
      </c>
      <c r="V153" s="41">
        <f>V64*(1-V106+V106*V139*V130)+V88*(1-Assumptions!$B$116)</f>
        <v/>
      </c>
      <c r="W153" s="41">
        <f>W64*(1-W106+W106*W139*W130)+W88*(1-Assumptions!$B$116)</f>
        <v/>
      </c>
      <c r="X153" s="41">
        <f>X64*(1-X106+X106*X139*X130)+X88*(1-Assumptions!$B$116)</f>
        <v/>
      </c>
      <c r="Y153" s="41">
        <f>Y64*(1-Y106+Y106*Y139*Y130)+Y88*(1-Assumptions!$B$116)</f>
        <v/>
      </c>
      <c r="Z153" s="41">
        <f>Z64*(1-Z106+Z106*Z139*Z130)+Z88*(1-Assumptions!$B$116)</f>
        <v/>
      </c>
      <c r="AA153" s="41">
        <f>AA64*(1-AA106+AA106*AA139*AA130)+AA88*(1-Assumptions!$B$116)</f>
        <v/>
      </c>
      <c r="AB153" s="41">
        <f>AB64*(1-AB106+AB106*AB139*AB130)+AB88*(1-Assumptions!$B$116)</f>
        <v/>
      </c>
      <c r="AC153" s="41">
        <f>AC64*(1-AC106+AC106*AC139*AC130)+AC88*(1-Assumptions!$B$116)</f>
        <v/>
      </c>
      <c r="AD153" s="41">
        <f>AD64*(1-AD106+AD106*AD139*AD130)+AD88*(1-Assumptions!$B$116)</f>
        <v/>
      </c>
      <c r="AE153" s="41">
        <f>AE64*(1-AE106+AE106*AE139*AE130)+AE88*(1-Assumptions!$B$116)</f>
        <v/>
      </c>
      <c r="AF153" s="41">
        <f>AF64*(1-AF106+AF106*AF139*AF130)+AF88*(1-Assumptions!$B$116)</f>
        <v/>
      </c>
      <c r="AG153" s="41">
        <f>AG64*(1-AG106+AG106*AG139*AG130)+AG88*(1-Assumptions!$B$116)</f>
        <v/>
      </c>
      <c r="AH153" s="41">
        <f>AH64*(1-AH106+AH106*AH139*AH130)+AH88*(1-Assumptions!$B$116)</f>
        <v/>
      </c>
      <c r="AI153" s="41">
        <f>AI64*(1-AI106+AI106*AI139*AI130)+AI88*(1-Assumptions!$B$116)</f>
        <v/>
      </c>
      <c r="AJ153" s="41">
        <f>AJ64*(1-AJ106+AJ106*AJ139*AJ130)+AJ88*(1-Assumptions!$B$116)</f>
        <v/>
      </c>
      <c r="AK153" s="41">
        <f>AK64*(1-AK106+AK106*AK139*AK130)+AK88*(1-Assumptions!$B$116)</f>
        <v/>
      </c>
      <c r="AL153" s="41">
        <f>AL64*(1-AL106+AL106*AL139*AL130)+AL88*(1-Assumptions!$B$116)</f>
        <v/>
      </c>
      <c r="AM153" s="41">
        <f>AM64*(1-AM106+AM106*AM139*AM130)+AM88*(1-Assumptions!$B$116)</f>
        <v/>
      </c>
      <c r="AN153" s="41">
        <f>AN64*(1-AN106+AN106*AN139*AN130)+AN88*(1-Assumptions!$B$116)</f>
        <v/>
      </c>
      <c r="AO153" s="41">
        <f>AO64*(1-AO106+AO106*AO139*AO130)+AO88*(1-Assumptions!$B$116)</f>
        <v/>
      </c>
      <c r="AP153" s="41">
        <f>AP64*(1-AP106+AP106*AP139*AP130)+AP88*(1-Assumptions!$B$116)</f>
        <v/>
      </c>
      <c r="AQ153" s="41">
        <f>AQ64*(1-AQ106+AQ106*AQ139*AQ130)+AQ88*(1-Assumptions!$B$116)</f>
        <v/>
      </c>
      <c r="AR153" s="41">
        <f>AR64*(1-AR106+AR106*AR139*AR130)+AR88*(1-Assumptions!$B$116)</f>
        <v/>
      </c>
      <c r="AS153" s="41">
        <f>AS64*(1-AS106+AS106*AS139*AS130)+AS88*(1-Assumptions!$B$116)</f>
        <v/>
      </c>
      <c r="AT153" s="41">
        <f>AT64*(1-AT106+AT106*AT139*AT130)+AT88*(1-Assumptions!$B$116)</f>
        <v/>
      </c>
      <c r="AU153" s="41">
        <f>AU64*(1-AU106+AU106*AU139*AU130)+AU88*(1-Assumptions!$B$116)</f>
        <v/>
      </c>
      <c r="AV153" s="41">
        <f>AV64*(1-AV106+AV106*AV139*AV130)+AV88*(1-Assumptions!$B$116)</f>
        <v/>
      </c>
      <c r="AW153" s="41">
        <f>AW64*(1-AW106+AW106*AW139*AW130)+AW88*(1-Assumptions!$B$116)</f>
        <v/>
      </c>
      <c r="AX153" s="41">
        <f>AX64*(1-AX106+AX106*AX139*AX130)+AX88*(1-Assumptions!$B$116)</f>
        <v/>
      </c>
      <c r="AY153" s="41">
        <f>AY64*(1-AY106+AY106*AY139*AY130)+AY88*(1-Assumptions!$B$116)</f>
        <v/>
      </c>
      <c r="AZ153" s="41">
        <f>AZ64*(1-AZ106+AZ106*AZ139*AZ130)+AZ88*(1-Assumptions!$B$116)</f>
        <v/>
      </c>
      <c r="BA153" s="41">
        <f>BA64*(1-BA106+BA106*BA139*BA130)+BA88*(1-Assumptions!$B$116)</f>
        <v/>
      </c>
      <c r="BB153" s="41">
        <f>BB64*(1-BB106+BB106*BB139*BB130)+BB88*(1-Assumptions!$B$116)</f>
        <v/>
      </c>
      <c r="BC153" s="41">
        <f>BC64*(1-BC106+BC106*BC139*BC130)+BC88*(1-Assumptions!$B$116)</f>
        <v/>
      </c>
      <c r="BD153" s="41">
        <f>BD64*(1-BD106+BD106*BD139*BD130)+BD88*(1-Assumptions!$B$116)</f>
        <v/>
      </c>
      <c r="BE153" s="41">
        <f>BE64*(1-BE106+BE106*BE139*BE130)+BE88*(1-Assumptions!$B$116)</f>
        <v/>
      </c>
      <c r="BF153" s="41">
        <f>BF64*(1-BF106+BF106*BF139*BF130)+BF88*(1-Assumptions!$B$116)</f>
        <v/>
      </c>
      <c r="BG153" s="41">
        <f>BG64*(1-BG106+BG106*BG139*BG130)+BG88*(1-Assumptions!$B$116)</f>
        <v/>
      </c>
      <c r="BH153" s="41">
        <f>BH64*(1-BH106+BH106*BH139*BH130)+BH88*(1-Assumptions!$B$116)</f>
        <v/>
      </c>
      <c r="BI153" s="41">
        <f>BI64*(1-BI106+BI106*BI139*BI130)+BI88*(1-Assumptions!$B$116)</f>
        <v/>
      </c>
      <c r="BJ153" s="41">
        <f>BJ64*(1-BJ106+BJ106*BJ139*BJ130)+BJ88*(1-Assumptions!$B$116)</f>
        <v/>
      </c>
    </row>
    <row r="154">
      <c r="A154" s="4" t="inlineStr">
        <is>
          <t>New Solo: Rest of Africa (USD)</t>
        </is>
      </c>
      <c r="B154" s="17" t="inlineStr">
        <is>
          <t>workspaces</t>
        </is>
      </c>
      <c r="C154" s="41">
        <f>C65*(1-C106+C106*C139*C120)+C93*Assumptions!$B$116</f>
        <v/>
      </c>
      <c r="D154" s="41">
        <f>D65*(1-D106+D106*D139*D120)+D93*Assumptions!$B$116</f>
        <v/>
      </c>
      <c r="E154" s="41">
        <f>E65*(1-E106+E106*E139*E120)+E93*Assumptions!$B$116</f>
        <v/>
      </c>
      <c r="F154" s="41">
        <f>F65*(1-F106+F106*F139*F120)+F93*Assumptions!$B$116</f>
        <v/>
      </c>
      <c r="G154" s="41">
        <f>G65*(1-G106+G106*G139*G120)+G93*Assumptions!$B$116</f>
        <v/>
      </c>
      <c r="H154" s="41">
        <f>H65*(1-H106+H106*H139*H120)+H93*Assumptions!$B$116</f>
        <v/>
      </c>
      <c r="I154" s="41">
        <f>I65*(1-I106+I106*I139*I120)+I93*Assumptions!$B$116</f>
        <v/>
      </c>
      <c r="J154" s="41">
        <f>J65*(1-J106+J106*J139*J120)+J93*Assumptions!$B$116</f>
        <v/>
      </c>
      <c r="K154" s="41">
        <f>K65*(1-K106+K106*K139*K120)+K93*Assumptions!$B$116</f>
        <v/>
      </c>
      <c r="L154" s="41">
        <f>L65*(1-L106+L106*L139*L120)+L93*Assumptions!$B$116</f>
        <v/>
      </c>
      <c r="M154" s="41">
        <f>M65*(1-M106+M106*M139*M120)+M93*Assumptions!$B$116</f>
        <v/>
      </c>
      <c r="N154" s="41">
        <f>N65*(1-N106+N106*N139*N120)+N93*Assumptions!$B$116</f>
        <v/>
      </c>
      <c r="O154" s="41">
        <f>O65*(1-O106+O106*O139*O120)+O93*Assumptions!$B$116</f>
        <v/>
      </c>
      <c r="P154" s="41">
        <f>P65*(1-P106+P106*P139*P120)+P93*Assumptions!$B$116</f>
        <v/>
      </c>
      <c r="Q154" s="41">
        <f>Q65*(1-Q106+Q106*Q139*Q120)+Q93*Assumptions!$B$116</f>
        <v/>
      </c>
      <c r="R154" s="41">
        <f>R65*(1-R106+R106*R139*R120)+R93*Assumptions!$B$116</f>
        <v/>
      </c>
      <c r="S154" s="41">
        <f>S65*(1-S106+S106*S139*S120)+S93*Assumptions!$B$116</f>
        <v/>
      </c>
      <c r="T154" s="41">
        <f>T65*(1-T106+T106*T139*T120)+T93*Assumptions!$B$116</f>
        <v/>
      </c>
      <c r="U154" s="41">
        <f>U65*(1-U106+U106*U139*U120)+U93*Assumptions!$B$116</f>
        <v/>
      </c>
      <c r="V154" s="41">
        <f>V65*(1-V106+V106*V139*V120)+V93*Assumptions!$B$116</f>
        <v/>
      </c>
      <c r="W154" s="41">
        <f>W65*(1-W106+W106*W139*W120)+W93*Assumptions!$B$116</f>
        <v/>
      </c>
      <c r="X154" s="41">
        <f>X65*(1-X106+X106*X139*X120)+X93*Assumptions!$B$116</f>
        <v/>
      </c>
      <c r="Y154" s="41">
        <f>Y65*(1-Y106+Y106*Y139*Y120)+Y93*Assumptions!$B$116</f>
        <v/>
      </c>
      <c r="Z154" s="41">
        <f>Z65*(1-Z106+Z106*Z139*Z120)+Z93*Assumptions!$B$116</f>
        <v/>
      </c>
      <c r="AA154" s="41">
        <f>AA65*(1-AA106+AA106*AA139*AA120)+AA93*Assumptions!$B$116</f>
        <v/>
      </c>
      <c r="AB154" s="41">
        <f>AB65*(1-AB106+AB106*AB139*AB120)+AB93*Assumptions!$B$116</f>
        <v/>
      </c>
      <c r="AC154" s="41">
        <f>AC65*(1-AC106+AC106*AC139*AC120)+AC93*Assumptions!$B$116</f>
        <v/>
      </c>
      <c r="AD154" s="41">
        <f>AD65*(1-AD106+AD106*AD139*AD120)+AD93*Assumptions!$B$116</f>
        <v/>
      </c>
      <c r="AE154" s="41">
        <f>AE65*(1-AE106+AE106*AE139*AE120)+AE93*Assumptions!$B$116</f>
        <v/>
      </c>
      <c r="AF154" s="41">
        <f>AF65*(1-AF106+AF106*AF139*AF120)+AF93*Assumptions!$B$116</f>
        <v/>
      </c>
      <c r="AG154" s="41">
        <f>AG65*(1-AG106+AG106*AG139*AG120)+AG93*Assumptions!$B$116</f>
        <v/>
      </c>
      <c r="AH154" s="41">
        <f>AH65*(1-AH106+AH106*AH139*AH120)+AH93*Assumptions!$B$116</f>
        <v/>
      </c>
      <c r="AI154" s="41">
        <f>AI65*(1-AI106+AI106*AI139*AI120)+AI93*Assumptions!$B$116</f>
        <v/>
      </c>
      <c r="AJ154" s="41">
        <f>AJ65*(1-AJ106+AJ106*AJ139*AJ120)+AJ93*Assumptions!$B$116</f>
        <v/>
      </c>
      <c r="AK154" s="41">
        <f>AK65*(1-AK106+AK106*AK139*AK120)+AK93*Assumptions!$B$116</f>
        <v/>
      </c>
      <c r="AL154" s="41">
        <f>AL65*(1-AL106+AL106*AL139*AL120)+AL93*Assumptions!$B$116</f>
        <v/>
      </c>
      <c r="AM154" s="41">
        <f>AM65*(1-AM106+AM106*AM139*AM120)+AM93*Assumptions!$B$116</f>
        <v/>
      </c>
      <c r="AN154" s="41">
        <f>AN65*(1-AN106+AN106*AN139*AN120)+AN93*Assumptions!$B$116</f>
        <v/>
      </c>
      <c r="AO154" s="41">
        <f>AO65*(1-AO106+AO106*AO139*AO120)+AO93*Assumptions!$B$116</f>
        <v/>
      </c>
      <c r="AP154" s="41">
        <f>AP65*(1-AP106+AP106*AP139*AP120)+AP93*Assumptions!$B$116</f>
        <v/>
      </c>
      <c r="AQ154" s="41">
        <f>AQ65*(1-AQ106+AQ106*AQ139*AQ120)+AQ93*Assumptions!$B$116</f>
        <v/>
      </c>
      <c r="AR154" s="41">
        <f>AR65*(1-AR106+AR106*AR139*AR120)+AR93*Assumptions!$B$116</f>
        <v/>
      </c>
      <c r="AS154" s="41">
        <f>AS65*(1-AS106+AS106*AS139*AS120)+AS93*Assumptions!$B$116</f>
        <v/>
      </c>
      <c r="AT154" s="41">
        <f>AT65*(1-AT106+AT106*AT139*AT120)+AT93*Assumptions!$B$116</f>
        <v/>
      </c>
      <c r="AU154" s="41">
        <f>AU65*(1-AU106+AU106*AU139*AU120)+AU93*Assumptions!$B$116</f>
        <v/>
      </c>
      <c r="AV154" s="41">
        <f>AV65*(1-AV106+AV106*AV139*AV120)+AV93*Assumptions!$B$116</f>
        <v/>
      </c>
      <c r="AW154" s="41">
        <f>AW65*(1-AW106+AW106*AW139*AW120)+AW93*Assumptions!$B$116</f>
        <v/>
      </c>
      <c r="AX154" s="41">
        <f>AX65*(1-AX106+AX106*AX139*AX120)+AX93*Assumptions!$B$116</f>
        <v/>
      </c>
      <c r="AY154" s="41">
        <f>AY65*(1-AY106+AY106*AY139*AY120)+AY93*Assumptions!$B$116</f>
        <v/>
      </c>
      <c r="AZ154" s="41">
        <f>AZ65*(1-AZ106+AZ106*AZ139*AZ120)+AZ93*Assumptions!$B$116</f>
        <v/>
      </c>
      <c r="BA154" s="41">
        <f>BA65*(1-BA106+BA106*BA139*BA120)+BA93*Assumptions!$B$116</f>
        <v/>
      </c>
      <c r="BB154" s="41">
        <f>BB65*(1-BB106+BB106*BB139*BB120)+BB93*Assumptions!$B$116</f>
        <v/>
      </c>
      <c r="BC154" s="41">
        <f>BC65*(1-BC106+BC106*BC139*BC120)+BC93*Assumptions!$B$116</f>
        <v/>
      </c>
      <c r="BD154" s="41">
        <f>BD65*(1-BD106+BD106*BD139*BD120)+BD93*Assumptions!$B$116</f>
        <v/>
      </c>
      <c r="BE154" s="41">
        <f>BE65*(1-BE106+BE106*BE139*BE120)+BE93*Assumptions!$B$116</f>
        <v/>
      </c>
      <c r="BF154" s="41">
        <f>BF65*(1-BF106+BF106*BF139*BF120)+BF93*Assumptions!$B$116</f>
        <v/>
      </c>
      <c r="BG154" s="41">
        <f>BG65*(1-BG106+BG106*BG139*BG120)+BG93*Assumptions!$B$116</f>
        <v/>
      </c>
      <c r="BH154" s="41">
        <f>BH65*(1-BH106+BH106*BH139*BH120)+BH93*Assumptions!$B$116</f>
        <v/>
      </c>
      <c r="BI154" s="41">
        <f>BI65*(1-BI106+BI106*BI139*BI120)+BI93*Assumptions!$B$116</f>
        <v/>
      </c>
      <c r="BJ154" s="41">
        <f>BJ65*(1-BJ106+BJ106*BJ139*BJ120)+BJ93*Assumptions!$B$116</f>
        <v/>
      </c>
    </row>
    <row r="155">
      <c r="A155" s="4" t="inlineStr">
        <is>
          <t>New SMEs: Rest of Africa (USD)</t>
        </is>
      </c>
      <c r="B155" s="17" t="inlineStr">
        <is>
          <t>workspaces</t>
        </is>
      </c>
      <c r="C155" s="41">
        <f>C66*(1-C106+C106*C139*C132)+C93*(1-Assumptions!$B$116)</f>
        <v/>
      </c>
      <c r="D155" s="41">
        <f>D66*(1-D106+D106*D139*D132)+D93*(1-Assumptions!$B$116)</f>
        <v/>
      </c>
      <c r="E155" s="41">
        <f>E66*(1-E106+E106*E139*E132)+E93*(1-Assumptions!$B$116)</f>
        <v/>
      </c>
      <c r="F155" s="41">
        <f>F66*(1-F106+F106*F139*F132)+F93*(1-Assumptions!$B$116)</f>
        <v/>
      </c>
      <c r="G155" s="41">
        <f>G66*(1-G106+G106*G139*G132)+G93*(1-Assumptions!$B$116)</f>
        <v/>
      </c>
      <c r="H155" s="41">
        <f>H66*(1-H106+H106*H139*H132)+H93*(1-Assumptions!$B$116)</f>
        <v/>
      </c>
      <c r="I155" s="41">
        <f>I66*(1-I106+I106*I139*I132)+I93*(1-Assumptions!$B$116)</f>
        <v/>
      </c>
      <c r="J155" s="41">
        <f>J66*(1-J106+J106*J139*J132)+J93*(1-Assumptions!$B$116)</f>
        <v/>
      </c>
      <c r="K155" s="41">
        <f>K66*(1-K106+K106*K139*K132)+K93*(1-Assumptions!$B$116)</f>
        <v/>
      </c>
      <c r="L155" s="41">
        <f>L66*(1-L106+L106*L139*L132)+L93*(1-Assumptions!$B$116)</f>
        <v/>
      </c>
      <c r="M155" s="41">
        <f>M66*(1-M106+M106*M139*M132)+M93*(1-Assumptions!$B$116)</f>
        <v/>
      </c>
      <c r="N155" s="41">
        <f>N66*(1-N106+N106*N139*N132)+N93*(1-Assumptions!$B$116)</f>
        <v/>
      </c>
      <c r="O155" s="41">
        <f>O66*(1-O106+O106*O139*O132)+O93*(1-Assumptions!$B$116)</f>
        <v/>
      </c>
      <c r="P155" s="41">
        <f>P66*(1-P106+P106*P139*P132)+P93*(1-Assumptions!$B$116)</f>
        <v/>
      </c>
      <c r="Q155" s="41">
        <f>Q66*(1-Q106+Q106*Q139*Q132)+Q93*(1-Assumptions!$B$116)</f>
        <v/>
      </c>
      <c r="R155" s="41">
        <f>R66*(1-R106+R106*R139*R132)+R93*(1-Assumptions!$B$116)</f>
        <v/>
      </c>
      <c r="S155" s="41">
        <f>S66*(1-S106+S106*S139*S132)+S93*(1-Assumptions!$B$116)</f>
        <v/>
      </c>
      <c r="T155" s="41">
        <f>T66*(1-T106+T106*T139*T132)+T93*(1-Assumptions!$B$116)</f>
        <v/>
      </c>
      <c r="U155" s="41">
        <f>U66*(1-U106+U106*U139*U132)+U93*(1-Assumptions!$B$116)</f>
        <v/>
      </c>
      <c r="V155" s="41">
        <f>V66*(1-V106+V106*V139*V132)+V93*(1-Assumptions!$B$116)</f>
        <v/>
      </c>
      <c r="W155" s="41">
        <f>W66*(1-W106+W106*W139*W132)+W93*(1-Assumptions!$B$116)</f>
        <v/>
      </c>
      <c r="X155" s="41">
        <f>X66*(1-X106+X106*X139*X132)+X93*(1-Assumptions!$B$116)</f>
        <v/>
      </c>
      <c r="Y155" s="41">
        <f>Y66*(1-Y106+Y106*Y139*Y132)+Y93*(1-Assumptions!$B$116)</f>
        <v/>
      </c>
      <c r="Z155" s="41">
        <f>Z66*(1-Z106+Z106*Z139*Z132)+Z93*(1-Assumptions!$B$116)</f>
        <v/>
      </c>
      <c r="AA155" s="41">
        <f>AA66*(1-AA106+AA106*AA139*AA132)+AA93*(1-Assumptions!$B$116)</f>
        <v/>
      </c>
      <c r="AB155" s="41">
        <f>AB66*(1-AB106+AB106*AB139*AB132)+AB93*(1-Assumptions!$B$116)</f>
        <v/>
      </c>
      <c r="AC155" s="41">
        <f>AC66*(1-AC106+AC106*AC139*AC132)+AC93*(1-Assumptions!$B$116)</f>
        <v/>
      </c>
      <c r="AD155" s="41">
        <f>AD66*(1-AD106+AD106*AD139*AD132)+AD93*(1-Assumptions!$B$116)</f>
        <v/>
      </c>
      <c r="AE155" s="41">
        <f>AE66*(1-AE106+AE106*AE139*AE132)+AE93*(1-Assumptions!$B$116)</f>
        <v/>
      </c>
      <c r="AF155" s="41">
        <f>AF66*(1-AF106+AF106*AF139*AF132)+AF93*(1-Assumptions!$B$116)</f>
        <v/>
      </c>
      <c r="AG155" s="41">
        <f>AG66*(1-AG106+AG106*AG139*AG132)+AG93*(1-Assumptions!$B$116)</f>
        <v/>
      </c>
      <c r="AH155" s="41">
        <f>AH66*(1-AH106+AH106*AH139*AH132)+AH93*(1-Assumptions!$B$116)</f>
        <v/>
      </c>
      <c r="AI155" s="41">
        <f>AI66*(1-AI106+AI106*AI139*AI132)+AI93*(1-Assumptions!$B$116)</f>
        <v/>
      </c>
      <c r="AJ155" s="41">
        <f>AJ66*(1-AJ106+AJ106*AJ139*AJ132)+AJ93*(1-Assumptions!$B$116)</f>
        <v/>
      </c>
      <c r="AK155" s="41">
        <f>AK66*(1-AK106+AK106*AK139*AK132)+AK93*(1-Assumptions!$B$116)</f>
        <v/>
      </c>
      <c r="AL155" s="41">
        <f>AL66*(1-AL106+AL106*AL139*AL132)+AL93*(1-Assumptions!$B$116)</f>
        <v/>
      </c>
      <c r="AM155" s="41">
        <f>AM66*(1-AM106+AM106*AM139*AM132)+AM93*(1-Assumptions!$B$116)</f>
        <v/>
      </c>
      <c r="AN155" s="41">
        <f>AN66*(1-AN106+AN106*AN139*AN132)+AN93*(1-Assumptions!$B$116)</f>
        <v/>
      </c>
      <c r="AO155" s="41">
        <f>AO66*(1-AO106+AO106*AO139*AO132)+AO93*(1-Assumptions!$B$116)</f>
        <v/>
      </c>
      <c r="AP155" s="41">
        <f>AP66*(1-AP106+AP106*AP139*AP132)+AP93*(1-Assumptions!$B$116)</f>
        <v/>
      </c>
      <c r="AQ155" s="41">
        <f>AQ66*(1-AQ106+AQ106*AQ139*AQ132)+AQ93*(1-Assumptions!$B$116)</f>
        <v/>
      </c>
      <c r="AR155" s="41">
        <f>AR66*(1-AR106+AR106*AR139*AR132)+AR93*(1-Assumptions!$B$116)</f>
        <v/>
      </c>
      <c r="AS155" s="41">
        <f>AS66*(1-AS106+AS106*AS139*AS132)+AS93*(1-Assumptions!$B$116)</f>
        <v/>
      </c>
      <c r="AT155" s="41">
        <f>AT66*(1-AT106+AT106*AT139*AT132)+AT93*(1-Assumptions!$B$116)</f>
        <v/>
      </c>
      <c r="AU155" s="41">
        <f>AU66*(1-AU106+AU106*AU139*AU132)+AU93*(1-Assumptions!$B$116)</f>
        <v/>
      </c>
      <c r="AV155" s="41">
        <f>AV66*(1-AV106+AV106*AV139*AV132)+AV93*(1-Assumptions!$B$116)</f>
        <v/>
      </c>
      <c r="AW155" s="41">
        <f>AW66*(1-AW106+AW106*AW139*AW132)+AW93*(1-Assumptions!$B$116)</f>
        <v/>
      </c>
      <c r="AX155" s="41">
        <f>AX66*(1-AX106+AX106*AX139*AX132)+AX93*(1-Assumptions!$B$116)</f>
        <v/>
      </c>
      <c r="AY155" s="41">
        <f>AY66*(1-AY106+AY106*AY139*AY132)+AY93*(1-Assumptions!$B$116)</f>
        <v/>
      </c>
      <c r="AZ155" s="41">
        <f>AZ66*(1-AZ106+AZ106*AZ139*AZ132)+AZ93*(1-Assumptions!$B$116)</f>
        <v/>
      </c>
      <c r="BA155" s="41">
        <f>BA66*(1-BA106+BA106*BA139*BA132)+BA93*(1-Assumptions!$B$116)</f>
        <v/>
      </c>
      <c r="BB155" s="41">
        <f>BB66*(1-BB106+BB106*BB139*BB132)+BB93*(1-Assumptions!$B$116)</f>
        <v/>
      </c>
      <c r="BC155" s="41">
        <f>BC66*(1-BC106+BC106*BC139*BC132)+BC93*(1-Assumptions!$B$116)</f>
        <v/>
      </c>
      <c r="BD155" s="41">
        <f>BD66*(1-BD106+BD106*BD139*BD132)+BD93*(1-Assumptions!$B$116)</f>
        <v/>
      </c>
      <c r="BE155" s="41">
        <f>BE66*(1-BE106+BE106*BE139*BE132)+BE93*(1-Assumptions!$B$116)</f>
        <v/>
      </c>
      <c r="BF155" s="41">
        <f>BF66*(1-BF106+BF106*BF139*BF132)+BF93*(1-Assumptions!$B$116)</f>
        <v/>
      </c>
      <c r="BG155" s="41">
        <f>BG66*(1-BG106+BG106*BG139*BG132)+BG93*(1-Assumptions!$B$116)</f>
        <v/>
      </c>
      <c r="BH155" s="41">
        <f>BH66*(1-BH106+BH106*BH139*BH132)+BH93*(1-Assumptions!$B$116)</f>
        <v/>
      </c>
      <c r="BI155" s="41">
        <f>BI66*(1-BI106+BI106*BI139*BI132)+BI93*(1-Assumptions!$B$116)</f>
        <v/>
      </c>
      <c r="BJ155" s="41">
        <f>BJ66*(1-BJ106+BJ106*BJ139*BJ132)+BJ93*(1-Assumptions!$B$116)</f>
        <v/>
      </c>
    </row>
    <row r="156">
      <c r="A156" s="4" t="inlineStr">
        <is>
          <t>New Solo: Botswana &amp; Namibia</t>
        </is>
      </c>
      <c r="B156" s="17" t="inlineStr">
        <is>
          <t>workspaces</t>
        </is>
      </c>
      <c r="C156" s="41">
        <f>C67*(1-C106+C106*C139*C122)+C98*Assumptions!$B$116</f>
        <v/>
      </c>
      <c r="D156" s="41">
        <f>D67*(1-D106+D106*D139*D122)+D98*Assumptions!$B$116</f>
        <v/>
      </c>
      <c r="E156" s="41">
        <f>E67*(1-E106+E106*E139*E122)+E98*Assumptions!$B$116</f>
        <v/>
      </c>
      <c r="F156" s="41">
        <f>F67*(1-F106+F106*F139*F122)+F98*Assumptions!$B$116</f>
        <v/>
      </c>
      <c r="G156" s="41">
        <f>G67*(1-G106+G106*G139*G122)+G98*Assumptions!$B$116</f>
        <v/>
      </c>
      <c r="H156" s="41">
        <f>H67*(1-H106+H106*H139*H122)+H98*Assumptions!$B$116</f>
        <v/>
      </c>
      <c r="I156" s="41">
        <f>I67*(1-I106+I106*I139*I122)+I98*Assumptions!$B$116</f>
        <v/>
      </c>
      <c r="J156" s="41">
        <f>J67*(1-J106+J106*J139*J122)+J98*Assumptions!$B$116</f>
        <v/>
      </c>
      <c r="K156" s="41">
        <f>K67*(1-K106+K106*K139*K122)+K98*Assumptions!$B$116</f>
        <v/>
      </c>
      <c r="L156" s="41">
        <f>L67*(1-L106+L106*L139*L122)+L98*Assumptions!$B$116</f>
        <v/>
      </c>
      <c r="M156" s="41">
        <f>M67*(1-M106+M106*M139*M122)+M98*Assumptions!$B$116</f>
        <v/>
      </c>
      <c r="N156" s="41">
        <f>N67*(1-N106+N106*N139*N122)+N98*Assumptions!$B$116</f>
        <v/>
      </c>
      <c r="O156" s="41">
        <f>O67*(1-O106+O106*O139*O122)+O98*Assumptions!$B$116</f>
        <v/>
      </c>
      <c r="P156" s="41">
        <f>P67*(1-P106+P106*P139*P122)+P98*Assumptions!$B$116</f>
        <v/>
      </c>
      <c r="Q156" s="41">
        <f>Q67*(1-Q106+Q106*Q139*Q122)+Q98*Assumptions!$B$116</f>
        <v/>
      </c>
      <c r="R156" s="41">
        <f>R67*(1-R106+R106*R139*R122)+R98*Assumptions!$B$116</f>
        <v/>
      </c>
      <c r="S156" s="41">
        <f>S67*(1-S106+S106*S139*S122)+S98*Assumptions!$B$116</f>
        <v/>
      </c>
      <c r="T156" s="41">
        <f>T67*(1-T106+T106*T139*T122)+T98*Assumptions!$B$116</f>
        <v/>
      </c>
      <c r="U156" s="41">
        <f>U67*(1-U106+U106*U139*U122)+U98*Assumptions!$B$116</f>
        <v/>
      </c>
      <c r="V156" s="41">
        <f>V67*(1-V106+V106*V139*V122)+V98*Assumptions!$B$116</f>
        <v/>
      </c>
      <c r="W156" s="41">
        <f>W67*(1-W106+W106*W139*W122)+W98*Assumptions!$B$116</f>
        <v/>
      </c>
      <c r="X156" s="41">
        <f>X67*(1-X106+X106*X139*X122)+X98*Assumptions!$B$116</f>
        <v/>
      </c>
      <c r="Y156" s="41">
        <f>Y67*(1-Y106+Y106*Y139*Y122)+Y98*Assumptions!$B$116</f>
        <v/>
      </c>
      <c r="Z156" s="41">
        <f>Z67*(1-Z106+Z106*Z139*Z122)+Z98*Assumptions!$B$116</f>
        <v/>
      </c>
      <c r="AA156" s="41">
        <f>AA67*(1-AA106+AA106*AA139*AA122)+AA98*Assumptions!$B$116</f>
        <v/>
      </c>
      <c r="AB156" s="41">
        <f>AB67*(1-AB106+AB106*AB139*AB122)+AB98*Assumptions!$B$116</f>
        <v/>
      </c>
      <c r="AC156" s="41">
        <f>AC67*(1-AC106+AC106*AC139*AC122)+AC98*Assumptions!$B$116</f>
        <v/>
      </c>
      <c r="AD156" s="41">
        <f>AD67*(1-AD106+AD106*AD139*AD122)+AD98*Assumptions!$B$116</f>
        <v/>
      </c>
      <c r="AE156" s="41">
        <f>AE67*(1-AE106+AE106*AE139*AE122)+AE98*Assumptions!$B$116</f>
        <v/>
      </c>
      <c r="AF156" s="41">
        <f>AF67*(1-AF106+AF106*AF139*AF122)+AF98*Assumptions!$B$116</f>
        <v/>
      </c>
      <c r="AG156" s="41">
        <f>AG67*(1-AG106+AG106*AG139*AG122)+AG98*Assumptions!$B$116</f>
        <v/>
      </c>
      <c r="AH156" s="41">
        <f>AH67*(1-AH106+AH106*AH139*AH122)+AH98*Assumptions!$B$116</f>
        <v/>
      </c>
      <c r="AI156" s="41">
        <f>AI67*(1-AI106+AI106*AI139*AI122)+AI98*Assumptions!$B$116</f>
        <v/>
      </c>
      <c r="AJ156" s="41">
        <f>AJ67*(1-AJ106+AJ106*AJ139*AJ122)+AJ98*Assumptions!$B$116</f>
        <v/>
      </c>
      <c r="AK156" s="41">
        <f>AK67*(1-AK106+AK106*AK139*AK122)+AK98*Assumptions!$B$116</f>
        <v/>
      </c>
      <c r="AL156" s="41">
        <f>AL67*(1-AL106+AL106*AL139*AL122)+AL98*Assumptions!$B$116</f>
        <v/>
      </c>
      <c r="AM156" s="41">
        <f>AM67*(1-AM106+AM106*AM139*AM122)+AM98*Assumptions!$B$116</f>
        <v/>
      </c>
      <c r="AN156" s="41">
        <f>AN67*(1-AN106+AN106*AN139*AN122)+AN98*Assumptions!$B$116</f>
        <v/>
      </c>
      <c r="AO156" s="41">
        <f>AO67*(1-AO106+AO106*AO139*AO122)+AO98*Assumptions!$B$116</f>
        <v/>
      </c>
      <c r="AP156" s="41">
        <f>AP67*(1-AP106+AP106*AP139*AP122)+AP98*Assumptions!$B$116</f>
        <v/>
      </c>
      <c r="AQ156" s="41">
        <f>AQ67*(1-AQ106+AQ106*AQ139*AQ122)+AQ98*Assumptions!$B$116</f>
        <v/>
      </c>
      <c r="AR156" s="41">
        <f>AR67*(1-AR106+AR106*AR139*AR122)+AR98*Assumptions!$B$116</f>
        <v/>
      </c>
      <c r="AS156" s="41">
        <f>AS67*(1-AS106+AS106*AS139*AS122)+AS98*Assumptions!$B$116</f>
        <v/>
      </c>
      <c r="AT156" s="41">
        <f>AT67*(1-AT106+AT106*AT139*AT122)+AT98*Assumptions!$B$116</f>
        <v/>
      </c>
      <c r="AU156" s="41">
        <f>AU67*(1-AU106+AU106*AU139*AU122)+AU98*Assumptions!$B$116</f>
        <v/>
      </c>
      <c r="AV156" s="41">
        <f>AV67*(1-AV106+AV106*AV139*AV122)+AV98*Assumptions!$B$116</f>
        <v/>
      </c>
      <c r="AW156" s="41">
        <f>AW67*(1-AW106+AW106*AW139*AW122)+AW98*Assumptions!$B$116</f>
        <v/>
      </c>
      <c r="AX156" s="41">
        <f>AX67*(1-AX106+AX106*AX139*AX122)+AX98*Assumptions!$B$116</f>
        <v/>
      </c>
      <c r="AY156" s="41">
        <f>AY67*(1-AY106+AY106*AY139*AY122)+AY98*Assumptions!$B$116</f>
        <v/>
      </c>
      <c r="AZ156" s="41">
        <f>AZ67*(1-AZ106+AZ106*AZ139*AZ122)+AZ98*Assumptions!$B$116</f>
        <v/>
      </c>
      <c r="BA156" s="41">
        <f>BA67*(1-BA106+BA106*BA139*BA122)+BA98*Assumptions!$B$116</f>
        <v/>
      </c>
      <c r="BB156" s="41">
        <f>BB67*(1-BB106+BB106*BB139*BB122)+BB98*Assumptions!$B$116</f>
        <v/>
      </c>
      <c r="BC156" s="41">
        <f>BC67*(1-BC106+BC106*BC139*BC122)+BC98*Assumptions!$B$116</f>
        <v/>
      </c>
      <c r="BD156" s="41">
        <f>BD67*(1-BD106+BD106*BD139*BD122)+BD98*Assumptions!$B$116</f>
        <v/>
      </c>
      <c r="BE156" s="41">
        <f>BE67*(1-BE106+BE106*BE139*BE122)+BE98*Assumptions!$B$116</f>
        <v/>
      </c>
      <c r="BF156" s="41">
        <f>BF67*(1-BF106+BF106*BF139*BF122)+BF98*Assumptions!$B$116</f>
        <v/>
      </c>
      <c r="BG156" s="41">
        <f>BG67*(1-BG106+BG106*BG139*BG122)+BG98*Assumptions!$B$116</f>
        <v/>
      </c>
      <c r="BH156" s="41">
        <f>BH67*(1-BH106+BH106*BH139*BH122)+BH98*Assumptions!$B$116</f>
        <v/>
      </c>
      <c r="BI156" s="41">
        <f>BI67*(1-BI106+BI106*BI139*BI122)+BI98*Assumptions!$B$116</f>
        <v/>
      </c>
      <c r="BJ156" s="41">
        <f>BJ67*(1-BJ106+BJ106*BJ139*BJ122)+BJ98*Assumptions!$B$116</f>
        <v/>
      </c>
    </row>
    <row r="157">
      <c r="A157" s="4" t="inlineStr">
        <is>
          <t>New SMEs: Botswana &amp; Namibia</t>
        </is>
      </c>
      <c r="B157" s="17" t="inlineStr">
        <is>
          <t>workspaces</t>
        </is>
      </c>
      <c r="C157" s="41">
        <f>C68*(1-C106+C106*C139*C134)+C98*(1-Assumptions!$B$116)</f>
        <v/>
      </c>
      <c r="D157" s="41">
        <f>D68*(1-D106+D106*D139*D134)+D98*(1-Assumptions!$B$116)</f>
        <v/>
      </c>
      <c r="E157" s="41">
        <f>E68*(1-E106+E106*E139*E134)+E98*(1-Assumptions!$B$116)</f>
        <v/>
      </c>
      <c r="F157" s="41">
        <f>F68*(1-F106+F106*F139*F134)+F98*(1-Assumptions!$B$116)</f>
        <v/>
      </c>
      <c r="G157" s="41">
        <f>G68*(1-G106+G106*G139*G134)+G98*(1-Assumptions!$B$116)</f>
        <v/>
      </c>
      <c r="H157" s="41">
        <f>H68*(1-H106+H106*H139*H134)+H98*(1-Assumptions!$B$116)</f>
        <v/>
      </c>
      <c r="I157" s="41">
        <f>I68*(1-I106+I106*I139*I134)+I98*(1-Assumptions!$B$116)</f>
        <v/>
      </c>
      <c r="J157" s="41">
        <f>J68*(1-J106+J106*J139*J134)+J98*(1-Assumptions!$B$116)</f>
        <v/>
      </c>
      <c r="K157" s="41">
        <f>K68*(1-K106+K106*K139*K134)+K98*(1-Assumptions!$B$116)</f>
        <v/>
      </c>
      <c r="L157" s="41">
        <f>L68*(1-L106+L106*L139*L134)+L98*(1-Assumptions!$B$116)</f>
        <v/>
      </c>
      <c r="M157" s="41">
        <f>M68*(1-M106+M106*M139*M134)+M98*(1-Assumptions!$B$116)</f>
        <v/>
      </c>
      <c r="N157" s="41">
        <f>N68*(1-N106+N106*N139*N134)+N98*(1-Assumptions!$B$116)</f>
        <v/>
      </c>
      <c r="O157" s="41">
        <f>O68*(1-O106+O106*O139*O134)+O98*(1-Assumptions!$B$116)</f>
        <v/>
      </c>
      <c r="P157" s="41">
        <f>P68*(1-P106+P106*P139*P134)+P98*(1-Assumptions!$B$116)</f>
        <v/>
      </c>
      <c r="Q157" s="41">
        <f>Q68*(1-Q106+Q106*Q139*Q134)+Q98*(1-Assumptions!$B$116)</f>
        <v/>
      </c>
      <c r="R157" s="41">
        <f>R68*(1-R106+R106*R139*R134)+R98*(1-Assumptions!$B$116)</f>
        <v/>
      </c>
      <c r="S157" s="41">
        <f>S68*(1-S106+S106*S139*S134)+S98*(1-Assumptions!$B$116)</f>
        <v/>
      </c>
      <c r="T157" s="41">
        <f>T68*(1-T106+T106*T139*T134)+T98*(1-Assumptions!$B$116)</f>
        <v/>
      </c>
      <c r="U157" s="41">
        <f>U68*(1-U106+U106*U139*U134)+U98*(1-Assumptions!$B$116)</f>
        <v/>
      </c>
      <c r="V157" s="41">
        <f>V68*(1-V106+V106*V139*V134)+V98*(1-Assumptions!$B$116)</f>
        <v/>
      </c>
      <c r="W157" s="41">
        <f>W68*(1-W106+W106*W139*W134)+W98*(1-Assumptions!$B$116)</f>
        <v/>
      </c>
      <c r="X157" s="41">
        <f>X68*(1-X106+X106*X139*X134)+X98*(1-Assumptions!$B$116)</f>
        <v/>
      </c>
      <c r="Y157" s="41">
        <f>Y68*(1-Y106+Y106*Y139*Y134)+Y98*(1-Assumptions!$B$116)</f>
        <v/>
      </c>
      <c r="Z157" s="41">
        <f>Z68*(1-Z106+Z106*Z139*Z134)+Z98*(1-Assumptions!$B$116)</f>
        <v/>
      </c>
      <c r="AA157" s="41">
        <f>AA68*(1-AA106+AA106*AA139*AA134)+AA98*(1-Assumptions!$B$116)</f>
        <v/>
      </c>
      <c r="AB157" s="41">
        <f>AB68*(1-AB106+AB106*AB139*AB134)+AB98*(1-Assumptions!$B$116)</f>
        <v/>
      </c>
      <c r="AC157" s="41">
        <f>AC68*(1-AC106+AC106*AC139*AC134)+AC98*(1-Assumptions!$B$116)</f>
        <v/>
      </c>
      <c r="AD157" s="41">
        <f>AD68*(1-AD106+AD106*AD139*AD134)+AD98*(1-Assumptions!$B$116)</f>
        <v/>
      </c>
      <c r="AE157" s="41">
        <f>AE68*(1-AE106+AE106*AE139*AE134)+AE98*(1-Assumptions!$B$116)</f>
        <v/>
      </c>
      <c r="AF157" s="41">
        <f>AF68*(1-AF106+AF106*AF139*AF134)+AF98*(1-Assumptions!$B$116)</f>
        <v/>
      </c>
      <c r="AG157" s="41">
        <f>AG68*(1-AG106+AG106*AG139*AG134)+AG98*(1-Assumptions!$B$116)</f>
        <v/>
      </c>
      <c r="AH157" s="41">
        <f>AH68*(1-AH106+AH106*AH139*AH134)+AH98*(1-Assumptions!$B$116)</f>
        <v/>
      </c>
      <c r="AI157" s="41">
        <f>AI68*(1-AI106+AI106*AI139*AI134)+AI98*(1-Assumptions!$B$116)</f>
        <v/>
      </c>
      <c r="AJ157" s="41">
        <f>AJ68*(1-AJ106+AJ106*AJ139*AJ134)+AJ98*(1-Assumptions!$B$116)</f>
        <v/>
      </c>
      <c r="AK157" s="41">
        <f>AK68*(1-AK106+AK106*AK139*AK134)+AK98*(1-Assumptions!$B$116)</f>
        <v/>
      </c>
      <c r="AL157" s="41">
        <f>AL68*(1-AL106+AL106*AL139*AL134)+AL98*(1-Assumptions!$B$116)</f>
        <v/>
      </c>
      <c r="AM157" s="41">
        <f>AM68*(1-AM106+AM106*AM139*AM134)+AM98*(1-Assumptions!$B$116)</f>
        <v/>
      </c>
      <c r="AN157" s="41">
        <f>AN68*(1-AN106+AN106*AN139*AN134)+AN98*(1-Assumptions!$B$116)</f>
        <v/>
      </c>
      <c r="AO157" s="41">
        <f>AO68*(1-AO106+AO106*AO139*AO134)+AO98*(1-Assumptions!$B$116)</f>
        <v/>
      </c>
      <c r="AP157" s="41">
        <f>AP68*(1-AP106+AP106*AP139*AP134)+AP98*(1-Assumptions!$B$116)</f>
        <v/>
      </c>
      <c r="AQ157" s="41">
        <f>AQ68*(1-AQ106+AQ106*AQ139*AQ134)+AQ98*(1-Assumptions!$B$116)</f>
        <v/>
      </c>
      <c r="AR157" s="41">
        <f>AR68*(1-AR106+AR106*AR139*AR134)+AR98*(1-Assumptions!$B$116)</f>
        <v/>
      </c>
      <c r="AS157" s="41">
        <f>AS68*(1-AS106+AS106*AS139*AS134)+AS98*(1-Assumptions!$B$116)</f>
        <v/>
      </c>
      <c r="AT157" s="41">
        <f>AT68*(1-AT106+AT106*AT139*AT134)+AT98*(1-Assumptions!$B$116)</f>
        <v/>
      </c>
      <c r="AU157" s="41">
        <f>AU68*(1-AU106+AU106*AU139*AU134)+AU98*(1-Assumptions!$B$116)</f>
        <v/>
      </c>
      <c r="AV157" s="41">
        <f>AV68*(1-AV106+AV106*AV139*AV134)+AV98*(1-Assumptions!$B$116)</f>
        <v/>
      </c>
      <c r="AW157" s="41">
        <f>AW68*(1-AW106+AW106*AW139*AW134)+AW98*(1-Assumptions!$B$116)</f>
        <v/>
      </c>
      <c r="AX157" s="41">
        <f>AX68*(1-AX106+AX106*AX139*AX134)+AX98*(1-Assumptions!$B$116)</f>
        <v/>
      </c>
      <c r="AY157" s="41">
        <f>AY68*(1-AY106+AY106*AY139*AY134)+AY98*(1-Assumptions!$B$116)</f>
        <v/>
      </c>
      <c r="AZ157" s="41">
        <f>AZ68*(1-AZ106+AZ106*AZ139*AZ134)+AZ98*(1-Assumptions!$B$116)</f>
        <v/>
      </c>
      <c r="BA157" s="41">
        <f>BA68*(1-BA106+BA106*BA139*BA134)+BA98*(1-Assumptions!$B$116)</f>
        <v/>
      </c>
      <c r="BB157" s="41">
        <f>BB68*(1-BB106+BB106*BB139*BB134)+BB98*(1-Assumptions!$B$116)</f>
        <v/>
      </c>
      <c r="BC157" s="41">
        <f>BC68*(1-BC106+BC106*BC139*BC134)+BC98*(1-Assumptions!$B$116)</f>
        <v/>
      </c>
      <c r="BD157" s="41">
        <f>BD68*(1-BD106+BD106*BD139*BD134)+BD98*(1-Assumptions!$B$116)</f>
        <v/>
      </c>
      <c r="BE157" s="41">
        <f>BE68*(1-BE106+BE106*BE139*BE134)+BE98*(1-Assumptions!$B$116)</f>
        <v/>
      </c>
      <c r="BF157" s="41">
        <f>BF68*(1-BF106+BF106*BF139*BF134)+BF98*(1-Assumptions!$B$116)</f>
        <v/>
      </c>
      <c r="BG157" s="41">
        <f>BG68*(1-BG106+BG106*BG139*BG134)+BG98*(1-Assumptions!$B$116)</f>
        <v/>
      </c>
      <c r="BH157" s="41">
        <f>BH68*(1-BH106+BH106*BH139*BH134)+BH98*(1-Assumptions!$B$116)</f>
        <v/>
      </c>
      <c r="BI157" s="41">
        <f>BI68*(1-BI106+BI106*BI139*BI134)+BI98*(1-Assumptions!$B$116)</f>
        <v/>
      </c>
      <c r="BJ157" s="41">
        <f>BJ68*(1-BJ106+BJ106*BJ139*BJ134)+BJ98*(1-Assumptions!$B$116)</f>
        <v/>
      </c>
    </row>
    <row r="158">
      <c r="A158" s="4" t="inlineStr">
        <is>
          <t>New agencies: South Africa (inbound + partnerships managers)</t>
        </is>
      </c>
      <c r="B158" s="17" t="inlineStr">
        <is>
          <t>agencies</t>
        </is>
      </c>
      <c r="C158" s="43">
        <f>C13*Assumptions!$B$147+Costs!C77*Assumptions!$B$148</f>
        <v/>
      </c>
      <c r="D158" s="43">
        <f>D13*Assumptions!$B$147+Costs!D77*Assumptions!$B$148</f>
        <v/>
      </c>
      <c r="E158" s="43">
        <f>E13*Assumptions!$B$147+Costs!E77*Assumptions!$B$148</f>
        <v/>
      </c>
      <c r="F158" s="43">
        <f>F13*Assumptions!$B$147+Costs!F77*Assumptions!$B$148</f>
        <v/>
      </c>
      <c r="G158" s="43">
        <f>G13*Assumptions!$B$147+Costs!G77*Assumptions!$B$148</f>
        <v/>
      </c>
      <c r="H158" s="43">
        <f>H13*Assumptions!$B$147+Costs!H77*Assumptions!$B$148</f>
        <v/>
      </c>
      <c r="I158" s="43">
        <f>I13*Assumptions!$B$147+Costs!I77*Assumptions!$B$148</f>
        <v/>
      </c>
      <c r="J158" s="43">
        <f>J13*Assumptions!$B$147+Costs!J77*Assumptions!$B$148</f>
        <v/>
      </c>
      <c r="K158" s="43">
        <f>K13*Assumptions!$B$147+Costs!K77*Assumptions!$B$148</f>
        <v/>
      </c>
      <c r="L158" s="43">
        <f>L13*Assumptions!$B$147+Costs!L77*Assumptions!$B$148</f>
        <v/>
      </c>
      <c r="M158" s="43">
        <f>M13*Assumptions!$B$147+Costs!M77*Assumptions!$B$148</f>
        <v/>
      </c>
      <c r="N158" s="43">
        <f>N13*Assumptions!$B$147+Costs!N77*Assumptions!$B$148</f>
        <v/>
      </c>
      <c r="O158" s="43">
        <f>O13*Assumptions!$B$147+Costs!O77*Assumptions!$B$148</f>
        <v/>
      </c>
      <c r="P158" s="43">
        <f>P13*Assumptions!$B$147+Costs!P77*Assumptions!$B$148</f>
        <v/>
      </c>
      <c r="Q158" s="43">
        <f>Q13*Assumptions!$B$147+Costs!Q77*Assumptions!$B$148</f>
        <v/>
      </c>
      <c r="R158" s="43">
        <f>R13*Assumptions!$B$147+Costs!R77*Assumptions!$B$148</f>
        <v/>
      </c>
      <c r="S158" s="43">
        <f>S13*Assumptions!$B$147+Costs!S77*Assumptions!$B$148</f>
        <v/>
      </c>
      <c r="T158" s="43">
        <f>T13*Assumptions!$B$147+Costs!T77*Assumptions!$B$148</f>
        <v/>
      </c>
      <c r="U158" s="43">
        <f>U13*Assumptions!$B$147+Costs!U77*Assumptions!$B$148</f>
        <v/>
      </c>
      <c r="V158" s="43">
        <f>V13*Assumptions!$B$147+Costs!V77*Assumptions!$B$148</f>
        <v/>
      </c>
      <c r="W158" s="43">
        <f>W13*Assumptions!$B$147+Costs!W77*Assumptions!$B$148</f>
        <v/>
      </c>
      <c r="X158" s="43">
        <f>X13*Assumptions!$B$147+Costs!X77*Assumptions!$B$148</f>
        <v/>
      </c>
      <c r="Y158" s="43">
        <f>Y13*Assumptions!$B$147+Costs!Y77*Assumptions!$B$148</f>
        <v/>
      </c>
      <c r="Z158" s="43">
        <f>Z13*Assumptions!$B$147+Costs!Z77*Assumptions!$B$148</f>
        <v/>
      </c>
      <c r="AA158" s="43">
        <f>AA13*Assumptions!$B$147+Costs!AA77*Assumptions!$B$148</f>
        <v/>
      </c>
      <c r="AB158" s="43">
        <f>AB13*Assumptions!$B$147+Costs!AB77*Assumptions!$B$148</f>
        <v/>
      </c>
      <c r="AC158" s="43">
        <f>AC13*Assumptions!$B$147+Costs!AC77*Assumptions!$B$148</f>
        <v/>
      </c>
      <c r="AD158" s="43">
        <f>AD13*Assumptions!$B$147+Costs!AD77*Assumptions!$B$148</f>
        <v/>
      </c>
      <c r="AE158" s="43">
        <f>AE13*Assumptions!$B$147+Costs!AE77*Assumptions!$B$148</f>
        <v/>
      </c>
      <c r="AF158" s="43">
        <f>AF13*Assumptions!$B$147+Costs!AF77*Assumptions!$B$148</f>
        <v/>
      </c>
      <c r="AG158" s="43">
        <f>AG13*Assumptions!$B$147+Costs!AG77*Assumptions!$B$148</f>
        <v/>
      </c>
      <c r="AH158" s="43">
        <f>AH13*Assumptions!$B$147+Costs!AH77*Assumptions!$B$148</f>
        <v/>
      </c>
      <c r="AI158" s="43">
        <f>AI13*Assumptions!$B$147+Costs!AI77*Assumptions!$B$148</f>
        <v/>
      </c>
      <c r="AJ158" s="43">
        <f>AJ13*Assumptions!$B$147+Costs!AJ77*Assumptions!$B$148</f>
        <v/>
      </c>
      <c r="AK158" s="43">
        <f>AK13*Assumptions!$B$147+Costs!AK77*Assumptions!$B$148</f>
        <v/>
      </c>
      <c r="AL158" s="43">
        <f>AL13*Assumptions!$B$147+Costs!AL77*Assumptions!$B$148</f>
        <v/>
      </c>
      <c r="AM158" s="43">
        <f>AM13*Assumptions!$B$147+Costs!AM77*Assumptions!$B$148</f>
        <v/>
      </c>
      <c r="AN158" s="43">
        <f>AN13*Assumptions!$B$147+Costs!AN77*Assumptions!$B$148</f>
        <v/>
      </c>
      <c r="AO158" s="43">
        <f>AO13*Assumptions!$B$147+Costs!AO77*Assumptions!$B$148</f>
        <v/>
      </c>
      <c r="AP158" s="43">
        <f>AP13*Assumptions!$B$147+Costs!AP77*Assumptions!$B$148</f>
        <v/>
      </c>
      <c r="AQ158" s="43">
        <f>AQ13*Assumptions!$B$147+Costs!AQ77*Assumptions!$B$148</f>
        <v/>
      </c>
      <c r="AR158" s="43">
        <f>AR13*Assumptions!$B$147+Costs!AR77*Assumptions!$B$148</f>
        <v/>
      </c>
      <c r="AS158" s="43">
        <f>AS13*Assumptions!$B$147+Costs!AS77*Assumptions!$B$148</f>
        <v/>
      </c>
      <c r="AT158" s="43">
        <f>AT13*Assumptions!$B$147+Costs!AT77*Assumptions!$B$148</f>
        <v/>
      </c>
      <c r="AU158" s="43">
        <f>AU13*Assumptions!$B$147+Costs!AU77*Assumptions!$B$148</f>
        <v/>
      </c>
      <c r="AV158" s="43">
        <f>AV13*Assumptions!$B$147+Costs!AV77*Assumptions!$B$148</f>
        <v/>
      </c>
      <c r="AW158" s="43">
        <f>AW13*Assumptions!$B$147+Costs!AW77*Assumptions!$B$148</f>
        <v/>
      </c>
      <c r="AX158" s="43">
        <f>AX13*Assumptions!$B$147+Costs!AX77*Assumptions!$B$148</f>
        <v/>
      </c>
      <c r="AY158" s="43">
        <f>AY13*Assumptions!$B$147+Costs!AY77*Assumptions!$B$148</f>
        <v/>
      </c>
      <c r="AZ158" s="43">
        <f>AZ13*Assumptions!$B$147+Costs!AZ77*Assumptions!$B$148</f>
        <v/>
      </c>
      <c r="BA158" s="43">
        <f>BA13*Assumptions!$B$147+Costs!BA77*Assumptions!$B$148</f>
        <v/>
      </c>
      <c r="BB158" s="43">
        <f>BB13*Assumptions!$B$147+Costs!BB77*Assumptions!$B$148</f>
        <v/>
      </c>
      <c r="BC158" s="43">
        <f>BC13*Assumptions!$B$147+Costs!BC77*Assumptions!$B$148</f>
        <v/>
      </c>
      <c r="BD158" s="43">
        <f>BD13*Assumptions!$B$147+Costs!BD77*Assumptions!$B$148</f>
        <v/>
      </c>
      <c r="BE158" s="43">
        <f>BE13*Assumptions!$B$147+Costs!BE77*Assumptions!$B$148</f>
        <v/>
      </c>
      <c r="BF158" s="43">
        <f>BF13*Assumptions!$B$147+Costs!BF77*Assumptions!$B$148</f>
        <v/>
      </c>
      <c r="BG158" s="43">
        <f>BG13*Assumptions!$B$147+Costs!BG77*Assumptions!$B$148</f>
        <v/>
      </c>
      <c r="BH158" s="43">
        <f>BH13*Assumptions!$B$147+Costs!BH77*Assumptions!$B$148</f>
        <v/>
      </c>
      <c r="BI158" s="43">
        <f>BI13*Assumptions!$B$147+Costs!BI77*Assumptions!$B$148</f>
        <v/>
      </c>
      <c r="BJ158" s="43">
        <f>BJ13*Assumptions!$B$147+Costs!BJ77*Assumptions!$B$148</f>
        <v/>
      </c>
    </row>
    <row r="159">
      <c r="A159" s="4" t="inlineStr">
        <is>
          <t>New agencies: Nigeria (inbound + country lead)</t>
        </is>
      </c>
      <c r="B159" s="17" t="inlineStr">
        <is>
          <t>agencies</t>
        </is>
      </c>
      <c r="C159" s="43">
        <f>C15*Assumptions!$B$68+Costs!C78*Assumptions!$B$108</f>
        <v/>
      </c>
      <c r="D159" s="43">
        <f>D15*Assumptions!$B$68+Costs!D78*Assumptions!$B$108</f>
        <v/>
      </c>
      <c r="E159" s="43">
        <f>E15*Assumptions!$B$68+Costs!E78*Assumptions!$B$108</f>
        <v/>
      </c>
      <c r="F159" s="43">
        <f>F15*Assumptions!$B$68+Costs!F78*Assumptions!$B$108</f>
        <v/>
      </c>
      <c r="G159" s="43">
        <f>G15*Assumptions!$B$68+Costs!G78*Assumptions!$B$108</f>
        <v/>
      </c>
      <c r="H159" s="43">
        <f>H15*Assumptions!$B$68+Costs!H78*Assumptions!$B$108</f>
        <v/>
      </c>
      <c r="I159" s="43">
        <f>I15*Assumptions!$B$68+Costs!I78*Assumptions!$B$108</f>
        <v/>
      </c>
      <c r="J159" s="43">
        <f>J15*Assumptions!$B$68+Costs!J78*Assumptions!$B$108</f>
        <v/>
      </c>
      <c r="K159" s="43">
        <f>K15*Assumptions!$B$68+Costs!K78*Assumptions!$B$108</f>
        <v/>
      </c>
      <c r="L159" s="43">
        <f>L15*Assumptions!$B$68+Costs!L78*Assumptions!$B$108</f>
        <v/>
      </c>
      <c r="M159" s="43">
        <f>M15*Assumptions!$B$68+Costs!M78*Assumptions!$B$108</f>
        <v/>
      </c>
      <c r="N159" s="43">
        <f>N15*Assumptions!$B$68+Costs!N78*Assumptions!$B$108</f>
        <v/>
      </c>
      <c r="O159" s="43">
        <f>O15*Assumptions!$B$68+Costs!O78*Assumptions!$B$108</f>
        <v/>
      </c>
      <c r="P159" s="43">
        <f>P15*Assumptions!$B$68+Costs!P78*Assumptions!$B$108</f>
        <v/>
      </c>
      <c r="Q159" s="43">
        <f>Q15*Assumptions!$B$68+Costs!Q78*Assumptions!$B$108</f>
        <v/>
      </c>
      <c r="R159" s="43">
        <f>R15*Assumptions!$B$68+Costs!R78*Assumptions!$B$108</f>
        <v/>
      </c>
      <c r="S159" s="43">
        <f>S15*Assumptions!$B$68+Costs!S78*Assumptions!$B$108</f>
        <v/>
      </c>
      <c r="T159" s="43">
        <f>T15*Assumptions!$B$68+Costs!T78*Assumptions!$B$108</f>
        <v/>
      </c>
      <c r="U159" s="43">
        <f>U15*Assumptions!$B$68+Costs!U78*Assumptions!$B$108</f>
        <v/>
      </c>
      <c r="V159" s="43">
        <f>V15*Assumptions!$B$68+Costs!V78*Assumptions!$B$108</f>
        <v/>
      </c>
      <c r="W159" s="43">
        <f>W15*Assumptions!$B$68+Costs!W78*Assumptions!$B$108</f>
        <v/>
      </c>
      <c r="X159" s="43">
        <f>X15*Assumptions!$B$68+Costs!X78*Assumptions!$B$108</f>
        <v/>
      </c>
      <c r="Y159" s="43">
        <f>Y15*Assumptions!$B$68+Costs!Y78*Assumptions!$B$108</f>
        <v/>
      </c>
      <c r="Z159" s="43">
        <f>Z15*Assumptions!$B$68+Costs!Z78*Assumptions!$B$108</f>
        <v/>
      </c>
      <c r="AA159" s="43">
        <f>AA15*Assumptions!$B$68+Costs!AA78*Assumptions!$B$108</f>
        <v/>
      </c>
      <c r="AB159" s="43">
        <f>AB15*Assumptions!$B$68+Costs!AB78*Assumptions!$B$108</f>
        <v/>
      </c>
      <c r="AC159" s="43">
        <f>AC15*Assumptions!$B$68+Costs!AC78*Assumptions!$B$108</f>
        <v/>
      </c>
      <c r="AD159" s="43">
        <f>AD15*Assumptions!$B$68+Costs!AD78*Assumptions!$B$108</f>
        <v/>
      </c>
      <c r="AE159" s="43">
        <f>AE15*Assumptions!$B$68+Costs!AE78*Assumptions!$B$108</f>
        <v/>
      </c>
      <c r="AF159" s="43">
        <f>AF15*Assumptions!$B$68+Costs!AF78*Assumptions!$B$108</f>
        <v/>
      </c>
      <c r="AG159" s="43">
        <f>AG15*Assumptions!$B$68+Costs!AG78*Assumptions!$B$108</f>
        <v/>
      </c>
      <c r="AH159" s="43">
        <f>AH15*Assumptions!$B$68+Costs!AH78*Assumptions!$B$108</f>
        <v/>
      </c>
      <c r="AI159" s="43">
        <f>AI15*Assumptions!$B$68+Costs!AI78*Assumptions!$B$108</f>
        <v/>
      </c>
      <c r="AJ159" s="43">
        <f>AJ15*Assumptions!$B$68+Costs!AJ78*Assumptions!$B$108</f>
        <v/>
      </c>
      <c r="AK159" s="43">
        <f>AK15*Assumptions!$B$68+Costs!AK78*Assumptions!$B$108</f>
        <v/>
      </c>
      <c r="AL159" s="43">
        <f>AL15*Assumptions!$B$68+Costs!AL78*Assumptions!$B$108</f>
        <v/>
      </c>
      <c r="AM159" s="43">
        <f>AM15*Assumptions!$B$68+Costs!AM78*Assumptions!$B$108</f>
        <v/>
      </c>
      <c r="AN159" s="43">
        <f>AN15*Assumptions!$B$68+Costs!AN78*Assumptions!$B$108</f>
        <v/>
      </c>
      <c r="AO159" s="43">
        <f>AO15*Assumptions!$B$68+Costs!AO78*Assumptions!$B$108</f>
        <v/>
      </c>
      <c r="AP159" s="43">
        <f>AP15*Assumptions!$B$68+Costs!AP78*Assumptions!$B$108</f>
        <v/>
      </c>
      <c r="AQ159" s="43">
        <f>AQ15*Assumptions!$B$68+Costs!AQ78*Assumptions!$B$108</f>
        <v/>
      </c>
      <c r="AR159" s="43">
        <f>AR15*Assumptions!$B$68+Costs!AR78*Assumptions!$B$108</f>
        <v/>
      </c>
      <c r="AS159" s="43">
        <f>AS15*Assumptions!$B$68+Costs!AS78*Assumptions!$B$108</f>
        <v/>
      </c>
      <c r="AT159" s="43">
        <f>AT15*Assumptions!$B$68+Costs!AT78*Assumptions!$B$108</f>
        <v/>
      </c>
      <c r="AU159" s="43">
        <f>AU15*Assumptions!$B$68+Costs!AU78*Assumptions!$B$108</f>
        <v/>
      </c>
      <c r="AV159" s="43">
        <f>AV15*Assumptions!$B$68+Costs!AV78*Assumptions!$B$108</f>
        <v/>
      </c>
      <c r="AW159" s="43">
        <f>AW15*Assumptions!$B$68+Costs!AW78*Assumptions!$B$108</f>
        <v/>
      </c>
      <c r="AX159" s="43">
        <f>AX15*Assumptions!$B$68+Costs!AX78*Assumptions!$B$108</f>
        <v/>
      </c>
      <c r="AY159" s="43">
        <f>AY15*Assumptions!$B$68+Costs!AY78*Assumptions!$B$108</f>
        <v/>
      </c>
      <c r="AZ159" s="43">
        <f>AZ15*Assumptions!$B$68+Costs!AZ78*Assumptions!$B$108</f>
        <v/>
      </c>
      <c r="BA159" s="43">
        <f>BA15*Assumptions!$B$68+Costs!BA78*Assumptions!$B$108</f>
        <v/>
      </c>
      <c r="BB159" s="43">
        <f>BB15*Assumptions!$B$68+Costs!BB78*Assumptions!$B$108</f>
        <v/>
      </c>
      <c r="BC159" s="43">
        <f>BC15*Assumptions!$B$68+Costs!BC78*Assumptions!$B$108</f>
        <v/>
      </c>
      <c r="BD159" s="43">
        <f>BD15*Assumptions!$B$68+Costs!BD78*Assumptions!$B$108</f>
        <v/>
      </c>
      <c r="BE159" s="43">
        <f>BE15*Assumptions!$B$68+Costs!BE78*Assumptions!$B$108</f>
        <v/>
      </c>
      <c r="BF159" s="43">
        <f>BF15*Assumptions!$B$68+Costs!BF78*Assumptions!$B$108</f>
        <v/>
      </c>
      <c r="BG159" s="43">
        <f>BG15*Assumptions!$B$68+Costs!BG78*Assumptions!$B$108</f>
        <v/>
      </c>
      <c r="BH159" s="43">
        <f>BH15*Assumptions!$B$68+Costs!BH78*Assumptions!$B$108</f>
        <v/>
      </c>
      <c r="BI159" s="43">
        <f>BI15*Assumptions!$B$68+Costs!BI78*Assumptions!$B$108</f>
        <v/>
      </c>
      <c r="BJ159" s="43">
        <f>BJ15*Assumptions!$B$68+Costs!BJ78*Assumptions!$B$108</f>
        <v/>
      </c>
    </row>
    <row r="160">
      <c r="A160" s="4" t="inlineStr">
        <is>
          <t>New agencies: Kenya (inbound + country lead)</t>
        </is>
      </c>
      <c r="B160" s="17" t="inlineStr">
        <is>
          <t>agencies</t>
        </is>
      </c>
      <c r="C160" s="43">
        <f>C17*Assumptions!$B$78+Costs!C79*Assumptions!$B$108</f>
        <v/>
      </c>
      <c r="D160" s="43">
        <f>D17*Assumptions!$B$78+Costs!D79*Assumptions!$B$108</f>
        <v/>
      </c>
      <c r="E160" s="43">
        <f>E17*Assumptions!$B$78+Costs!E79*Assumptions!$B$108</f>
        <v/>
      </c>
      <c r="F160" s="43">
        <f>F17*Assumptions!$B$78+Costs!F79*Assumptions!$B$108</f>
        <v/>
      </c>
      <c r="G160" s="43">
        <f>G17*Assumptions!$B$78+Costs!G79*Assumptions!$B$108</f>
        <v/>
      </c>
      <c r="H160" s="43">
        <f>H17*Assumptions!$B$78+Costs!H79*Assumptions!$B$108</f>
        <v/>
      </c>
      <c r="I160" s="43">
        <f>I17*Assumptions!$B$78+Costs!I79*Assumptions!$B$108</f>
        <v/>
      </c>
      <c r="J160" s="43">
        <f>J17*Assumptions!$B$78+Costs!J79*Assumptions!$B$108</f>
        <v/>
      </c>
      <c r="K160" s="43">
        <f>K17*Assumptions!$B$78+Costs!K79*Assumptions!$B$108</f>
        <v/>
      </c>
      <c r="L160" s="43">
        <f>L17*Assumptions!$B$78+Costs!L79*Assumptions!$B$108</f>
        <v/>
      </c>
      <c r="M160" s="43">
        <f>M17*Assumptions!$B$78+Costs!M79*Assumptions!$B$108</f>
        <v/>
      </c>
      <c r="N160" s="43">
        <f>N17*Assumptions!$B$78+Costs!N79*Assumptions!$B$108</f>
        <v/>
      </c>
      <c r="O160" s="43">
        <f>O17*Assumptions!$B$78+Costs!O79*Assumptions!$B$108</f>
        <v/>
      </c>
      <c r="P160" s="43">
        <f>P17*Assumptions!$B$78+Costs!P79*Assumptions!$B$108</f>
        <v/>
      </c>
      <c r="Q160" s="43">
        <f>Q17*Assumptions!$B$78+Costs!Q79*Assumptions!$B$108</f>
        <v/>
      </c>
      <c r="R160" s="43">
        <f>R17*Assumptions!$B$78+Costs!R79*Assumptions!$B$108</f>
        <v/>
      </c>
      <c r="S160" s="43">
        <f>S17*Assumptions!$B$78+Costs!S79*Assumptions!$B$108</f>
        <v/>
      </c>
      <c r="T160" s="43">
        <f>T17*Assumptions!$B$78+Costs!T79*Assumptions!$B$108</f>
        <v/>
      </c>
      <c r="U160" s="43">
        <f>U17*Assumptions!$B$78+Costs!U79*Assumptions!$B$108</f>
        <v/>
      </c>
      <c r="V160" s="43">
        <f>V17*Assumptions!$B$78+Costs!V79*Assumptions!$B$108</f>
        <v/>
      </c>
      <c r="W160" s="43">
        <f>W17*Assumptions!$B$78+Costs!W79*Assumptions!$B$108</f>
        <v/>
      </c>
      <c r="X160" s="43">
        <f>X17*Assumptions!$B$78+Costs!X79*Assumptions!$B$108</f>
        <v/>
      </c>
      <c r="Y160" s="43">
        <f>Y17*Assumptions!$B$78+Costs!Y79*Assumptions!$B$108</f>
        <v/>
      </c>
      <c r="Z160" s="43">
        <f>Z17*Assumptions!$B$78+Costs!Z79*Assumptions!$B$108</f>
        <v/>
      </c>
      <c r="AA160" s="43">
        <f>AA17*Assumptions!$B$78+Costs!AA79*Assumptions!$B$108</f>
        <v/>
      </c>
      <c r="AB160" s="43">
        <f>AB17*Assumptions!$B$78+Costs!AB79*Assumptions!$B$108</f>
        <v/>
      </c>
      <c r="AC160" s="43">
        <f>AC17*Assumptions!$B$78+Costs!AC79*Assumptions!$B$108</f>
        <v/>
      </c>
      <c r="AD160" s="43">
        <f>AD17*Assumptions!$B$78+Costs!AD79*Assumptions!$B$108</f>
        <v/>
      </c>
      <c r="AE160" s="43">
        <f>AE17*Assumptions!$B$78+Costs!AE79*Assumptions!$B$108</f>
        <v/>
      </c>
      <c r="AF160" s="43">
        <f>AF17*Assumptions!$B$78+Costs!AF79*Assumptions!$B$108</f>
        <v/>
      </c>
      <c r="AG160" s="43">
        <f>AG17*Assumptions!$B$78+Costs!AG79*Assumptions!$B$108</f>
        <v/>
      </c>
      <c r="AH160" s="43">
        <f>AH17*Assumptions!$B$78+Costs!AH79*Assumptions!$B$108</f>
        <v/>
      </c>
      <c r="AI160" s="43">
        <f>AI17*Assumptions!$B$78+Costs!AI79*Assumptions!$B$108</f>
        <v/>
      </c>
      <c r="AJ160" s="43">
        <f>AJ17*Assumptions!$B$78+Costs!AJ79*Assumptions!$B$108</f>
        <v/>
      </c>
      <c r="AK160" s="43">
        <f>AK17*Assumptions!$B$78+Costs!AK79*Assumptions!$B$108</f>
        <v/>
      </c>
      <c r="AL160" s="43">
        <f>AL17*Assumptions!$B$78+Costs!AL79*Assumptions!$B$108</f>
        <v/>
      </c>
      <c r="AM160" s="43">
        <f>AM17*Assumptions!$B$78+Costs!AM79*Assumptions!$B$108</f>
        <v/>
      </c>
      <c r="AN160" s="43">
        <f>AN17*Assumptions!$B$78+Costs!AN79*Assumptions!$B$108</f>
        <v/>
      </c>
      <c r="AO160" s="43">
        <f>AO17*Assumptions!$B$78+Costs!AO79*Assumptions!$B$108</f>
        <v/>
      </c>
      <c r="AP160" s="43">
        <f>AP17*Assumptions!$B$78+Costs!AP79*Assumptions!$B$108</f>
        <v/>
      </c>
      <c r="AQ160" s="43">
        <f>AQ17*Assumptions!$B$78+Costs!AQ79*Assumptions!$B$108</f>
        <v/>
      </c>
      <c r="AR160" s="43">
        <f>AR17*Assumptions!$B$78+Costs!AR79*Assumptions!$B$108</f>
        <v/>
      </c>
      <c r="AS160" s="43">
        <f>AS17*Assumptions!$B$78+Costs!AS79*Assumptions!$B$108</f>
        <v/>
      </c>
      <c r="AT160" s="43">
        <f>AT17*Assumptions!$B$78+Costs!AT79*Assumptions!$B$108</f>
        <v/>
      </c>
      <c r="AU160" s="43">
        <f>AU17*Assumptions!$B$78+Costs!AU79*Assumptions!$B$108</f>
        <v/>
      </c>
      <c r="AV160" s="43">
        <f>AV17*Assumptions!$B$78+Costs!AV79*Assumptions!$B$108</f>
        <v/>
      </c>
      <c r="AW160" s="43">
        <f>AW17*Assumptions!$B$78+Costs!AW79*Assumptions!$B$108</f>
        <v/>
      </c>
      <c r="AX160" s="43">
        <f>AX17*Assumptions!$B$78+Costs!AX79*Assumptions!$B$108</f>
        <v/>
      </c>
      <c r="AY160" s="43">
        <f>AY17*Assumptions!$B$78+Costs!AY79*Assumptions!$B$108</f>
        <v/>
      </c>
      <c r="AZ160" s="43">
        <f>AZ17*Assumptions!$B$78+Costs!AZ79*Assumptions!$B$108</f>
        <v/>
      </c>
      <c r="BA160" s="43">
        <f>BA17*Assumptions!$B$78+Costs!BA79*Assumptions!$B$108</f>
        <v/>
      </c>
      <c r="BB160" s="43">
        <f>BB17*Assumptions!$B$78+Costs!BB79*Assumptions!$B$108</f>
        <v/>
      </c>
      <c r="BC160" s="43">
        <f>BC17*Assumptions!$B$78+Costs!BC79*Assumptions!$B$108</f>
        <v/>
      </c>
      <c r="BD160" s="43">
        <f>BD17*Assumptions!$B$78+Costs!BD79*Assumptions!$B$108</f>
        <v/>
      </c>
      <c r="BE160" s="43">
        <f>BE17*Assumptions!$B$78+Costs!BE79*Assumptions!$B$108</f>
        <v/>
      </c>
      <c r="BF160" s="43">
        <f>BF17*Assumptions!$B$78+Costs!BF79*Assumptions!$B$108</f>
        <v/>
      </c>
      <c r="BG160" s="43">
        <f>BG17*Assumptions!$B$78+Costs!BG79*Assumptions!$B$108</f>
        <v/>
      </c>
      <c r="BH160" s="43">
        <f>BH17*Assumptions!$B$78+Costs!BH79*Assumptions!$B$108</f>
        <v/>
      </c>
      <c r="BI160" s="43">
        <f>BI17*Assumptions!$B$78+Costs!BI79*Assumptions!$B$108</f>
        <v/>
      </c>
      <c r="BJ160" s="43">
        <f>BJ17*Assumptions!$B$78+Costs!BJ79*Assumptions!$B$108</f>
        <v/>
      </c>
    </row>
    <row r="161">
      <c r="A161" s="4" t="inlineStr">
        <is>
          <t>New agencies: Ghana (inbound + country lead)</t>
        </is>
      </c>
      <c r="B161" s="17" t="inlineStr">
        <is>
          <t>agencies</t>
        </is>
      </c>
      <c r="C161" s="43">
        <f>C19*Assumptions!$B$88+Costs!C80*Assumptions!$B$108</f>
        <v/>
      </c>
      <c r="D161" s="43">
        <f>D19*Assumptions!$B$88+Costs!D80*Assumptions!$B$108</f>
        <v/>
      </c>
      <c r="E161" s="43">
        <f>E19*Assumptions!$B$88+Costs!E80*Assumptions!$B$108</f>
        <v/>
      </c>
      <c r="F161" s="43">
        <f>F19*Assumptions!$B$88+Costs!F80*Assumptions!$B$108</f>
        <v/>
      </c>
      <c r="G161" s="43">
        <f>G19*Assumptions!$B$88+Costs!G80*Assumptions!$B$108</f>
        <v/>
      </c>
      <c r="H161" s="43">
        <f>H19*Assumptions!$B$88+Costs!H80*Assumptions!$B$108</f>
        <v/>
      </c>
      <c r="I161" s="43">
        <f>I19*Assumptions!$B$88+Costs!I80*Assumptions!$B$108</f>
        <v/>
      </c>
      <c r="J161" s="43">
        <f>J19*Assumptions!$B$88+Costs!J80*Assumptions!$B$108</f>
        <v/>
      </c>
      <c r="K161" s="43">
        <f>K19*Assumptions!$B$88+Costs!K80*Assumptions!$B$108</f>
        <v/>
      </c>
      <c r="L161" s="43">
        <f>L19*Assumptions!$B$88+Costs!L80*Assumptions!$B$108</f>
        <v/>
      </c>
      <c r="M161" s="43">
        <f>M19*Assumptions!$B$88+Costs!M80*Assumptions!$B$108</f>
        <v/>
      </c>
      <c r="N161" s="43">
        <f>N19*Assumptions!$B$88+Costs!N80*Assumptions!$B$108</f>
        <v/>
      </c>
      <c r="O161" s="43">
        <f>O19*Assumptions!$B$88+Costs!O80*Assumptions!$B$108</f>
        <v/>
      </c>
      <c r="P161" s="43">
        <f>P19*Assumptions!$B$88+Costs!P80*Assumptions!$B$108</f>
        <v/>
      </c>
      <c r="Q161" s="43">
        <f>Q19*Assumptions!$B$88+Costs!Q80*Assumptions!$B$108</f>
        <v/>
      </c>
      <c r="R161" s="43">
        <f>R19*Assumptions!$B$88+Costs!R80*Assumptions!$B$108</f>
        <v/>
      </c>
      <c r="S161" s="43">
        <f>S19*Assumptions!$B$88+Costs!S80*Assumptions!$B$108</f>
        <v/>
      </c>
      <c r="T161" s="43">
        <f>T19*Assumptions!$B$88+Costs!T80*Assumptions!$B$108</f>
        <v/>
      </c>
      <c r="U161" s="43">
        <f>U19*Assumptions!$B$88+Costs!U80*Assumptions!$B$108</f>
        <v/>
      </c>
      <c r="V161" s="43">
        <f>V19*Assumptions!$B$88+Costs!V80*Assumptions!$B$108</f>
        <v/>
      </c>
      <c r="W161" s="43">
        <f>W19*Assumptions!$B$88+Costs!W80*Assumptions!$B$108</f>
        <v/>
      </c>
      <c r="X161" s="43">
        <f>X19*Assumptions!$B$88+Costs!X80*Assumptions!$B$108</f>
        <v/>
      </c>
      <c r="Y161" s="43">
        <f>Y19*Assumptions!$B$88+Costs!Y80*Assumptions!$B$108</f>
        <v/>
      </c>
      <c r="Z161" s="43">
        <f>Z19*Assumptions!$B$88+Costs!Z80*Assumptions!$B$108</f>
        <v/>
      </c>
      <c r="AA161" s="43">
        <f>AA19*Assumptions!$B$88+Costs!AA80*Assumptions!$B$108</f>
        <v/>
      </c>
      <c r="AB161" s="43">
        <f>AB19*Assumptions!$B$88+Costs!AB80*Assumptions!$B$108</f>
        <v/>
      </c>
      <c r="AC161" s="43">
        <f>AC19*Assumptions!$B$88+Costs!AC80*Assumptions!$B$108</f>
        <v/>
      </c>
      <c r="AD161" s="43">
        <f>AD19*Assumptions!$B$88+Costs!AD80*Assumptions!$B$108</f>
        <v/>
      </c>
      <c r="AE161" s="43">
        <f>AE19*Assumptions!$B$88+Costs!AE80*Assumptions!$B$108</f>
        <v/>
      </c>
      <c r="AF161" s="43">
        <f>AF19*Assumptions!$B$88+Costs!AF80*Assumptions!$B$108</f>
        <v/>
      </c>
      <c r="AG161" s="43">
        <f>AG19*Assumptions!$B$88+Costs!AG80*Assumptions!$B$108</f>
        <v/>
      </c>
      <c r="AH161" s="43">
        <f>AH19*Assumptions!$B$88+Costs!AH80*Assumptions!$B$108</f>
        <v/>
      </c>
      <c r="AI161" s="43">
        <f>AI19*Assumptions!$B$88+Costs!AI80*Assumptions!$B$108</f>
        <v/>
      </c>
      <c r="AJ161" s="43">
        <f>AJ19*Assumptions!$B$88+Costs!AJ80*Assumptions!$B$108</f>
        <v/>
      </c>
      <c r="AK161" s="43">
        <f>AK19*Assumptions!$B$88+Costs!AK80*Assumptions!$B$108</f>
        <v/>
      </c>
      <c r="AL161" s="43">
        <f>AL19*Assumptions!$B$88+Costs!AL80*Assumptions!$B$108</f>
        <v/>
      </c>
      <c r="AM161" s="43">
        <f>AM19*Assumptions!$B$88+Costs!AM80*Assumptions!$B$108</f>
        <v/>
      </c>
      <c r="AN161" s="43">
        <f>AN19*Assumptions!$B$88+Costs!AN80*Assumptions!$B$108</f>
        <v/>
      </c>
      <c r="AO161" s="43">
        <f>AO19*Assumptions!$B$88+Costs!AO80*Assumptions!$B$108</f>
        <v/>
      </c>
      <c r="AP161" s="43">
        <f>AP19*Assumptions!$B$88+Costs!AP80*Assumptions!$B$108</f>
        <v/>
      </c>
      <c r="AQ161" s="43">
        <f>AQ19*Assumptions!$B$88+Costs!AQ80*Assumptions!$B$108</f>
        <v/>
      </c>
      <c r="AR161" s="43">
        <f>AR19*Assumptions!$B$88+Costs!AR80*Assumptions!$B$108</f>
        <v/>
      </c>
      <c r="AS161" s="43">
        <f>AS19*Assumptions!$B$88+Costs!AS80*Assumptions!$B$108</f>
        <v/>
      </c>
      <c r="AT161" s="43">
        <f>AT19*Assumptions!$B$88+Costs!AT80*Assumptions!$B$108</f>
        <v/>
      </c>
      <c r="AU161" s="43">
        <f>AU19*Assumptions!$B$88+Costs!AU80*Assumptions!$B$108</f>
        <v/>
      </c>
      <c r="AV161" s="43">
        <f>AV19*Assumptions!$B$88+Costs!AV80*Assumptions!$B$108</f>
        <v/>
      </c>
      <c r="AW161" s="43">
        <f>AW19*Assumptions!$B$88+Costs!AW80*Assumptions!$B$108</f>
        <v/>
      </c>
      <c r="AX161" s="43">
        <f>AX19*Assumptions!$B$88+Costs!AX80*Assumptions!$B$108</f>
        <v/>
      </c>
      <c r="AY161" s="43">
        <f>AY19*Assumptions!$B$88+Costs!AY80*Assumptions!$B$108</f>
        <v/>
      </c>
      <c r="AZ161" s="43">
        <f>AZ19*Assumptions!$B$88+Costs!AZ80*Assumptions!$B$108</f>
        <v/>
      </c>
      <c r="BA161" s="43">
        <f>BA19*Assumptions!$B$88+Costs!BA80*Assumptions!$B$108</f>
        <v/>
      </c>
      <c r="BB161" s="43">
        <f>BB19*Assumptions!$B$88+Costs!BB80*Assumptions!$B$108</f>
        <v/>
      </c>
      <c r="BC161" s="43">
        <f>BC19*Assumptions!$B$88+Costs!BC80*Assumptions!$B$108</f>
        <v/>
      </c>
      <c r="BD161" s="43">
        <f>BD19*Assumptions!$B$88+Costs!BD80*Assumptions!$B$108</f>
        <v/>
      </c>
      <c r="BE161" s="43">
        <f>BE19*Assumptions!$B$88+Costs!BE80*Assumptions!$B$108</f>
        <v/>
      </c>
      <c r="BF161" s="43">
        <f>BF19*Assumptions!$B$88+Costs!BF80*Assumptions!$B$108</f>
        <v/>
      </c>
      <c r="BG161" s="43">
        <f>BG19*Assumptions!$B$88+Costs!BG80*Assumptions!$B$108</f>
        <v/>
      </c>
      <c r="BH161" s="43">
        <f>BH19*Assumptions!$B$88+Costs!BH80*Assumptions!$B$108</f>
        <v/>
      </c>
      <c r="BI161" s="43">
        <f>BI19*Assumptions!$B$88+Costs!BI80*Assumptions!$B$108</f>
        <v/>
      </c>
      <c r="BJ161" s="43">
        <f>BJ19*Assumptions!$B$88+Costs!BJ80*Assumptions!$B$108</f>
        <v/>
      </c>
    </row>
    <row r="162">
      <c r="A162" s="4" t="inlineStr">
        <is>
          <t>New inbound Corporate deals (SA)</t>
        </is>
      </c>
      <c r="B162" s="17" t="inlineStr">
        <is>
          <t>deals</t>
        </is>
      </c>
      <c r="C162" s="43">
        <f>C13*CHOOSE(C$5,Assumptions!$B$150,Assumptions!$B$151,Assumptions!$B$152,Assumptions!$B$153,Assumptions!$B$154)/12*Assumptions!$B$49</f>
        <v/>
      </c>
      <c r="D162" s="43">
        <f>D13*CHOOSE(D$5,Assumptions!$B$150,Assumptions!$B$151,Assumptions!$B$152,Assumptions!$B$153,Assumptions!$B$154)/12*Assumptions!$B$49</f>
        <v/>
      </c>
      <c r="E162" s="43">
        <f>E13*CHOOSE(E$5,Assumptions!$B$150,Assumptions!$B$151,Assumptions!$B$152,Assumptions!$B$153,Assumptions!$B$154)/12*Assumptions!$B$49</f>
        <v/>
      </c>
      <c r="F162" s="43">
        <f>F13*CHOOSE(F$5,Assumptions!$B$150,Assumptions!$B$151,Assumptions!$B$152,Assumptions!$B$153,Assumptions!$B$154)/12*Assumptions!$B$49</f>
        <v/>
      </c>
      <c r="G162" s="43">
        <f>G13*CHOOSE(G$5,Assumptions!$B$150,Assumptions!$B$151,Assumptions!$B$152,Assumptions!$B$153,Assumptions!$B$154)/12*Assumptions!$B$49</f>
        <v/>
      </c>
      <c r="H162" s="43">
        <f>H13*CHOOSE(H$5,Assumptions!$B$150,Assumptions!$B$151,Assumptions!$B$152,Assumptions!$B$153,Assumptions!$B$154)/12*Assumptions!$B$49</f>
        <v/>
      </c>
      <c r="I162" s="43">
        <f>I13*CHOOSE(I$5,Assumptions!$B$150,Assumptions!$B$151,Assumptions!$B$152,Assumptions!$B$153,Assumptions!$B$154)/12*Assumptions!$B$49</f>
        <v/>
      </c>
      <c r="J162" s="43">
        <f>J13*CHOOSE(J$5,Assumptions!$B$150,Assumptions!$B$151,Assumptions!$B$152,Assumptions!$B$153,Assumptions!$B$154)/12*Assumptions!$B$49</f>
        <v/>
      </c>
      <c r="K162" s="43">
        <f>K13*CHOOSE(K$5,Assumptions!$B$150,Assumptions!$B$151,Assumptions!$B$152,Assumptions!$B$153,Assumptions!$B$154)/12*Assumptions!$B$49</f>
        <v/>
      </c>
      <c r="L162" s="43">
        <f>L13*CHOOSE(L$5,Assumptions!$B$150,Assumptions!$B$151,Assumptions!$B$152,Assumptions!$B$153,Assumptions!$B$154)/12*Assumptions!$B$49</f>
        <v/>
      </c>
      <c r="M162" s="43">
        <f>M13*CHOOSE(M$5,Assumptions!$B$150,Assumptions!$B$151,Assumptions!$B$152,Assumptions!$B$153,Assumptions!$B$154)/12*Assumptions!$B$49</f>
        <v/>
      </c>
      <c r="N162" s="43">
        <f>N13*CHOOSE(N$5,Assumptions!$B$150,Assumptions!$B$151,Assumptions!$B$152,Assumptions!$B$153,Assumptions!$B$154)/12*Assumptions!$B$49</f>
        <v/>
      </c>
      <c r="O162" s="43">
        <f>O13*CHOOSE(O$5,Assumptions!$B$150,Assumptions!$B$151,Assumptions!$B$152,Assumptions!$B$153,Assumptions!$B$154)/12*Assumptions!$B$49</f>
        <v/>
      </c>
      <c r="P162" s="43">
        <f>P13*CHOOSE(P$5,Assumptions!$B$150,Assumptions!$B$151,Assumptions!$B$152,Assumptions!$B$153,Assumptions!$B$154)/12*Assumptions!$B$49</f>
        <v/>
      </c>
      <c r="Q162" s="43">
        <f>Q13*CHOOSE(Q$5,Assumptions!$B$150,Assumptions!$B$151,Assumptions!$B$152,Assumptions!$B$153,Assumptions!$B$154)/12*Assumptions!$B$49</f>
        <v/>
      </c>
      <c r="R162" s="43">
        <f>R13*CHOOSE(R$5,Assumptions!$B$150,Assumptions!$B$151,Assumptions!$B$152,Assumptions!$B$153,Assumptions!$B$154)/12*Assumptions!$B$49</f>
        <v/>
      </c>
      <c r="S162" s="43">
        <f>S13*CHOOSE(S$5,Assumptions!$B$150,Assumptions!$B$151,Assumptions!$B$152,Assumptions!$B$153,Assumptions!$B$154)/12*Assumptions!$B$49</f>
        <v/>
      </c>
      <c r="T162" s="43">
        <f>T13*CHOOSE(T$5,Assumptions!$B$150,Assumptions!$B$151,Assumptions!$B$152,Assumptions!$B$153,Assumptions!$B$154)/12*Assumptions!$B$49</f>
        <v/>
      </c>
      <c r="U162" s="43">
        <f>U13*CHOOSE(U$5,Assumptions!$B$150,Assumptions!$B$151,Assumptions!$B$152,Assumptions!$B$153,Assumptions!$B$154)/12*Assumptions!$B$49</f>
        <v/>
      </c>
      <c r="V162" s="43">
        <f>V13*CHOOSE(V$5,Assumptions!$B$150,Assumptions!$B$151,Assumptions!$B$152,Assumptions!$B$153,Assumptions!$B$154)/12*Assumptions!$B$49</f>
        <v/>
      </c>
      <c r="W162" s="43">
        <f>W13*CHOOSE(W$5,Assumptions!$B$150,Assumptions!$B$151,Assumptions!$B$152,Assumptions!$B$153,Assumptions!$B$154)/12*Assumptions!$B$49</f>
        <v/>
      </c>
      <c r="X162" s="43">
        <f>X13*CHOOSE(X$5,Assumptions!$B$150,Assumptions!$B$151,Assumptions!$B$152,Assumptions!$B$153,Assumptions!$B$154)/12*Assumptions!$B$49</f>
        <v/>
      </c>
      <c r="Y162" s="43">
        <f>Y13*CHOOSE(Y$5,Assumptions!$B$150,Assumptions!$B$151,Assumptions!$B$152,Assumptions!$B$153,Assumptions!$B$154)/12*Assumptions!$B$49</f>
        <v/>
      </c>
      <c r="Z162" s="43">
        <f>Z13*CHOOSE(Z$5,Assumptions!$B$150,Assumptions!$B$151,Assumptions!$B$152,Assumptions!$B$153,Assumptions!$B$154)/12*Assumptions!$B$49</f>
        <v/>
      </c>
      <c r="AA162" s="43">
        <f>AA13*CHOOSE(AA$5,Assumptions!$B$150,Assumptions!$B$151,Assumptions!$B$152,Assumptions!$B$153,Assumptions!$B$154)/12*Assumptions!$B$49</f>
        <v/>
      </c>
      <c r="AB162" s="43">
        <f>AB13*CHOOSE(AB$5,Assumptions!$B$150,Assumptions!$B$151,Assumptions!$B$152,Assumptions!$B$153,Assumptions!$B$154)/12*Assumptions!$B$49</f>
        <v/>
      </c>
      <c r="AC162" s="43">
        <f>AC13*CHOOSE(AC$5,Assumptions!$B$150,Assumptions!$B$151,Assumptions!$B$152,Assumptions!$B$153,Assumptions!$B$154)/12*Assumptions!$B$49</f>
        <v/>
      </c>
      <c r="AD162" s="43">
        <f>AD13*CHOOSE(AD$5,Assumptions!$B$150,Assumptions!$B$151,Assumptions!$B$152,Assumptions!$B$153,Assumptions!$B$154)/12*Assumptions!$B$49</f>
        <v/>
      </c>
      <c r="AE162" s="43">
        <f>AE13*CHOOSE(AE$5,Assumptions!$B$150,Assumptions!$B$151,Assumptions!$B$152,Assumptions!$B$153,Assumptions!$B$154)/12*Assumptions!$B$49</f>
        <v/>
      </c>
      <c r="AF162" s="43">
        <f>AF13*CHOOSE(AF$5,Assumptions!$B$150,Assumptions!$B$151,Assumptions!$B$152,Assumptions!$B$153,Assumptions!$B$154)/12*Assumptions!$B$49</f>
        <v/>
      </c>
      <c r="AG162" s="43">
        <f>AG13*CHOOSE(AG$5,Assumptions!$B$150,Assumptions!$B$151,Assumptions!$B$152,Assumptions!$B$153,Assumptions!$B$154)/12*Assumptions!$B$49</f>
        <v/>
      </c>
      <c r="AH162" s="43">
        <f>AH13*CHOOSE(AH$5,Assumptions!$B$150,Assumptions!$B$151,Assumptions!$B$152,Assumptions!$B$153,Assumptions!$B$154)/12*Assumptions!$B$49</f>
        <v/>
      </c>
      <c r="AI162" s="43">
        <f>AI13*CHOOSE(AI$5,Assumptions!$B$150,Assumptions!$B$151,Assumptions!$B$152,Assumptions!$B$153,Assumptions!$B$154)/12*Assumptions!$B$49</f>
        <v/>
      </c>
      <c r="AJ162" s="43">
        <f>AJ13*CHOOSE(AJ$5,Assumptions!$B$150,Assumptions!$B$151,Assumptions!$B$152,Assumptions!$B$153,Assumptions!$B$154)/12*Assumptions!$B$49</f>
        <v/>
      </c>
      <c r="AK162" s="43">
        <f>AK13*CHOOSE(AK$5,Assumptions!$B$150,Assumptions!$B$151,Assumptions!$B$152,Assumptions!$B$153,Assumptions!$B$154)/12*Assumptions!$B$49</f>
        <v/>
      </c>
      <c r="AL162" s="43">
        <f>AL13*CHOOSE(AL$5,Assumptions!$B$150,Assumptions!$B$151,Assumptions!$B$152,Assumptions!$B$153,Assumptions!$B$154)/12*Assumptions!$B$49</f>
        <v/>
      </c>
      <c r="AM162" s="43">
        <f>AM13*CHOOSE(AM$5,Assumptions!$B$150,Assumptions!$B$151,Assumptions!$B$152,Assumptions!$B$153,Assumptions!$B$154)/12*Assumptions!$B$49</f>
        <v/>
      </c>
      <c r="AN162" s="43">
        <f>AN13*CHOOSE(AN$5,Assumptions!$B$150,Assumptions!$B$151,Assumptions!$B$152,Assumptions!$B$153,Assumptions!$B$154)/12*Assumptions!$B$49</f>
        <v/>
      </c>
      <c r="AO162" s="43">
        <f>AO13*CHOOSE(AO$5,Assumptions!$B$150,Assumptions!$B$151,Assumptions!$B$152,Assumptions!$B$153,Assumptions!$B$154)/12*Assumptions!$B$49</f>
        <v/>
      </c>
      <c r="AP162" s="43">
        <f>AP13*CHOOSE(AP$5,Assumptions!$B$150,Assumptions!$B$151,Assumptions!$B$152,Assumptions!$B$153,Assumptions!$B$154)/12*Assumptions!$B$49</f>
        <v/>
      </c>
      <c r="AQ162" s="43">
        <f>AQ13*CHOOSE(AQ$5,Assumptions!$B$150,Assumptions!$B$151,Assumptions!$B$152,Assumptions!$B$153,Assumptions!$B$154)/12*Assumptions!$B$49</f>
        <v/>
      </c>
      <c r="AR162" s="43">
        <f>AR13*CHOOSE(AR$5,Assumptions!$B$150,Assumptions!$B$151,Assumptions!$B$152,Assumptions!$B$153,Assumptions!$B$154)/12*Assumptions!$B$49</f>
        <v/>
      </c>
      <c r="AS162" s="43">
        <f>AS13*CHOOSE(AS$5,Assumptions!$B$150,Assumptions!$B$151,Assumptions!$B$152,Assumptions!$B$153,Assumptions!$B$154)/12*Assumptions!$B$49</f>
        <v/>
      </c>
      <c r="AT162" s="43">
        <f>AT13*CHOOSE(AT$5,Assumptions!$B$150,Assumptions!$B$151,Assumptions!$B$152,Assumptions!$B$153,Assumptions!$B$154)/12*Assumptions!$B$49</f>
        <v/>
      </c>
      <c r="AU162" s="43">
        <f>AU13*CHOOSE(AU$5,Assumptions!$B$150,Assumptions!$B$151,Assumptions!$B$152,Assumptions!$B$153,Assumptions!$B$154)/12*Assumptions!$B$49</f>
        <v/>
      </c>
      <c r="AV162" s="43">
        <f>AV13*CHOOSE(AV$5,Assumptions!$B$150,Assumptions!$B$151,Assumptions!$B$152,Assumptions!$B$153,Assumptions!$B$154)/12*Assumptions!$B$49</f>
        <v/>
      </c>
      <c r="AW162" s="43">
        <f>AW13*CHOOSE(AW$5,Assumptions!$B$150,Assumptions!$B$151,Assumptions!$B$152,Assumptions!$B$153,Assumptions!$B$154)/12*Assumptions!$B$49</f>
        <v/>
      </c>
      <c r="AX162" s="43">
        <f>AX13*CHOOSE(AX$5,Assumptions!$B$150,Assumptions!$B$151,Assumptions!$B$152,Assumptions!$B$153,Assumptions!$B$154)/12*Assumptions!$B$49</f>
        <v/>
      </c>
      <c r="AY162" s="43">
        <f>AY13*CHOOSE(AY$5,Assumptions!$B$150,Assumptions!$B$151,Assumptions!$B$152,Assumptions!$B$153,Assumptions!$B$154)/12*Assumptions!$B$49</f>
        <v/>
      </c>
      <c r="AZ162" s="43">
        <f>AZ13*CHOOSE(AZ$5,Assumptions!$B$150,Assumptions!$B$151,Assumptions!$B$152,Assumptions!$B$153,Assumptions!$B$154)/12*Assumptions!$B$49</f>
        <v/>
      </c>
      <c r="BA162" s="43">
        <f>BA13*CHOOSE(BA$5,Assumptions!$B$150,Assumptions!$B$151,Assumptions!$B$152,Assumptions!$B$153,Assumptions!$B$154)/12*Assumptions!$B$49</f>
        <v/>
      </c>
      <c r="BB162" s="43">
        <f>BB13*CHOOSE(BB$5,Assumptions!$B$150,Assumptions!$B$151,Assumptions!$B$152,Assumptions!$B$153,Assumptions!$B$154)/12*Assumptions!$B$49</f>
        <v/>
      </c>
      <c r="BC162" s="43">
        <f>BC13*CHOOSE(BC$5,Assumptions!$B$150,Assumptions!$B$151,Assumptions!$B$152,Assumptions!$B$153,Assumptions!$B$154)/12*Assumptions!$B$49</f>
        <v/>
      </c>
      <c r="BD162" s="43">
        <f>BD13*CHOOSE(BD$5,Assumptions!$B$150,Assumptions!$B$151,Assumptions!$B$152,Assumptions!$B$153,Assumptions!$B$154)/12*Assumptions!$B$49</f>
        <v/>
      </c>
      <c r="BE162" s="43">
        <f>BE13*CHOOSE(BE$5,Assumptions!$B$150,Assumptions!$B$151,Assumptions!$B$152,Assumptions!$B$153,Assumptions!$B$154)/12*Assumptions!$B$49</f>
        <v/>
      </c>
      <c r="BF162" s="43">
        <f>BF13*CHOOSE(BF$5,Assumptions!$B$150,Assumptions!$B$151,Assumptions!$B$152,Assumptions!$B$153,Assumptions!$B$154)/12*Assumptions!$B$49</f>
        <v/>
      </c>
      <c r="BG162" s="43">
        <f>BG13*CHOOSE(BG$5,Assumptions!$B$150,Assumptions!$B$151,Assumptions!$B$152,Assumptions!$B$153,Assumptions!$B$154)/12*Assumptions!$B$49</f>
        <v/>
      </c>
      <c r="BH162" s="43">
        <f>BH13*CHOOSE(BH$5,Assumptions!$B$150,Assumptions!$B$151,Assumptions!$B$152,Assumptions!$B$153,Assumptions!$B$154)/12*Assumptions!$B$49</f>
        <v/>
      </c>
      <c r="BI162" s="43">
        <f>BI13*CHOOSE(BI$5,Assumptions!$B$150,Assumptions!$B$151,Assumptions!$B$152,Assumptions!$B$153,Assumptions!$B$154)/12*Assumptions!$B$49</f>
        <v/>
      </c>
      <c r="BJ162" s="43">
        <f>BJ13*CHOOSE(BJ$5,Assumptions!$B$150,Assumptions!$B$151,Assumptions!$B$152,Assumptions!$B$153,Assumptions!$B$154)/12*Assumptions!$B$49</f>
        <v/>
      </c>
    </row>
    <row r="163">
      <c r="A163" s="4" t="inlineStr">
        <is>
          <t>New inbound Custom (Enterprise) deals (SA)</t>
        </is>
      </c>
      <c r="B163" s="17" t="inlineStr">
        <is>
          <t>deals</t>
        </is>
      </c>
      <c r="C163" s="43">
        <f>C13*CHOOSE(C$5,Assumptions!$B$155,Assumptions!$B$156,Assumptions!$B$157,Assumptions!$B$158,Assumptions!$B$159)/12*Assumptions!$B$49</f>
        <v/>
      </c>
      <c r="D163" s="43">
        <f>D13*CHOOSE(D$5,Assumptions!$B$155,Assumptions!$B$156,Assumptions!$B$157,Assumptions!$B$158,Assumptions!$B$159)/12*Assumptions!$B$49</f>
        <v/>
      </c>
      <c r="E163" s="43">
        <f>E13*CHOOSE(E$5,Assumptions!$B$155,Assumptions!$B$156,Assumptions!$B$157,Assumptions!$B$158,Assumptions!$B$159)/12*Assumptions!$B$49</f>
        <v/>
      </c>
      <c r="F163" s="43">
        <f>F13*CHOOSE(F$5,Assumptions!$B$155,Assumptions!$B$156,Assumptions!$B$157,Assumptions!$B$158,Assumptions!$B$159)/12*Assumptions!$B$49</f>
        <v/>
      </c>
      <c r="G163" s="43">
        <f>G13*CHOOSE(G$5,Assumptions!$B$155,Assumptions!$B$156,Assumptions!$B$157,Assumptions!$B$158,Assumptions!$B$159)/12*Assumptions!$B$49</f>
        <v/>
      </c>
      <c r="H163" s="43">
        <f>H13*CHOOSE(H$5,Assumptions!$B$155,Assumptions!$B$156,Assumptions!$B$157,Assumptions!$B$158,Assumptions!$B$159)/12*Assumptions!$B$49</f>
        <v/>
      </c>
      <c r="I163" s="43">
        <f>I13*CHOOSE(I$5,Assumptions!$B$155,Assumptions!$B$156,Assumptions!$B$157,Assumptions!$B$158,Assumptions!$B$159)/12*Assumptions!$B$49</f>
        <v/>
      </c>
      <c r="J163" s="43">
        <f>J13*CHOOSE(J$5,Assumptions!$B$155,Assumptions!$B$156,Assumptions!$B$157,Assumptions!$B$158,Assumptions!$B$159)/12*Assumptions!$B$49</f>
        <v/>
      </c>
      <c r="K163" s="43">
        <f>K13*CHOOSE(K$5,Assumptions!$B$155,Assumptions!$B$156,Assumptions!$B$157,Assumptions!$B$158,Assumptions!$B$159)/12*Assumptions!$B$49</f>
        <v/>
      </c>
      <c r="L163" s="43">
        <f>L13*CHOOSE(L$5,Assumptions!$B$155,Assumptions!$B$156,Assumptions!$B$157,Assumptions!$B$158,Assumptions!$B$159)/12*Assumptions!$B$49</f>
        <v/>
      </c>
      <c r="M163" s="43">
        <f>M13*CHOOSE(M$5,Assumptions!$B$155,Assumptions!$B$156,Assumptions!$B$157,Assumptions!$B$158,Assumptions!$B$159)/12*Assumptions!$B$49</f>
        <v/>
      </c>
      <c r="N163" s="43">
        <f>N13*CHOOSE(N$5,Assumptions!$B$155,Assumptions!$B$156,Assumptions!$B$157,Assumptions!$B$158,Assumptions!$B$159)/12*Assumptions!$B$49</f>
        <v/>
      </c>
      <c r="O163" s="43">
        <f>O13*CHOOSE(O$5,Assumptions!$B$155,Assumptions!$B$156,Assumptions!$B$157,Assumptions!$B$158,Assumptions!$B$159)/12*Assumptions!$B$49</f>
        <v/>
      </c>
      <c r="P163" s="43">
        <f>P13*CHOOSE(P$5,Assumptions!$B$155,Assumptions!$B$156,Assumptions!$B$157,Assumptions!$B$158,Assumptions!$B$159)/12*Assumptions!$B$49</f>
        <v/>
      </c>
      <c r="Q163" s="43">
        <f>Q13*CHOOSE(Q$5,Assumptions!$B$155,Assumptions!$B$156,Assumptions!$B$157,Assumptions!$B$158,Assumptions!$B$159)/12*Assumptions!$B$49</f>
        <v/>
      </c>
      <c r="R163" s="43">
        <f>R13*CHOOSE(R$5,Assumptions!$B$155,Assumptions!$B$156,Assumptions!$B$157,Assumptions!$B$158,Assumptions!$B$159)/12*Assumptions!$B$49</f>
        <v/>
      </c>
      <c r="S163" s="43">
        <f>S13*CHOOSE(S$5,Assumptions!$B$155,Assumptions!$B$156,Assumptions!$B$157,Assumptions!$B$158,Assumptions!$B$159)/12*Assumptions!$B$49</f>
        <v/>
      </c>
      <c r="T163" s="43">
        <f>T13*CHOOSE(T$5,Assumptions!$B$155,Assumptions!$B$156,Assumptions!$B$157,Assumptions!$B$158,Assumptions!$B$159)/12*Assumptions!$B$49</f>
        <v/>
      </c>
      <c r="U163" s="43">
        <f>U13*CHOOSE(U$5,Assumptions!$B$155,Assumptions!$B$156,Assumptions!$B$157,Assumptions!$B$158,Assumptions!$B$159)/12*Assumptions!$B$49</f>
        <v/>
      </c>
      <c r="V163" s="43">
        <f>V13*CHOOSE(V$5,Assumptions!$B$155,Assumptions!$B$156,Assumptions!$B$157,Assumptions!$B$158,Assumptions!$B$159)/12*Assumptions!$B$49</f>
        <v/>
      </c>
      <c r="W163" s="43">
        <f>W13*CHOOSE(W$5,Assumptions!$B$155,Assumptions!$B$156,Assumptions!$B$157,Assumptions!$B$158,Assumptions!$B$159)/12*Assumptions!$B$49</f>
        <v/>
      </c>
      <c r="X163" s="43">
        <f>X13*CHOOSE(X$5,Assumptions!$B$155,Assumptions!$B$156,Assumptions!$B$157,Assumptions!$B$158,Assumptions!$B$159)/12*Assumptions!$B$49</f>
        <v/>
      </c>
      <c r="Y163" s="43">
        <f>Y13*CHOOSE(Y$5,Assumptions!$B$155,Assumptions!$B$156,Assumptions!$B$157,Assumptions!$B$158,Assumptions!$B$159)/12*Assumptions!$B$49</f>
        <v/>
      </c>
      <c r="Z163" s="43">
        <f>Z13*CHOOSE(Z$5,Assumptions!$B$155,Assumptions!$B$156,Assumptions!$B$157,Assumptions!$B$158,Assumptions!$B$159)/12*Assumptions!$B$49</f>
        <v/>
      </c>
      <c r="AA163" s="43">
        <f>AA13*CHOOSE(AA$5,Assumptions!$B$155,Assumptions!$B$156,Assumptions!$B$157,Assumptions!$B$158,Assumptions!$B$159)/12*Assumptions!$B$49</f>
        <v/>
      </c>
      <c r="AB163" s="43">
        <f>AB13*CHOOSE(AB$5,Assumptions!$B$155,Assumptions!$B$156,Assumptions!$B$157,Assumptions!$B$158,Assumptions!$B$159)/12*Assumptions!$B$49</f>
        <v/>
      </c>
      <c r="AC163" s="43">
        <f>AC13*CHOOSE(AC$5,Assumptions!$B$155,Assumptions!$B$156,Assumptions!$B$157,Assumptions!$B$158,Assumptions!$B$159)/12*Assumptions!$B$49</f>
        <v/>
      </c>
      <c r="AD163" s="43">
        <f>AD13*CHOOSE(AD$5,Assumptions!$B$155,Assumptions!$B$156,Assumptions!$B$157,Assumptions!$B$158,Assumptions!$B$159)/12*Assumptions!$B$49</f>
        <v/>
      </c>
      <c r="AE163" s="43">
        <f>AE13*CHOOSE(AE$5,Assumptions!$B$155,Assumptions!$B$156,Assumptions!$B$157,Assumptions!$B$158,Assumptions!$B$159)/12*Assumptions!$B$49</f>
        <v/>
      </c>
      <c r="AF163" s="43">
        <f>AF13*CHOOSE(AF$5,Assumptions!$B$155,Assumptions!$B$156,Assumptions!$B$157,Assumptions!$B$158,Assumptions!$B$159)/12*Assumptions!$B$49</f>
        <v/>
      </c>
      <c r="AG163" s="43">
        <f>AG13*CHOOSE(AG$5,Assumptions!$B$155,Assumptions!$B$156,Assumptions!$B$157,Assumptions!$B$158,Assumptions!$B$159)/12*Assumptions!$B$49</f>
        <v/>
      </c>
      <c r="AH163" s="43">
        <f>AH13*CHOOSE(AH$5,Assumptions!$B$155,Assumptions!$B$156,Assumptions!$B$157,Assumptions!$B$158,Assumptions!$B$159)/12*Assumptions!$B$49</f>
        <v/>
      </c>
      <c r="AI163" s="43">
        <f>AI13*CHOOSE(AI$5,Assumptions!$B$155,Assumptions!$B$156,Assumptions!$B$157,Assumptions!$B$158,Assumptions!$B$159)/12*Assumptions!$B$49</f>
        <v/>
      </c>
      <c r="AJ163" s="43">
        <f>AJ13*CHOOSE(AJ$5,Assumptions!$B$155,Assumptions!$B$156,Assumptions!$B$157,Assumptions!$B$158,Assumptions!$B$159)/12*Assumptions!$B$49</f>
        <v/>
      </c>
      <c r="AK163" s="43">
        <f>AK13*CHOOSE(AK$5,Assumptions!$B$155,Assumptions!$B$156,Assumptions!$B$157,Assumptions!$B$158,Assumptions!$B$159)/12*Assumptions!$B$49</f>
        <v/>
      </c>
      <c r="AL163" s="43">
        <f>AL13*CHOOSE(AL$5,Assumptions!$B$155,Assumptions!$B$156,Assumptions!$B$157,Assumptions!$B$158,Assumptions!$B$159)/12*Assumptions!$B$49</f>
        <v/>
      </c>
      <c r="AM163" s="43">
        <f>AM13*CHOOSE(AM$5,Assumptions!$B$155,Assumptions!$B$156,Assumptions!$B$157,Assumptions!$B$158,Assumptions!$B$159)/12*Assumptions!$B$49</f>
        <v/>
      </c>
      <c r="AN163" s="43">
        <f>AN13*CHOOSE(AN$5,Assumptions!$B$155,Assumptions!$B$156,Assumptions!$B$157,Assumptions!$B$158,Assumptions!$B$159)/12*Assumptions!$B$49</f>
        <v/>
      </c>
      <c r="AO163" s="43">
        <f>AO13*CHOOSE(AO$5,Assumptions!$B$155,Assumptions!$B$156,Assumptions!$B$157,Assumptions!$B$158,Assumptions!$B$159)/12*Assumptions!$B$49</f>
        <v/>
      </c>
      <c r="AP163" s="43">
        <f>AP13*CHOOSE(AP$5,Assumptions!$B$155,Assumptions!$B$156,Assumptions!$B$157,Assumptions!$B$158,Assumptions!$B$159)/12*Assumptions!$B$49</f>
        <v/>
      </c>
      <c r="AQ163" s="43">
        <f>AQ13*CHOOSE(AQ$5,Assumptions!$B$155,Assumptions!$B$156,Assumptions!$B$157,Assumptions!$B$158,Assumptions!$B$159)/12*Assumptions!$B$49</f>
        <v/>
      </c>
      <c r="AR163" s="43">
        <f>AR13*CHOOSE(AR$5,Assumptions!$B$155,Assumptions!$B$156,Assumptions!$B$157,Assumptions!$B$158,Assumptions!$B$159)/12*Assumptions!$B$49</f>
        <v/>
      </c>
      <c r="AS163" s="43">
        <f>AS13*CHOOSE(AS$5,Assumptions!$B$155,Assumptions!$B$156,Assumptions!$B$157,Assumptions!$B$158,Assumptions!$B$159)/12*Assumptions!$B$49</f>
        <v/>
      </c>
      <c r="AT163" s="43">
        <f>AT13*CHOOSE(AT$5,Assumptions!$B$155,Assumptions!$B$156,Assumptions!$B$157,Assumptions!$B$158,Assumptions!$B$159)/12*Assumptions!$B$49</f>
        <v/>
      </c>
      <c r="AU163" s="43">
        <f>AU13*CHOOSE(AU$5,Assumptions!$B$155,Assumptions!$B$156,Assumptions!$B$157,Assumptions!$B$158,Assumptions!$B$159)/12*Assumptions!$B$49</f>
        <v/>
      </c>
      <c r="AV163" s="43">
        <f>AV13*CHOOSE(AV$5,Assumptions!$B$155,Assumptions!$B$156,Assumptions!$B$157,Assumptions!$B$158,Assumptions!$B$159)/12*Assumptions!$B$49</f>
        <v/>
      </c>
      <c r="AW163" s="43">
        <f>AW13*CHOOSE(AW$5,Assumptions!$B$155,Assumptions!$B$156,Assumptions!$B$157,Assumptions!$B$158,Assumptions!$B$159)/12*Assumptions!$B$49</f>
        <v/>
      </c>
      <c r="AX163" s="43">
        <f>AX13*CHOOSE(AX$5,Assumptions!$B$155,Assumptions!$B$156,Assumptions!$B$157,Assumptions!$B$158,Assumptions!$B$159)/12*Assumptions!$B$49</f>
        <v/>
      </c>
      <c r="AY163" s="43">
        <f>AY13*CHOOSE(AY$5,Assumptions!$B$155,Assumptions!$B$156,Assumptions!$B$157,Assumptions!$B$158,Assumptions!$B$159)/12*Assumptions!$B$49</f>
        <v/>
      </c>
      <c r="AZ163" s="43">
        <f>AZ13*CHOOSE(AZ$5,Assumptions!$B$155,Assumptions!$B$156,Assumptions!$B$157,Assumptions!$B$158,Assumptions!$B$159)/12*Assumptions!$B$49</f>
        <v/>
      </c>
      <c r="BA163" s="43">
        <f>BA13*CHOOSE(BA$5,Assumptions!$B$155,Assumptions!$B$156,Assumptions!$B$157,Assumptions!$B$158,Assumptions!$B$159)/12*Assumptions!$B$49</f>
        <v/>
      </c>
      <c r="BB163" s="43">
        <f>BB13*CHOOSE(BB$5,Assumptions!$B$155,Assumptions!$B$156,Assumptions!$B$157,Assumptions!$B$158,Assumptions!$B$159)/12*Assumptions!$B$49</f>
        <v/>
      </c>
      <c r="BC163" s="43">
        <f>BC13*CHOOSE(BC$5,Assumptions!$B$155,Assumptions!$B$156,Assumptions!$B$157,Assumptions!$B$158,Assumptions!$B$159)/12*Assumptions!$B$49</f>
        <v/>
      </c>
      <c r="BD163" s="43">
        <f>BD13*CHOOSE(BD$5,Assumptions!$B$155,Assumptions!$B$156,Assumptions!$B$157,Assumptions!$B$158,Assumptions!$B$159)/12*Assumptions!$B$49</f>
        <v/>
      </c>
      <c r="BE163" s="43">
        <f>BE13*CHOOSE(BE$5,Assumptions!$B$155,Assumptions!$B$156,Assumptions!$B$157,Assumptions!$B$158,Assumptions!$B$159)/12*Assumptions!$B$49</f>
        <v/>
      </c>
      <c r="BF163" s="43">
        <f>BF13*CHOOSE(BF$5,Assumptions!$B$155,Assumptions!$B$156,Assumptions!$B$157,Assumptions!$B$158,Assumptions!$B$159)/12*Assumptions!$B$49</f>
        <v/>
      </c>
      <c r="BG163" s="43">
        <f>BG13*CHOOSE(BG$5,Assumptions!$B$155,Assumptions!$B$156,Assumptions!$B$157,Assumptions!$B$158,Assumptions!$B$159)/12*Assumptions!$B$49</f>
        <v/>
      </c>
      <c r="BH163" s="43">
        <f>BH13*CHOOSE(BH$5,Assumptions!$B$155,Assumptions!$B$156,Assumptions!$B$157,Assumptions!$B$158,Assumptions!$B$159)/12*Assumptions!$B$49</f>
        <v/>
      </c>
      <c r="BI163" s="43">
        <f>BI13*CHOOSE(BI$5,Assumptions!$B$155,Assumptions!$B$156,Assumptions!$B$157,Assumptions!$B$158,Assumptions!$B$159)/12*Assumptions!$B$49</f>
        <v/>
      </c>
      <c r="BJ163" s="43">
        <f>BJ13*CHOOSE(BJ$5,Assumptions!$B$155,Assumptions!$B$156,Assumptions!$B$157,Assumptions!$B$158,Assumptions!$B$159)/12*Assumptions!$B$49</f>
        <v/>
      </c>
    </row>
    <row r="164"/>
    <row r="165">
      <c r="A165" s="19" t="inlineStr">
        <is>
          <t>Customer cohorts by market, segment &amp; tier: opening, new (incl. upgrades in), churned, upgraded out, closing</t>
        </is>
      </c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19" t="n"/>
      <c r="BA165" s="19" t="n"/>
      <c r="BB165" s="19" t="n"/>
      <c r="BC165" s="19" t="n"/>
      <c r="BD165" s="19" t="n"/>
      <c r="BE165" s="19" t="n"/>
      <c r="BF165" s="19" t="n"/>
      <c r="BG165" s="19" t="n"/>
      <c r="BH165" s="19" t="n"/>
      <c r="BI165" s="19" t="n"/>
      <c r="BJ165" s="19" t="n"/>
    </row>
    <row r="166">
      <c r="A166" s="4" t="inlineStr">
        <is>
          <t>South Africa: Solo: Nano: opening</t>
        </is>
      </c>
      <c r="B166" s="17" t="inlineStr">
        <is>
          <t>workspaces</t>
        </is>
      </c>
      <c r="C166" s="41">
        <f>0</f>
        <v/>
      </c>
      <c r="D166" s="41">
        <f>C170</f>
        <v/>
      </c>
      <c r="E166" s="41">
        <f>D170</f>
        <v/>
      </c>
      <c r="F166" s="41">
        <f>E170</f>
        <v/>
      </c>
      <c r="G166" s="41">
        <f>F170</f>
        <v/>
      </c>
      <c r="H166" s="41">
        <f>G170</f>
        <v/>
      </c>
      <c r="I166" s="41">
        <f>H170</f>
        <v/>
      </c>
      <c r="J166" s="41">
        <f>I170</f>
        <v/>
      </c>
      <c r="K166" s="41">
        <f>J170</f>
        <v/>
      </c>
      <c r="L166" s="41">
        <f>K170</f>
        <v/>
      </c>
      <c r="M166" s="41">
        <f>L170</f>
        <v/>
      </c>
      <c r="N166" s="41">
        <f>M170</f>
        <v/>
      </c>
      <c r="O166" s="41">
        <f>N170</f>
        <v/>
      </c>
      <c r="P166" s="41">
        <f>O170</f>
        <v/>
      </c>
      <c r="Q166" s="41">
        <f>P170</f>
        <v/>
      </c>
      <c r="R166" s="41">
        <f>Q170</f>
        <v/>
      </c>
      <c r="S166" s="41">
        <f>R170</f>
        <v/>
      </c>
      <c r="T166" s="41">
        <f>S170</f>
        <v/>
      </c>
      <c r="U166" s="41">
        <f>T170</f>
        <v/>
      </c>
      <c r="V166" s="41">
        <f>U170</f>
        <v/>
      </c>
      <c r="W166" s="41">
        <f>V170</f>
        <v/>
      </c>
      <c r="X166" s="41">
        <f>W170</f>
        <v/>
      </c>
      <c r="Y166" s="41">
        <f>X170</f>
        <v/>
      </c>
      <c r="Z166" s="41">
        <f>Y170</f>
        <v/>
      </c>
      <c r="AA166" s="41">
        <f>Z170</f>
        <v/>
      </c>
      <c r="AB166" s="41">
        <f>AA170</f>
        <v/>
      </c>
      <c r="AC166" s="41">
        <f>AB170</f>
        <v/>
      </c>
      <c r="AD166" s="41">
        <f>AC170</f>
        <v/>
      </c>
      <c r="AE166" s="41">
        <f>AD170</f>
        <v/>
      </c>
      <c r="AF166" s="41">
        <f>AE170</f>
        <v/>
      </c>
      <c r="AG166" s="41">
        <f>AF170</f>
        <v/>
      </c>
      <c r="AH166" s="41">
        <f>AG170</f>
        <v/>
      </c>
      <c r="AI166" s="41">
        <f>AH170</f>
        <v/>
      </c>
      <c r="AJ166" s="41">
        <f>AI170</f>
        <v/>
      </c>
      <c r="AK166" s="41">
        <f>AJ170</f>
        <v/>
      </c>
      <c r="AL166" s="41">
        <f>AK170</f>
        <v/>
      </c>
      <c r="AM166" s="41">
        <f>AL170</f>
        <v/>
      </c>
      <c r="AN166" s="41">
        <f>AM170</f>
        <v/>
      </c>
      <c r="AO166" s="41">
        <f>AN170</f>
        <v/>
      </c>
      <c r="AP166" s="41">
        <f>AO170</f>
        <v/>
      </c>
      <c r="AQ166" s="41">
        <f>AP170</f>
        <v/>
      </c>
      <c r="AR166" s="41">
        <f>AQ170</f>
        <v/>
      </c>
      <c r="AS166" s="41">
        <f>AR170</f>
        <v/>
      </c>
      <c r="AT166" s="41">
        <f>AS170</f>
        <v/>
      </c>
      <c r="AU166" s="41">
        <f>AT170</f>
        <v/>
      </c>
      <c r="AV166" s="41">
        <f>AU170</f>
        <v/>
      </c>
      <c r="AW166" s="41">
        <f>AV170</f>
        <v/>
      </c>
      <c r="AX166" s="41">
        <f>AW170</f>
        <v/>
      </c>
      <c r="AY166" s="41">
        <f>AX170</f>
        <v/>
      </c>
      <c r="AZ166" s="41">
        <f>AY170</f>
        <v/>
      </c>
      <c r="BA166" s="41">
        <f>AZ170</f>
        <v/>
      </c>
      <c r="BB166" s="41">
        <f>BA170</f>
        <v/>
      </c>
      <c r="BC166" s="41">
        <f>BB170</f>
        <v/>
      </c>
      <c r="BD166" s="41">
        <f>BC170</f>
        <v/>
      </c>
      <c r="BE166" s="41">
        <f>BD170</f>
        <v/>
      </c>
      <c r="BF166" s="41">
        <f>BE170</f>
        <v/>
      </c>
      <c r="BG166" s="41">
        <f>BF170</f>
        <v/>
      </c>
      <c r="BH166" s="41">
        <f>BG170</f>
        <v/>
      </c>
      <c r="BI166" s="41">
        <f>BH170</f>
        <v/>
      </c>
      <c r="BJ166" s="41">
        <f>BI170</f>
        <v/>
      </c>
    </row>
    <row r="167">
      <c r="A167" s="4" t="inlineStr">
        <is>
          <t>South Africa: Solo: Nano: new</t>
        </is>
      </c>
      <c r="B167" s="17" t="inlineStr">
        <is>
          <t>workspaces</t>
        </is>
      </c>
      <c r="C167" s="41">
        <f>C146*Assumptions!$B$124</f>
        <v/>
      </c>
      <c r="D167" s="41">
        <f>D146*Assumptions!$B$124</f>
        <v/>
      </c>
      <c r="E167" s="41">
        <f>E146*Assumptions!$B$124</f>
        <v/>
      </c>
      <c r="F167" s="41">
        <f>F146*Assumptions!$B$124</f>
        <v/>
      </c>
      <c r="G167" s="41">
        <f>G146*Assumptions!$B$124</f>
        <v/>
      </c>
      <c r="H167" s="41">
        <f>H146*Assumptions!$B$124</f>
        <v/>
      </c>
      <c r="I167" s="41">
        <f>I146*Assumptions!$B$124</f>
        <v/>
      </c>
      <c r="J167" s="41">
        <f>J146*Assumptions!$B$124</f>
        <v/>
      </c>
      <c r="K167" s="41">
        <f>K146*Assumptions!$B$124</f>
        <v/>
      </c>
      <c r="L167" s="41">
        <f>L146*Assumptions!$B$124</f>
        <v/>
      </c>
      <c r="M167" s="41">
        <f>M146*Assumptions!$B$124</f>
        <v/>
      </c>
      <c r="N167" s="41">
        <f>N146*Assumptions!$B$124</f>
        <v/>
      </c>
      <c r="O167" s="41">
        <f>O146*Assumptions!$B$124</f>
        <v/>
      </c>
      <c r="P167" s="41">
        <f>P146*Assumptions!$B$124</f>
        <v/>
      </c>
      <c r="Q167" s="41">
        <f>Q146*Assumptions!$B$124</f>
        <v/>
      </c>
      <c r="R167" s="41">
        <f>R146*Assumptions!$B$124</f>
        <v/>
      </c>
      <c r="S167" s="41">
        <f>S146*Assumptions!$B$124</f>
        <v/>
      </c>
      <c r="T167" s="41">
        <f>T146*Assumptions!$B$124</f>
        <v/>
      </c>
      <c r="U167" s="41">
        <f>U146*Assumptions!$B$124</f>
        <v/>
      </c>
      <c r="V167" s="41">
        <f>V146*Assumptions!$B$124</f>
        <v/>
      </c>
      <c r="W167" s="41">
        <f>W146*Assumptions!$B$124</f>
        <v/>
      </c>
      <c r="X167" s="41">
        <f>X146*Assumptions!$B$124</f>
        <v/>
      </c>
      <c r="Y167" s="41">
        <f>Y146*Assumptions!$B$124</f>
        <v/>
      </c>
      <c r="Z167" s="41">
        <f>Z146*Assumptions!$B$124</f>
        <v/>
      </c>
      <c r="AA167" s="41">
        <f>AA146*Assumptions!$B$124</f>
        <v/>
      </c>
      <c r="AB167" s="41">
        <f>AB146*Assumptions!$B$124</f>
        <v/>
      </c>
      <c r="AC167" s="41">
        <f>AC146*Assumptions!$B$124</f>
        <v/>
      </c>
      <c r="AD167" s="41">
        <f>AD146*Assumptions!$B$124</f>
        <v/>
      </c>
      <c r="AE167" s="41">
        <f>AE146*Assumptions!$B$124</f>
        <v/>
      </c>
      <c r="AF167" s="41">
        <f>AF146*Assumptions!$B$124</f>
        <v/>
      </c>
      <c r="AG167" s="41">
        <f>AG146*Assumptions!$B$124</f>
        <v/>
      </c>
      <c r="AH167" s="41">
        <f>AH146*Assumptions!$B$124</f>
        <v/>
      </c>
      <c r="AI167" s="41">
        <f>AI146*Assumptions!$B$124</f>
        <v/>
      </c>
      <c r="AJ167" s="41">
        <f>AJ146*Assumptions!$B$124</f>
        <v/>
      </c>
      <c r="AK167" s="41">
        <f>AK146*Assumptions!$B$124</f>
        <v/>
      </c>
      <c r="AL167" s="41">
        <f>AL146*Assumptions!$B$124</f>
        <v/>
      </c>
      <c r="AM167" s="41">
        <f>AM146*Assumptions!$B$124</f>
        <v/>
      </c>
      <c r="AN167" s="41">
        <f>AN146*Assumptions!$B$124</f>
        <v/>
      </c>
      <c r="AO167" s="41">
        <f>AO146*Assumptions!$B$124</f>
        <v/>
      </c>
      <c r="AP167" s="41">
        <f>AP146*Assumptions!$B$124</f>
        <v/>
      </c>
      <c r="AQ167" s="41">
        <f>AQ146*Assumptions!$B$124</f>
        <v/>
      </c>
      <c r="AR167" s="41">
        <f>AR146*Assumptions!$B$124</f>
        <v/>
      </c>
      <c r="AS167" s="41">
        <f>AS146*Assumptions!$B$124</f>
        <v/>
      </c>
      <c r="AT167" s="41">
        <f>AT146*Assumptions!$B$124</f>
        <v/>
      </c>
      <c r="AU167" s="41">
        <f>AU146*Assumptions!$B$124</f>
        <v/>
      </c>
      <c r="AV167" s="41">
        <f>AV146*Assumptions!$B$124</f>
        <v/>
      </c>
      <c r="AW167" s="41">
        <f>AW146*Assumptions!$B$124</f>
        <v/>
      </c>
      <c r="AX167" s="41">
        <f>AX146*Assumptions!$B$124</f>
        <v/>
      </c>
      <c r="AY167" s="41">
        <f>AY146*Assumptions!$B$124</f>
        <v/>
      </c>
      <c r="AZ167" s="41">
        <f>AZ146*Assumptions!$B$124</f>
        <v/>
      </c>
      <c r="BA167" s="41">
        <f>BA146*Assumptions!$B$124</f>
        <v/>
      </c>
      <c r="BB167" s="41">
        <f>BB146*Assumptions!$B$124</f>
        <v/>
      </c>
      <c r="BC167" s="41">
        <f>BC146*Assumptions!$B$124</f>
        <v/>
      </c>
      <c r="BD167" s="41">
        <f>BD146*Assumptions!$B$124</f>
        <v/>
      </c>
      <c r="BE167" s="41">
        <f>BE146*Assumptions!$B$124</f>
        <v/>
      </c>
      <c r="BF167" s="41">
        <f>BF146*Assumptions!$B$124</f>
        <v/>
      </c>
      <c r="BG167" s="41">
        <f>BG146*Assumptions!$B$124</f>
        <v/>
      </c>
      <c r="BH167" s="41">
        <f>BH146*Assumptions!$B$124</f>
        <v/>
      </c>
      <c r="BI167" s="41">
        <f>BI146*Assumptions!$B$124</f>
        <v/>
      </c>
      <c r="BJ167" s="41">
        <f>BJ146*Assumptions!$B$124</f>
        <v/>
      </c>
    </row>
    <row r="168">
      <c r="A168" s="4" t="inlineStr">
        <is>
          <t>South Africa: Solo: Nano: churned</t>
        </is>
      </c>
      <c r="B168" s="17" t="inlineStr">
        <is>
          <t>workspaces</t>
        </is>
      </c>
      <c r="C168" s="41">
        <f>C166*Assumptions!$B$137*Assumptions!$B$46*Assumptions!$B$30</f>
        <v/>
      </c>
      <c r="D168" s="41">
        <f>D166*Assumptions!$B$137*Assumptions!$B$46*Assumptions!$B$30</f>
        <v/>
      </c>
      <c r="E168" s="41">
        <f>E166*Assumptions!$B$137*Assumptions!$B$46*Assumptions!$B$30</f>
        <v/>
      </c>
      <c r="F168" s="41">
        <f>F166*Assumptions!$B$137*Assumptions!$B$46*Assumptions!$B$30</f>
        <v/>
      </c>
      <c r="G168" s="41">
        <f>G166*Assumptions!$B$137*Assumptions!$B$46*Assumptions!$B$30</f>
        <v/>
      </c>
      <c r="H168" s="41">
        <f>H166*Assumptions!$B$137*Assumptions!$B$46*Assumptions!$B$30</f>
        <v/>
      </c>
      <c r="I168" s="41">
        <f>I166*Assumptions!$B$137*Assumptions!$B$46*Assumptions!$B$30</f>
        <v/>
      </c>
      <c r="J168" s="41">
        <f>J166*Assumptions!$B$137*Assumptions!$B$46*Assumptions!$B$30</f>
        <v/>
      </c>
      <c r="K168" s="41">
        <f>K166*Assumptions!$B$137*Assumptions!$B$46*Assumptions!$B$30</f>
        <v/>
      </c>
      <c r="L168" s="41">
        <f>L166*Assumptions!$B$137*Assumptions!$B$46*Assumptions!$B$30</f>
        <v/>
      </c>
      <c r="M168" s="41">
        <f>M166*Assumptions!$B$137*Assumptions!$B$46*Assumptions!$B$30</f>
        <v/>
      </c>
      <c r="N168" s="41">
        <f>N166*Assumptions!$B$137*Assumptions!$B$46*Assumptions!$B$30</f>
        <v/>
      </c>
      <c r="O168" s="41">
        <f>O166*Assumptions!$B$137*Assumptions!$B$46*Assumptions!$B$30</f>
        <v/>
      </c>
      <c r="P168" s="41">
        <f>P166*Assumptions!$B$137*Assumptions!$B$46*Assumptions!$B$30</f>
        <v/>
      </c>
      <c r="Q168" s="41">
        <f>Q166*Assumptions!$B$137*Assumptions!$B$46*Assumptions!$B$30</f>
        <v/>
      </c>
      <c r="R168" s="41">
        <f>R166*Assumptions!$B$137*Assumptions!$B$46*Assumptions!$B$30</f>
        <v/>
      </c>
      <c r="S168" s="41">
        <f>S166*Assumptions!$B$137*Assumptions!$B$46*Assumptions!$B$30</f>
        <v/>
      </c>
      <c r="T168" s="41">
        <f>T166*Assumptions!$B$137*Assumptions!$B$46*Assumptions!$B$30</f>
        <v/>
      </c>
      <c r="U168" s="41">
        <f>U166*Assumptions!$B$137*Assumptions!$B$46*Assumptions!$B$30</f>
        <v/>
      </c>
      <c r="V168" s="41">
        <f>V166*Assumptions!$B$137*Assumptions!$B$46*Assumptions!$B$30</f>
        <v/>
      </c>
      <c r="W168" s="41">
        <f>W166*Assumptions!$B$137*Assumptions!$B$46*Assumptions!$B$30</f>
        <v/>
      </c>
      <c r="X168" s="41">
        <f>X166*Assumptions!$B$137*Assumptions!$B$46*Assumptions!$B$30</f>
        <v/>
      </c>
      <c r="Y168" s="41">
        <f>Y166*Assumptions!$B$137*Assumptions!$B$46*Assumptions!$B$30</f>
        <v/>
      </c>
      <c r="Z168" s="41">
        <f>Z166*Assumptions!$B$137*Assumptions!$B$46*Assumptions!$B$30</f>
        <v/>
      </c>
      <c r="AA168" s="41">
        <f>AA166*Assumptions!$B$137*Assumptions!$B$46*Assumptions!$B$30</f>
        <v/>
      </c>
      <c r="AB168" s="41">
        <f>AB166*Assumptions!$B$137*Assumptions!$B$46*Assumptions!$B$30</f>
        <v/>
      </c>
      <c r="AC168" s="41">
        <f>AC166*Assumptions!$B$137*Assumptions!$B$46*Assumptions!$B$30</f>
        <v/>
      </c>
      <c r="AD168" s="41">
        <f>AD166*Assumptions!$B$137*Assumptions!$B$46*Assumptions!$B$30</f>
        <v/>
      </c>
      <c r="AE168" s="41">
        <f>AE166*Assumptions!$B$137*Assumptions!$B$46*Assumptions!$B$30</f>
        <v/>
      </c>
      <c r="AF168" s="41">
        <f>AF166*Assumptions!$B$137*Assumptions!$B$46*Assumptions!$B$30</f>
        <v/>
      </c>
      <c r="AG168" s="41">
        <f>AG166*Assumptions!$B$137*Assumptions!$B$46*Assumptions!$B$30</f>
        <v/>
      </c>
      <c r="AH168" s="41">
        <f>AH166*Assumptions!$B$137*Assumptions!$B$46*Assumptions!$B$30</f>
        <v/>
      </c>
      <c r="AI168" s="41">
        <f>AI166*Assumptions!$B$137*Assumptions!$B$46*Assumptions!$B$30</f>
        <v/>
      </c>
      <c r="AJ168" s="41">
        <f>AJ166*Assumptions!$B$137*Assumptions!$B$46*Assumptions!$B$30</f>
        <v/>
      </c>
      <c r="AK168" s="41">
        <f>AK166*Assumptions!$B$137*Assumptions!$B$46*Assumptions!$B$30</f>
        <v/>
      </c>
      <c r="AL168" s="41">
        <f>AL166*Assumptions!$B$137*Assumptions!$B$46*Assumptions!$B$30</f>
        <v/>
      </c>
      <c r="AM168" s="41">
        <f>AM166*Assumptions!$B$137*Assumptions!$B$46*Assumptions!$B$30</f>
        <v/>
      </c>
      <c r="AN168" s="41">
        <f>AN166*Assumptions!$B$137*Assumptions!$B$46*Assumptions!$B$30</f>
        <v/>
      </c>
      <c r="AO168" s="41">
        <f>AO166*Assumptions!$B$137*Assumptions!$B$46*Assumptions!$B$30</f>
        <v/>
      </c>
      <c r="AP168" s="41">
        <f>AP166*Assumptions!$B$137*Assumptions!$B$46*Assumptions!$B$30</f>
        <v/>
      </c>
      <c r="AQ168" s="41">
        <f>AQ166*Assumptions!$B$137*Assumptions!$B$46*Assumptions!$B$30</f>
        <v/>
      </c>
      <c r="AR168" s="41">
        <f>AR166*Assumptions!$B$137*Assumptions!$B$46*Assumptions!$B$30</f>
        <v/>
      </c>
      <c r="AS168" s="41">
        <f>AS166*Assumptions!$B$137*Assumptions!$B$46*Assumptions!$B$30</f>
        <v/>
      </c>
      <c r="AT168" s="41">
        <f>AT166*Assumptions!$B$137*Assumptions!$B$46*Assumptions!$B$30</f>
        <v/>
      </c>
      <c r="AU168" s="41">
        <f>AU166*Assumptions!$B$137*Assumptions!$B$46*Assumptions!$B$30</f>
        <v/>
      </c>
      <c r="AV168" s="41">
        <f>AV166*Assumptions!$B$137*Assumptions!$B$46*Assumptions!$B$30</f>
        <v/>
      </c>
      <c r="AW168" s="41">
        <f>AW166*Assumptions!$B$137*Assumptions!$B$46*Assumptions!$B$30</f>
        <v/>
      </c>
      <c r="AX168" s="41">
        <f>AX166*Assumptions!$B$137*Assumptions!$B$46*Assumptions!$B$30</f>
        <v/>
      </c>
      <c r="AY168" s="41">
        <f>AY166*Assumptions!$B$137*Assumptions!$B$46*Assumptions!$B$30</f>
        <v/>
      </c>
      <c r="AZ168" s="41">
        <f>AZ166*Assumptions!$B$137*Assumptions!$B$46*Assumptions!$B$30</f>
        <v/>
      </c>
      <c r="BA168" s="41">
        <f>BA166*Assumptions!$B$137*Assumptions!$B$46*Assumptions!$B$30</f>
        <v/>
      </c>
      <c r="BB168" s="41">
        <f>BB166*Assumptions!$B$137*Assumptions!$B$46*Assumptions!$B$30</f>
        <v/>
      </c>
      <c r="BC168" s="41">
        <f>BC166*Assumptions!$B$137*Assumptions!$B$46*Assumptions!$B$30</f>
        <v/>
      </c>
      <c r="BD168" s="41">
        <f>BD166*Assumptions!$B$137*Assumptions!$B$46*Assumptions!$B$30</f>
        <v/>
      </c>
      <c r="BE168" s="41">
        <f>BE166*Assumptions!$B$137*Assumptions!$B$46*Assumptions!$B$30</f>
        <v/>
      </c>
      <c r="BF168" s="41">
        <f>BF166*Assumptions!$B$137*Assumptions!$B$46*Assumptions!$B$30</f>
        <v/>
      </c>
      <c r="BG168" s="41">
        <f>BG166*Assumptions!$B$137*Assumptions!$B$46*Assumptions!$B$30</f>
        <v/>
      </c>
      <c r="BH168" s="41">
        <f>BH166*Assumptions!$B$137*Assumptions!$B$46*Assumptions!$B$30</f>
        <v/>
      </c>
      <c r="BI168" s="41">
        <f>BI166*Assumptions!$B$137*Assumptions!$B$46*Assumptions!$B$30</f>
        <v/>
      </c>
      <c r="BJ168" s="41">
        <f>BJ166*Assumptions!$B$137*Assumptions!$B$46*Assumptions!$B$30</f>
        <v/>
      </c>
    </row>
    <row r="169">
      <c r="A169" s="4" t="inlineStr">
        <is>
          <t>South Africa: Solo: Nano: upgraded out</t>
        </is>
      </c>
      <c r="B169" s="17" t="inlineStr">
        <is>
          <t>workspaces</t>
        </is>
      </c>
      <c r="C169" s="41">
        <f>C166*Assumptions!$B$130</f>
        <v/>
      </c>
      <c r="D169" s="41">
        <f>D166*Assumptions!$B$130</f>
        <v/>
      </c>
      <c r="E169" s="41">
        <f>E166*Assumptions!$B$130</f>
        <v/>
      </c>
      <c r="F169" s="41">
        <f>F166*Assumptions!$B$130</f>
        <v/>
      </c>
      <c r="G169" s="41">
        <f>G166*Assumptions!$B$130</f>
        <v/>
      </c>
      <c r="H169" s="41">
        <f>H166*Assumptions!$B$130</f>
        <v/>
      </c>
      <c r="I169" s="41">
        <f>I166*Assumptions!$B$130</f>
        <v/>
      </c>
      <c r="J169" s="41">
        <f>J166*Assumptions!$B$130</f>
        <v/>
      </c>
      <c r="K169" s="41">
        <f>K166*Assumptions!$B$130</f>
        <v/>
      </c>
      <c r="L169" s="41">
        <f>L166*Assumptions!$B$130</f>
        <v/>
      </c>
      <c r="M169" s="41">
        <f>M166*Assumptions!$B$130</f>
        <v/>
      </c>
      <c r="N169" s="41">
        <f>N166*Assumptions!$B$130</f>
        <v/>
      </c>
      <c r="O169" s="41">
        <f>O166*Assumptions!$B$130</f>
        <v/>
      </c>
      <c r="P169" s="41">
        <f>P166*Assumptions!$B$130</f>
        <v/>
      </c>
      <c r="Q169" s="41">
        <f>Q166*Assumptions!$B$130</f>
        <v/>
      </c>
      <c r="R169" s="41">
        <f>R166*Assumptions!$B$130</f>
        <v/>
      </c>
      <c r="S169" s="41">
        <f>S166*Assumptions!$B$130</f>
        <v/>
      </c>
      <c r="T169" s="41">
        <f>T166*Assumptions!$B$130</f>
        <v/>
      </c>
      <c r="U169" s="41">
        <f>U166*Assumptions!$B$130</f>
        <v/>
      </c>
      <c r="V169" s="41">
        <f>V166*Assumptions!$B$130</f>
        <v/>
      </c>
      <c r="W169" s="41">
        <f>W166*Assumptions!$B$130</f>
        <v/>
      </c>
      <c r="X169" s="41">
        <f>X166*Assumptions!$B$130</f>
        <v/>
      </c>
      <c r="Y169" s="41">
        <f>Y166*Assumptions!$B$130</f>
        <v/>
      </c>
      <c r="Z169" s="41">
        <f>Z166*Assumptions!$B$130</f>
        <v/>
      </c>
      <c r="AA169" s="41">
        <f>AA166*Assumptions!$B$130</f>
        <v/>
      </c>
      <c r="AB169" s="41">
        <f>AB166*Assumptions!$B$130</f>
        <v/>
      </c>
      <c r="AC169" s="41">
        <f>AC166*Assumptions!$B$130</f>
        <v/>
      </c>
      <c r="AD169" s="41">
        <f>AD166*Assumptions!$B$130</f>
        <v/>
      </c>
      <c r="AE169" s="41">
        <f>AE166*Assumptions!$B$130</f>
        <v/>
      </c>
      <c r="AF169" s="41">
        <f>AF166*Assumptions!$B$130</f>
        <v/>
      </c>
      <c r="AG169" s="41">
        <f>AG166*Assumptions!$B$130</f>
        <v/>
      </c>
      <c r="AH169" s="41">
        <f>AH166*Assumptions!$B$130</f>
        <v/>
      </c>
      <c r="AI169" s="41">
        <f>AI166*Assumptions!$B$130</f>
        <v/>
      </c>
      <c r="AJ169" s="41">
        <f>AJ166*Assumptions!$B$130</f>
        <v/>
      </c>
      <c r="AK169" s="41">
        <f>AK166*Assumptions!$B$130</f>
        <v/>
      </c>
      <c r="AL169" s="41">
        <f>AL166*Assumptions!$B$130</f>
        <v/>
      </c>
      <c r="AM169" s="41">
        <f>AM166*Assumptions!$B$130</f>
        <v/>
      </c>
      <c r="AN169" s="41">
        <f>AN166*Assumptions!$B$130</f>
        <v/>
      </c>
      <c r="AO169" s="41">
        <f>AO166*Assumptions!$B$130</f>
        <v/>
      </c>
      <c r="AP169" s="41">
        <f>AP166*Assumptions!$B$130</f>
        <v/>
      </c>
      <c r="AQ169" s="41">
        <f>AQ166*Assumptions!$B$130</f>
        <v/>
      </c>
      <c r="AR169" s="41">
        <f>AR166*Assumptions!$B$130</f>
        <v/>
      </c>
      <c r="AS169" s="41">
        <f>AS166*Assumptions!$B$130</f>
        <v/>
      </c>
      <c r="AT169" s="41">
        <f>AT166*Assumptions!$B$130</f>
        <v/>
      </c>
      <c r="AU169" s="41">
        <f>AU166*Assumptions!$B$130</f>
        <v/>
      </c>
      <c r="AV169" s="41">
        <f>AV166*Assumptions!$B$130</f>
        <v/>
      </c>
      <c r="AW169" s="41">
        <f>AW166*Assumptions!$B$130</f>
        <v/>
      </c>
      <c r="AX169" s="41">
        <f>AX166*Assumptions!$B$130</f>
        <v/>
      </c>
      <c r="AY169" s="41">
        <f>AY166*Assumptions!$B$130</f>
        <v/>
      </c>
      <c r="AZ169" s="41">
        <f>AZ166*Assumptions!$B$130</f>
        <v/>
      </c>
      <c r="BA169" s="41">
        <f>BA166*Assumptions!$B$130</f>
        <v/>
      </c>
      <c r="BB169" s="41">
        <f>BB166*Assumptions!$B$130</f>
        <v/>
      </c>
      <c r="BC169" s="41">
        <f>BC166*Assumptions!$B$130</f>
        <v/>
      </c>
      <c r="BD169" s="41">
        <f>BD166*Assumptions!$B$130</f>
        <v/>
      </c>
      <c r="BE169" s="41">
        <f>BE166*Assumptions!$B$130</f>
        <v/>
      </c>
      <c r="BF169" s="41">
        <f>BF166*Assumptions!$B$130</f>
        <v/>
      </c>
      <c r="BG169" s="41">
        <f>BG166*Assumptions!$B$130</f>
        <v/>
      </c>
      <c r="BH169" s="41">
        <f>BH166*Assumptions!$B$130</f>
        <v/>
      </c>
      <c r="BI169" s="41">
        <f>BI166*Assumptions!$B$130</f>
        <v/>
      </c>
      <c r="BJ169" s="41">
        <f>BJ166*Assumptions!$B$130</f>
        <v/>
      </c>
    </row>
    <row r="170">
      <c r="A170" s="3" t="inlineStr">
        <is>
          <t>South Africa: Solo: Nano: closing</t>
        </is>
      </c>
      <c r="B170" s="17" t="inlineStr">
        <is>
          <t>workspaces</t>
        </is>
      </c>
      <c r="C170" s="44">
        <f>C166+C167-C168-C169</f>
        <v/>
      </c>
      <c r="D170" s="44">
        <f>D166+D167-D168-D169</f>
        <v/>
      </c>
      <c r="E170" s="44">
        <f>E166+E167-E168-E169</f>
        <v/>
      </c>
      <c r="F170" s="44">
        <f>F166+F167-F168-F169</f>
        <v/>
      </c>
      <c r="G170" s="44">
        <f>G166+G167-G168-G169</f>
        <v/>
      </c>
      <c r="H170" s="44">
        <f>H166+H167-H168-H169</f>
        <v/>
      </c>
      <c r="I170" s="44">
        <f>I166+I167-I168-I169</f>
        <v/>
      </c>
      <c r="J170" s="44">
        <f>J166+J167-J168-J169</f>
        <v/>
      </c>
      <c r="K170" s="44">
        <f>K166+K167-K168-K169</f>
        <v/>
      </c>
      <c r="L170" s="44">
        <f>L166+L167-L168-L169</f>
        <v/>
      </c>
      <c r="M170" s="44">
        <f>M166+M167-M168-M169</f>
        <v/>
      </c>
      <c r="N170" s="44">
        <f>N166+N167-N168-N169</f>
        <v/>
      </c>
      <c r="O170" s="44">
        <f>O166+O167-O168-O169</f>
        <v/>
      </c>
      <c r="P170" s="44">
        <f>P166+P167-P168-P169</f>
        <v/>
      </c>
      <c r="Q170" s="44">
        <f>Q166+Q167-Q168-Q169</f>
        <v/>
      </c>
      <c r="R170" s="44">
        <f>R166+R167-R168-R169</f>
        <v/>
      </c>
      <c r="S170" s="44">
        <f>S166+S167-S168-S169</f>
        <v/>
      </c>
      <c r="T170" s="44">
        <f>T166+T167-T168-T169</f>
        <v/>
      </c>
      <c r="U170" s="44">
        <f>U166+U167-U168-U169</f>
        <v/>
      </c>
      <c r="V170" s="44">
        <f>V166+V167-V168-V169</f>
        <v/>
      </c>
      <c r="W170" s="44">
        <f>W166+W167-W168-W169</f>
        <v/>
      </c>
      <c r="X170" s="44">
        <f>X166+X167-X168-X169</f>
        <v/>
      </c>
      <c r="Y170" s="44">
        <f>Y166+Y167-Y168-Y169</f>
        <v/>
      </c>
      <c r="Z170" s="44">
        <f>Z166+Z167-Z168-Z169</f>
        <v/>
      </c>
      <c r="AA170" s="44">
        <f>AA166+AA167-AA168-AA169</f>
        <v/>
      </c>
      <c r="AB170" s="44">
        <f>AB166+AB167-AB168-AB169</f>
        <v/>
      </c>
      <c r="AC170" s="44">
        <f>AC166+AC167-AC168-AC169</f>
        <v/>
      </c>
      <c r="AD170" s="44">
        <f>AD166+AD167-AD168-AD169</f>
        <v/>
      </c>
      <c r="AE170" s="44">
        <f>AE166+AE167-AE168-AE169</f>
        <v/>
      </c>
      <c r="AF170" s="44">
        <f>AF166+AF167-AF168-AF169</f>
        <v/>
      </c>
      <c r="AG170" s="44">
        <f>AG166+AG167-AG168-AG169</f>
        <v/>
      </c>
      <c r="AH170" s="44">
        <f>AH166+AH167-AH168-AH169</f>
        <v/>
      </c>
      <c r="AI170" s="44">
        <f>AI166+AI167-AI168-AI169</f>
        <v/>
      </c>
      <c r="AJ170" s="44">
        <f>AJ166+AJ167-AJ168-AJ169</f>
        <v/>
      </c>
      <c r="AK170" s="44">
        <f>AK166+AK167-AK168-AK169</f>
        <v/>
      </c>
      <c r="AL170" s="44">
        <f>AL166+AL167-AL168-AL169</f>
        <v/>
      </c>
      <c r="AM170" s="44">
        <f>AM166+AM167-AM168-AM169</f>
        <v/>
      </c>
      <c r="AN170" s="44">
        <f>AN166+AN167-AN168-AN169</f>
        <v/>
      </c>
      <c r="AO170" s="44">
        <f>AO166+AO167-AO168-AO169</f>
        <v/>
      </c>
      <c r="AP170" s="44">
        <f>AP166+AP167-AP168-AP169</f>
        <v/>
      </c>
      <c r="AQ170" s="44">
        <f>AQ166+AQ167-AQ168-AQ169</f>
        <v/>
      </c>
      <c r="AR170" s="44">
        <f>AR166+AR167-AR168-AR169</f>
        <v/>
      </c>
      <c r="AS170" s="44">
        <f>AS166+AS167-AS168-AS169</f>
        <v/>
      </c>
      <c r="AT170" s="44">
        <f>AT166+AT167-AT168-AT169</f>
        <v/>
      </c>
      <c r="AU170" s="44">
        <f>AU166+AU167-AU168-AU169</f>
        <v/>
      </c>
      <c r="AV170" s="44">
        <f>AV166+AV167-AV168-AV169</f>
        <v/>
      </c>
      <c r="AW170" s="44">
        <f>AW166+AW167-AW168-AW169</f>
        <v/>
      </c>
      <c r="AX170" s="44">
        <f>AX166+AX167-AX168-AX169</f>
        <v/>
      </c>
      <c r="AY170" s="44">
        <f>AY166+AY167-AY168-AY169</f>
        <v/>
      </c>
      <c r="AZ170" s="44">
        <f>AZ166+AZ167-AZ168-AZ169</f>
        <v/>
      </c>
      <c r="BA170" s="44">
        <f>BA166+BA167-BA168-BA169</f>
        <v/>
      </c>
      <c r="BB170" s="44">
        <f>BB166+BB167-BB168-BB169</f>
        <v/>
      </c>
      <c r="BC170" s="44">
        <f>BC166+BC167-BC168-BC169</f>
        <v/>
      </c>
      <c r="BD170" s="44">
        <f>BD166+BD167-BD168-BD169</f>
        <v/>
      </c>
      <c r="BE170" s="44">
        <f>BE166+BE167-BE168-BE169</f>
        <v/>
      </c>
      <c r="BF170" s="44">
        <f>BF166+BF167-BF168-BF169</f>
        <v/>
      </c>
      <c r="BG170" s="44">
        <f>BG166+BG167-BG168-BG169</f>
        <v/>
      </c>
      <c r="BH170" s="44">
        <f>BH166+BH167-BH168-BH169</f>
        <v/>
      </c>
      <c r="BI170" s="44">
        <f>BI166+BI167-BI168-BI169</f>
        <v/>
      </c>
      <c r="BJ170" s="44">
        <f>BJ166+BJ167-BJ168-BJ169</f>
        <v/>
      </c>
    </row>
    <row r="171">
      <c r="A171" s="4" t="inlineStr">
        <is>
          <t>South Africa: Solo: Micro (direct or upgraded): opening</t>
        </is>
      </c>
      <c r="B171" s="17" t="inlineStr">
        <is>
          <t>workspaces</t>
        </is>
      </c>
      <c r="C171" s="41">
        <f>0</f>
        <v/>
      </c>
      <c r="D171" s="41">
        <f>C175</f>
        <v/>
      </c>
      <c r="E171" s="41">
        <f>D175</f>
        <v/>
      </c>
      <c r="F171" s="41">
        <f>E175</f>
        <v/>
      </c>
      <c r="G171" s="41">
        <f>F175</f>
        <v/>
      </c>
      <c r="H171" s="41">
        <f>G175</f>
        <v/>
      </c>
      <c r="I171" s="41">
        <f>H175</f>
        <v/>
      </c>
      <c r="J171" s="41">
        <f>I175</f>
        <v/>
      </c>
      <c r="K171" s="41">
        <f>J175</f>
        <v/>
      </c>
      <c r="L171" s="41">
        <f>K175</f>
        <v/>
      </c>
      <c r="M171" s="41">
        <f>L175</f>
        <v/>
      </c>
      <c r="N171" s="41">
        <f>M175</f>
        <v/>
      </c>
      <c r="O171" s="41">
        <f>N175</f>
        <v/>
      </c>
      <c r="P171" s="41">
        <f>O175</f>
        <v/>
      </c>
      <c r="Q171" s="41">
        <f>P175</f>
        <v/>
      </c>
      <c r="R171" s="41">
        <f>Q175</f>
        <v/>
      </c>
      <c r="S171" s="41">
        <f>R175</f>
        <v/>
      </c>
      <c r="T171" s="41">
        <f>S175</f>
        <v/>
      </c>
      <c r="U171" s="41">
        <f>T175</f>
        <v/>
      </c>
      <c r="V171" s="41">
        <f>U175</f>
        <v/>
      </c>
      <c r="W171" s="41">
        <f>V175</f>
        <v/>
      </c>
      <c r="X171" s="41">
        <f>W175</f>
        <v/>
      </c>
      <c r="Y171" s="41">
        <f>X175</f>
        <v/>
      </c>
      <c r="Z171" s="41">
        <f>Y175</f>
        <v/>
      </c>
      <c r="AA171" s="41">
        <f>Z175</f>
        <v/>
      </c>
      <c r="AB171" s="41">
        <f>AA175</f>
        <v/>
      </c>
      <c r="AC171" s="41">
        <f>AB175</f>
        <v/>
      </c>
      <c r="AD171" s="41">
        <f>AC175</f>
        <v/>
      </c>
      <c r="AE171" s="41">
        <f>AD175</f>
        <v/>
      </c>
      <c r="AF171" s="41">
        <f>AE175</f>
        <v/>
      </c>
      <c r="AG171" s="41">
        <f>AF175</f>
        <v/>
      </c>
      <c r="AH171" s="41">
        <f>AG175</f>
        <v/>
      </c>
      <c r="AI171" s="41">
        <f>AH175</f>
        <v/>
      </c>
      <c r="AJ171" s="41">
        <f>AI175</f>
        <v/>
      </c>
      <c r="AK171" s="41">
        <f>AJ175</f>
        <v/>
      </c>
      <c r="AL171" s="41">
        <f>AK175</f>
        <v/>
      </c>
      <c r="AM171" s="41">
        <f>AL175</f>
        <v/>
      </c>
      <c r="AN171" s="41">
        <f>AM175</f>
        <v/>
      </c>
      <c r="AO171" s="41">
        <f>AN175</f>
        <v/>
      </c>
      <c r="AP171" s="41">
        <f>AO175</f>
        <v/>
      </c>
      <c r="AQ171" s="41">
        <f>AP175</f>
        <v/>
      </c>
      <c r="AR171" s="41">
        <f>AQ175</f>
        <v/>
      </c>
      <c r="AS171" s="41">
        <f>AR175</f>
        <v/>
      </c>
      <c r="AT171" s="41">
        <f>AS175</f>
        <v/>
      </c>
      <c r="AU171" s="41">
        <f>AT175</f>
        <v/>
      </c>
      <c r="AV171" s="41">
        <f>AU175</f>
        <v/>
      </c>
      <c r="AW171" s="41">
        <f>AV175</f>
        <v/>
      </c>
      <c r="AX171" s="41">
        <f>AW175</f>
        <v/>
      </c>
      <c r="AY171" s="41">
        <f>AX175</f>
        <v/>
      </c>
      <c r="AZ171" s="41">
        <f>AY175</f>
        <v/>
      </c>
      <c r="BA171" s="41">
        <f>AZ175</f>
        <v/>
      </c>
      <c r="BB171" s="41">
        <f>BA175</f>
        <v/>
      </c>
      <c r="BC171" s="41">
        <f>BB175</f>
        <v/>
      </c>
      <c r="BD171" s="41">
        <f>BC175</f>
        <v/>
      </c>
      <c r="BE171" s="41">
        <f>BD175</f>
        <v/>
      </c>
      <c r="BF171" s="41">
        <f>BE175</f>
        <v/>
      </c>
      <c r="BG171" s="41">
        <f>BF175</f>
        <v/>
      </c>
      <c r="BH171" s="41">
        <f>BG175</f>
        <v/>
      </c>
      <c r="BI171" s="41">
        <f>BH175</f>
        <v/>
      </c>
      <c r="BJ171" s="41">
        <f>BI175</f>
        <v/>
      </c>
    </row>
    <row r="172">
      <c r="A172" s="4" t="inlineStr">
        <is>
          <t>South Africa: Solo: Micro (direct or upgraded): new</t>
        </is>
      </c>
      <c r="B172" s="17" t="inlineStr">
        <is>
          <t>workspaces</t>
        </is>
      </c>
      <c r="C172" s="41">
        <f>C146*Assumptions!$B$125+C169</f>
        <v/>
      </c>
      <c r="D172" s="41">
        <f>D146*Assumptions!$B$125+D169</f>
        <v/>
      </c>
      <c r="E172" s="41">
        <f>E146*Assumptions!$B$125+E169</f>
        <v/>
      </c>
      <c r="F172" s="41">
        <f>F146*Assumptions!$B$125+F169</f>
        <v/>
      </c>
      <c r="G172" s="41">
        <f>G146*Assumptions!$B$125+G169</f>
        <v/>
      </c>
      <c r="H172" s="41">
        <f>H146*Assumptions!$B$125+H169</f>
        <v/>
      </c>
      <c r="I172" s="41">
        <f>I146*Assumptions!$B$125+I169</f>
        <v/>
      </c>
      <c r="J172" s="41">
        <f>J146*Assumptions!$B$125+J169</f>
        <v/>
      </c>
      <c r="K172" s="41">
        <f>K146*Assumptions!$B$125+K169</f>
        <v/>
      </c>
      <c r="L172" s="41">
        <f>L146*Assumptions!$B$125+L169</f>
        <v/>
      </c>
      <c r="M172" s="41">
        <f>M146*Assumptions!$B$125+M169</f>
        <v/>
      </c>
      <c r="N172" s="41">
        <f>N146*Assumptions!$B$125+N169</f>
        <v/>
      </c>
      <c r="O172" s="41">
        <f>O146*Assumptions!$B$125+O169</f>
        <v/>
      </c>
      <c r="P172" s="41">
        <f>P146*Assumptions!$B$125+P169</f>
        <v/>
      </c>
      <c r="Q172" s="41">
        <f>Q146*Assumptions!$B$125+Q169</f>
        <v/>
      </c>
      <c r="R172" s="41">
        <f>R146*Assumptions!$B$125+R169</f>
        <v/>
      </c>
      <c r="S172" s="41">
        <f>S146*Assumptions!$B$125+S169</f>
        <v/>
      </c>
      <c r="T172" s="41">
        <f>T146*Assumptions!$B$125+T169</f>
        <v/>
      </c>
      <c r="U172" s="41">
        <f>U146*Assumptions!$B$125+U169</f>
        <v/>
      </c>
      <c r="V172" s="41">
        <f>V146*Assumptions!$B$125+V169</f>
        <v/>
      </c>
      <c r="W172" s="41">
        <f>W146*Assumptions!$B$125+W169</f>
        <v/>
      </c>
      <c r="X172" s="41">
        <f>X146*Assumptions!$B$125+X169</f>
        <v/>
      </c>
      <c r="Y172" s="41">
        <f>Y146*Assumptions!$B$125+Y169</f>
        <v/>
      </c>
      <c r="Z172" s="41">
        <f>Z146*Assumptions!$B$125+Z169</f>
        <v/>
      </c>
      <c r="AA172" s="41">
        <f>AA146*Assumptions!$B$125+AA169</f>
        <v/>
      </c>
      <c r="AB172" s="41">
        <f>AB146*Assumptions!$B$125+AB169</f>
        <v/>
      </c>
      <c r="AC172" s="41">
        <f>AC146*Assumptions!$B$125+AC169</f>
        <v/>
      </c>
      <c r="AD172" s="41">
        <f>AD146*Assumptions!$B$125+AD169</f>
        <v/>
      </c>
      <c r="AE172" s="41">
        <f>AE146*Assumptions!$B$125+AE169</f>
        <v/>
      </c>
      <c r="AF172" s="41">
        <f>AF146*Assumptions!$B$125+AF169</f>
        <v/>
      </c>
      <c r="AG172" s="41">
        <f>AG146*Assumptions!$B$125+AG169</f>
        <v/>
      </c>
      <c r="AH172" s="41">
        <f>AH146*Assumptions!$B$125+AH169</f>
        <v/>
      </c>
      <c r="AI172" s="41">
        <f>AI146*Assumptions!$B$125+AI169</f>
        <v/>
      </c>
      <c r="AJ172" s="41">
        <f>AJ146*Assumptions!$B$125+AJ169</f>
        <v/>
      </c>
      <c r="AK172" s="41">
        <f>AK146*Assumptions!$B$125+AK169</f>
        <v/>
      </c>
      <c r="AL172" s="41">
        <f>AL146*Assumptions!$B$125+AL169</f>
        <v/>
      </c>
      <c r="AM172" s="41">
        <f>AM146*Assumptions!$B$125+AM169</f>
        <v/>
      </c>
      <c r="AN172" s="41">
        <f>AN146*Assumptions!$B$125+AN169</f>
        <v/>
      </c>
      <c r="AO172" s="41">
        <f>AO146*Assumptions!$B$125+AO169</f>
        <v/>
      </c>
      <c r="AP172" s="41">
        <f>AP146*Assumptions!$B$125+AP169</f>
        <v/>
      </c>
      <c r="AQ172" s="41">
        <f>AQ146*Assumptions!$B$125+AQ169</f>
        <v/>
      </c>
      <c r="AR172" s="41">
        <f>AR146*Assumptions!$B$125+AR169</f>
        <v/>
      </c>
      <c r="AS172" s="41">
        <f>AS146*Assumptions!$B$125+AS169</f>
        <v/>
      </c>
      <c r="AT172" s="41">
        <f>AT146*Assumptions!$B$125+AT169</f>
        <v/>
      </c>
      <c r="AU172" s="41">
        <f>AU146*Assumptions!$B$125+AU169</f>
        <v/>
      </c>
      <c r="AV172" s="41">
        <f>AV146*Assumptions!$B$125+AV169</f>
        <v/>
      </c>
      <c r="AW172" s="41">
        <f>AW146*Assumptions!$B$125+AW169</f>
        <v/>
      </c>
      <c r="AX172" s="41">
        <f>AX146*Assumptions!$B$125+AX169</f>
        <v/>
      </c>
      <c r="AY172" s="41">
        <f>AY146*Assumptions!$B$125+AY169</f>
        <v/>
      </c>
      <c r="AZ172" s="41">
        <f>AZ146*Assumptions!$B$125+AZ169</f>
        <v/>
      </c>
      <c r="BA172" s="41">
        <f>BA146*Assumptions!$B$125+BA169</f>
        <v/>
      </c>
      <c r="BB172" s="41">
        <f>BB146*Assumptions!$B$125+BB169</f>
        <v/>
      </c>
      <c r="BC172" s="41">
        <f>BC146*Assumptions!$B$125+BC169</f>
        <v/>
      </c>
      <c r="BD172" s="41">
        <f>BD146*Assumptions!$B$125+BD169</f>
        <v/>
      </c>
      <c r="BE172" s="41">
        <f>BE146*Assumptions!$B$125+BE169</f>
        <v/>
      </c>
      <c r="BF172" s="41">
        <f>BF146*Assumptions!$B$125+BF169</f>
        <v/>
      </c>
      <c r="BG172" s="41">
        <f>BG146*Assumptions!$B$125+BG169</f>
        <v/>
      </c>
      <c r="BH172" s="41">
        <f>BH146*Assumptions!$B$125+BH169</f>
        <v/>
      </c>
      <c r="BI172" s="41">
        <f>BI146*Assumptions!$B$125+BI169</f>
        <v/>
      </c>
      <c r="BJ172" s="41">
        <f>BJ146*Assumptions!$B$125+BJ169</f>
        <v/>
      </c>
    </row>
    <row r="173">
      <c r="A173" s="4" t="inlineStr">
        <is>
          <t>South Africa: Solo: Micro (direct or upgraded): churned</t>
        </is>
      </c>
      <c r="B173" s="17" t="inlineStr">
        <is>
          <t>workspaces</t>
        </is>
      </c>
      <c r="C173" s="41">
        <f>C171*Assumptions!$B$138*Assumptions!$B$46*Assumptions!$B$30</f>
        <v/>
      </c>
      <c r="D173" s="41">
        <f>D171*Assumptions!$B$138*Assumptions!$B$46*Assumptions!$B$30</f>
        <v/>
      </c>
      <c r="E173" s="41">
        <f>E171*Assumptions!$B$138*Assumptions!$B$46*Assumptions!$B$30</f>
        <v/>
      </c>
      <c r="F173" s="41">
        <f>F171*Assumptions!$B$138*Assumptions!$B$46*Assumptions!$B$30</f>
        <v/>
      </c>
      <c r="G173" s="41">
        <f>G171*Assumptions!$B$138*Assumptions!$B$46*Assumptions!$B$30</f>
        <v/>
      </c>
      <c r="H173" s="41">
        <f>H171*Assumptions!$B$138*Assumptions!$B$46*Assumptions!$B$30</f>
        <v/>
      </c>
      <c r="I173" s="41">
        <f>I171*Assumptions!$B$138*Assumptions!$B$46*Assumptions!$B$30</f>
        <v/>
      </c>
      <c r="J173" s="41">
        <f>J171*Assumptions!$B$138*Assumptions!$B$46*Assumptions!$B$30</f>
        <v/>
      </c>
      <c r="K173" s="41">
        <f>K171*Assumptions!$B$138*Assumptions!$B$46*Assumptions!$B$30</f>
        <v/>
      </c>
      <c r="L173" s="41">
        <f>L171*Assumptions!$B$138*Assumptions!$B$46*Assumptions!$B$30</f>
        <v/>
      </c>
      <c r="M173" s="41">
        <f>M171*Assumptions!$B$138*Assumptions!$B$46*Assumptions!$B$30</f>
        <v/>
      </c>
      <c r="N173" s="41">
        <f>N171*Assumptions!$B$138*Assumptions!$B$46*Assumptions!$B$30</f>
        <v/>
      </c>
      <c r="O173" s="41">
        <f>O171*Assumptions!$B$138*Assumptions!$B$46*Assumptions!$B$30</f>
        <v/>
      </c>
      <c r="P173" s="41">
        <f>P171*Assumptions!$B$138*Assumptions!$B$46*Assumptions!$B$30</f>
        <v/>
      </c>
      <c r="Q173" s="41">
        <f>Q171*Assumptions!$B$138*Assumptions!$B$46*Assumptions!$B$30</f>
        <v/>
      </c>
      <c r="R173" s="41">
        <f>R171*Assumptions!$B$138*Assumptions!$B$46*Assumptions!$B$30</f>
        <v/>
      </c>
      <c r="S173" s="41">
        <f>S171*Assumptions!$B$138*Assumptions!$B$46*Assumptions!$B$30</f>
        <v/>
      </c>
      <c r="T173" s="41">
        <f>T171*Assumptions!$B$138*Assumptions!$B$46*Assumptions!$B$30</f>
        <v/>
      </c>
      <c r="U173" s="41">
        <f>U171*Assumptions!$B$138*Assumptions!$B$46*Assumptions!$B$30</f>
        <v/>
      </c>
      <c r="V173" s="41">
        <f>V171*Assumptions!$B$138*Assumptions!$B$46*Assumptions!$B$30</f>
        <v/>
      </c>
      <c r="W173" s="41">
        <f>W171*Assumptions!$B$138*Assumptions!$B$46*Assumptions!$B$30</f>
        <v/>
      </c>
      <c r="X173" s="41">
        <f>X171*Assumptions!$B$138*Assumptions!$B$46*Assumptions!$B$30</f>
        <v/>
      </c>
      <c r="Y173" s="41">
        <f>Y171*Assumptions!$B$138*Assumptions!$B$46*Assumptions!$B$30</f>
        <v/>
      </c>
      <c r="Z173" s="41">
        <f>Z171*Assumptions!$B$138*Assumptions!$B$46*Assumptions!$B$30</f>
        <v/>
      </c>
      <c r="AA173" s="41">
        <f>AA171*Assumptions!$B$138*Assumptions!$B$46*Assumptions!$B$30</f>
        <v/>
      </c>
      <c r="AB173" s="41">
        <f>AB171*Assumptions!$B$138*Assumptions!$B$46*Assumptions!$B$30</f>
        <v/>
      </c>
      <c r="AC173" s="41">
        <f>AC171*Assumptions!$B$138*Assumptions!$B$46*Assumptions!$B$30</f>
        <v/>
      </c>
      <c r="AD173" s="41">
        <f>AD171*Assumptions!$B$138*Assumptions!$B$46*Assumptions!$B$30</f>
        <v/>
      </c>
      <c r="AE173" s="41">
        <f>AE171*Assumptions!$B$138*Assumptions!$B$46*Assumptions!$B$30</f>
        <v/>
      </c>
      <c r="AF173" s="41">
        <f>AF171*Assumptions!$B$138*Assumptions!$B$46*Assumptions!$B$30</f>
        <v/>
      </c>
      <c r="AG173" s="41">
        <f>AG171*Assumptions!$B$138*Assumptions!$B$46*Assumptions!$B$30</f>
        <v/>
      </c>
      <c r="AH173" s="41">
        <f>AH171*Assumptions!$B$138*Assumptions!$B$46*Assumptions!$B$30</f>
        <v/>
      </c>
      <c r="AI173" s="41">
        <f>AI171*Assumptions!$B$138*Assumptions!$B$46*Assumptions!$B$30</f>
        <v/>
      </c>
      <c r="AJ173" s="41">
        <f>AJ171*Assumptions!$B$138*Assumptions!$B$46*Assumptions!$B$30</f>
        <v/>
      </c>
      <c r="AK173" s="41">
        <f>AK171*Assumptions!$B$138*Assumptions!$B$46*Assumptions!$B$30</f>
        <v/>
      </c>
      <c r="AL173" s="41">
        <f>AL171*Assumptions!$B$138*Assumptions!$B$46*Assumptions!$B$30</f>
        <v/>
      </c>
      <c r="AM173" s="41">
        <f>AM171*Assumptions!$B$138*Assumptions!$B$46*Assumptions!$B$30</f>
        <v/>
      </c>
      <c r="AN173" s="41">
        <f>AN171*Assumptions!$B$138*Assumptions!$B$46*Assumptions!$B$30</f>
        <v/>
      </c>
      <c r="AO173" s="41">
        <f>AO171*Assumptions!$B$138*Assumptions!$B$46*Assumptions!$B$30</f>
        <v/>
      </c>
      <c r="AP173" s="41">
        <f>AP171*Assumptions!$B$138*Assumptions!$B$46*Assumptions!$B$30</f>
        <v/>
      </c>
      <c r="AQ173" s="41">
        <f>AQ171*Assumptions!$B$138*Assumptions!$B$46*Assumptions!$B$30</f>
        <v/>
      </c>
      <c r="AR173" s="41">
        <f>AR171*Assumptions!$B$138*Assumptions!$B$46*Assumptions!$B$30</f>
        <v/>
      </c>
      <c r="AS173" s="41">
        <f>AS171*Assumptions!$B$138*Assumptions!$B$46*Assumptions!$B$30</f>
        <v/>
      </c>
      <c r="AT173" s="41">
        <f>AT171*Assumptions!$B$138*Assumptions!$B$46*Assumptions!$B$30</f>
        <v/>
      </c>
      <c r="AU173" s="41">
        <f>AU171*Assumptions!$B$138*Assumptions!$B$46*Assumptions!$B$30</f>
        <v/>
      </c>
      <c r="AV173" s="41">
        <f>AV171*Assumptions!$B$138*Assumptions!$B$46*Assumptions!$B$30</f>
        <v/>
      </c>
      <c r="AW173" s="41">
        <f>AW171*Assumptions!$B$138*Assumptions!$B$46*Assumptions!$B$30</f>
        <v/>
      </c>
      <c r="AX173" s="41">
        <f>AX171*Assumptions!$B$138*Assumptions!$B$46*Assumptions!$B$30</f>
        <v/>
      </c>
      <c r="AY173" s="41">
        <f>AY171*Assumptions!$B$138*Assumptions!$B$46*Assumptions!$B$30</f>
        <v/>
      </c>
      <c r="AZ173" s="41">
        <f>AZ171*Assumptions!$B$138*Assumptions!$B$46*Assumptions!$B$30</f>
        <v/>
      </c>
      <c r="BA173" s="41">
        <f>BA171*Assumptions!$B$138*Assumptions!$B$46*Assumptions!$B$30</f>
        <v/>
      </c>
      <c r="BB173" s="41">
        <f>BB171*Assumptions!$B$138*Assumptions!$B$46*Assumptions!$B$30</f>
        <v/>
      </c>
      <c r="BC173" s="41">
        <f>BC171*Assumptions!$B$138*Assumptions!$B$46*Assumptions!$B$30</f>
        <v/>
      </c>
      <c r="BD173" s="41">
        <f>BD171*Assumptions!$B$138*Assumptions!$B$46*Assumptions!$B$30</f>
        <v/>
      </c>
      <c r="BE173" s="41">
        <f>BE171*Assumptions!$B$138*Assumptions!$B$46*Assumptions!$B$30</f>
        <v/>
      </c>
      <c r="BF173" s="41">
        <f>BF171*Assumptions!$B$138*Assumptions!$B$46*Assumptions!$B$30</f>
        <v/>
      </c>
      <c r="BG173" s="41">
        <f>BG171*Assumptions!$B$138*Assumptions!$B$46*Assumptions!$B$30</f>
        <v/>
      </c>
      <c r="BH173" s="41">
        <f>BH171*Assumptions!$B$138*Assumptions!$B$46*Assumptions!$B$30</f>
        <v/>
      </c>
      <c r="BI173" s="41">
        <f>BI171*Assumptions!$B$138*Assumptions!$B$46*Assumptions!$B$30</f>
        <v/>
      </c>
      <c r="BJ173" s="41">
        <f>BJ171*Assumptions!$B$138*Assumptions!$B$46*Assumptions!$B$30</f>
        <v/>
      </c>
    </row>
    <row r="174">
      <c r="A174" s="4" t="inlineStr">
        <is>
          <t>South Africa: Solo: Micro (direct or upgraded): upgraded out</t>
        </is>
      </c>
      <c r="B174" s="17" t="inlineStr">
        <is>
          <t>workspaces</t>
        </is>
      </c>
      <c r="C174" s="41">
        <f>C171*Assumptions!$B$131</f>
        <v/>
      </c>
      <c r="D174" s="41">
        <f>D171*Assumptions!$B$131</f>
        <v/>
      </c>
      <c r="E174" s="41">
        <f>E171*Assumptions!$B$131</f>
        <v/>
      </c>
      <c r="F174" s="41">
        <f>F171*Assumptions!$B$131</f>
        <v/>
      </c>
      <c r="G174" s="41">
        <f>G171*Assumptions!$B$131</f>
        <v/>
      </c>
      <c r="H174" s="41">
        <f>H171*Assumptions!$B$131</f>
        <v/>
      </c>
      <c r="I174" s="41">
        <f>I171*Assumptions!$B$131</f>
        <v/>
      </c>
      <c r="J174" s="41">
        <f>J171*Assumptions!$B$131</f>
        <v/>
      </c>
      <c r="K174" s="41">
        <f>K171*Assumptions!$B$131</f>
        <v/>
      </c>
      <c r="L174" s="41">
        <f>L171*Assumptions!$B$131</f>
        <v/>
      </c>
      <c r="M174" s="41">
        <f>M171*Assumptions!$B$131</f>
        <v/>
      </c>
      <c r="N174" s="41">
        <f>N171*Assumptions!$B$131</f>
        <v/>
      </c>
      <c r="O174" s="41">
        <f>O171*Assumptions!$B$131</f>
        <v/>
      </c>
      <c r="P174" s="41">
        <f>P171*Assumptions!$B$131</f>
        <v/>
      </c>
      <c r="Q174" s="41">
        <f>Q171*Assumptions!$B$131</f>
        <v/>
      </c>
      <c r="R174" s="41">
        <f>R171*Assumptions!$B$131</f>
        <v/>
      </c>
      <c r="S174" s="41">
        <f>S171*Assumptions!$B$131</f>
        <v/>
      </c>
      <c r="T174" s="41">
        <f>T171*Assumptions!$B$131</f>
        <v/>
      </c>
      <c r="U174" s="41">
        <f>U171*Assumptions!$B$131</f>
        <v/>
      </c>
      <c r="V174" s="41">
        <f>V171*Assumptions!$B$131</f>
        <v/>
      </c>
      <c r="W174" s="41">
        <f>W171*Assumptions!$B$131</f>
        <v/>
      </c>
      <c r="X174" s="41">
        <f>X171*Assumptions!$B$131</f>
        <v/>
      </c>
      <c r="Y174" s="41">
        <f>Y171*Assumptions!$B$131</f>
        <v/>
      </c>
      <c r="Z174" s="41">
        <f>Z171*Assumptions!$B$131</f>
        <v/>
      </c>
      <c r="AA174" s="41">
        <f>AA171*Assumptions!$B$131</f>
        <v/>
      </c>
      <c r="AB174" s="41">
        <f>AB171*Assumptions!$B$131</f>
        <v/>
      </c>
      <c r="AC174" s="41">
        <f>AC171*Assumptions!$B$131</f>
        <v/>
      </c>
      <c r="AD174" s="41">
        <f>AD171*Assumptions!$B$131</f>
        <v/>
      </c>
      <c r="AE174" s="41">
        <f>AE171*Assumptions!$B$131</f>
        <v/>
      </c>
      <c r="AF174" s="41">
        <f>AF171*Assumptions!$B$131</f>
        <v/>
      </c>
      <c r="AG174" s="41">
        <f>AG171*Assumptions!$B$131</f>
        <v/>
      </c>
      <c r="AH174" s="41">
        <f>AH171*Assumptions!$B$131</f>
        <v/>
      </c>
      <c r="AI174" s="41">
        <f>AI171*Assumptions!$B$131</f>
        <v/>
      </c>
      <c r="AJ174" s="41">
        <f>AJ171*Assumptions!$B$131</f>
        <v/>
      </c>
      <c r="AK174" s="41">
        <f>AK171*Assumptions!$B$131</f>
        <v/>
      </c>
      <c r="AL174" s="41">
        <f>AL171*Assumptions!$B$131</f>
        <v/>
      </c>
      <c r="AM174" s="41">
        <f>AM171*Assumptions!$B$131</f>
        <v/>
      </c>
      <c r="AN174" s="41">
        <f>AN171*Assumptions!$B$131</f>
        <v/>
      </c>
      <c r="AO174" s="41">
        <f>AO171*Assumptions!$B$131</f>
        <v/>
      </c>
      <c r="AP174" s="41">
        <f>AP171*Assumptions!$B$131</f>
        <v/>
      </c>
      <c r="AQ174" s="41">
        <f>AQ171*Assumptions!$B$131</f>
        <v/>
      </c>
      <c r="AR174" s="41">
        <f>AR171*Assumptions!$B$131</f>
        <v/>
      </c>
      <c r="AS174" s="41">
        <f>AS171*Assumptions!$B$131</f>
        <v/>
      </c>
      <c r="AT174" s="41">
        <f>AT171*Assumptions!$B$131</f>
        <v/>
      </c>
      <c r="AU174" s="41">
        <f>AU171*Assumptions!$B$131</f>
        <v/>
      </c>
      <c r="AV174" s="41">
        <f>AV171*Assumptions!$B$131</f>
        <v/>
      </c>
      <c r="AW174" s="41">
        <f>AW171*Assumptions!$B$131</f>
        <v/>
      </c>
      <c r="AX174" s="41">
        <f>AX171*Assumptions!$B$131</f>
        <v/>
      </c>
      <c r="AY174" s="41">
        <f>AY171*Assumptions!$B$131</f>
        <v/>
      </c>
      <c r="AZ174" s="41">
        <f>AZ171*Assumptions!$B$131</f>
        <v/>
      </c>
      <c r="BA174" s="41">
        <f>BA171*Assumptions!$B$131</f>
        <v/>
      </c>
      <c r="BB174" s="41">
        <f>BB171*Assumptions!$B$131</f>
        <v/>
      </c>
      <c r="BC174" s="41">
        <f>BC171*Assumptions!$B$131</f>
        <v/>
      </c>
      <c r="BD174" s="41">
        <f>BD171*Assumptions!$B$131</f>
        <v/>
      </c>
      <c r="BE174" s="41">
        <f>BE171*Assumptions!$B$131</f>
        <v/>
      </c>
      <c r="BF174" s="41">
        <f>BF171*Assumptions!$B$131</f>
        <v/>
      </c>
      <c r="BG174" s="41">
        <f>BG171*Assumptions!$B$131</f>
        <v/>
      </c>
      <c r="BH174" s="41">
        <f>BH171*Assumptions!$B$131</f>
        <v/>
      </c>
      <c r="BI174" s="41">
        <f>BI171*Assumptions!$B$131</f>
        <v/>
      </c>
      <c r="BJ174" s="41">
        <f>BJ171*Assumptions!$B$131</f>
        <v/>
      </c>
    </row>
    <row r="175">
      <c r="A175" s="3" t="inlineStr">
        <is>
          <t>South Africa: Solo: Micro (direct or upgraded): closing</t>
        </is>
      </c>
      <c r="B175" s="17" t="inlineStr">
        <is>
          <t>workspaces</t>
        </is>
      </c>
      <c r="C175" s="44">
        <f>C171+C172-C173-C174</f>
        <v/>
      </c>
      <c r="D175" s="44">
        <f>D171+D172-D173-D174</f>
        <v/>
      </c>
      <c r="E175" s="44">
        <f>E171+E172-E173-E174</f>
        <v/>
      </c>
      <c r="F175" s="44">
        <f>F171+F172-F173-F174</f>
        <v/>
      </c>
      <c r="G175" s="44">
        <f>G171+G172-G173-G174</f>
        <v/>
      </c>
      <c r="H175" s="44">
        <f>H171+H172-H173-H174</f>
        <v/>
      </c>
      <c r="I175" s="44">
        <f>I171+I172-I173-I174</f>
        <v/>
      </c>
      <c r="J175" s="44">
        <f>J171+J172-J173-J174</f>
        <v/>
      </c>
      <c r="K175" s="44">
        <f>K171+K172-K173-K174</f>
        <v/>
      </c>
      <c r="L175" s="44">
        <f>L171+L172-L173-L174</f>
        <v/>
      </c>
      <c r="M175" s="44">
        <f>M171+M172-M173-M174</f>
        <v/>
      </c>
      <c r="N175" s="44">
        <f>N171+N172-N173-N174</f>
        <v/>
      </c>
      <c r="O175" s="44">
        <f>O171+O172-O173-O174</f>
        <v/>
      </c>
      <c r="P175" s="44">
        <f>P171+P172-P173-P174</f>
        <v/>
      </c>
      <c r="Q175" s="44">
        <f>Q171+Q172-Q173-Q174</f>
        <v/>
      </c>
      <c r="R175" s="44">
        <f>R171+R172-R173-R174</f>
        <v/>
      </c>
      <c r="S175" s="44">
        <f>S171+S172-S173-S174</f>
        <v/>
      </c>
      <c r="T175" s="44">
        <f>T171+T172-T173-T174</f>
        <v/>
      </c>
      <c r="U175" s="44">
        <f>U171+U172-U173-U174</f>
        <v/>
      </c>
      <c r="V175" s="44">
        <f>V171+V172-V173-V174</f>
        <v/>
      </c>
      <c r="W175" s="44">
        <f>W171+W172-W173-W174</f>
        <v/>
      </c>
      <c r="X175" s="44">
        <f>X171+X172-X173-X174</f>
        <v/>
      </c>
      <c r="Y175" s="44">
        <f>Y171+Y172-Y173-Y174</f>
        <v/>
      </c>
      <c r="Z175" s="44">
        <f>Z171+Z172-Z173-Z174</f>
        <v/>
      </c>
      <c r="AA175" s="44">
        <f>AA171+AA172-AA173-AA174</f>
        <v/>
      </c>
      <c r="AB175" s="44">
        <f>AB171+AB172-AB173-AB174</f>
        <v/>
      </c>
      <c r="AC175" s="44">
        <f>AC171+AC172-AC173-AC174</f>
        <v/>
      </c>
      <c r="AD175" s="44">
        <f>AD171+AD172-AD173-AD174</f>
        <v/>
      </c>
      <c r="AE175" s="44">
        <f>AE171+AE172-AE173-AE174</f>
        <v/>
      </c>
      <c r="AF175" s="44">
        <f>AF171+AF172-AF173-AF174</f>
        <v/>
      </c>
      <c r="AG175" s="44">
        <f>AG171+AG172-AG173-AG174</f>
        <v/>
      </c>
      <c r="AH175" s="44">
        <f>AH171+AH172-AH173-AH174</f>
        <v/>
      </c>
      <c r="AI175" s="44">
        <f>AI171+AI172-AI173-AI174</f>
        <v/>
      </c>
      <c r="AJ175" s="44">
        <f>AJ171+AJ172-AJ173-AJ174</f>
        <v/>
      </c>
      <c r="AK175" s="44">
        <f>AK171+AK172-AK173-AK174</f>
        <v/>
      </c>
      <c r="AL175" s="44">
        <f>AL171+AL172-AL173-AL174</f>
        <v/>
      </c>
      <c r="AM175" s="44">
        <f>AM171+AM172-AM173-AM174</f>
        <v/>
      </c>
      <c r="AN175" s="44">
        <f>AN171+AN172-AN173-AN174</f>
        <v/>
      </c>
      <c r="AO175" s="44">
        <f>AO171+AO172-AO173-AO174</f>
        <v/>
      </c>
      <c r="AP175" s="44">
        <f>AP171+AP172-AP173-AP174</f>
        <v/>
      </c>
      <c r="AQ175" s="44">
        <f>AQ171+AQ172-AQ173-AQ174</f>
        <v/>
      </c>
      <c r="AR175" s="44">
        <f>AR171+AR172-AR173-AR174</f>
        <v/>
      </c>
      <c r="AS175" s="44">
        <f>AS171+AS172-AS173-AS174</f>
        <v/>
      </c>
      <c r="AT175" s="44">
        <f>AT171+AT172-AT173-AT174</f>
        <v/>
      </c>
      <c r="AU175" s="44">
        <f>AU171+AU172-AU173-AU174</f>
        <v/>
      </c>
      <c r="AV175" s="44">
        <f>AV171+AV172-AV173-AV174</f>
        <v/>
      </c>
      <c r="AW175" s="44">
        <f>AW171+AW172-AW173-AW174</f>
        <v/>
      </c>
      <c r="AX175" s="44">
        <f>AX171+AX172-AX173-AX174</f>
        <v/>
      </c>
      <c r="AY175" s="44">
        <f>AY171+AY172-AY173-AY174</f>
        <v/>
      </c>
      <c r="AZ175" s="44">
        <f>AZ171+AZ172-AZ173-AZ174</f>
        <v/>
      </c>
      <c r="BA175" s="44">
        <f>BA171+BA172-BA173-BA174</f>
        <v/>
      </c>
      <c r="BB175" s="44">
        <f>BB171+BB172-BB173-BB174</f>
        <v/>
      </c>
      <c r="BC175" s="44">
        <f>BC171+BC172-BC173-BC174</f>
        <v/>
      </c>
      <c r="BD175" s="44">
        <f>BD171+BD172-BD173-BD174</f>
        <v/>
      </c>
      <c r="BE175" s="44">
        <f>BE171+BE172-BE173-BE174</f>
        <v/>
      </c>
      <c r="BF175" s="44">
        <f>BF171+BF172-BF173-BF174</f>
        <v/>
      </c>
      <c r="BG175" s="44">
        <f>BG171+BG172-BG173-BG174</f>
        <v/>
      </c>
      <c r="BH175" s="44">
        <f>BH171+BH172-BH173-BH174</f>
        <v/>
      </c>
      <c r="BI175" s="44">
        <f>BI171+BI172-BI173-BI174</f>
        <v/>
      </c>
      <c r="BJ175" s="44">
        <f>BJ171+BJ172-BJ173-BJ174</f>
        <v/>
      </c>
    </row>
    <row r="176">
      <c r="A176" s="4" t="inlineStr">
        <is>
          <t>South Africa: Solo: Starter (direct or upgraded): opening</t>
        </is>
      </c>
      <c r="B176" s="17" t="inlineStr">
        <is>
          <t>workspaces</t>
        </is>
      </c>
      <c r="C176" s="41">
        <f>0</f>
        <v/>
      </c>
      <c r="D176" s="41">
        <f>C179</f>
        <v/>
      </c>
      <c r="E176" s="41">
        <f>D179</f>
        <v/>
      </c>
      <c r="F176" s="41">
        <f>E179</f>
        <v/>
      </c>
      <c r="G176" s="41">
        <f>F179</f>
        <v/>
      </c>
      <c r="H176" s="41">
        <f>G179</f>
        <v/>
      </c>
      <c r="I176" s="41">
        <f>H179</f>
        <v/>
      </c>
      <c r="J176" s="41">
        <f>I179</f>
        <v/>
      </c>
      <c r="K176" s="41">
        <f>J179</f>
        <v/>
      </c>
      <c r="L176" s="41">
        <f>K179</f>
        <v/>
      </c>
      <c r="M176" s="41">
        <f>L179</f>
        <v/>
      </c>
      <c r="N176" s="41">
        <f>M179</f>
        <v/>
      </c>
      <c r="O176" s="41">
        <f>N179</f>
        <v/>
      </c>
      <c r="P176" s="41">
        <f>O179</f>
        <v/>
      </c>
      <c r="Q176" s="41">
        <f>P179</f>
        <v/>
      </c>
      <c r="R176" s="41">
        <f>Q179</f>
        <v/>
      </c>
      <c r="S176" s="41">
        <f>R179</f>
        <v/>
      </c>
      <c r="T176" s="41">
        <f>S179</f>
        <v/>
      </c>
      <c r="U176" s="41">
        <f>T179</f>
        <v/>
      </c>
      <c r="V176" s="41">
        <f>U179</f>
        <v/>
      </c>
      <c r="W176" s="41">
        <f>V179</f>
        <v/>
      </c>
      <c r="X176" s="41">
        <f>W179</f>
        <v/>
      </c>
      <c r="Y176" s="41">
        <f>X179</f>
        <v/>
      </c>
      <c r="Z176" s="41">
        <f>Y179</f>
        <v/>
      </c>
      <c r="AA176" s="41">
        <f>Z179</f>
        <v/>
      </c>
      <c r="AB176" s="41">
        <f>AA179</f>
        <v/>
      </c>
      <c r="AC176" s="41">
        <f>AB179</f>
        <v/>
      </c>
      <c r="AD176" s="41">
        <f>AC179</f>
        <v/>
      </c>
      <c r="AE176" s="41">
        <f>AD179</f>
        <v/>
      </c>
      <c r="AF176" s="41">
        <f>AE179</f>
        <v/>
      </c>
      <c r="AG176" s="41">
        <f>AF179</f>
        <v/>
      </c>
      <c r="AH176" s="41">
        <f>AG179</f>
        <v/>
      </c>
      <c r="AI176" s="41">
        <f>AH179</f>
        <v/>
      </c>
      <c r="AJ176" s="41">
        <f>AI179</f>
        <v/>
      </c>
      <c r="AK176" s="41">
        <f>AJ179</f>
        <v/>
      </c>
      <c r="AL176" s="41">
        <f>AK179</f>
        <v/>
      </c>
      <c r="AM176" s="41">
        <f>AL179</f>
        <v/>
      </c>
      <c r="AN176" s="41">
        <f>AM179</f>
        <v/>
      </c>
      <c r="AO176" s="41">
        <f>AN179</f>
        <v/>
      </c>
      <c r="AP176" s="41">
        <f>AO179</f>
        <v/>
      </c>
      <c r="AQ176" s="41">
        <f>AP179</f>
        <v/>
      </c>
      <c r="AR176" s="41">
        <f>AQ179</f>
        <v/>
      </c>
      <c r="AS176" s="41">
        <f>AR179</f>
        <v/>
      </c>
      <c r="AT176" s="41">
        <f>AS179</f>
        <v/>
      </c>
      <c r="AU176" s="41">
        <f>AT179</f>
        <v/>
      </c>
      <c r="AV176" s="41">
        <f>AU179</f>
        <v/>
      </c>
      <c r="AW176" s="41">
        <f>AV179</f>
        <v/>
      </c>
      <c r="AX176" s="41">
        <f>AW179</f>
        <v/>
      </c>
      <c r="AY176" s="41">
        <f>AX179</f>
        <v/>
      </c>
      <c r="AZ176" s="41">
        <f>AY179</f>
        <v/>
      </c>
      <c r="BA176" s="41">
        <f>AZ179</f>
        <v/>
      </c>
      <c r="BB176" s="41">
        <f>BA179</f>
        <v/>
      </c>
      <c r="BC176" s="41">
        <f>BB179</f>
        <v/>
      </c>
      <c r="BD176" s="41">
        <f>BC179</f>
        <v/>
      </c>
      <c r="BE176" s="41">
        <f>BD179</f>
        <v/>
      </c>
      <c r="BF176" s="41">
        <f>BE179</f>
        <v/>
      </c>
      <c r="BG176" s="41">
        <f>BF179</f>
        <v/>
      </c>
      <c r="BH176" s="41">
        <f>BG179</f>
        <v/>
      </c>
      <c r="BI176" s="41">
        <f>BH179</f>
        <v/>
      </c>
      <c r="BJ176" s="41">
        <f>BI179</f>
        <v/>
      </c>
    </row>
    <row r="177">
      <c r="A177" s="4" t="inlineStr">
        <is>
          <t>South Africa: Solo: Starter (direct or upgraded): new</t>
        </is>
      </c>
      <c r="B177" s="17" t="inlineStr">
        <is>
          <t>workspaces</t>
        </is>
      </c>
      <c r="C177" s="41">
        <f>C146*Assumptions!$B$126+C174</f>
        <v/>
      </c>
      <c r="D177" s="41">
        <f>D146*Assumptions!$B$126+D174</f>
        <v/>
      </c>
      <c r="E177" s="41">
        <f>E146*Assumptions!$B$126+E174</f>
        <v/>
      </c>
      <c r="F177" s="41">
        <f>F146*Assumptions!$B$126+F174</f>
        <v/>
      </c>
      <c r="G177" s="41">
        <f>G146*Assumptions!$B$126+G174</f>
        <v/>
      </c>
      <c r="H177" s="41">
        <f>H146*Assumptions!$B$126+H174</f>
        <v/>
      </c>
      <c r="I177" s="41">
        <f>I146*Assumptions!$B$126+I174</f>
        <v/>
      </c>
      <c r="J177" s="41">
        <f>J146*Assumptions!$B$126+J174</f>
        <v/>
      </c>
      <c r="K177" s="41">
        <f>K146*Assumptions!$B$126+K174</f>
        <v/>
      </c>
      <c r="L177" s="41">
        <f>L146*Assumptions!$B$126+L174</f>
        <v/>
      </c>
      <c r="M177" s="41">
        <f>M146*Assumptions!$B$126+M174</f>
        <v/>
      </c>
      <c r="N177" s="41">
        <f>N146*Assumptions!$B$126+N174</f>
        <v/>
      </c>
      <c r="O177" s="41">
        <f>O146*Assumptions!$B$126+O174</f>
        <v/>
      </c>
      <c r="P177" s="41">
        <f>P146*Assumptions!$B$126+P174</f>
        <v/>
      </c>
      <c r="Q177" s="41">
        <f>Q146*Assumptions!$B$126+Q174</f>
        <v/>
      </c>
      <c r="R177" s="41">
        <f>R146*Assumptions!$B$126+R174</f>
        <v/>
      </c>
      <c r="S177" s="41">
        <f>S146*Assumptions!$B$126+S174</f>
        <v/>
      </c>
      <c r="T177" s="41">
        <f>T146*Assumptions!$B$126+T174</f>
        <v/>
      </c>
      <c r="U177" s="41">
        <f>U146*Assumptions!$B$126+U174</f>
        <v/>
      </c>
      <c r="V177" s="41">
        <f>V146*Assumptions!$B$126+V174</f>
        <v/>
      </c>
      <c r="W177" s="41">
        <f>W146*Assumptions!$B$126+W174</f>
        <v/>
      </c>
      <c r="X177" s="41">
        <f>X146*Assumptions!$B$126+X174</f>
        <v/>
      </c>
      <c r="Y177" s="41">
        <f>Y146*Assumptions!$B$126+Y174</f>
        <v/>
      </c>
      <c r="Z177" s="41">
        <f>Z146*Assumptions!$B$126+Z174</f>
        <v/>
      </c>
      <c r="AA177" s="41">
        <f>AA146*Assumptions!$B$126+AA174</f>
        <v/>
      </c>
      <c r="AB177" s="41">
        <f>AB146*Assumptions!$B$126+AB174</f>
        <v/>
      </c>
      <c r="AC177" s="41">
        <f>AC146*Assumptions!$B$126+AC174</f>
        <v/>
      </c>
      <c r="AD177" s="41">
        <f>AD146*Assumptions!$B$126+AD174</f>
        <v/>
      </c>
      <c r="AE177" s="41">
        <f>AE146*Assumptions!$B$126+AE174</f>
        <v/>
      </c>
      <c r="AF177" s="41">
        <f>AF146*Assumptions!$B$126+AF174</f>
        <v/>
      </c>
      <c r="AG177" s="41">
        <f>AG146*Assumptions!$B$126+AG174</f>
        <v/>
      </c>
      <c r="AH177" s="41">
        <f>AH146*Assumptions!$B$126+AH174</f>
        <v/>
      </c>
      <c r="AI177" s="41">
        <f>AI146*Assumptions!$B$126+AI174</f>
        <v/>
      </c>
      <c r="AJ177" s="41">
        <f>AJ146*Assumptions!$B$126+AJ174</f>
        <v/>
      </c>
      <c r="AK177" s="41">
        <f>AK146*Assumptions!$B$126+AK174</f>
        <v/>
      </c>
      <c r="AL177" s="41">
        <f>AL146*Assumptions!$B$126+AL174</f>
        <v/>
      </c>
      <c r="AM177" s="41">
        <f>AM146*Assumptions!$B$126+AM174</f>
        <v/>
      </c>
      <c r="AN177" s="41">
        <f>AN146*Assumptions!$B$126+AN174</f>
        <v/>
      </c>
      <c r="AO177" s="41">
        <f>AO146*Assumptions!$B$126+AO174</f>
        <v/>
      </c>
      <c r="AP177" s="41">
        <f>AP146*Assumptions!$B$126+AP174</f>
        <v/>
      </c>
      <c r="AQ177" s="41">
        <f>AQ146*Assumptions!$B$126+AQ174</f>
        <v/>
      </c>
      <c r="AR177" s="41">
        <f>AR146*Assumptions!$B$126+AR174</f>
        <v/>
      </c>
      <c r="AS177" s="41">
        <f>AS146*Assumptions!$B$126+AS174</f>
        <v/>
      </c>
      <c r="AT177" s="41">
        <f>AT146*Assumptions!$B$126+AT174</f>
        <v/>
      </c>
      <c r="AU177" s="41">
        <f>AU146*Assumptions!$B$126+AU174</f>
        <v/>
      </c>
      <c r="AV177" s="41">
        <f>AV146*Assumptions!$B$126+AV174</f>
        <v/>
      </c>
      <c r="AW177" s="41">
        <f>AW146*Assumptions!$B$126+AW174</f>
        <v/>
      </c>
      <c r="AX177" s="41">
        <f>AX146*Assumptions!$B$126+AX174</f>
        <v/>
      </c>
      <c r="AY177" s="41">
        <f>AY146*Assumptions!$B$126+AY174</f>
        <v/>
      </c>
      <c r="AZ177" s="41">
        <f>AZ146*Assumptions!$B$126+AZ174</f>
        <v/>
      </c>
      <c r="BA177" s="41">
        <f>BA146*Assumptions!$B$126+BA174</f>
        <v/>
      </c>
      <c r="BB177" s="41">
        <f>BB146*Assumptions!$B$126+BB174</f>
        <v/>
      </c>
      <c r="BC177" s="41">
        <f>BC146*Assumptions!$B$126+BC174</f>
        <v/>
      </c>
      <c r="BD177" s="41">
        <f>BD146*Assumptions!$B$126+BD174</f>
        <v/>
      </c>
      <c r="BE177" s="41">
        <f>BE146*Assumptions!$B$126+BE174</f>
        <v/>
      </c>
      <c r="BF177" s="41">
        <f>BF146*Assumptions!$B$126+BF174</f>
        <v/>
      </c>
      <c r="BG177" s="41">
        <f>BG146*Assumptions!$B$126+BG174</f>
        <v/>
      </c>
      <c r="BH177" s="41">
        <f>BH146*Assumptions!$B$126+BH174</f>
        <v/>
      </c>
      <c r="BI177" s="41">
        <f>BI146*Assumptions!$B$126+BI174</f>
        <v/>
      </c>
      <c r="BJ177" s="41">
        <f>BJ146*Assumptions!$B$126+BJ174</f>
        <v/>
      </c>
    </row>
    <row r="178">
      <c r="A178" s="4" t="inlineStr">
        <is>
          <t>South Africa: Solo: Starter (direct or upgraded): churned</t>
        </is>
      </c>
      <c r="B178" s="17" t="inlineStr">
        <is>
          <t>workspaces</t>
        </is>
      </c>
      <c r="C178" s="41">
        <f>C176*Assumptions!$B$139*Assumptions!$B$46*Assumptions!$B$30</f>
        <v/>
      </c>
      <c r="D178" s="41">
        <f>D176*Assumptions!$B$139*Assumptions!$B$46*Assumptions!$B$30</f>
        <v/>
      </c>
      <c r="E178" s="41">
        <f>E176*Assumptions!$B$139*Assumptions!$B$46*Assumptions!$B$30</f>
        <v/>
      </c>
      <c r="F178" s="41">
        <f>F176*Assumptions!$B$139*Assumptions!$B$46*Assumptions!$B$30</f>
        <v/>
      </c>
      <c r="G178" s="41">
        <f>G176*Assumptions!$B$139*Assumptions!$B$46*Assumptions!$B$30</f>
        <v/>
      </c>
      <c r="H178" s="41">
        <f>H176*Assumptions!$B$139*Assumptions!$B$46*Assumptions!$B$30</f>
        <v/>
      </c>
      <c r="I178" s="41">
        <f>I176*Assumptions!$B$139*Assumptions!$B$46*Assumptions!$B$30</f>
        <v/>
      </c>
      <c r="J178" s="41">
        <f>J176*Assumptions!$B$139*Assumptions!$B$46*Assumptions!$B$30</f>
        <v/>
      </c>
      <c r="K178" s="41">
        <f>K176*Assumptions!$B$139*Assumptions!$B$46*Assumptions!$B$30</f>
        <v/>
      </c>
      <c r="L178" s="41">
        <f>L176*Assumptions!$B$139*Assumptions!$B$46*Assumptions!$B$30</f>
        <v/>
      </c>
      <c r="M178" s="41">
        <f>M176*Assumptions!$B$139*Assumptions!$B$46*Assumptions!$B$30</f>
        <v/>
      </c>
      <c r="N178" s="41">
        <f>N176*Assumptions!$B$139*Assumptions!$B$46*Assumptions!$B$30</f>
        <v/>
      </c>
      <c r="O178" s="41">
        <f>O176*Assumptions!$B$139*Assumptions!$B$46*Assumptions!$B$30</f>
        <v/>
      </c>
      <c r="P178" s="41">
        <f>P176*Assumptions!$B$139*Assumptions!$B$46*Assumptions!$B$30</f>
        <v/>
      </c>
      <c r="Q178" s="41">
        <f>Q176*Assumptions!$B$139*Assumptions!$B$46*Assumptions!$B$30</f>
        <v/>
      </c>
      <c r="R178" s="41">
        <f>R176*Assumptions!$B$139*Assumptions!$B$46*Assumptions!$B$30</f>
        <v/>
      </c>
      <c r="S178" s="41">
        <f>S176*Assumptions!$B$139*Assumptions!$B$46*Assumptions!$B$30</f>
        <v/>
      </c>
      <c r="T178" s="41">
        <f>T176*Assumptions!$B$139*Assumptions!$B$46*Assumptions!$B$30</f>
        <v/>
      </c>
      <c r="U178" s="41">
        <f>U176*Assumptions!$B$139*Assumptions!$B$46*Assumptions!$B$30</f>
        <v/>
      </c>
      <c r="V178" s="41">
        <f>V176*Assumptions!$B$139*Assumptions!$B$46*Assumptions!$B$30</f>
        <v/>
      </c>
      <c r="W178" s="41">
        <f>W176*Assumptions!$B$139*Assumptions!$B$46*Assumptions!$B$30</f>
        <v/>
      </c>
      <c r="X178" s="41">
        <f>X176*Assumptions!$B$139*Assumptions!$B$46*Assumptions!$B$30</f>
        <v/>
      </c>
      <c r="Y178" s="41">
        <f>Y176*Assumptions!$B$139*Assumptions!$B$46*Assumptions!$B$30</f>
        <v/>
      </c>
      <c r="Z178" s="41">
        <f>Z176*Assumptions!$B$139*Assumptions!$B$46*Assumptions!$B$30</f>
        <v/>
      </c>
      <c r="AA178" s="41">
        <f>AA176*Assumptions!$B$139*Assumptions!$B$46*Assumptions!$B$30</f>
        <v/>
      </c>
      <c r="AB178" s="41">
        <f>AB176*Assumptions!$B$139*Assumptions!$B$46*Assumptions!$B$30</f>
        <v/>
      </c>
      <c r="AC178" s="41">
        <f>AC176*Assumptions!$B$139*Assumptions!$B$46*Assumptions!$B$30</f>
        <v/>
      </c>
      <c r="AD178" s="41">
        <f>AD176*Assumptions!$B$139*Assumptions!$B$46*Assumptions!$B$30</f>
        <v/>
      </c>
      <c r="AE178" s="41">
        <f>AE176*Assumptions!$B$139*Assumptions!$B$46*Assumptions!$B$30</f>
        <v/>
      </c>
      <c r="AF178" s="41">
        <f>AF176*Assumptions!$B$139*Assumptions!$B$46*Assumptions!$B$30</f>
        <v/>
      </c>
      <c r="AG178" s="41">
        <f>AG176*Assumptions!$B$139*Assumptions!$B$46*Assumptions!$B$30</f>
        <v/>
      </c>
      <c r="AH178" s="41">
        <f>AH176*Assumptions!$B$139*Assumptions!$B$46*Assumptions!$B$30</f>
        <v/>
      </c>
      <c r="AI178" s="41">
        <f>AI176*Assumptions!$B$139*Assumptions!$B$46*Assumptions!$B$30</f>
        <v/>
      </c>
      <c r="AJ178" s="41">
        <f>AJ176*Assumptions!$B$139*Assumptions!$B$46*Assumptions!$B$30</f>
        <v/>
      </c>
      <c r="AK178" s="41">
        <f>AK176*Assumptions!$B$139*Assumptions!$B$46*Assumptions!$B$30</f>
        <v/>
      </c>
      <c r="AL178" s="41">
        <f>AL176*Assumptions!$B$139*Assumptions!$B$46*Assumptions!$B$30</f>
        <v/>
      </c>
      <c r="AM178" s="41">
        <f>AM176*Assumptions!$B$139*Assumptions!$B$46*Assumptions!$B$30</f>
        <v/>
      </c>
      <c r="AN178" s="41">
        <f>AN176*Assumptions!$B$139*Assumptions!$B$46*Assumptions!$B$30</f>
        <v/>
      </c>
      <c r="AO178" s="41">
        <f>AO176*Assumptions!$B$139*Assumptions!$B$46*Assumptions!$B$30</f>
        <v/>
      </c>
      <c r="AP178" s="41">
        <f>AP176*Assumptions!$B$139*Assumptions!$B$46*Assumptions!$B$30</f>
        <v/>
      </c>
      <c r="AQ178" s="41">
        <f>AQ176*Assumptions!$B$139*Assumptions!$B$46*Assumptions!$B$30</f>
        <v/>
      </c>
      <c r="AR178" s="41">
        <f>AR176*Assumptions!$B$139*Assumptions!$B$46*Assumptions!$B$30</f>
        <v/>
      </c>
      <c r="AS178" s="41">
        <f>AS176*Assumptions!$B$139*Assumptions!$B$46*Assumptions!$B$30</f>
        <v/>
      </c>
      <c r="AT178" s="41">
        <f>AT176*Assumptions!$B$139*Assumptions!$B$46*Assumptions!$B$30</f>
        <v/>
      </c>
      <c r="AU178" s="41">
        <f>AU176*Assumptions!$B$139*Assumptions!$B$46*Assumptions!$B$30</f>
        <v/>
      </c>
      <c r="AV178" s="41">
        <f>AV176*Assumptions!$B$139*Assumptions!$B$46*Assumptions!$B$30</f>
        <v/>
      </c>
      <c r="AW178" s="41">
        <f>AW176*Assumptions!$B$139*Assumptions!$B$46*Assumptions!$B$30</f>
        <v/>
      </c>
      <c r="AX178" s="41">
        <f>AX176*Assumptions!$B$139*Assumptions!$B$46*Assumptions!$B$30</f>
        <v/>
      </c>
      <c r="AY178" s="41">
        <f>AY176*Assumptions!$B$139*Assumptions!$B$46*Assumptions!$B$30</f>
        <v/>
      </c>
      <c r="AZ178" s="41">
        <f>AZ176*Assumptions!$B$139*Assumptions!$B$46*Assumptions!$B$30</f>
        <v/>
      </c>
      <c r="BA178" s="41">
        <f>BA176*Assumptions!$B$139*Assumptions!$B$46*Assumptions!$B$30</f>
        <v/>
      </c>
      <c r="BB178" s="41">
        <f>BB176*Assumptions!$B$139*Assumptions!$B$46*Assumptions!$B$30</f>
        <v/>
      </c>
      <c r="BC178" s="41">
        <f>BC176*Assumptions!$B$139*Assumptions!$B$46*Assumptions!$B$30</f>
        <v/>
      </c>
      <c r="BD178" s="41">
        <f>BD176*Assumptions!$B$139*Assumptions!$B$46*Assumptions!$B$30</f>
        <v/>
      </c>
      <c r="BE178" s="41">
        <f>BE176*Assumptions!$B$139*Assumptions!$B$46*Assumptions!$B$30</f>
        <v/>
      </c>
      <c r="BF178" s="41">
        <f>BF176*Assumptions!$B$139*Assumptions!$B$46*Assumptions!$B$30</f>
        <v/>
      </c>
      <c r="BG178" s="41">
        <f>BG176*Assumptions!$B$139*Assumptions!$B$46*Assumptions!$B$30</f>
        <v/>
      </c>
      <c r="BH178" s="41">
        <f>BH176*Assumptions!$B$139*Assumptions!$B$46*Assumptions!$B$30</f>
        <v/>
      </c>
      <c r="BI178" s="41">
        <f>BI176*Assumptions!$B$139*Assumptions!$B$46*Assumptions!$B$30</f>
        <v/>
      </c>
      <c r="BJ178" s="41">
        <f>BJ176*Assumptions!$B$139*Assumptions!$B$46*Assumptions!$B$30</f>
        <v/>
      </c>
    </row>
    <row r="179">
      <c r="A179" s="3" t="inlineStr">
        <is>
          <t>South Africa: Solo: Starter (direct or upgraded): closing</t>
        </is>
      </c>
      <c r="B179" s="17" t="inlineStr">
        <is>
          <t>workspaces</t>
        </is>
      </c>
      <c r="C179" s="44">
        <f>C176+C177-C178</f>
        <v/>
      </c>
      <c r="D179" s="44">
        <f>D176+D177-D178</f>
        <v/>
      </c>
      <c r="E179" s="44">
        <f>E176+E177-E178</f>
        <v/>
      </c>
      <c r="F179" s="44">
        <f>F176+F177-F178</f>
        <v/>
      </c>
      <c r="G179" s="44">
        <f>G176+G177-G178</f>
        <v/>
      </c>
      <c r="H179" s="44">
        <f>H176+H177-H178</f>
        <v/>
      </c>
      <c r="I179" s="44">
        <f>I176+I177-I178</f>
        <v/>
      </c>
      <c r="J179" s="44">
        <f>J176+J177-J178</f>
        <v/>
      </c>
      <c r="K179" s="44">
        <f>K176+K177-K178</f>
        <v/>
      </c>
      <c r="L179" s="44">
        <f>L176+L177-L178</f>
        <v/>
      </c>
      <c r="M179" s="44">
        <f>M176+M177-M178</f>
        <v/>
      </c>
      <c r="N179" s="44">
        <f>N176+N177-N178</f>
        <v/>
      </c>
      <c r="O179" s="44">
        <f>O176+O177-O178</f>
        <v/>
      </c>
      <c r="P179" s="44">
        <f>P176+P177-P178</f>
        <v/>
      </c>
      <c r="Q179" s="44">
        <f>Q176+Q177-Q178</f>
        <v/>
      </c>
      <c r="R179" s="44">
        <f>R176+R177-R178</f>
        <v/>
      </c>
      <c r="S179" s="44">
        <f>S176+S177-S178</f>
        <v/>
      </c>
      <c r="T179" s="44">
        <f>T176+T177-T178</f>
        <v/>
      </c>
      <c r="U179" s="44">
        <f>U176+U177-U178</f>
        <v/>
      </c>
      <c r="V179" s="44">
        <f>V176+V177-V178</f>
        <v/>
      </c>
      <c r="W179" s="44">
        <f>W176+W177-W178</f>
        <v/>
      </c>
      <c r="X179" s="44">
        <f>X176+X177-X178</f>
        <v/>
      </c>
      <c r="Y179" s="44">
        <f>Y176+Y177-Y178</f>
        <v/>
      </c>
      <c r="Z179" s="44">
        <f>Z176+Z177-Z178</f>
        <v/>
      </c>
      <c r="AA179" s="44">
        <f>AA176+AA177-AA178</f>
        <v/>
      </c>
      <c r="AB179" s="44">
        <f>AB176+AB177-AB178</f>
        <v/>
      </c>
      <c r="AC179" s="44">
        <f>AC176+AC177-AC178</f>
        <v/>
      </c>
      <c r="AD179" s="44">
        <f>AD176+AD177-AD178</f>
        <v/>
      </c>
      <c r="AE179" s="44">
        <f>AE176+AE177-AE178</f>
        <v/>
      </c>
      <c r="AF179" s="44">
        <f>AF176+AF177-AF178</f>
        <v/>
      </c>
      <c r="AG179" s="44">
        <f>AG176+AG177-AG178</f>
        <v/>
      </c>
      <c r="AH179" s="44">
        <f>AH176+AH177-AH178</f>
        <v/>
      </c>
      <c r="AI179" s="44">
        <f>AI176+AI177-AI178</f>
        <v/>
      </c>
      <c r="AJ179" s="44">
        <f>AJ176+AJ177-AJ178</f>
        <v/>
      </c>
      <c r="AK179" s="44">
        <f>AK176+AK177-AK178</f>
        <v/>
      </c>
      <c r="AL179" s="44">
        <f>AL176+AL177-AL178</f>
        <v/>
      </c>
      <c r="AM179" s="44">
        <f>AM176+AM177-AM178</f>
        <v/>
      </c>
      <c r="AN179" s="44">
        <f>AN176+AN177-AN178</f>
        <v/>
      </c>
      <c r="AO179" s="44">
        <f>AO176+AO177-AO178</f>
        <v/>
      </c>
      <c r="AP179" s="44">
        <f>AP176+AP177-AP178</f>
        <v/>
      </c>
      <c r="AQ179" s="44">
        <f>AQ176+AQ177-AQ178</f>
        <v/>
      </c>
      <c r="AR179" s="44">
        <f>AR176+AR177-AR178</f>
        <v/>
      </c>
      <c r="AS179" s="44">
        <f>AS176+AS177-AS178</f>
        <v/>
      </c>
      <c r="AT179" s="44">
        <f>AT176+AT177-AT178</f>
        <v/>
      </c>
      <c r="AU179" s="44">
        <f>AU176+AU177-AU178</f>
        <v/>
      </c>
      <c r="AV179" s="44">
        <f>AV176+AV177-AV178</f>
        <v/>
      </c>
      <c r="AW179" s="44">
        <f>AW176+AW177-AW178</f>
        <v/>
      </c>
      <c r="AX179" s="44">
        <f>AX176+AX177-AX178</f>
        <v/>
      </c>
      <c r="AY179" s="44">
        <f>AY176+AY177-AY178</f>
        <v/>
      </c>
      <c r="AZ179" s="44">
        <f>AZ176+AZ177-AZ178</f>
        <v/>
      </c>
      <c r="BA179" s="44">
        <f>BA176+BA177-BA178</f>
        <v/>
      </c>
      <c r="BB179" s="44">
        <f>BB176+BB177-BB178</f>
        <v/>
      </c>
      <c r="BC179" s="44">
        <f>BC176+BC177-BC178</f>
        <v/>
      </c>
      <c r="BD179" s="44">
        <f>BD176+BD177-BD178</f>
        <v/>
      </c>
      <c r="BE179" s="44">
        <f>BE176+BE177-BE178</f>
        <v/>
      </c>
      <c r="BF179" s="44">
        <f>BF176+BF177-BF178</f>
        <v/>
      </c>
      <c r="BG179" s="44">
        <f>BG176+BG177-BG178</f>
        <v/>
      </c>
      <c r="BH179" s="44">
        <f>BH176+BH177-BH178</f>
        <v/>
      </c>
      <c r="BI179" s="44">
        <f>BI176+BI177-BI178</f>
        <v/>
      </c>
      <c r="BJ179" s="44">
        <f>BJ176+BJ177-BJ178</f>
        <v/>
      </c>
    </row>
    <row r="180">
      <c r="A180" s="4" t="inlineStr">
        <is>
          <t>South Africa: SME: Starter: opening</t>
        </is>
      </c>
      <c r="B180" s="17" t="inlineStr">
        <is>
          <t>workspaces</t>
        </is>
      </c>
      <c r="C180" s="41">
        <f>0</f>
        <v/>
      </c>
      <c r="D180" s="41">
        <f>C184</f>
        <v/>
      </c>
      <c r="E180" s="41">
        <f>D184</f>
        <v/>
      </c>
      <c r="F180" s="41">
        <f>E184</f>
        <v/>
      </c>
      <c r="G180" s="41">
        <f>F184</f>
        <v/>
      </c>
      <c r="H180" s="41">
        <f>G184</f>
        <v/>
      </c>
      <c r="I180" s="41">
        <f>H184</f>
        <v/>
      </c>
      <c r="J180" s="41">
        <f>I184</f>
        <v/>
      </c>
      <c r="K180" s="41">
        <f>J184</f>
        <v/>
      </c>
      <c r="L180" s="41">
        <f>K184</f>
        <v/>
      </c>
      <c r="M180" s="41">
        <f>L184</f>
        <v/>
      </c>
      <c r="N180" s="41">
        <f>M184</f>
        <v/>
      </c>
      <c r="O180" s="41">
        <f>N184</f>
        <v/>
      </c>
      <c r="P180" s="41">
        <f>O184</f>
        <v/>
      </c>
      <c r="Q180" s="41">
        <f>P184</f>
        <v/>
      </c>
      <c r="R180" s="41">
        <f>Q184</f>
        <v/>
      </c>
      <c r="S180" s="41">
        <f>R184</f>
        <v/>
      </c>
      <c r="T180" s="41">
        <f>S184</f>
        <v/>
      </c>
      <c r="U180" s="41">
        <f>T184</f>
        <v/>
      </c>
      <c r="V180" s="41">
        <f>U184</f>
        <v/>
      </c>
      <c r="W180" s="41">
        <f>V184</f>
        <v/>
      </c>
      <c r="X180" s="41">
        <f>W184</f>
        <v/>
      </c>
      <c r="Y180" s="41">
        <f>X184</f>
        <v/>
      </c>
      <c r="Z180" s="41">
        <f>Y184</f>
        <v/>
      </c>
      <c r="AA180" s="41">
        <f>Z184</f>
        <v/>
      </c>
      <c r="AB180" s="41">
        <f>AA184</f>
        <v/>
      </c>
      <c r="AC180" s="41">
        <f>AB184</f>
        <v/>
      </c>
      <c r="AD180" s="41">
        <f>AC184</f>
        <v/>
      </c>
      <c r="AE180" s="41">
        <f>AD184</f>
        <v/>
      </c>
      <c r="AF180" s="41">
        <f>AE184</f>
        <v/>
      </c>
      <c r="AG180" s="41">
        <f>AF184</f>
        <v/>
      </c>
      <c r="AH180" s="41">
        <f>AG184</f>
        <v/>
      </c>
      <c r="AI180" s="41">
        <f>AH184</f>
        <v/>
      </c>
      <c r="AJ180" s="41">
        <f>AI184</f>
        <v/>
      </c>
      <c r="AK180" s="41">
        <f>AJ184</f>
        <v/>
      </c>
      <c r="AL180" s="41">
        <f>AK184</f>
        <v/>
      </c>
      <c r="AM180" s="41">
        <f>AL184</f>
        <v/>
      </c>
      <c r="AN180" s="41">
        <f>AM184</f>
        <v/>
      </c>
      <c r="AO180" s="41">
        <f>AN184</f>
        <v/>
      </c>
      <c r="AP180" s="41">
        <f>AO184</f>
        <v/>
      </c>
      <c r="AQ180" s="41">
        <f>AP184</f>
        <v/>
      </c>
      <c r="AR180" s="41">
        <f>AQ184</f>
        <v/>
      </c>
      <c r="AS180" s="41">
        <f>AR184</f>
        <v/>
      </c>
      <c r="AT180" s="41">
        <f>AS184</f>
        <v/>
      </c>
      <c r="AU180" s="41">
        <f>AT184</f>
        <v/>
      </c>
      <c r="AV180" s="41">
        <f>AU184</f>
        <v/>
      </c>
      <c r="AW180" s="41">
        <f>AV184</f>
        <v/>
      </c>
      <c r="AX180" s="41">
        <f>AW184</f>
        <v/>
      </c>
      <c r="AY180" s="41">
        <f>AX184</f>
        <v/>
      </c>
      <c r="AZ180" s="41">
        <f>AY184</f>
        <v/>
      </c>
      <c r="BA180" s="41">
        <f>AZ184</f>
        <v/>
      </c>
      <c r="BB180" s="41">
        <f>BA184</f>
        <v/>
      </c>
      <c r="BC180" s="41">
        <f>BB184</f>
        <v/>
      </c>
      <c r="BD180" s="41">
        <f>BC184</f>
        <v/>
      </c>
      <c r="BE180" s="41">
        <f>BD184</f>
        <v/>
      </c>
      <c r="BF180" s="41">
        <f>BE184</f>
        <v/>
      </c>
      <c r="BG180" s="41">
        <f>BF184</f>
        <v/>
      </c>
      <c r="BH180" s="41">
        <f>BG184</f>
        <v/>
      </c>
      <c r="BI180" s="41">
        <f>BH184</f>
        <v/>
      </c>
      <c r="BJ180" s="41">
        <f>BI184</f>
        <v/>
      </c>
    </row>
    <row r="181">
      <c r="A181" s="4" t="inlineStr">
        <is>
          <t>South Africa: SME: Starter: new</t>
        </is>
      </c>
      <c r="B181" s="17" t="inlineStr">
        <is>
          <t>workspaces</t>
        </is>
      </c>
      <c r="C181" s="41">
        <f>C147*Assumptions!$B$127</f>
        <v/>
      </c>
      <c r="D181" s="41">
        <f>D147*Assumptions!$B$127</f>
        <v/>
      </c>
      <c r="E181" s="41">
        <f>E147*Assumptions!$B$127</f>
        <v/>
      </c>
      <c r="F181" s="41">
        <f>F147*Assumptions!$B$127</f>
        <v/>
      </c>
      <c r="G181" s="41">
        <f>G147*Assumptions!$B$127</f>
        <v/>
      </c>
      <c r="H181" s="41">
        <f>H147*Assumptions!$B$127</f>
        <v/>
      </c>
      <c r="I181" s="41">
        <f>I147*Assumptions!$B$127</f>
        <v/>
      </c>
      <c r="J181" s="41">
        <f>J147*Assumptions!$B$127</f>
        <v/>
      </c>
      <c r="K181" s="41">
        <f>K147*Assumptions!$B$127</f>
        <v/>
      </c>
      <c r="L181" s="41">
        <f>L147*Assumptions!$B$127</f>
        <v/>
      </c>
      <c r="M181" s="41">
        <f>M147*Assumptions!$B$127</f>
        <v/>
      </c>
      <c r="N181" s="41">
        <f>N147*Assumptions!$B$127</f>
        <v/>
      </c>
      <c r="O181" s="41">
        <f>O147*Assumptions!$B$127</f>
        <v/>
      </c>
      <c r="P181" s="41">
        <f>P147*Assumptions!$B$127</f>
        <v/>
      </c>
      <c r="Q181" s="41">
        <f>Q147*Assumptions!$B$127</f>
        <v/>
      </c>
      <c r="R181" s="41">
        <f>R147*Assumptions!$B$127</f>
        <v/>
      </c>
      <c r="S181" s="41">
        <f>S147*Assumptions!$B$127</f>
        <v/>
      </c>
      <c r="T181" s="41">
        <f>T147*Assumptions!$B$127</f>
        <v/>
      </c>
      <c r="U181" s="41">
        <f>U147*Assumptions!$B$127</f>
        <v/>
      </c>
      <c r="V181" s="41">
        <f>V147*Assumptions!$B$127</f>
        <v/>
      </c>
      <c r="W181" s="41">
        <f>W147*Assumptions!$B$127</f>
        <v/>
      </c>
      <c r="X181" s="41">
        <f>X147*Assumptions!$B$127</f>
        <v/>
      </c>
      <c r="Y181" s="41">
        <f>Y147*Assumptions!$B$127</f>
        <v/>
      </c>
      <c r="Z181" s="41">
        <f>Z147*Assumptions!$B$127</f>
        <v/>
      </c>
      <c r="AA181" s="41">
        <f>AA147*Assumptions!$B$127</f>
        <v/>
      </c>
      <c r="AB181" s="41">
        <f>AB147*Assumptions!$B$127</f>
        <v/>
      </c>
      <c r="AC181" s="41">
        <f>AC147*Assumptions!$B$127</f>
        <v/>
      </c>
      <c r="AD181" s="41">
        <f>AD147*Assumptions!$B$127</f>
        <v/>
      </c>
      <c r="AE181" s="41">
        <f>AE147*Assumptions!$B$127</f>
        <v/>
      </c>
      <c r="AF181" s="41">
        <f>AF147*Assumptions!$B$127</f>
        <v/>
      </c>
      <c r="AG181" s="41">
        <f>AG147*Assumptions!$B$127</f>
        <v/>
      </c>
      <c r="AH181" s="41">
        <f>AH147*Assumptions!$B$127</f>
        <v/>
      </c>
      <c r="AI181" s="41">
        <f>AI147*Assumptions!$B$127</f>
        <v/>
      </c>
      <c r="AJ181" s="41">
        <f>AJ147*Assumptions!$B$127</f>
        <v/>
      </c>
      <c r="AK181" s="41">
        <f>AK147*Assumptions!$B$127</f>
        <v/>
      </c>
      <c r="AL181" s="41">
        <f>AL147*Assumptions!$B$127</f>
        <v/>
      </c>
      <c r="AM181" s="41">
        <f>AM147*Assumptions!$B$127</f>
        <v/>
      </c>
      <c r="AN181" s="41">
        <f>AN147*Assumptions!$B$127</f>
        <v/>
      </c>
      <c r="AO181" s="41">
        <f>AO147*Assumptions!$B$127</f>
        <v/>
      </c>
      <c r="AP181" s="41">
        <f>AP147*Assumptions!$B$127</f>
        <v/>
      </c>
      <c r="AQ181" s="41">
        <f>AQ147*Assumptions!$B$127</f>
        <v/>
      </c>
      <c r="AR181" s="41">
        <f>AR147*Assumptions!$B$127</f>
        <v/>
      </c>
      <c r="AS181" s="41">
        <f>AS147*Assumptions!$B$127</f>
        <v/>
      </c>
      <c r="AT181" s="41">
        <f>AT147*Assumptions!$B$127</f>
        <v/>
      </c>
      <c r="AU181" s="41">
        <f>AU147*Assumptions!$B$127</f>
        <v/>
      </c>
      <c r="AV181" s="41">
        <f>AV147*Assumptions!$B$127</f>
        <v/>
      </c>
      <c r="AW181" s="41">
        <f>AW147*Assumptions!$B$127</f>
        <v/>
      </c>
      <c r="AX181" s="41">
        <f>AX147*Assumptions!$B$127</f>
        <v/>
      </c>
      <c r="AY181" s="41">
        <f>AY147*Assumptions!$B$127</f>
        <v/>
      </c>
      <c r="AZ181" s="41">
        <f>AZ147*Assumptions!$B$127</f>
        <v/>
      </c>
      <c r="BA181" s="41">
        <f>BA147*Assumptions!$B$127</f>
        <v/>
      </c>
      <c r="BB181" s="41">
        <f>BB147*Assumptions!$B$127</f>
        <v/>
      </c>
      <c r="BC181" s="41">
        <f>BC147*Assumptions!$B$127</f>
        <v/>
      </c>
      <c r="BD181" s="41">
        <f>BD147*Assumptions!$B$127</f>
        <v/>
      </c>
      <c r="BE181" s="41">
        <f>BE147*Assumptions!$B$127</f>
        <v/>
      </c>
      <c r="BF181" s="41">
        <f>BF147*Assumptions!$B$127</f>
        <v/>
      </c>
      <c r="BG181" s="41">
        <f>BG147*Assumptions!$B$127</f>
        <v/>
      </c>
      <c r="BH181" s="41">
        <f>BH147*Assumptions!$B$127</f>
        <v/>
      </c>
      <c r="BI181" s="41">
        <f>BI147*Assumptions!$B$127</f>
        <v/>
      </c>
      <c r="BJ181" s="41">
        <f>BJ147*Assumptions!$B$127</f>
        <v/>
      </c>
    </row>
    <row r="182">
      <c r="A182" s="4" t="inlineStr">
        <is>
          <t>South Africa: SME: Starter: churned</t>
        </is>
      </c>
      <c r="B182" s="17" t="inlineStr">
        <is>
          <t>workspaces</t>
        </is>
      </c>
      <c r="C182" s="41">
        <f>C180*Assumptions!$B$140*Assumptions!$B$46*Assumptions!$B$30</f>
        <v/>
      </c>
      <c r="D182" s="41">
        <f>D180*Assumptions!$B$140*Assumptions!$B$46*Assumptions!$B$30</f>
        <v/>
      </c>
      <c r="E182" s="41">
        <f>E180*Assumptions!$B$140*Assumptions!$B$46*Assumptions!$B$30</f>
        <v/>
      </c>
      <c r="F182" s="41">
        <f>F180*Assumptions!$B$140*Assumptions!$B$46*Assumptions!$B$30</f>
        <v/>
      </c>
      <c r="G182" s="41">
        <f>G180*Assumptions!$B$140*Assumptions!$B$46*Assumptions!$B$30</f>
        <v/>
      </c>
      <c r="H182" s="41">
        <f>H180*Assumptions!$B$140*Assumptions!$B$46*Assumptions!$B$30</f>
        <v/>
      </c>
      <c r="I182" s="41">
        <f>I180*Assumptions!$B$140*Assumptions!$B$46*Assumptions!$B$30</f>
        <v/>
      </c>
      <c r="J182" s="41">
        <f>J180*Assumptions!$B$140*Assumptions!$B$46*Assumptions!$B$30</f>
        <v/>
      </c>
      <c r="K182" s="41">
        <f>K180*Assumptions!$B$140*Assumptions!$B$46*Assumptions!$B$30</f>
        <v/>
      </c>
      <c r="L182" s="41">
        <f>L180*Assumptions!$B$140*Assumptions!$B$46*Assumptions!$B$30</f>
        <v/>
      </c>
      <c r="M182" s="41">
        <f>M180*Assumptions!$B$140*Assumptions!$B$46*Assumptions!$B$30</f>
        <v/>
      </c>
      <c r="N182" s="41">
        <f>N180*Assumptions!$B$140*Assumptions!$B$46*Assumptions!$B$30</f>
        <v/>
      </c>
      <c r="O182" s="41">
        <f>O180*Assumptions!$B$140*Assumptions!$B$46*Assumptions!$B$30</f>
        <v/>
      </c>
      <c r="P182" s="41">
        <f>P180*Assumptions!$B$140*Assumptions!$B$46*Assumptions!$B$30</f>
        <v/>
      </c>
      <c r="Q182" s="41">
        <f>Q180*Assumptions!$B$140*Assumptions!$B$46*Assumptions!$B$30</f>
        <v/>
      </c>
      <c r="R182" s="41">
        <f>R180*Assumptions!$B$140*Assumptions!$B$46*Assumptions!$B$30</f>
        <v/>
      </c>
      <c r="S182" s="41">
        <f>S180*Assumptions!$B$140*Assumptions!$B$46*Assumptions!$B$30</f>
        <v/>
      </c>
      <c r="T182" s="41">
        <f>T180*Assumptions!$B$140*Assumptions!$B$46*Assumptions!$B$30</f>
        <v/>
      </c>
      <c r="U182" s="41">
        <f>U180*Assumptions!$B$140*Assumptions!$B$46*Assumptions!$B$30</f>
        <v/>
      </c>
      <c r="V182" s="41">
        <f>V180*Assumptions!$B$140*Assumptions!$B$46*Assumptions!$B$30</f>
        <v/>
      </c>
      <c r="W182" s="41">
        <f>W180*Assumptions!$B$140*Assumptions!$B$46*Assumptions!$B$30</f>
        <v/>
      </c>
      <c r="X182" s="41">
        <f>X180*Assumptions!$B$140*Assumptions!$B$46*Assumptions!$B$30</f>
        <v/>
      </c>
      <c r="Y182" s="41">
        <f>Y180*Assumptions!$B$140*Assumptions!$B$46*Assumptions!$B$30</f>
        <v/>
      </c>
      <c r="Z182" s="41">
        <f>Z180*Assumptions!$B$140*Assumptions!$B$46*Assumptions!$B$30</f>
        <v/>
      </c>
      <c r="AA182" s="41">
        <f>AA180*Assumptions!$B$140*Assumptions!$B$46*Assumptions!$B$30</f>
        <v/>
      </c>
      <c r="AB182" s="41">
        <f>AB180*Assumptions!$B$140*Assumptions!$B$46*Assumptions!$B$30</f>
        <v/>
      </c>
      <c r="AC182" s="41">
        <f>AC180*Assumptions!$B$140*Assumptions!$B$46*Assumptions!$B$30</f>
        <v/>
      </c>
      <c r="AD182" s="41">
        <f>AD180*Assumptions!$B$140*Assumptions!$B$46*Assumptions!$B$30</f>
        <v/>
      </c>
      <c r="AE182" s="41">
        <f>AE180*Assumptions!$B$140*Assumptions!$B$46*Assumptions!$B$30</f>
        <v/>
      </c>
      <c r="AF182" s="41">
        <f>AF180*Assumptions!$B$140*Assumptions!$B$46*Assumptions!$B$30</f>
        <v/>
      </c>
      <c r="AG182" s="41">
        <f>AG180*Assumptions!$B$140*Assumptions!$B$46*Assumptions!$B$30</f>
        <v/>
      </c>
      <c r="AH182" s="41">
        <f>AH180*Assumptions!$B$140*Assumptions!$B$46*Assumptions!$B$30</f>
        <v/>
      </c>
      <c r="AI182" s="41">
        <f>AI180*Assumptions!$B$140*Assumptions!$B$46*Assumptions!$B$30</f>
        <v/>
      </c>
      <c r="AJ182" s="41">
        <f>AJ180*Assumptions!$B$140*Assumptions!$B$46*Assumptions!$B$30</f>
        <v/>
      </c>
      <c r="AK182" s="41">
        <f>AK180*Assumptions!$B$140*Assumptions!$B$46*Assumptions!$B$30</f>
        <v/>
      </c>
      <c r="AL182" s="41">
        <f>AL180*Assumptions!$B$140*Assumptions!$B$46*Assumptions!$B$30</f>
        <v/>
      </c>
      <c r="AM182" s="41">
        <f>AM180*Assumptions!$B$140*Assumptions!$B$46*Assumptions!$B$30</f>
        <v/>
      </c>
      <c r="AN182" s="41">
        <f>AN180*Assumptions!$B$140*Assumptions!$B$46*Assumptions!$B$30</f>
        <v/>
      </c>
      <c r="AO182" s="41">
        <f>AO180*Assumptions!$B$140*Assumptions!$B$46*Assumptions!$B$30</f>
        <v/>
      </c>
      <c r="AP182" s="41">
        <f>AP180*Assumptions!$B$140*Assumptions!$B$46*Assumptions!$B$30</f>
        <v/>
      </c>
      <c r="AQ182" s="41">
        <f>AQ180*Assumptions!$B$140*Assumptions!$B$46*Assumptions!$B$30</f>
        <v/>
      </c>
      <c r="AR182" s="41">
        <f>AR180*Assumptions!$B$140*Assumptions!$B$46*Assumptions!$B$30</f>
        <v/>
      </c>
      <c r="AS182" s="41">
        <f>AS180*Assumptions!$B$140*Assumptions!$B$46*Assumptions!$B$30</f>
        <v/>
      </c>
      <c r="AT182" s="41">
        <f>AT180*Assumptions!$B$140*Assumptions!$B$46*Assumptions!$B$30</f>
        <v/>
      </c>
      <c r="AU182" s="41">
        <f>AU180*Assumptions!$B$140*Assumptions!$B$46*Assumptions!$B$30</f>
        <v/>
      </c>
      <c r="AV182" s="41">
        <f>AV180*Assumptions!$B$140*Assumptions!$B$46*Assumptions!$B$30</f>
        <v/>
      </c>
      <c r="AW182" s="41">
        <f>AW180*Assumptions!$B$140*Assumptions!$B$46*Assumptions!$B$30</f>
        <v/>
      </c>
      <c r="AX182" s="41">
        <f>AX180*Assumptions!$B$140*Assumptions!$B$46*Assumptions!$B$30</f>
        <v/>
      </c>
      <c r="AY182" s="41">
        <f>AY180*Assumptions!$B$140*Assumptions!$B$46*Assumptions!$B$30</f>
        <v/>
      </c>
      <c r="AZ182" s="41">
        <f>AZ180*Assumptions!$B$140*Assumptions!$B$46*Assumptions!$B$30</f>
        <v/>
      </c>
      <c r="BA182" s="41">
        <f>BA180*Assumptions!$B$140*Assumptions!$B$46*Assumptions!$B$30</f>
        <v/>
      </c>
      <c r="BB182" s="41">
        <f>BB180*Assumptions!$B$140*Assumptions!$B$46*Assumptions!$B$30</f>
        <v/>
      </c>
      <c r="BC182" s="41">
        <f>BC180*Assumptions!$B$140*Assumptions!$B$46*Assumptions!$B$30</f>
        <v/>
      </c>
      <c r="BD182" s="41">
        <f>BD180*Assumptions!$B$140*Assumptions!$B$46*Assumptions!$B$30</f>
        <v/>
      </c>
      <c r="BE182" s="41">
        <f>BE180*Assumptions!$B$140*Assumptions!$B$46*Assumptions!$B$30</f>
        <v/>
      </c>
      <c r="BF182" s="41">
        <f>BF180*Assumptions!$B$140*Assumptions!$B$46*Assumptions!$B$30</f>
        <v/>
      </c>
      <c r="BG182" s="41">
        <f>BG180*Assumptions!$B$140*Assumptions!$B$46*Assumptions!$B$30</f>
        <v/>
      </c>
      <c r="BH182" s="41">
        <f>BH180*Assumptions!$B$140*Assumptions!$B$46*Assumptions!$B$30</f>
        <v/>
      </c>
      <c r="BI182" s="41">
        <f>BI180*Assumptions!$B$140*Assumptions!$B$46*Assumptions!$B$30</f>
        <v/>
      </c>
      <c r="BJ182" s="41">
        <f>BJ180*Assumptions!$B$140*Assumptions!$B$46*Assumptions!$B$30</f>
        <v/>
      </c>
    </row>
    <row r="183">
      <c r="A183" s="4" t="inlineStr">
        <is>
          <t>South Africa: SME: Starter: upgraded out</t>
        </is>
      </c>
      <c r="B183" s="17" t="inlineStr">
        <is>
          <t>workspaces</t>
        </is>
      </c>
      <c r="C183" s="41">
        <f>C180*Assumptions!$B$132</f>
        <v/>
      </c>
      <c r="D183" s="41">
        <f>D180*Assumptions!$B$132</f>
        <v/>
      </c>
      <c r="E183" s="41">
        <f>E180*Assumptions!$B$132</f>
        <v/>
      </c>
      <c r="F183" s="41">
        <f>F180*Assumptions!$B$132</f>
        <v/>
      </c>
      <c r="G183" s="41">
        <f>G180*Assumptions!$B$132</f>
        <v/>
      </c>
      <c r="H183" s="41">
        <f>H180*Assumptions!$B$132</f>
        <v/>
      </c>
      <c r="I183" s="41">
        <f>I180*Assumptions!$B$132</f>
        <v/>
      </c>
      <c r="J183" s="41">
        <f>J180*Assumptions!$B$132</f>
        <v/>
      </c>
      <c r="K183" s="41">
        <f>K180*Assumptions!$B$132</f>
        <v/>
      </c>
      <c r="L183" s="41">
        <f>L180*Assumptions!$B$132</f>
        <v/>
      </c>
      <c r="M183" s="41">
        <f>M180*Assumptions!$B$132</f>
        <v/>
      </c>
      <c r="N183" s="41">
        <f>N180*Assumptions!$B$132</f>
        <v/>
      </c>
      <c r="O183" s="41">
        <f>O180*Assumptions!$B$132</f>
        <v/>
      </c>
      <c r="P183" s="41">
        <f>P180*Assumptions!$B$132</f>
        <v/>
      </c>
      <c r="Q183" s="41">
        <f>Q180*Assumptions!$B$132</f>
        <v/>
      </c>
      <c r="R183" s="41">
        <f>R180*Assumptions!$B$132</f>
        <v/>
      </c>
      <c r="S183" s="41">
        <f>S180*Assumptions!$B$132</f>
        <v/>
      </c>
      <c r="T183" s="41">
        <f>T180*Assumptions!$B$132</f>
        <v/>
      </c>
      <c r="U183" s="41">
        <f>U180*Assumptions!$B$132</f>
        <v/>
      </c>
      <c r="V183" s="41">
        <f>V180*Assumptions!$B$132</f>
        <v/>
      </c>
      <c r="W183" s="41">
        <f>W180*Assumptions!$B$132</f>
        <v/>
      </c>
      <c r="X183" s="41">
        <f>X180*Assumptions!$B$132</f>
        <v/>
      </c>
      <c r="Y183" s="41">
        <f>Y180*Assumptions!$B$132</f>
        <v/>
      </c>
      <c r="Z183" s="41">
        <f>Z180*Assumptions!$B$132</f>
        <v/>
      </c>
      <c r="AA183" s="41">
        <f>AA180*Assumptions!$B$132</f>
        <v/>
      </c>
      <c r="AB183" s="41">
        <f>AB180*Assumptions!$B$132</f>
        <v/>
      </c>
      <c r="AC183" s="41">
        <f>AC180*Assumptions!$B$132</f>
        <v/>
      </c>
      <c r="AD183" s="41">
        <f>AD180*Assumptions!$B$132</f>
        <v/>
      </c>
      <c r="AE183" s="41">
        <f>AE180*Assumptions!$B$132</f>
        <v/>
      </c>
      <c r="AF183" s="41">
        <f>AF180*Assumptions!$B$132</f>
        <v/>
      </c>
      <c r="AG183" s="41">
        <f>AG180*Assumptions!$B$132</f>
        <v/>
      </c>
      <c r="AH183" s="41">
        <f>AH180*Assumptions!$B$132</f>
        <v/>
      </c>
      <c r="AI183" s="41">
        <f>AI180*Assumptions!$B$132</f>
        <v/>
      </c>
      <c r="AJ183" s="41">
        <f>AJ180*Assumptions!$B$132</f>
        <v/>
      </c>
      <c r="AK183" s="41">
        <f>AK180*Assumptions!$B$132</f>
        <v/>
      </c>
      <c r="AL183" s="41">
        <f>AL180*Assumptions!$B$132</f>
        <v/>
      </c>
      <c r="AM183" s="41">
        <f>AM180*Assumptions!$B$132</f>
        <v/>
      </c>
      <c r="AN183" s="41">
        <f>AN180*Assumptions!$B$132</f>
        <v/>
      </c>
      <c r="AO183" s="41">
        <f>AO180*Assumptions!$B$132</f>
        <v/>
      </c>
      <c r="AP183" s="41">
        <f>AP180*Assumptions!$B$132</f>
        <v/>
      </c>
      <c r="AQ183" s="41">
        <f>AQ180*Assumptions!$B$132</f>
        <v/>
      </c>
      <c r="AR183" s="41">
        <f>AR180*Assumptions!$B$132</f>
        <v/>
      </c>
      <c r="AS183" s="41">
        <f>AS180*Assumptions!$B$132</f>
        <v/>
      </c>
      <c r="AT183" s="41">
        <f>AT180*Assumptions!$B$132</f>
        <v/>
      </c>
      <c r="AU183" s="41">
        <f>AU180*Assumptions!$B$132</f>
        <v/>
      </c>
      <c r="AV183" s="41">
        <f>AV180*Assumptions!$B$132</f>
        <v/>
      </c>
      <c r="AW183" s="41">
        <f>AW180*Assumptions!$B$132</f>
        <v/>
      </c>
      <c r="AX183" s="41">
        <f>AX180*Assumptions!$B$132</f>
        <v/>
      </c>
      <c r="AY183" s="41">
        <f>AY180*Assumptions!$B$132</f>
        <v/>
      </c>
      <c r="AZ183" s="41">
        <f>AZ180*Assumptions!$B$132</f>
        <v/>
      </c>
      <c r="BA183" s="41">
        <f>BA180*Assumptions!$B$132</f>
        <v/>
      </c>
      <c r="BB183" s="41">
        <f>BB180*Assumptions!$B$132</f>
        <v/>
      </c>
      <c r="BC183" s="41">
        <f>BC180*Assumptions!$B$132</f>
        <v/>
      </c>
      <c r="BD183" s="41">
        <f>BD180*Assumptions!$B$132</f>
        <v/>
      </c>
      <c r="BE183" s="41">
        <f>BE180*Assumptions!$B$132</f>
        <v/>
      </c>
      <c r="BF183" s="41">
        <f>BF180*Assumptions!$B$132</f>
        <v/>
      </c>
      <c r="BG183" s="41">
        <f>BG180*Assumptions!$B$132</f>
        <v/>
      </c>
      <c r="BH183" s="41">
        <f>BH180*Assumptions!$B$132</f>
        <v/>
      </c>
      <c r="BI183" s="41">
        <f>BI180*Assumptions!$B$132</f>
        <v/>
      </c>
      <c r="BJ183" s="41">
        <f>BJ180*Assumptions!$B$132</f>
        <v/>
      </c>
    </row>
    <row r="184">
      <c r="A184" s="3" t="inlineStr">
        <is>
          <t>South Africa: SME: Starter: closing</t>
        </is>
      </c>
      <c r="B184" s="17" t="inlineStr">
        <is>
          <t>workspaces</t>
        </is>
      </c>
      <c r="C184" s="44">
        <f>C180+C181-C182-C183</f>
        <v/>
      </c>
      <c r="D184" s="44">
        <f>D180+D181-D182-D183</f>
        <v/>
      </c>
      <c r="E184" s="44">
        <f>E180+E181-E182-E183</f>
        <v/>
      </c>
      <c r="F184" s="44">
        <f>F180+F181-F182-F183</f>
        <v/>
      </c>
      <c r="G184" s="44">
        <f>G180+G181-G182-G183</f>
        <v/>
      </c>
      <c r="H184" s="44">
        <f>H180+H181-H182-H183</f>
        <v/>
      </c>
      <c r="I184" s="44">
        <f>I180+I181-I182-I183</f>
        <v/>
      </c>
      <c r="J184" s="44">
        <f>J180+J181-J182-J183</f>
        <v/>
      </c>
      <c r="K184" s="44">
        <f>K180+K181-K182-K183</f>
        <v/>
      </c>
      <c r="L184" s="44">
        <f>L180+L181-L182-L183</f>
        <v/>
      </c>
      <c r="M184" s="44">
        <f>M180+M181-M182-M183</f>
        <v/>
      </c>
      <c r="N184" s="44">
        <f>N180+N181-N182-N183</f>
        <v/>
      </c>
      <c r="O184" s="44">
        <f>O180+O181-O182-O183</f>
        <v/>
      </c>
      <c r="P184" s="44">
        <f>P180+P181-P182-P183</f>
        <v/>
      </c>
      <c r="Q184" s="44">
        <f>Q180+Q181-Q182-Q183</f>
        <v/>
      </c>
      <c r="R184" s="44">
        <f>R180+R181-R182-R183</f>
        <v/>
      </c>
      <c r="S184" s="44">
        <f>S180+S181-S182-S183</f>
        <v/>
      </c>
      <c r="T184" s="44">
        <f>T180+T181-T182-T183</f>
        <v/>
      </c>
      <c r="U184" s="44">
        <f>U180+U181-U182-U183</f>
        <v/>
      </c>
      <c r="V184" s="44">
        <f>V180+V181-V182-V183</f>
        <v/>
      </c>
      <c r="W184" s="44">
        <f>W180+W181-W182-W183</f>
        <v/>
      </c>
      <c r="X184" s="44">
        <f>X180+X181-X182-X183</f>
        <v/>
      </c>
      <c r="Y184" s="44">
        <f>Y180+Y181-Y182-Y183</f>
        <v/>
      </c>
      <c r="Z184" s="44">
        <f>Z180+Z181-Z182-Z183</f>
        <v/>
      </c>
      <c r="AA184" s="44">
        <f>AA180+AA181-AA182-AA183</f>
        <v/>
      </c>
      <c r="AB184" s="44">
        <f>AB180+AB181-AB182-AB183</f>
        <v/>
      </c>
      <c r="AC184" s="44">
        <f>AC180+AC181-AC182-AC183</f>
        <v/>
      </c>
      <c r="AD184" s="44">
        <f>AD180+AD181-AD182-AD183</f>
        <v/>
      </c>
      <c r="AE184" s="44">
        <f>AE180+AE181-AE182-AE183</f>
        <v/>
      </c>
      <c r="AF184" s="44">
        <f>AF180+AF181-AF182-AF183</f>
        <v/>
      </c>
      <c r="AG184" s="44">
        <f>AG180+AG181-AG182-AG183</f>
        <v/>
      </c>
      <c r="AH184" s="44">
        <f>AH180+AH181-AH182-AH183</f>
        <v/>
      </c>
      <c r="AI184" s="44">
        <f>AI180+AI181-AI182-AI183</f>
        <v/>
      </c>
      <c r="AJ184" s="44">
        <f>AJ180+AJ181-AJ182-AJ183</f>
        <v/>
      </c>
      <c r="AK184" s="44">
        <f>AK180+AK181-AK182-AK183</f>
        <v/>
      </c>
      <c r="AL184" s="44">
        <f>AL180+AL181-AL182-AL183</f>
        <v/>
      </c>
      <c r="AM184" s="44">
        <f>AM180+AM181-AM182-AM183</f>
        <v/>
      </c>
      <c r="AN184" s="44">
        <f>AN180+AN181-AN182-AN183</f>
        <v/>
      </c>
      <c r="AO184" s="44">
        <f>AO180+AO181-AO182-AO183</f>
        <v/>
      </c>
      <c r="AP184" s="44">
        <f>AP180+AP181-AP182-AP183</f>
        <v/>
      </c>
      <c r="AQ184" s="44">
        <f>AQ180+AQ181-AQ182-AQ183</f>
        <v/>
      </c>
      <c r="AR184" s="44">
        <f>AR180+AR181-AR182-AR183</f>
        <v/>
      </c>
      <c r="AS184" s="44">
        <f>AS180+AS181-AS182-AS183</f>
        <v/>
      </c>
      <c r="AT184" s="44">
        <f>AT180+AT181-AT182-AT183</f>
        <v/>
      </c>
      <c r="AU184" s="44">
        <f>AU180+AU181-AU182-AU183</f>
        <v/>
      </c>
      <c r="AV184" s="44">
        <f>AV180+AV181-AV182-AV183</f>
        <v/>
      </c>
      <c r="AW184" s="44">
        <f>AW180+AW181-AW182-AW183</f>
        <v/>
      </c>
      <c r="AX184" s="44">
        <f>AX180+AX181-AX182-AX183</f>
        <v/>
      </c>
      <c r="AY184" s="44">
        <f>AY180+AY181-AY182-AY183</f>
        <v/>
      </c>
      <c r="AZ184" s="44">
        <f>AZ180+AZ181-AZ182-AZ183</f>
        <v/>
      </c>
      <c r="BA184" s="44">
        <f>BA180+BA181-BA182-BA183</f>
        <v/>
      </c>
      <c r="BB184" s="44">
        <f>BB180+BB181-BB182-BB183</f>
        <v/>
      </c>
      <c r="BC184" s="44">
        <f>BC180+BC181-BC182-BC183</f>
        <v/>
      </c>
      <c r="BD184" s="44">
        <f>BD180+BD181-BD182-BD183</f>
        <v/>
      </c>
      <c r="BE184" s="44">
        <f>BE180+BE181-BE182-BE183</f>
        <v/>
      </c>
      <c r="BF184" s="44">
        <f>BF180+BF181-BF182-BF183</f>
        <v/>
      </c>
      <c r="BG184" s="44">
        <f>BG180+BG181-BG182-BG183</f>
        <v/>
      </c>
      <c r="BH184" s="44">
        <f>BH180+BH181-BH182-BH183</f>
        <v/>
      </c>
      <c r="BI184" s="44">
        <f>BI180+BI181-BI182-BI183</f>
        <v/>
      </c>
      <c r="BJ184" s="44">
        <f>BJ180+BJ181-BJ182-BJ183</f>
        <v/>
      </c>
    </row>
    <row r="185">
      <c r="A185" s="4" t="inlineStr">
        <is>
          <t>South Africa: SME: Growth (direct or upgraded): opening</t>
        </is>
      </c>
      <c r="B185" s="17" t="inlineStr">
        <is>
          <t>workspaces</t>
        </is>
      </c>
      <c r="C185" s="41">
        <f>0</f>
        <v/>
      </c>
      <c r="D185" s="41">
        <f>C189</f>
        <v/>
      </c>
      <c r="E185" s="41">
        <f>D189</f>
        <v/>
      </c>
      <c r="F185" s="41">
        <f>E189</f>
        <v/>
      </c>
      <c r="G185" s="41">
        <f>F189</f>
        <v/>
      </c>
      <c r="H185" s="41">
        <f>G189</f>
        <v/>
      </c>
      <c r="I185" s="41">
        <f>H189</f>
        <v/>
      </c>
      <c r="J185" s="41">
        <f>I189</f>
        <v/>
      </c>
      <c r="K185" s="41">
        <f>J189</f>
        <v/>
      </c>
      <c r="L185" s="41">
        <f>K189</f>
        <v/>
      </c>
      <c r="M185" s="41">
        <f>L189</f>
        <v/>
      </c>
      <c r="N185" s="41">
        <f>M189</f>
        <v/>
      </c>
      <c r="O185" s="41">
        <f>N189</f>
        <v/>
      </c>
      <c r="P185" s="41">
        <f>O189</f>
        <v/>
      </c>
      <c r="Q185" s="41">
        <f>P189</f>
        <v/>
      </c>
      <c r="R185" s="41">
        <f>Q189</f>
        <v/>
      </c>
      <c r="S185" s="41">
        <f>R189</f>
        <v/>
      </c>
      <c r="T185" s="41">
        <f>S189</f>
        <v/>
      </c>
      <c r="U185" s="41">
        <f>T189</f>
        <v/>
      </c>
      <c r="V185" s="41">
        <f>U189</f>
        <v/>
      </c>
      <c r="W185" s="41">
        <f>V189</f>
        <v/>
      </c>
      <c r="X185" s="41">
        <f>W189</f>
        <v/>
      </c>
      <c r="Y185" s="41">
        <f>X189</f>
        <v/>
      </c>
      <c r="Z185" s="41">
        <f>Y189</f>
        <v/>
      </c>
      <c r="AA185" s="41">
        <f>Z189</f>
        <v/>
      </c>
      <c r="AB185" s="41">
        <f>AA189</f>
        <v/>
      </c>
      <c r="AC185" s="41">
        <f>AB189</f>
        <v/>
      </c>
      <c r="AD185" s="41">
        <f>AC189</f>
        <v/>
      </c>
      <c r="AE185" s="41">
        <f>AD189</f>
        <v/>
      </c>
      <c r="AF185" s="41">
        <f>AE189</f>
        <v/>
      </c>
      <c r="AG185" s="41">
        <f>AF189</f>
        <v/>
      </c>
      <c r="AH185" s="41">
        <f>AG189</f>
        <v/>
      </c>
      <c r="AI185" s="41">
        <f>AH189</f>
        <v/>
      </c>
      <c r="AJ185" s="41">
        <f>AI189</f>
        <v/>
      </c>
      <c r="AK185" s="41">
        <f>AJ189</f>
        <v/>
      </c>
      <c r="AL185" s="41">
        <f>AK189</f>
        <v/>
      </c>
      <c r="AM185" s="41">
        <f>AL189</f>
        <v/>
      </c>
      <c r="AN185" s="41">
        <f>AM189</f>
        <v/>
      </c>
      <c r="AO185" s="41">
        <f>AN189</f>
        <v/>
      </c>
      <c r="AP185" s="41">
        <f>AO189</f>
        <v/>
      </c>
      <c r="AQ185" s="41">
        <f>AP189</f>
        <v/>
      </c>
      <c r="AR185" s="41">
        <f>AQ189</f>
        <v/>
      </c>
      <c r="AS185" s="41">
        <f>AR189</f>
        <v/>
      </c>
      <c r="AT185" s="41">
        <f>AS189</f>
        <v/>
      </c>
      <c r="AU185" s="41">
        <f>AT189</f>
        <v/>
      </c>
      <c r="AV185" s="41">
        <f>AU189</f>
        <v/>
      </c>
      <c r="AW185" s="41">
        <f>AV189</f>
        <v/>
      </c>
      <c r="AX185" s="41">
        <f>AW189</f>
        <v/>
      </c>
      <c r="AY185" s="41">
        <f>AX189</f>
        <v/>
      </c>
      <c r="AZ185" s="41">
        <f>AY189</f>
        <v/>
      </c>
      <c r="BA185" s="41">
        <f>AZ189</f>
        <v/>
      </c>
      <c r="BB185" s="41">
        <f>BA189</f>
        <v/>
      </c>
      <c r="BC185" s="41">
        <f>BB189</f>
        <v/>
      </c>
      <c r="BD185" s="41">
        <f>BC189</f>
        <v/>
      </c>
      <c r="BE185" s="41">
        <f>BD189</f>
        <v/>
      </c>
      <c r="BF185" s="41">
        <f>BE189</f>
        <v/>
      </c>
      <c r="BG185" s="41">
        <f>BF189</f>
        <v/>
      </c>
      <c r="BH185" s="41">
        <f>BG189</f>
        <v/>
      </c>
      <c r="BI185" s="41">
        <f>BH189</f>
        <v/>
      </c>
      <c r="BJ185" s="41">
        <f>BI189</f>
        <v/>
      </c>
    </row>
    <row r="186">
      <c r="A186" s="4" t="inlineStr">
        <is>
          <t>South Africa: SME: Growth (direct or upgraded): new</t>
        </is>
      </c>
      <c r="B186" s="17" t="inlineStr">
        <is>
          <t>workspaces</t>
        </is>
      </c>
      <c r="C186" s="41">
        <f>C147*Assumptions!$B$128+C183</f>
        <v/>
      </c>
      <c r="D186" s="41">
        <f>D147*Assumptions!$B$128+D183</f>
        <v/>
      </c>
      <c r="E186" s="41">
        <f>E147*Assumptions!$B$128+E183</f>
        <v/>
      </c>
      <c r="F186" s="41">
        <f>F147*Assumptions!$B$128+F183</f>
        <v/>
      </c>
      <c r="G186" s="41">
        <f>G147*Assumptions!$B$128+G183</f>
        <v/>
      </c>
      <c r="H186" s="41">
        <f>H147*Assumptions!$B$128+H183</f>
        <v/>
      </c>
      <c r="I186" s="41">
        <f>I147*Assumptions!$B$128+I183</f>
        <v/>
      </c>
      <c r="J186" s="41">
        <f>J147*Assumptions!$B$128+J183</f>
        <v/>
      </c>
      <c r="K186" s="41">
        <f>K147*Assumptions!$B$128+K183</f>
        <v/>
      </c>
      <c r="L186" s="41">
        <f>L147*Assumptions!$B$128+L183</f>
        <v/>
      </c>
      <c r="M186" s="41">
        <f>M147*Assumptions!$B$128+M183</f>
        <v/>
      </c>
      <c r="N186" s="41">
        <f>N147*Assumptions!$B$128+N183</f>
        <v/>
      </c>
      <c r="O186" s="41">
        <f>O147*Assumptions!$B$128+O183</f>
        <v/>
      </c>
      <c r="P186" s="41">
        <f>P147*Assumptions!$B$128+P183</f>
        <v/>
      </c>
      <c r="Q186" s="41">
        <f>Q147*Assumptions!$B$128+Q183</f>
        <v/>
      </c>
      <c r="R186" s="41">
        <f>R147*Assumptions!$B$128+R183</f>
        <v/>
      </c>
      <c r="S186" s="41">
        <f>S147*Assumptions!$B$128+S183</f>
        <v/>
      </c>
      <c r="T186" s="41">
        <f>T147*Assumptions!$B$128+T183</f>
        <v/>
      </c>
      <c r="U186" s="41">
        <f>U147*Assumptions!$B$128+U183</f>
        <v/>
      </c>
      <c r="V186" s="41">
        <f>V147*Assumptions!$B$128+V183</f>
        <v/>
      </c>
      <c r="W186" s="41">
        <f>W147*Assumptions!$B$128+W183</f>
        <v/>
      </c>
      <c r="X186" s="41">
        <f>X147*Assumptions!$B$128+X183</f>
        <v/>
      </c>
      <c r="Y186" s="41">
        <f>Y147*Assumptions!$B$128+Y183</f>
        <v/>
      </c>
      <c r="Z186" s="41">
        <f>Z147*Assumptions!$B$128+Z183</f>
        <v/>
      </c>
      <c r="AA186" s="41">
        <f>AA147*Assumptions!$B$128+AA183</f>
        <v/>
      </c>
      <c r="AB186" s="41">
        <f>AB147*Assumptions!$B$128+AB183</f>
        <v/>
      </c>
      <c r="AC186" s="41">
        <f>AC147*Assumptions!$B$128+AC183</f>
        <v/>
      </c>
      <c r="AD186" s="41">
        <f>AD147*Assumptions!$B$128+AD183</f>
        <v/>
      </c>
      <c r="AE186" s="41">
        <f>AE147*Assumptions!$B$128+AE183</f>
        <v/>
      </c>
      <c r="AF186" s="41">
        <f>AF147*Assumptions!$B$128+AF183</f>
        <v/>
      </c>
      <c r="AG186" s="41">
        <f>AG147*Assumptions!$B$128+AG183</f>
        <v/>
      </c>
      <c r="AH186" s="41">
        <f>AH147*Assumptions!$B$128+AH183</f>
        <v/>
      </c>
      <c r="AI186" s="41">
        <f>AI147*Assumptions!$B$128+AI183</f>
        <v/>
      </c>
      <c r="AJ186" s="41">
        <f>AJ147*Assumptions!$B$128+AJ183</f>
        <v/>
      </c>
      <c r="AK186" s="41">
        <f>AK147*Assumptions!$B$128+AK183</f>
        <v/>
      </c>
      <c r="AL186" s="41">
        <f>AL147*Assumptions!$B$128+AL183</f>
        <v/>
      </c>
      <c r="AM186" s="41">
        <f>AM147*Assumptions!$B$128+AM183</f>
        <v/>
      </c>
      <c r="AN186" s="41">
        <f>AN147*Assumptions!$B$128+AN183</f>
        <v/>
      </c>
      <c r="AO186" s="41">
        <f>AO147*Assumptions!$B$128+AO183</f>
        <v/>
      </c>
      <c r="AP186" s="41">
        <f>AP147*Assumptions!$B$128+AP183</f>
        <v/>
      </c>
      <c r="AQ186" s="41">
        <f>AQ147*Assumptions!$B$128+AQ183</f>
        <v/>
      </c>
      <c r="AR186" s="41">
        <f>AR147*Assumptions!$B$128+AR183</f>
        <v/>
      </c>
      <c r="AS186" s="41">
        <f>AS147*Assumptions!$B$128+AS183</f>
        <v/>
      </c>
      <c r="AT186" s="41">
        <f>AT147*Assumptions!$B$128+AT183</f>
        <v/>
      </c>
      <c r="AU186" s="41">
        <f>AU147*Assumptions!$B$128+AU183</f>
        <v/>
      </c>
      <c r="AV186" s="41">
        <f>AV147*Assumptions!$B$128+AV183</f>
        <v/>
      </c>
      <c r="AW186" s="41">
        <f>AW147*Assumptions!$B$128+AW183</f>
        <v/>
      </c>
      <c r="AX186" s="41">
        <f>AX147*Assumptions!$B$128+AX183</f>
        <v/>
      </c>
      <c r="AY186" s="41">
        <f>AY147*Assumptions!$B$128+AY183</f>
        <v/>
      </c>
      <c r="AZ186" s="41">
        <f>AZ147*Assumptions!$B$128+AZ183</f>
        <v/>
      </c>
      <c r="BA186" s="41">
        <f>BA147*Assumptions!$B$128+BA183</f>
        <v/>
      </c>
      <c r="BB186" s="41">
        <f>BB147*Assumptions!$B$128+BB183</f>
        <v/>
      </c>
      <c r="BC186" s="41">
        <f>BC147*Assumptions!$B$128+BC183</f>
        <v/>
      </c>
      <c r="BD186" s="41">
        <f>BD147*Assumptions!$B$128+BD183</f>
        <v/>
      </c>
      <c r="BE186" s="41">
        <f>BE147*Assumptions!$B$128+BE183</f>
        <v/>
      </c>
      <c r="BF186" s="41">
        <f>BF147*Assumptions!$B$128+BF183</f>
        <v/>
      </c>
      <c r="BG186" s="41">
        <f>BG147*Assumptions!$B$128+BG183</f>
        <v/>
      </c>
      <c r="BH186" s="41">
        <f>BH147*Assumptions!$B$128+BH183</f>
        <v/>
      </c>
      <c r="BI186" s="41">
        <f>BI147*Assumptions!$B$128+BI183</f>
        <v/>
      </c>
      <c r="BJ186" s="41">
        <f>BJ147*Assumptions!$B$128+BJ183</f>
        <v/>
      </c>
    </row>
    <row r="187">
      <c r="A187" s="4" t="inlineStr">
        <is>
          <t>South Africa: SME: Growth (direct or upgraded): churned</t>
        </is>
      </c>
      <c r="B187" s="17" t="inlineStr">
        <is>
          <t>workspaces</t>
        </is>
      </c>
      <c r="C187" s="41">
        <f>C185*Assumptions!$B$141*Assumptions!$B$46*Assumptions!$B$30</f>
        <v/>
      </c>
      <c r="D187" s="41">
        <f>D185*Assumptions!$B$141*Assumptions!$B$46*Assumptions!$B$30</f>
        <v/>
      </c>
      <c r="E187" s="41">
        <f>E185*Assumptions!$B$141*Assumptions!$B$46*Assumptions!$B$30</f>
        <v/>
      </c>
      <c r="F187" s="41">
        <f>F185*Assumptions!$B$141*Assumptions!$B$46*Assumptions!$B$30</f>
        <v/>
      </c>
      <c r="G187" s="41">
        <f>G185*Assumptions!$B$141*Assumptions!$B$46*Assumptions!$B$30</f>
        <v/>
      </c>
      <c r="H187" s="41">
        <f>H185*Assumptions!$B$141*Assumptions!$B$46*Assumptions!$B$30</f>
        <v/>
      </c>
      <c r="I187" s="41">
        <f>I185*Assumptions!$B$141*Assumptions!$B$46*Assumptions!$B$30</f>
        <v/>
      </c>
      <c r="J187" s="41">
        <f>J185*Assumptions!$B$141*Assumptions!$B$46*Assumptions!$B$30</f>
        <v/>
      </c>
      <c r="K187" s="41">
        <f>K185*Assumptions!$B$141*Assumptions!$B$46*Assumptions!$B$30</f>
        <v/>
      </c>
      <c r="L187" s="41">
        <f>L185*Assumptions!$B$141*Assumptions!$B$46*Assumptions!$B$30</f>
        <v/>
      </c>
      <c r="M187" s="41">
        <f>M185*Assumptions!$B$141*Assumptions!$B$46*Assumptions!$B$30</f>
        <v/>
      </c>
      <c r="N187" s="41">
        <f>N185*Assumptions!$B$141*Assumptions!$B$46*Assumptions!$B$30</f>
        <v/>
      </c>
      <c r="O187" s="41">
        <f>O185*Assumptions!$B$141*Assumptions!$B$46*Assumptions!$B$30</f>
        <v/>
      </c>
      <c r="P187" s="41">
        <f>P185*Assumptions!$B$141*Assumptions!$B$46*Assumptions!$B$30</f>
        <v/>
      </c>
      <c r="Q187" s="41">
        <f>Q185*Assumptions!$B$141*Assumptions!$B$46*Assumptions!$B$30</f>
        <v/>
      </c>
      <c r="R187" s="41">
        <f>R185*Assumptions!$B$141*Assumptions!$B$46*Assumptions!$B$30</f>
        <v/>
      </c>
      <c r="S187" s="41">
        <f>S185*Assumptions!$B$141*Assumptions!$B$46*Assumptions!$B$30</f>
        <v/>
      </c>
      <c r="T187" s="41">
        <f>T185*Assumptions!$B$141*Assumptions!$B$46*Assumptions!$B$30</f>
        <v/>
      </c>
      <c r="U187" s="41">
        <f>U185*Assumptions!$B$141*Assumptions!$B$46*Assumptions!$B$30</f>
        <v/>
      </c>
      <c r="V187" s="41">
        <f>V185*Assumptions!$B$141*Assumptions!$B$46*Assumptions!$B$30</f>
        <v/>
      </c>
      <c r="W187" s="41">
        <f>W185*Assumptions!$B$141*Assumptions!$B$46*Assumptions!$B$30</f>
        <v/>
      </c>
      <c r="X187" s="41">
        <f>X185*Assumptions!$B$141*Assumptions!$B$46*Assumptions!$B$30</f>
        <v/>
      </c>
      <c r="Y187" s="41">
        <f>Y185*Assumptions!$B$141*Assumptions!$B$46*Assumptions!$B$30</f>
        <v/>
      </c>
      <c r="Z187" s="41">
        <f>Z185*Assumptions!$B$141*Assumptions!$B$46*Assumptions!$B$30</f>
        <v/>
      </c>
      <c r="AA187" s="41">
        <f>AA185*Assumptions!$B$141*Assumptions!$B$46*Assumptions!$B$30</f>
        <v/>
      </c>
      <c r="AB187" s="41">
        <f>AB185*Assumptions!$B$141*Assumptions!$B$46*Assumptions!$B$30</f>
        <v/>
      </c>
      <c r="AC187" s="41">
        <f>AC185*Assumptions!$B$141*Assumptions!$B$46*Assumptions!$B$30</f>
        <v/>
      </c>
      <c r="AD187" s="41">
        <f>AD185*Assumptions!$B$141*Assumptions!$B$46*Assumptions!$B$30</f>
        <v/>
      </c>
      <c r="AE187" s="41">
        <f>AE185*Assumptions!$B$141*Assumptions!$B$46*Assumptions!$B$30</f>
        <v/>
      </c>
      <c r="AF187" s="41">
        <f>AF185*Assumptions!$B$141*Assumptions!$B$46*Assumptions!$B$30</f>
        <v/>
      </c>
      <c r="AG187" s="41">
        <f>AG185*Assumptions!$B$141*Assumptions!$B$46*Assumptions!$B$30</f>
        <v/>
      </c>
      <c r="AH187" s="41">
        <f>AH185*Assumptions!$B$141*Assumptions!$B$46*Assumptions!$B$30</f>
        <v/>
      </c>
      <c r="AI187" s="41">
        <f>AI185*Assumptions!$B$141*Assumptions!$B$46*Assumptions!$B$30</f>
        <v/>
      </c>
      <c r="AJ187" s="41">
        <f>AJ185*Assumptions!$B$141*Assumptions!$B$46*Assumptions!$B$30</f>
        <v/>
      </c>
      <c r="AK187" s="41">
        <f>AK185*Assumptions!$B$141*Assumptions!$B$46*Assumptions!$B$30</f>
        <v/>
      </c>
      <c r="AL187" s="41">
        <f>AL185*Assumptions!$B$141*Assumptions!$B$46*Assumptions!$B$30</f>
        <v/>
      </c>
      <c r="AM187" s="41">
        <f>AM185*Assumptions!$B$141*Assumptions!$B$46*Assumptions!$B$30</f>
        <v/>
      </c>
      <c r="AN187" s="41">
        <f>AN185*Assumptions!$B$141*Assumptions!$B$46*Assumptions!$B$30</f>
        <v/>
      </c>
      <c r="AO187" s="41">
        <f>AO185*Assumptions!$B$141*Assumptions!$B$46*Assumptions!$B$30</f>
        <v/>
      </c>
      <c r="AP187" s="41">
        <f>AP185*Assumptions!$B$141*Assumptions!$B$46*Assumptions!$B$30</f>
        <v/>
      </c>
      <c r="AQ187" s="41">
        <f>AQ185*Assumptions!$B$141*Assumptions!$B$46*Assumptions!$B$30</f>
        <v/>
      </c>
      <c r="AR187" s="41">
        <f>AR185*Assumptions!$B$141*Assumptions!$B$46*Assumptions!$B$30</f>
        <v/>
      </c>
      <c r="AS187" s="41">
        <f>AS185*Assumptions!$B$141*Assumptions!$B$46*Assumptions!$B$30</f>
        <v/>
      </c>
      <c r="AT187" s="41">
        <f>AT185*Assumptions!$B$141*Assumptions!$B$46*Assumptions!$B$30</f>
        <v/>
      </c>
      <c r="AU187" s="41">
        <f>AU185*Assumptions!$B$141*Assumptions!$B$46*Assumptions!$B$30</f>
        <v/>
      </c>
      <c r="AV187" s="41">
        <f>AV185*Assumptions!$B$141*Assumptions!$B$46*Assumptions!$B$30</f>
        <v/>
      </c>
      <c r="AW187" s="41">
        <f>AW185*Assumptions!$B$141*Assumptions!$B$46*Assumptions!$B$30</f>
        <v/>
      </c>
      <c r="AX187" s="41">
        <f>AX185*Assumptions!$B$141*Assumptions!$B$46*Assumptions!$B$30</f>
        <v/>
      </c>
      <c r="AY187" s="41">
        <f>AY185*Assumptions!$B$141*Assumptions!$B$46*Assumptions!$B$30</f>
        <v/>
      </c>
      <c r="AZ187" s="41">
        <f>AZ185*Assumptions!$B$141*Assumptions!$B$46*Assumptions!$B$30</f>
        <v/>
      </c>
      <c r="BA187" s="41">
        <f>BA185*Assumptions!$B$141*Assumptions!$B$46*Assumptions!$B$30</f>
        <v/>
      </c>
      <c r="BB187" s="41">
        <f>BB185*Assumptions!$B$141*Assumptions!$B$46*Assumptions!$B$30</f>
        <v/>
      </c>
      <c r="BC187" s="41">
        <f>BC185*Assumptions!$B$141*Assumptions!$B$46*Assumptions!$B$30</f>
        <v/>
      </c>
      <c r="BD187" s="41">
        <f>BD185*Assumptions!$B$141*Assumptions!$B$46*Assumptions!$B$30</f>
        <v/>
      </c>
      <c r="BE187" s="41">
        <f>BE185*Assumptions!$B$141*Assumptions!$B$46*Assumptions!$B$30</f>
        <v/>
      </c>
      <c r="BF187" s="41">
        <f>BF185*Assumptions!$B$141*Assumptions!$B$46*Assumptions!$B$30</f>
        <v/>
      </c>
      <c r="BG187" s="41">
        <f>BG185*Assumptions!$B$141*Assumptions!$B$46*Assumptions!$B$30</f>
        <v/>
      </c>
      <c r="BH187" s="41">
        <f>BH185*Assumptions!$B$141*Assumptions!$B$46*Assumptions!$B$30</f>
        <v/>
      </c>
      <c r="BI187" s="41">
        <f>BI185*Assumptions!$B$141*Assumptions!$B$46*Assumptions!$B$30</f>
        <v/>
      </c>
      <c r="BJ187" s="41">
        <f>BJ185*Assumptions!$B$141*Assumptions!$B$46*Assumptions!$B$30</f>
        <v/>
      </c>
    </row>
    <row r="188">
      <c r="A188" s="4" t="inlineStr">
        <is>
          <t>South Africa: SME: Growth (direct or upgraded): upgraded out</t>
        </is>
      </c>
      <c r="B188" s="17" t="inlineStr">
        <is>
          <t>workspaces</t>
        </is>
      </c>
      <c r="C188" s="41">
        <f>C185*Assumptions!$B$133</f>
        <v/>
      </c>
      <c r="D188" s="41">
        <f>D185*Assumptions!$B$133</f>
        <v/>
      </c>
      <c r="E188" s="41">
        <f>E185*Assumptions!$B$133</f>
        <v/>
      </c>
      <c r="F188" s="41">
        <f>F185*Assumptions!$B$133</f>
        <v/>
      </c>
      <c r="G188" s="41">
        <f>G185*Assumptions!$B$133</f>
        <v/>
      </c>
      <c r="H188" s="41">
        <f>H185*Assumptions!$B$133</f>
        <v/>
      </c>
      <c r="I188" s="41">
        <f>I185*Assumptions!$B$133</f>
        <v/>
      </c>
      <c r="J188" s="41">
        <f>J185*Assumptions!$B$133</f>
        <v/>
      </c>
      <c r="K188" s="41">
        <f>K185*Assumptions!$B$133</f>
        <v/>
      </c>
      <c r="L188" s="41">
        <f>L185*Assumptions!$B$133</f>
        <v/>
      </c>
      <c r="M188" s="41">
        <f>M185*Assumptions!$B$133</f>
        <v/>
      </c>
      <c r="N188" s="41">
        <f>N185*Assumptions!$B$133</f>
        <v/>
      </c>
      <c r="O188" s="41">
        <f>O185*Assumptions!$B$133</f>
        <v/>
      </c>
      <c r="P188" s="41">
        <f>P185*Assumptions!$B$133</f>
        <v/>
      </c>
      <c r="Q188" s="41">
        <f>Q185*Assumptions!$B$133</f>
        <v/>
      </c>
      <c r="R188" s="41">
        <f>R185*Assumptions!$B$133</f>
        <v/>
      </c>
      <c r="S188" s="41">
        <f>S185*Assumptions!$B$133</f>
        <v/>
      </c>
      <c r="T188" s="41">
        <f>T185*Assumptions!$B$133</f>
        <v/>
      </c>
      <c r="U188" s="41">
        <f>U185*Assumptions!$B$133</f>
        <v/>
      </c>
      <c r="V188" s="41">
        <f>V185*Assumptions!$B$133</f>
        <v/>
      </c>
      <c r="W188" s="41">
        <f>W185*Assumptions!$B$133</f>
        <v/>
      </c>
      <c r="X188" s="41">
        <f>X185*Assumptions!$B$133</f>
        <v/>
      </c>
      <c r="Y188" s="41">
        <f>Y185*Assumptions!$B$133</f>
        <v/>
      </c>
      <c r="Z188" s="41">
        <f>Z185*Assumptions!$B$133</f>
        <v/>
      </c>
      <c r="AA188" s="41">
        <f>AA185*Assumptions!$B$133</f>
        <v/>
      </c>
      <c r="AB188" s="41">
        <f>AB185*Assumptions!$B$133</f>
        <v/>
      </c>
      <c r="AC188" s="41">
        <f>AC185*Assumptions!$B$133</f>
        <v/>
      </c>
      <c r="AD188" s="41">
        <f>AD185*Assumptions!$B$133</f>
        <v/>
      </c>
      <c r="AE188" s="41">
        <f>AE185*Assumptions!$B$133</f>
        <v/>
      </c>
      <c r="AF188" s="41">
        <f>AF185*Assumptions!$B$133</f>
        <v/>
      </c>
      <c r="AG188" s="41">
        <f>AG185*Assumptions!$B$133</f>
        <v/>
      </c>
      <c r="AH188" s="41">
        <f>AH185*Assumptions!$B$133</f>
        <v/>
      </c>
      <c r="AI188" s="41">
        <f>AI185*Assumptions!$B$133</f>
        <v/>
      </c>
      <c r="AJ188" s="41">
        <f>AJ185*Assumptions!$B$133</f>
        <v/>
      </c>
      <c r="AK188" s="41">
        <f>AK185*Assumptions!$B$133</f>
        <v/>
      </c>
      <c r="AL188" s="41">
        <f>AL185*Assumptions!$B$133</f>
        <v/>
      </c>
      <c r="AM188" s="41">
        <f>AM185*Assumptions!$B$133</f>
        <v/>
      </c>
      <c r="AN188" s="41">
        <f>AN185*Assumptions!$B$133</f>
        <v/>
      </c>
      <c r="AO188" s="41">
        <f>AO185*Assumptions!$B$133</f>
        <v/>
      </c>
      <c r="AP188" s="41">
        <f>AP185*Assumptions!$B$133</f>
        <v/>
      </c>
      <c r="AQ188" s="41">
        <f>AQ185*Assumptions!$B$133</f>
        <v/>
      </c>
      <c r="AR188" s="41">
        <f>AR185*Assumptions!$B$133</f>
        <v/>
      </c>
      <c r="AS188" s="41">
        <f>AS185*Assumptions!$B$133</f>
        <v/>
      </c>
      <c r="AT188" s="41">
        <f>AT185*Assumptions!$B$133</f>
        <v/>
      </c>
      <c r="AU188" s="41">
        <f>AU185*Assumptions!$B$133</f>
        <v/>
      </c>
      <c r="AV188" s="41">
        <f>AV185*Assumptions!$B$133</f>
        <v/>
      </c>
      <c r="AW188" s="41">
        <f>AW185*Assumptions!$B$133</f>
        <v/>
      </c>
      <c r="AX188" s="41">
        <f>AX185*Assumptions!$B$133</f>
        <v/>
      </c>
      <c r="AY188" s="41">
        <f>AY185*Assumptions!$B$133</f>
        <v/>
      </c>
      <c r="AZ188" s="41">
        <f>AZ185*Assumptions!$B$133</f>
        <v/>
      </c>
      <c r="BA188" s="41">
        <f>BA185*Assumptions!$B$133</f>
        <v/>
      </c>
      <c r="BB188" s="41">
        <f>BB185*Assumptions!$B$133</f>
        <v/>
      </c>
      <c r="BC188" s="41">
        <f>BC185*Assumptions!$B$133</f>
        <v/>
      </c>
      <c r="BD188" s="41">
        <f>BD185*Assumptions!$B$133</f>
        <v/>
      </c>
      <c r="BE188" s="41">
        <f>BE185*Assumptions!$B$133</f>
        <v/>
      </c>
      <c r="BF188" s="41">
        <f>BF185*Assumptions!$B$133</f>
        <v/>
      </c>
      <c r="BG188" s="41">
        <f>BG185*Assumptions!$B$133</f>
        <v/>
      </c>
      <c r="BH188" s="41">
        <f>BH185*Assumptions!$B$133</f>
        <v/>
      </c>
      <c r="BI188" s="41">
        <f>BI185*Assumptions!$B$133</f>
        <v/>
      </c>
      <c r="BJ188" s="41">
        <f>BJ185*Assumptions!$B$133</f>
        <v/>
      </c>
    </row>
    <row r="189">
      <c r="A189" s="3" t="inlineStr">
        <is>
          <t>South Africa: SME: Growth (direct or upgraded): closing</t>
        </is>
      </c>
      <c r="B189" s="17" t="inlineStr">
        <is>
          <t>workspaces</t>
        </is>
      </c>
      <c r="C189" s="44">
        <f>C185+C186-C187-C188</f>
        <v/>
      </c>
      <c r="D189" s="44">
        <f>D185+D186-D187-D188</f>
        <v/>
      </c>
      <c r="E189" s="44">
        <f>E185+E186-E187-E188</f>
        <v/>
      </c>
      <c r="F189" s="44">
        <f>F185+F186-F187-F188</f>
        <v/>
      </c>
      <c r="G189" s="44">
        <f>G185+G186-G187-G188</f>
        <v/>
      </c>
      <c r="H189" s="44">
        <f>H185+H186-H187-H188</f>
        <v/>
      </c>
      <c r="I189" s="44">
        <f>I185+I186-I187-I188</f>
        <v/>
      </c>
      <c r="J189" s="44">
        <f>J185+J186-J187-J188</f>
        <v/>
      </c>
      <c r="K189" s="44">
        <f>K185+K186-K187-K188</f>
        <v/>
      </c>
      <c r="L189" s="44">
        <f>L185+L186-L187-L188</f>
        <v/>
      </c>
      <c r="M189" s="44">
        <f>M185+M186-M187-M188</f>
        <v/>
      </c>
      <c r="N189" s="44">
        <f>N185+N186-N187-N188</f>
        <v/>
      </c>
      <c r="O189" s="44">
        <f>O185+O186-O187-O188</f>
        <v/>
      </c>
      <c r="P189" s="44">
        <f>P185+P186-P187-P188</f>
        <v/>
      </c>
      <c r="Q189" s="44">
        <f>Q185+Q186-Q187-Q188</f>
        <v/>
      </c>
      <c r="R189" s="44">
        <f>R185+R186-R187-R188</f>
        <v/>
      </c>
      <c r="S189" s="44">
        <f>S185+S186-S187-S188</f>
        <v/>
      </c>
      <c r="T189" s="44">
        <f>T185+T186-T187-T188</f>
        <v/>
      </c>
      <c r="U189" s="44">
        <f>U185+U186-U187-U188</f>
        <v/>
      </c>
      <c r="V189" s="44">
        <f>V185+V186-V187-V188</f>
        <v/>
      </c>
      <c r="W189" s="44">
        <f>W185+W186-W187-W188</f>
        <v/>
      </c>
      <c r="X189" s="44">
        <f>X185+X186-X187-X188</f>
        <v/>
      </c>
      <c r="Y189" s="44">
        <f>Y185+Y186-Y187-Y188</f>
        <v/>
      </c>
      <c r="Z189" s="44">
        <f>Z185+Z186-Z187-Z188</f>
        <v/>
      </c>
      <c r="AA189" s="44">
        <f>AA185+AA186-AA187-AA188</f>
        <v/>
      </c>
      <c r="AB189" s="44">
        <f>AB185+AB186-AB187-AB188</f>
        <v/>
      </c>
      <c r="AC189" s="44">
        <f>AC185+AC186-AC187-AC188</f>
        <v/>
      </c>
      <c r="AD189" s="44">
        <f>AD185+AD186-AD187-AD188</f>
        <v/>
      </c>
      <c r="AE189" s="44">
        <f>AE185+AE186-AE187-AE188</f>
        <v/>
      </c>
      <c r="AF189" s="44">
        <f>AF185+AF186-AF187-AF188</f>
        <v/>
      </c>
      <c r="AG189" s="44">
        <f>AG185+AG186-AG187-AG188</f>
        <v/>
      </c>
      <c r="AH189" s="44">
        <f>AH185+AH186-AH187-AH188</f>
        <v/>
      </c>
      <c r="AI189" s="44">
        <f>AI185+AI186-AI187-AI188</f>
        <v/>
      </c>
      <c r="AJ189" s="44">
        <f>AJ185+AJ186-AJ187-AJ188</f>
        <v/>
      </c>
      <c r="AK189" s="44">
        <f>AK185+AK186-AK187-AK188</f>
        <v/>
      </c>
      <c r="AL189" s="44">
        <f>AL185+AL186-AL187-AL188</f>
        <v/>
      </c>
      <c r="AM189" s="44">
        <f>AM185+AM186-AM187-AM188</f>
        <v/>
      </c>
      <c r="AN189" s="44">
        <f>AN185+AN186-AN187-AN188</f>
        <v/>
      </c>
      <c r="AO189" s="44">
        <f>AO185+AO186-AO187-AO188</f>
        <v/>
      </c>
      <c r="AP189" s="44">
        <f>AP185+AP186-AP187-AP188</f>
        <v/>
      </c>
      <c r="AQ189" s="44">
        <f>AQ185+AQ186-AQ187-AQ188</f>
        <v/>
      </c>
      <c r="AR189" s="44">
        <f>AR185+AR186-AR187-AR188</f>
        <v/>
      </c>
      <c r="AS189" s="44">
        <f>AS185+AS186-AS187-AS188</f>
        <v/>
      </c>
      <c r="AT189" s="44">
        <f>AT185+AT186-AT187-AT188</f>
        <v/>
      </c>
      <c r="AU189" s="44">
        <f>AU185+AU186-AU187-AU188</f>
        <v/>
      </c>
      <c r="AV189" s="44">
        <f>AV185+AV186-AV187-AV188</f>
        <v/>
      </c>
      <c r="AW189" s="44">
        <f>AW185+AW186-AW187-AW188</f>
        <v/>
      </c>
      <c r="AX189" s="44">
        <f>AX185+AX186-AX187-AX188</f>
        <v/>
      </c>
      <c r="AY189" s="44">
        <f>AY185+AY186-AY187-AY188</f>
        <v/>
      </c>
      <c r="AZ189" s="44">
        <f>AZ185+AZ186-AZ187-AZ188</f>
        <v/>
      </c>
      <c r="BA189" s="44">
        <f>BA185+BA186-BA187-BA188</f>
        <v/>
      </c>
      <c r="BB189" s="44">
        <f>BB185+BB186-BB187-BB188</f>
        <v/>
      </c>
      <c r="BC189" s="44">
        <f>BC185+BC186-BC187-BC188</f>
        <v/>
      </c>
      <c r="BD189" s="44">
        <f>BD185+BD186-BD187-BD188</f>
        <v/>
      </c>
      <c r="BE189" s="44">
        <f>BE185+BE186-BE187-BE188</f>
        <v/>
      </c>
      <c r="BF189" s="44">
        <f>BF185+BF186-BF187-BF188</f>
        <v/>
      </c>
      <c r="BG189" s="44">
        <f>BG185+BG186-BG187-BG188</f>
        <v/>
      </c>
      <c r="BH189" s="44">
        <f>BH185+BH186-BH187-BH188</f>
        <v/>
      </c>
      <c r="BI189" s="44">
        <f>BI185+BI186-BI187-BI188</f>
        <v/>
      </c>
      <c r="BJ189" s="44">
        <f>BJ185+BJ186-BJ187-BJ188</f>
        <v/>
      </c>
    </row>
    <row r="190">
      <c r="A190" s="4" t="inlineStr">
        <is>
          <t>South Africa: SME: Scale (direct or upgraded): opening</t>
        </is>
      </c>
      <c r="B190" s="17" t="inlineStr">
        <is>
          <t>workspaces</t>
        </is>
      </c>
      <c r="C190" s="41">
        <f>0</f>
        <v/>
      </c>
      <c r="D190" s="41">
        <f>C193</f>
        <v/>
      </c>
      <c r="E190" s="41">
        <f>D193</f>
        <v/>
      </c>
      <c r="F190" s="41">
        <f>E193</f>
        <v/>
      </c>
      <c r="G190" s="41">
        <f>F193</f>
        <v/>
      </c>
      <c r="H190" s="41">
        <f>G193</f>
        <v/>
      </c>
      <c r="I190" s="41">
        <f>H193</f>
        <v/>
      </c>
      <c r="J190" s="41">
        <f>I193</f>
        <v/>
      </c>
      <c r="K190" s="41">
        <f>J193</f>
        <v/>
      </c>
      <c r="L190" s="41">
        <f>K193</f>
        <v/>
      </c>
      <c r="M190" s="41">
        <f>L193</f>
        <v/>
      </c>
      <c r="N190" s="41">
        <f>M193</f>
        <v/>
      </c>
      <c r="O190" s="41">
        <f>N193</f>
        <v/>
      </c>
      <c r="P190" s="41">
        <f>O193</f>
        <v/>
      </c>
      <c r="Q190" s="41">
        <f>P193</f>
        <v/>
      </c>
      <c r="R190" s="41">
        <f>Q193</f>
        <v/>
      </c>
      <c r="S190" s="41">
        <f>R193</f>
        <v/>
      </c>
      <c r="T190" s="41">
        <f>S193</f>
        <v/>
      </c>
      <c r="U190" s="41">
        <f>T193</f>
        <v/>
      </c>
      <c r="V190" s="41">
        <f>U193</f>
        <v/>
      </c>
      <c r="W190" s="41">
        <f>V193</f>
        <v/>
      </c>
      <c r="X190" s="41">
        <f>W193</f>
        <v/>
      </c>
      <c r="Y190" s="41">
        <f>X193</f>
        <v/>
      </c>
      <c r="Z190" s="41">
        <f>Y193</f>
        <v/>
      </c>
      <c r="AA190" s="41">
        <f>Z193</f>
        <v/>
      </c>
      <c r="AB190" s="41">
        <f>AA193</f>
        <v/>
      </c>
      <c r="AC190" s="41">
        <f>AB193</f>
        <v/>
      </c>
      <c r="AD190" s="41">
        <f>AC193</f>
        <v/>
      </c>
      <c r="AE190" s="41">
        <f>AD193</f>
        <v/>
      </c>
      <c r="AF190" s="41">
        <f>AE193</f>
        <v/>
      </c>
      <c r="AG190" s="41">
        <f>AF193</f>
        <v/>
      </c>
      <c r="AH190" s="41">
        <f>AG193</f>
        <v/>
      </c>
      <c r="AI190" s="41">
        <f>AH193</f>
        <v/>
      </c>
      <c r="AJ190" s="41">
        <f>AI193</f>
        <v/>
      </c>
      <c r="AK190" s="41">
        <f>AJ193</f>
        <v/>
      </c>
      <c r="AL190" s="41">
        <f>AK193</f>
        <v/>
      </c>
      <c r="AM190" s="41">
        <f>AL193</f>
        <v/>
      </c>
      <c r="AN190" s="41">
        <f>AM193</f>
        <v/>
      </c>
      <c r="AO190" s="41">
        <f>AN193</f>
        <v/>
      </c>
      <c r="AP190" s="41">
        <f>AO193</f>
        <v/>
      </c>
      <c r="AQ190" s="41">
        <f>AP193</f>
        <v/>
      </c>
      <c r="AR190" s="41">
        <f>AQ193</f>
        <v/>
      </c>
      <c r="AS190" s="41">
        <f>AR193</f>
        <v/>
      </c>
      <c r="AT190" s="41">
        <f>AS193</f>
        <v/>
      </c>
      <c r="AU190" s="41">
        <f>AT193</f>
        <v/>
      </c>
      <c r="AV190" s="41">
        <f>AU193</f>
        <v/>
      </c>
      <c r="AW190" s="41">
        <f>AV193</f>
        <v/>
      </c>
      <c r="AX190" s="41">
        <f>AW193</f>
        <v/>
      </c>
      <c r="AY190" s="41">
        <f>AX193</f>
        <v/>
      </c>
      <c r="AZ190" s="41">
        <f>AY193</f>
        <v/>
      </c>
      <c r="BA190" s="41">
        <f>AZ193</f>
        <v/>
      </c>
      <c r="BB190" s="41">
        <f>BA193</f>
        <v/>
      </c>
      <c r="BC190" s="41">
        <f>BB193</f>
        <v/>
      </c>
      <c r="BD190" s="41">
        <f>BC193</f>
        <v/>
      </c>
      <c r="BE190" s="41">
        <f>BD193</f>
        <v/>
      </c>
      <c r="BF190" s="41">
        <f>BE193</f>
        <v/>
      </c>
      <c r="BG190" s="41">
        <f>BF193</f>
        <v/>
      </c>
      <c r="BH190" s="41">
        <f>BG193</f>
        <v/>
      </c>
      <c r="BI190" s="41">
        <f>BH193</f>
        <v/>
      </c>
      <c r="BJ190" s="41">
        <f>BI193</f>
        <v/>
      </c>
    </row>
    <row r="191">
      <c r="A191" s="4" t="inlineStr">
        <is>
          <t>South Africa: SME: Scale (direct or upgraded): new</t>
        </is>
      </c>
      <c r="B191" s="17" t="inlineStr">
        <is>
          <t>workspaces</t>
        </is>
      </c>
      <c r="C191" s="41">
        <f>C147*Assumptions!$B$129+C188</f>
        <v/>
      </c>
      <c r="D191" s="41">
        <f>D147*Assumptions!$B$129+D188</f>
        <v/>
      </c>
      <c r="E191" s="41">
        <f>E147*Assumptions!$B$129+E188</f>
        <v/>
      </c>
      <c r="F191" s="41">
        <f>F147*Assumptions!$B$129+F188</f>
        <v/>
      </c>
      <c r="G191" s="41">
        <f>G147*Assumptions!$B$129+G188</f>
        <v/>
      </c>
      <c r="H191" s="41">
        <f>H147*Assumptions!$B$129+H188</f>
        <v/>
      </c>
      <c r="I191" s="41">
        <f>I147*Assumptions!$B$129+I188</f>
        <v/>
      </c>
      <c r="J191" s="41">
        <f>J147*Assumptions!$B$129+J188</f>
        <v/>
      </c>
      <c r="K191" s="41">
        <f>K147*Assumptions!$B$129+K188</f>
        <v/>
      </c>
      <c r="L191" s="41">
        <f>L147*Assumptions!$B$129+L188</f>
        <v/>
      </c>
      <c r="M191" s="41">
        <f>M147*Assumptions!$B$129+M188</f>
        <v/>
      </c>
      <c r="N191" s="41">
        <f>N147*Assumptions!$B$129+N188</f>
        <v/>
      </c>
      <c r="O191" s="41">
        <f>O147*Assumptions!$B$129+O188</f>
        <v/>
      </c>
      <c r="P191" s="41">
        <f>P147*Assumptions!$B$129+P188</f>
        <v/>
      </c>
      <c r="Q191" s="41">
        <f>Q147*Assumptions!$B$129+Q188</f>
        <v/>
      </c>
      <c r="R191" s="41">
        <f>R147*Assumptions!$B$129+R188</f>
        <v/>
      </c>
      <c r="S191" s="41">
        <f>S147*Assumptions!$B$129+S188</f>
        <v/>
      </c>
      <c r="T191" s="41">
        <f>T147*Assumptions!$B$129+T188</f>
        <v/>
      </c>
      <c r="U191" s="41">
        <f>U147*Assumptions!$B$129+U188</f>
        <v/>
      </c>
      <c r="V191" s="41">
        <f>V147*Assumptions!$B$129+V188</f>
        <v/>
      </c>
      <c r="W191" s="41">
        <f>W147*Assumptions!$B$129+W188</f>
        <v/>
      </c>
      <c r="X191" s="41">
        <f>X147*Assumptions!$B$129+X188</f>
        <v/>
      </c>
      <c r="Y191" s="41">
        <f>Y147*Assumptions!$B$129+Y188</f>
        <v/>
      </c>
      <c r="Z191" s="41">
        <f>Z147*Assumptions!$B$129+Z188</f>
        <v/>
      </c>
      <c r="AA191" s="41">
        <f>AA147*Assumptions!$B$129+AA188</f>
        <v/>
      </c>
      <c r="AB191" s="41">
        <f>AB147*Assumptions!$B$129+AB188</f>
        <v/>
      </c>
      <c r="AC191" s="41">
        <f>AC147*Assumptions!$B$129+AC188</f>
        <v/>
      </c>
      <c r="AD191" s="41">
        <f>AD147*Assumptions!$B$129+AD188</f>
        <v/>
      </c>
      <c r="AE191" s="41">
        <f>AE147*Assumptions!$B$129+AE188</f>
        <v/>
      </c>
      <c r="AF191" s="41">
        <f>AF147*Assumptions!$B$129+AF188</f>
        <v/>
      </c>
      <c r="AG191" s="41">
        <f>AG147*Assumptions!$B$129+AG188</f>
        <v/>
      </c>
      <c r="AH191" s="41">
        <f>AH147*Assumptions!$B$129+AH188</f>
        <v/>
      </c>
      <c r="AI191" s="41">
        <f>AI147*Assumptions!$B$129+AI188</f>
        <v/>
      </c>
      <c r="AJ191" s="41">
        <f>AJ147*Assumptions!$B$129+AJ188</f>
        <v/>
      </c>
      <c r="AK191" s="41">
        <f>AK147*Assumptions!$B$129+AK188</f>
        <v/>
      </c>
      <c r="AL191" s="41">
        <f>AL147*Assumptions!$B$129+AL188</f>
        <v/>
      </c>
      <c r="AM191" s="41">
        <f>AM147*Assumptions!$B$129+AM188</f>
        <v/>
      </c>
      <c r="AN191" s="41">
        <f>AN147*Assumptions!$B$129+AN188</f>
        <v/>
      </c>
      <c r="AO191" s="41">
        <f>AO147*Assumptions!$B$129+AO188</f>
        <v/>
      </c>
      <c r="AP191" s="41">
        <f>AP147*Assumptions!$B$129+AP188</f>
        <v/>
      </c>
      <c r="AQ191" s="41">
        <f>AQ147*Assumptions!$B$129+AQ188</f>
        <v/>
      </c>
      <c r="AR191" s="41">
        <f>AR147*Assumptions!$B$129+AR188</f>
        <v/>
      </c>
      <c r="AS191" s="41">
        <f>AS147*Assumptions!$B$129+AS188</f>
        <v/>
      </c>
      <c r="AT191" s="41">
        <f>AT147*Assumptions!$B$129+AT188</f>
        <v/>
      </c>
      <c r="AU191" s="41">
        <f>AU147*Assumptions!$B$129+AU188</f>
        <v/>
      </c>
      <c r="AV191" s="41">
        <f>AV147*Assumptions!$B$129+AV188</f>
        <v/>
      </c>
      <c r="AW191" s="41">
        <f>AW147*Assumptions!$B$129+AW188</f>
        <v/>
      </c>
      <c r="AX191" s="41">
        <f>AX147*Assumptions!$B$129+AX188</f>
        <v/>
      </c>
      <c r="AY191" s="41">
        <f>AY147*Assumptions!$B$129+AY188</f>
        <v/>
      </c>
      <c r="AZ191" s="41">
        <f>AZ147*Assumptions!$B$129+AZ188</f>
        <v/>
      </c>
      <c r="BA191" s="41">
        <f>BA147*Assumptions!$B$129+BA188</f>
        <v/>
      </c>
      <c r="BB191" s="41">
        <f>BB147*Assumptions!$B$129+BB188</f>
        <v/>
      </c>
      <c r="BC191" s="41">
        <f>BC147*Assumptions!$B$129+BC188</f>
        <v/>
      </c>
      <c r="BD191" s="41">
        <f>BD147*Assumptions!$B$129+BD188</f>
        <v/>
      </c>
      <c r="BE191" s="41">
        <f>BE147*Assumptions!$B$129+BE188</f>
        <v/>
      </c>
      <c r="BF191" s="41">
        <f>BF147*Assumptions!$B$129+BF188</f>
        <v/>
      </c>
      <c r="BG191" s="41">
        <f>BG147*Assumptions!$B$129+BG188</f>
        <v/>
      </c>
      <c r="BH191" s="41">
        <f>BH147*Assumptions!$B$129+BH188</f>
        <v/>
      </c>
      <c r="BI191" s="41">
        <f>BI147*Assumptions!$B$129+BI188</f>
        <v/>
      </c>
      <c r="BJ191" s="41">
        <f>BJ147*Assumptions!$B$129+BJ188</f>
        <v/>
      </c>
    </row>
    <row r="192">
      <c r="A192" s="4" t="inlineStr">
        <is>
          <t>South Africa: SME: Scale (direct or upgraded): churned</t>
        </is>
      </c>
      <c r="B192" s="17" t="inlineStr">
        <is>
          <t>workspaces</t>
        </is>
      </c>
      <c r="C192" s="41">
        <f>C190*Assumptions!$B$142*Assumptions!$B$46*Assumptions!$B$30</f>
        <v/>
      </c>
      <c r="D192" s="41">
        <f>D190*Assumptions!$B$142*Assumptions!$B$46*Assumptions!$B$30</f>
        <v/>
      </c>
      <c r="E192" s="41">
        <f>E190*Assumptions!$B$142*Assumptions!$B$46*Assumptions!$B$30</f>
        <v/>
      </c>
      <c r="F192" s="41">
        <f>F190*Assumptions!$B$142*Assumptions!$B$46*Assumptions!$B$30</f>
        <v/>
      </c>
      <c r="G192" s="41">
        <f>G190*Assumptions!$B$142*Assumptions!$B$46*Assumptions!$B$30</f>
        <v/>
      </c>
      <c r="H192" s="41">
        <f>H190*Assumptions!$B$142*Assumptions!$B$46*Assumptions!$B$30</f>
        <v/>
      </c>
      <c r="I192" s="41">
        <f>I190*Assumptions!$B$142*Assumptions!$B$46*Assumptions!$B$30</f>
        <v/>
      </c>
      <c r="J192" s="41">
        <f>J190*Assumptions!$B$142*Assumptions!$B$46*Assumptions!$B$30</f>
        <v/>
      </c>
      <c r="K192" s="41">
        <f>K190*Assumptions!$B$142*Assumptions!$B$46*Assumptions!$B$30</f>
        <v/>
      </c>
      <c r="L192" s="41">
        <f>L190*Assumptions!$B$142*Assumptions!$B$46*Assumptions!$B$30</f>
        <v/>
      </c>
      <c r="M192" s="41">
        <f>M190*Assumptions!$B$142*Assumptions!$B$46*Assumptions!$B$30</f>
        <v/>
      </c>
      <c r="N192" s="41">
        <f>N190*Assumptions!$B$142*Assumptions!$B$46*Assumptions!$B$30</f>
        <v/>
      </c>
      <c r="O192" s="41">
        <f>O190*Assumptions!$B$142*Assumptions!$B$46*Assumptions!$B$30</f>
        <v/>
      </c>
      <c r="P192" s="41">
        <f>P190*Assumptions!$B$142*Assumptions!$B$46*Assumptions!$B$30</f>
        <v/>
      </c>
      <c r="Q192" s="41">
        <f>Q190*Assumptions!$B$142*Assumptions!$B$46*Assumptions!$B$30</f>
        <v/>
      </c>
      <c r="R192" s="41">
        <f>R190*Assumptions!$B$142*Assumptions!$B$46*Assumptions!$B$30</f>
        <v/>
      </c>
      <c r="S192" s="41">
        <f>S190*Assumptions!$B$142*Assumptions!$B$46*Assumptions!$B$30</f>
        <v/>
      </c>
      <c r="T192" s="41">
        <f>T190*Assumptions!$B$142*Assumptions!$B$46*Assumptions!$B$30</f>
        <v/>
      </c>
      <c r="U192" s="41">
        <f>U190*Assumptions!$B$142*Assumptions!$B$46*Assumptions!$B$30</f>
        <v/>
      </c>
      <c r="V192" s="41">
        <f>V190*Assumptions!$B$142*Assumptions!$B$46*Assumptions!$B$30</f>
        <v/>
      </c>
      <c r="W192" s="41">
        <f>W190*Assumptions!$B$142*Assumptions!$B$46*Assumptions!$B$30</f>
        <v/>
      </c>
      <c r="X192" s="41">
        <f>X190*Assumptions!$B$142*Assumptions!$B$46*Assumptions!$B$30</f>
        <v/>
      </c>
      <c r="Y192" s="41">
        <f>Y190*Assumptions!$B$142*Assumptions!$B$46*Assumptions!$B$30</f>
        <v/>
      </c>
      <c r="Z192" s="41">
        <f>Z190*Assumptions!$B$142*Assumptions!$B$46*Assumptions!$B$30</f>
        <v/>
      </c>
      <c r="AA192" s="41">
        <f>AA190*Assumptions!$B$142*Assumptions!$B$46*Assumptions!$B$30</f>
        <v/>
      </c>
      <c r="AB192" s="41">
        <f>AB190*Assumptions!$B$142*Assumptions!$B$46*Assumptions!$B$30</f>
        <v/>
      </c>
      <c r="AC192" s="41">
        <f>AC190*Assumptions!$B$142*Assumptions!$B$46*Assumptions!$B$30</f>
        <v/>
      </c>
      <c r="AD192" s="41">
        <f>AD190*Assumptions!$B$142*Assumptions!$B$46*Assumptions!$B$30</f>
        <v/>
      </c>
      <c r="AE192" s="41">
        <f>AE190*Assumptions!$B$142*Assumptions!$B$46*Assumptions!$B$30</f>
        <v/>
      </c>
      <c r="AF192" s="41">
        <f>AF190*Assumptions!$B$142*Assumptions!$B$46*Assumptions!$B$30</f>
        <v/>
      </c>
      <c r="AG192" s="41">
        <f>AG190*Assumptions!$B$142*Assumptions!$B$46*Assumptions!$B$30</f>
        <v/>
      </c>
      <c r="AH192" s="41">
        <f>AH190*Assumptions!$B$142*Assumptions!$B$46*Assumptions!$B$30</f>
        <v/>
      </c>
      <c r="AI192" s="41">
        <f>AI190*Assumptions!$B$142*Assumptions!$B$46*Assumptions!$B$30</f>
        <v/>
      </c>
      <c r="AJ192" s="41">
        <f>AJ190*Assumptions!$B$142*Assumptions!$B$46*Assumptions!$B$30</f>
        <v/>
      </c>
      <c r="AK192" s="41">
        <f>AK190*Assumptions!$B$142*Assumptions!$B$46*Assumptions!$B$30</f>
        <v/>
      </c>
      <c r="AL192" s="41">
        <f>AL190*Assumptions!$B$142*Assumptions!$B$46*Assumptions!$B$30</f>
        <v/>
      </c>
      <c r="AM192" s="41">
        <f>AM190*Assumptions!$B$142*Assumptions!$B$46*Assumptions!$B$30</f>
        <v/>
      </c>
      <c r="AN192" s="41">
        <f>AN190*Assumptions!$B$142*Assumptions!$B$46*Assumptions!$B$30</f>
        <v/>
      </c>
      <c r="AO192" s="41">
        <f>AO190*Assumptions!$B$142*Assumptions!$B$46*Assumptions!$B$30</f>
        <v/>
      </c>
      <c r="AP192" s="41">
        <f>AP190*Assumptions!$B$142*Assumptions!$B$46*Assumptions!$B$30</f>
        <v/>
      </c>
      <c r="AQ192" s="41">
        <f>AQ190*Assumptions!$B$142*Assumptions!$B$46*Assumptions!$B$30</f>
        <v/>
      </c>
      <c r="AR192" s="41">
        <f>AR190*Assumptions!$B$142*Assumptions!$B$46*Assumptions!$B$30</f>
        <v/>
      </c>
      <c r="AS192" s="41">
        <f>AS190*Assumptions!$B$142*Assumptions!$B$46*Assumptions!$B$30</f>
        <v/>
      </c>
      <c r="AT192" s="41">
        <f>AT190*Assumptions!$B$142*Assumptions!$B$46*Assumptions!$B$30</f>
        <v/>
      </c>
      <c r="AU192" s="41">
        <f>AU190*Assumptions!$B$142*Assumptions!$B$46*Assumptions!$B$30</f>
        <v/>
      </c>
      <c r="AV192" s="41">
        <f>AV190*Assumptions!$B$142*Assumptions!$B$46*Assumptions!$B$30</f>
        <v/>
      </c>
      <c r="AW192" s="41">
        <f>AW190*Assumptions!$B$142*Assumptions!$B$46*Assumptions!$B$30</f>
        <v/>
      </c>
      <c r="AX192" s="41">
        <f>AX190*Assumptions!$B$142*Assumptions!$B$46*Assumptions!$B$30</f>
        <v/>
      </c>
      <c r="AY192" s="41">
        <f>AY190*Assumptions!$B$142*Assumptions!$B$46*Assumptions!$B$30</f>
        <v/>
      </c>
      <c r="AZ192" s="41">
        <f>AZ190*Assumptions!$B$142*Assumptions!$B$46*Assumptions!$B$30</f>
        <v/>
      </c>
      <c r="BA192" s="41">
        <f>BA190*Assumptions!$B$142*Assumptions!$B$46*Assumptions!$B$30</f>
        <v/>
      </c>
      <c r="BB192" s="41">
        <f>BB190*Assumptions!$B$142*Assumptions!$B$46*Assumptions!$B$30</f>
        <v/>
      </c>
      <c r="BC192" s="41">
        <f>BC190*Assumptions!$B$142*Assumptions!$B$46*Assumptions!$B$30</f>
        <v/>
      </c>
      <c r="BD192" s="41">
        <f>BD190*Assumptions!$B$142*Assumptions!$B$46*Assumptions!$B$30</f>
        <v/>
      </c>
      <c r="BE192" s="41">
        <f>BE190*Assumptions!$B$142*Assumptions!$B$46*Assumptions!$B$30</f>
        <v/>
      </c>
      <c r="BF192" s="41">
        <f>BF190*Assumptions!$B$142*Assumptions!$B$46*Assumptions!$B$30</f>
        <v/>
      </c>
      <c r="BG192" s="41">
        <f>BG190*Assumptions!$B$142*Assumptions!$B$46*Assumptions!$B$30</f>
        <v/>
      </c>
      <c r="BH192" s="41">
        <f>BH190*Assumptions!$B$142*Assumptions!$B$46*Assumptions!$B$30</f>
        <v/>
      </c>
      <c r="BI192" s="41">
        <f>BI190*Assumptions!$B$142*Assumptions!$B$46*Assumptions!$B$30</f>
        <v/>
      </c>
      <c r="BJ192" s="41">
        <f>BJ190*Assumptions!$B$142*Assumptions!$B$46*Assumptions!$B$30</f>
        <v/>
      </c>
    </row>
    <row r="193">
      <c r="A193" s="3" t="inlineStr">
        <is>
          <t>South Africa: SME: Scale (direct or upgraded): closing</t>
        </is>
      </c>
      <c r="B193" s="17" t="inlineStr">
        <is>
          <t>workspaces</t>
        </is>
      </c>
      <c r="C193" s="44">
        <f>C190+C191-C192</f>
        <v/>
      </c>
      <c r="D193" s="44">
        <f>D190+D191-D192</f>
        <v/>
      </c>
      <c r="E193" s="44">
        <f>E190+E191-E192</f>
        <v/>
      </c>
      <c r="F193" s="44">
        <f>F190+F191-F192</f>
        <v/>
      </c>
      <c r="G193" s="44">
        <f>G190+G191-G192</f>
        <v/>
      </c>
      <c r="H193" s="44">
        <f>H190+H191-H192</f>
        <v/>
      </c>
      <c r="I193" s="44">
        <f>I190+I191-I192</f>
        <v/>
      </c>
      <c r="J193" s="44">
        <f>J190+J191-J192</f>
        <v/>
      </c>
      <c r="K193" s="44">
        <f>K190+K191-K192</f>
        <v/>
      </c>
      <c r="L193" s="44">
        <f>L190+L191-L192</f>
        <v/>
      </c>
      <c r="M193" s="44">
        <f>M190+M191-M192</f>
        <v/>
      </c>
      <c r="N193" s="44">
        <f>N190+N191-N192</f>
        <v/>
      </c>
      <c r="O193" s="44">
        <f>O190+O191-O192</f>
        <v/>
      </c>
      <c r="P193" s="44">
        <f>P190+P191-P192</f>
        <v/>
      </c>
      <c r="Q193" s="44">
        <f>Q190+Q191-Q192</f>
        <v/>
      </c>
      <c r="R193" s="44">
        <f>R190+R191-R192</f>
        <v/>
      </c>
      <c r="S193" s="44">
        <f>S190+S191-S192</f>
        <v/>
      </c>
      <c r="T193" s="44">
        <f>T190+T191-T192</f>
        <v/>
      </c>
      <c r="U193" s="44">
        <f>U190+U191-U192</f>
        <v/>
      </c>
      <c r="V193" s="44">
        <f>V190+V191-V192</f>
        <v/>
      </c>
      <c r="W193" s="44">
        <f>W190+W191-W192</f>
        <v/>
      </c>
      <c r="X193" s="44">
        <f>X190+X191-X192</f>
        <v/>
      </c>
      <c r="Y193" s="44">
        <f>Y190+Y191-Y192</f>
        <v/>
      </c>
      <c r="Z193" s="44">
        <f>Z190+Z191-Z192</f>
        <v/>
      </c>
      <c r="AA193" s="44">
        <f>AA190+AA191-AA192</f>
        <v/>
      </c>
      <c r="AB193" s="44">
        <f>AB190+AB191-AB192</f>
        <v/>
      </c>
      <c r="AC193" s="44">
        <f>AC190+AC191-AC192</f>
        <v/>
      </c>
      <c r="AD193" s="44">
        <f>AD190+AD191-AD192</f>
        <v/>
      </c>
      <c r="AE193" s="44">
        <f>AE190+AE191-AE192</f>
        <v/>
      </c>
      <c r="AF193" s="44">
        <f>AF190+AF191-AF192</f>
        <v/>
      </c>
      <c r="AG193" s="44">
        <f>AG190+AG191-AG192</f>
        <v/>
      </c>
      <c r="AH193" s="44">
        <f>AH190+AH191-AH192</f>
        <v/>
      </c>
      <c r="AI193" s="44">
        <f>AI190+AI191-AI192</f>
        <v/>
      </c>
      <c r="AJ193" s="44">
        <f>AJ190+AJ191-AJ192</f>
        <v/>
      </c>
      <c r="AK193" s="44">
        <f>AK190+AK191-AK192</f>
        <v/>
      </c>
      <c r="AL193" s="44">
        <f>AL190+AL191-AL192</f>
        <v/>
      </c>
      <c r="AM193" s="44">
        <f>AM190+AM191-AM192</f>
        <v/>
      </c>
      <c r="AN193" s="44">
        <f>AN190+AN191-AN192</f>
        <v/>
      </c>
      <c r="AO193" s="44">
        <f>AO190+AO191-AO192</f>
        <v/>
      </c>
      <c r="AP193" s="44">
        <f>AP190+AP191-AP192</f>
        <v/>
      </c>
      <c r="AQ193" s="44">
        <f>AQ190+AQ191-AQ192</f>
        <v/>
      </c>
      <c r="AR193" s="44">
        <f>AR190+AR191-AR192</f>
        <v/>
      </c>
      <c r="AS193" s="44">
        <f>AS190+AS191-AS192</f>
        <v/>
      </c>
      <c r="AT193" s="44">
        <f>AT190+AT191-AT192</f>
        <v/>
      </c>
      <c r="AU193" s="44">
        <f>AU190+AU191-AU192</f>
        <v/>
      </c>
      <c r="AV193" s="44">
        <f>AV190+AV191-AV192</f>
        <v/>
      </c>
      <c r="AW193" s="44">
        <f>AW190+AW191-AW192</f>
        <v/>
      </c>
      <c r="AX193" s="44">
        <f>AX190+AX191-AX192</f>
        <v/>
      </c>
      <c r="AY193" s="44">
        <f>AY190+AY191-AY192</f>
        <v/>
      </c>
      <c r="AZ193" s="44">
        <f>AZ190+AZ191-AZ192</f>
        <v/>
      </c>
      <c r="BA193" s="44">
        <f>BA190+BA191-BA192</f>
        <v/>
      </c>
      <c r="BB193" s="44">
        <f>BB190+BB191-BB192</f>
        <v/>
      </c>
      <c r="BC193" s="44">
        <f>BC190+BC191-BC192</f>
        <v/>
      </c>
      <c r="BD193" s="44">
        <f>BD190+BD191-BD192</f>
        <v/>
      </c>
      <c r="BE193" s="44">
        <f>BE190+BE191-BE192</f>
        <v/>
      </c>
      <c r="BF193" s="44">
        <f>BF190+BF191-BF192</f>
        <v/>
      </c>
      <c r="BG193" s="44">
        <f>BG190+BG191-BG192</f>
        <v/>
      </c>
      <c r="BH193" s="44">
        <f>BH190+BH191-BH192</f>
        <v/>
      </c>
      <c r="BI193" s="44">
        <f>BI190+BI191-BI192</f>
        <v/>
      </c>
      <c r="BJ193" s="44">
        <f>BJ190+BJ191-BJ192</f>
        <v/>
      </c>
    </row>
    <row r="194">
      <c r="A194" s="4" t="inlineStr">
        <is>
          <t>South Africa: Agency / partner: Agency tier: opening</t>
        </is>
      </c>
      <c r="B194" s="17" t="inlineStr">
        <is>
          <t>workspaces</t>
        </is>
      </c>
      <c r="C194" s="41">
        <f>0</f>
        <v/>
      </c>
      <c r="D194" s="41">
        <f>C197</f>
        <v/>
      </c>
      <c r="E194" s="41">
        <f>D197</f>
        <v/>
      </c>
      <c r="F194" s="41">
        <f>E197</f>
        <v/>
      </c>
      <c r="G194" s="41">
        <f>F197</f>
        <v/>
      </c>
      <c r="H194" s="41">
        <f>G197</f>
        <v/>
      </c>
      <c r="I194" s="41">
        <f>H197</f>
        <v/>
      </c>
      <c r="J194" s="41">
        <f>I197</f>
        <v/>
      </c>
      <c r="K194" s="41">
        <f>J197</f>
        <v/>
      </c>
      <c r="L194" s="41">
        <f>K197</f>
        <v/>
      </c>
      <c r="M194" s="41">
        <f>L197</f>
        <v/>
      </c>
      <c r="N194" s="41">
        <f>M197</f>
        <v/>
      </c>
      <c r="O194" s="41">
        <f>N197</f>
        <v/>
      </c>
      <c r="P194" s="41">
        <f>O197</f>
        <v/>
      </c>
      <c r="Q194" s="41">
        <f>P197</f>
        <v/>
      </c>
      <c r="R194" s="41">
        <f>Q197</f>
        <v/>
      </c>
      <c r="S194" s="41">
        <f>R197</f>
        <v/>
      </c>
      <c r="T194" s="41">
        <f>S197</f>
        <v/>
      </c>
      <c r="U194" s="41">
        <f>T197</f>
        <v/>
      </c>
      <c r="V194" s="41">
        <f>U197</f>
        <v/>
      </c>
      <c r="W194" s="41">
        <f>V197</f>
        <v/>
      </c>
      <c r="X194" s="41">
        <f>W197</f>
        <v/>
      </c>
      <c r="Y194" s="41">
        <f>X197</f>
        <v/>
      </c>
      <c r="Z194" s="41">
        <f>Y197</f>
        <v/>
      </c>
      <c r="AA194" s="41">
        <f>Z197</f>
        <v/>
      </c>
      <c r="AB194" s="41">
        <f>AA197</f>
        <v/>
      </c>
      <c r="AC194" s="41">
        <f>AB197</f>
        <v/>
      </c>
      <c r="AD194" s="41">
        <f>AC197</f>
        <v/>
      </c>
      <c r="AE194" s="41">
        <f>AD197</f>
        <v/>
      </c>
      <c r="AF194" s="41">
        <f>AE197</f>
        <v/>
      </c>
      <c r="AG194" s="41">
        <f>AF197</f>
        <v/>
      </c>
      <c r="AH194" s="41">
        <f>AG197</f>
        <v/>
      </c>
      <c r="AI194" s="41">
        <f>AH197</f>
        <v/>
      </c>
      <c r="AJ194" s="41">
        <f>AI197</f>
        <v/>
      </c>
      <c r="AK194" s="41">
        <f>AJ197</f>
        <v/>
      </c>
      <c r="AL194" s="41">
        <f>AK197</f>
        <v/>
      </c>
      <c r="AM194" s="41">
        <f>AL197</f>
        <v/>
      </c>
      <c r="AN194" s="41">
        <f>AM197</f>
        <v/>
      </c>
      <c r="AO194" s="41">
        <f>AN197</f>
        <v/>
      </c>
      <c r="AP194" s="41">
        <f>AO197</f>
        <v/>
      </c>
      <c r="AQ194" s="41">
        <f>AP197</f>
        <v/>
      </c>
      <c r="AR194" s="41">
        <f>AQ197</f>
        <v/>
      </c>
      <c r="AS194" s="41">
        <f>AR197</f>
        <v/>
      </c>
      <c r="AT194" s="41">
        <f>AS197</f>
        <v/>
      </c>
      <c r="AU194" s="41">
        <f>AT197</f>
        <v/>
      </c>
      <c r="AV194" s="41">
        <f>AU197</f>
        <v/>
      </c>
      <c r="AW194" s="41">
        <f>AV197</f>
        <v/>
      </c>
      <c r="AX194" s="41">
        <f>AW197</f>
        <v/>
      </c>
      <c r="AY194" s="41">
        <f>AX197</f>
        <v/>
      </c>
      <c r="AZ194" s="41">
        <f>AY197</f>
        <v/>
      </c>
      <c r="BA194" s="41">
        <f>AZ197</f>
        <v/>
      </c>
      <c r="BB194" s="41">
        <f>BA197</f>
        <v/>
      </c>
      <c r="BC194" s="41">
        <f>BB197</f>
        <v/>
      </c>
      <c r="BD194" s="41">
        <f>BC197</f>
        <v/>
      </c>
      <c r="BE194" s="41">
        <f>BD197</f>
        <v/>
      </c>
      <c r="BF194" s="41">
        <f>BE197</f>
        <v/>
      </c>
      <c r="BG194" s="41">
        <f>BF197</f>
        <v/>
      </c>
      <c r="BH194" s="41">
        <f>BG197</f>
        <v/>
      </c>
      <c r="BI194" s="41">
        <f>BH197</f>
        <v/>
      </c>
      <c r="BJ194" s="41">
        <f>BI197</f>
        <v/>
      </c>
    </row>
    <row r="195">
      <c r="A195" s="4" t="inlineStr">
        <is>
          <t>South Africa: Agency / partner: Agency tier: new</t>
        </is>
      </c>
      <c r="B195" s="17" t="inlineStr">
        <is>
          <t>workspaces</t>
        </is>
      </c>
      <c r="C195" s="41">
        <f>C158</f>
        <v/>
      </c>
      <c r="D195" s="41">
        <f>D158</f>
        <v/>
      </c>
      <c r="E195" s="41">
        <f>E158</f>
        <v/>
      </c>
      <c r="F195" s="41">
        <f>F158</f>
        <v/>
      </c>
      <c r="G195" s="41">
        <f>G158</f>
        <v/>
      </c>
      <c r="H195" s="41">
        <f>H158</f>
        <v/>
      </c>
      <c r="I195" s="41">
        <f>I158</f>
        <v/>
      </c>
      <c r="J195" s="41">
        <f>J158</f>
        <v/>
      </c>
      <c r="K195" s="41">
        <f>K158</f>
        <v/>
      </c>
      <c r="L195" s="41">
        <f>L158</f>
        <v/>
      </c>
      <c r="M195" s="41">
        <f>M158</f>
        <v/>
      </c>
      <c r="N195" s="41">
        <f>N158</f>
        <v/>
      </c>
      <c r="O195" s="41">
        <f>O158</f>
        <v/>
      </c>
      <c r="P195" s="41">
        <f>P158</f>
        <v/>
      </c>
      <c r="Q195" s="41">
        <f>Q158</f>
        <v/>
      </c>
      <c r="R195" s="41">
        <f>R158</f>
        <v/>
      </c>
      <c r="S195" s="41">
        <f>S158</f>
        <v/>
      </c>
      <c r="T195" s="41">
        <f>T158</f>
        <v/>
      </c>
      <c r="U195" s="41">
        <f>U158</f>
        <v/>
      </c>
      <c r="V195" s="41">
        <f>V158</f>
        <v/>
      </c>
      <c r="W195" s="41">
        <f>W158</f>
        <v/>
      </c>
      <c r="X195" s="41">
        <f>X158</f>
        <v/>
      </c>
      <c r="Y195" s="41">
        <f>Y158</f>
        <v/>
      </c>
      <c r="Z195" s="41">
        <f>Z158</f>
        <v/>
      </c>
      <c r="AA195" s="41">
        <f>AA158</f>
        <v/>
      </c>
      <c r="AB195" s="41">
        <f>AB158</f>
        <v/>
      </c>
      <c r="AC195" s="41">
        <f>AC158</f>
        <v/>
      </c>
      <c r="AD195" s="41">
        <f>AD158</f>
        <v/>
      </c>
      <c r="AE195" s="41">
        <f>AE158</f>
        <v/>
      </c>
      <c r="AF195" s="41">
        <f>AF158</f>
        <v/>
      </c>
      <c r="AG195" s="41">
        <f>AG158</f>
        <v/>
      </c>
      <c r="AH195" s="41">
        <f>AH158</f>
        <v/>
      </c>
      <c r="AI195" s="41">
        <f>AI158</f>
        <v/>
      </c>
      <c r="AJ195" s="41">
        <f>AJ158</f>
        <v/>
      </c>
      <c r="AK195" s="41">
        <f>AK158</f>
        <v/>
      </c>
      <c r="AL195" s="41">
        <f>AL158</f>
        <v/>
      </c>
      <c r="AM195" s="41">
        <f>AM158</f>
        <v/>
      </c>
      <c r="AN195" s="41">
        <f>AN158</f>
        <v/>
      </c>
      <c r="AO195" s="41">
        <f>AO158</f>
        <v/>
      </c>
      <c r="AP195" s="41">
        <f>AP158</f>
        <v/>
      </c>
      <c r="AQ195" s="41">
        <f>AQ158</f>
        <v/>
      </c>
      <c r="AR195" s="41">
        <f>AR158</f>
        <v/>
      </c>
      <c r="AS195" s="41">
        <f>AS158</f>
        <v/>
      </c>
      <c r="AT195" s="41">
        <f>AT158</f>
        <v/>
      </c>
      <c r="AU195" s="41">
        <f>AU158</f>
        <v/>
      </c>
      <c r="AV195" s="41">
        <f>AV158</f>
        <v/>
      </c>
      <c r="AW195" s="41">
        <f>AW158</f>
        <v/>
      </c>
      <c r="AX195" s="41">
        <f>AX158</f>
        <v/>
      </c>
      <c r="AY195" s="41">
        <f>AY158</f>
        <v/>
      </c>
      <c r="AZ195" s="41">
        <f>AZ158</f>
        <v/>
      </c>
      <c r="BA195" s="41">
        <f>BA158</f>
        <v/>
      </c>
      <c r="BB195" s="41">
        <f>BB158</f>
        <v/>
      </c>
      <c r="BC195" s="41">
        <f>BC158</f>
        <v/>
      </c>
      <c r="BD195" s="41">
        <f>BD158</f>
        <v/>
      </c>
      <c r="BE195" s="41">
        <f>BE158</f>
        <v/>
      </c>
      <c r="BF195" s="41">
        <f>BF158</f>
        <v/>
      </c>
      <c r="BG195" s="41">
        <f>BG158</f>
        <v/>
      </c>
      <c r="BH195" s="41">
        <f>BH158</f>
        <v/>
      </c>
      <c r="BI195" s="41">
        <f>BI158</f>
        <v/>
      </c>
      <c r="BJ195" s="41">
        <f>BJ158</f>
        <v/>
      </c>
    </row>
    <row r="196">
      <c r="A196" s="4" t="inlineStr">
        <is>
          <t>South Africa: Agency / partner: Agency tier: churned</t>
        </is>
      </c>
      <c r="B196" s="17" t="inlineStr">
        <is>
          <t>workspaces</t>
        </is>
      </c>
      <c r="C196" s="41">
        <f>C194*Assumptions!$B$143*Assumptions!$B$46*Assumptions!$B$30</f>
        <v/>
      </c>
      <c r="D196" s="41">
        <f>D194*Assumptions!$B$143*Assumptions!$B$46*Assumptions!$B$30</f>
        <v/>
      </c>
      <c r="E196" s="41">
        <f>E194*Assumptions!$B$143*Assumptions!$B$46*Assumptions!$B$30</f>
        <v/>
      </c>
      <c r="F196" s="41">
        <f>F194*Assumptions!$B$143*Assumptions!$B$46*Assumptions!$B$30</f>
        <v/>
      </c>
      <c r="G196" s="41">
        <f>G194*Assumptions!$B$143*Assumptions!$B$46*Assumptions!$B$30</f>
        <v/>
      </c>
      <c r="H196" s="41">
        <f>H194*Assumptions!$B$143*Assumptions!$B$46*Assumptions!$B$30</f>
        <v/>
      </c>
      <c r="I196" s="41">
        <f>I194*Assumptions!$B$143*Assumptions!$B$46*Assumptions!$B$30</f>
        <v/>
      </c>
      <c r="J196" s="41">
        <f>J194*Assumptions!$B$143*Assumptions!$B$46*Assumptions!$B$30</f>
        <v/>
      </c>
      <c r="K196" s="41">
        <f>K194*Assumptions!$B$143*Assumptions!$B$46*Assumptions!$B$30</f>
        <v/>
      </c>
      <c r="L196" s="41">
        <f>L194*Assumptions!$B$143*Assumptions!$B$46*Assumptions!$B$30</f>
        <v/>
      </c>
      <c r="M196" s="41">
        <f>M194*Assumptions!$B$143*Assumptions!$B$46*Assumptions!$B$30</f>
        <v/>
      </c>
      <c r="N196" s="41">
        <f>N194*Assumptions!$B$143*Assumptions!$B$46*Assumptions!$B$30</f>
        <v/>
      </c>
      <c r="O196" s="41">
        <f>O194*Assumptions!$B$143*Assumptions!$B$46*Assumptions!$B$30</f>
        <v/>
      </c>
      <c r="P196" s="41">
        <f>P194*Assumptions!$B$143*Assumptions!$B$46*Assumptions!$B$30</f>
        <v/>
      </c>
      <c r="Q196" s="41">
        <f>Q194*Assumptions!$B$143*Assumptions!$B$46*Assumptions!$B$30</f>
        <v/>
      </c>
      <c r="R196" s="41">
        <f>R194*Assumptions!$B$143*Assumptions!$B$46*Assumptions!$B$30</f>
        <v/>
      </c>
      <c r="S196" s="41">
        <f>S194*Assumptions!$B$143*Assumptions!$B$46*Assumptions!$B$30</f>
        <v/>
      </c>
      <c r="T196" s="41">
        <f>T194*Assumptions!$B$143*Assumptions!$B$46*Assumptions!$B$30</f>
        <v/>
      </c>
      <c r="U196" s="41">
        <f>U194*Assumptions!$B$143*Assumptions!$B$46*Assumptions!$B$30</f>
        <v/>
      </c>
      <c r="V196" s="41">
        <f>V194*Assumptions!$B$143*Assumptions!$B$46*Assumptions!$B$30</f>
        <v/>
      </c>
      <c r="W196" s="41">
        <f>W194*Assumptions!$B$143*Assumptions!$B$46*Assumptions!$B$30</f>
        <v/>
      </c>
      <c r="X196" s="41">
        <f>X194*Assumptions!$B$143*Assumptions!$B$46*Assumptions!$B$30</f>
        <v/>
      </c>
      <c r="Y196" s="41">
        <f>Y194*Assumptions!$B$143*Assumptions!$B$46*Assumptions!$B$30</f>
        <v/>
      </c>
      <c r="Z196" s="41">
        <f>Z194*Assumptions!$B$143*Assumptions!$B$46*Assumptions!$B$30</f>
        <v/>
      </c>
      <c r="AA196" s="41">
        <f>AA194*Assumptions!$B$143*Assumptions!$B$46*Assumptions!$B$30</f>
        <v/>
      </c>
      <c r="AB196" s="41">
        <f>AB194*Assumptions!$B$143*Assumptions!$B$46*Assumptions!$B$30</f>
        <v/>
      </c>
      <c r="AC196" s="41">
        <f>AC194*Assumptions!$B$143*Assumptions!$B$46*Assumptions!$B$30</f>
        <v/>
      </c>
      <c r="AD196" s="41">
        <f>AD194*Assumptions!$B$143*Assumptions!$B$46*Assumptions!$B$30</f>
        <v/>
      </c>
      <c r="AE196" s="41">
        <f>AE194*Assumptions!$B$143*Assumptions!$B$46*Assumptions!$B$30</f>
        <v/>
      </c>
      <c r="AF196" s="41">
        <f>AF194*Assumptions!$B$143*Assumptions!$B$46*Assumptions!$B$30</f>
        <v/>
      </c>
      <c r="AG196" s="41">
        <f>AG194*Assumptions!$B$143*Assumptions!$B$46*Assumptions!$B$30</f>
        <v/>
      </c>
      <c r="AH196" s="41">
        <f>AH194*Assumptions!$B$143*Assumptions!$B$46*Assumptions!$B$30</f>
        <v/>
      </c>
      <c r="AI196" s="41">
        <f>AI194*Assumptions!$B$143*Assumptions!$B$46*Assumptions!$B$30</f>
        <v/>
      </c>
      <c r="AJ196" s="41">
        <f>AJ194*Assumptions!$B$143*Assumptions!$B$46*Assumptions!$B$30</f>
        <v/>
      </c>
      <c r="AK196" s="41">
        <f>AK194*Assumptions!$B$143*Assumptions!$B$46*Assumptions!$B$30</f>
        <v/>
      </c>
      <c r="AL196" s="41">
        <f>AL194*Assumptions!$B$143*Assumptions!$B$46*Assumptions!$B$30</f>
        <v/>
      </c>
      <c r="AM196" s="41">
        <f>AM194*Assumptions!$B$143*Assumptions!$B$46*Assumptions!$B$30</f>
        <v/>
      </c>
      <c r="AN196" s="41">
        <f>AN194*Assumptions!$B$143*Assumptions!$B$46*Assumptions!$B$30</f>
        <v/>
      </c>
      <c r="AO196" s="41">
        <f>AO194*Assumptions!$B$143*Assumptions!$B$46*Assumptions!$B$30</f>
        <v/>
      </c>
      <c r="AP196" s="41">
        <f>AP194*Assumptions!$B$143*Assumptions!$B$46*Assumptions!$B$30</f>
        <v/>
      </c>
      <c r="AQ196" s="41">
        <f>AQ194*Assumptions!$B$143*Assumptions!$B$46*Assumptions!$B$30</f>
        <v/>
      </c>
      <c r="AR196" s="41">
        <f>AR194*Assumptions!$B$143*Assumptions!$B$46*Assumptions!$B$30</f>
        <v/>
      </c>
      <c r="AS196" s="41">
        <f>AS194*Assumptions!$B$143*Assumptions!$B$46*Assumptions!$B$30</f>
        <v/>
      </c>
      <c r="AT196" s="41">
        <f>AT194*Assumptions!$B$143*Assumptions!$B$46*Assumptions!$B$30</f>
        <v/>
      </c>
      <c r="AU196" s="41">
        <f>AU194*Assumptions!$B$143*Assumptions!$B$46*Assumptions!$B$30</f>
        <v/>
      </c>
      <c r="AV196" s="41">
        <f>AV194*Assumptions!$B$143*Assumptions!$B$46*Assumptions!$B$30</f>
        <v/>
      </c>
      <c r="AW196" s="41">
        <f>AW194*Assumptions!$B$143*Assumptions!$B$46*Assumptions!$B$30</f>
        <v/>
      </c>
      <c r="AX196" s="41">
        <f>AX194*Assumptions!$B$143*Assumptions!$B$46*Assumptions!$B$30</f>
        <v/>
      </c>
      <c r="AY196" s="41">
        <f>AY194*Assumptions!$B$143*Assumptions!$B$46*Assumptions!$B$30</f>
        <v/>
      </c>
      <c r="AZ196" s="41">
        <f>AZ194*Assumptions!$B$143*Assumptions!$B$46*Assumptions!$B$30</f>
        <v/>
      </c>
      <c r="BA196" s="41">
        <f>BA194*Assumptions!$B$143*Assumptions!$B$46*Assumptions!$B$30</f>
        <v/>
      </c>
      <c r="BB196" s="41">
        <f>BB194*Assumptions!$B$143*Assumptions!$B$46*Assumptions!$B$30</f>
        <v/>
      </c>
      <c r="BC196" s="41">
        <f>BC194*Assumptions!$B$143*Assumptions!$B$46*Assumptions!$B$30</f>
        <v/>
      </c>
      <c r="BD196" s="41">
        <f>BD194*Assumptions!$B$143*Assumptions!$B$46*Assumptions!$B$30</f>
        <v/>
      </c>
      <c r="BE196" s="41">
        <f>BE194*Assumptions!$B$143*Assumptions!$B$46*Assumptions!$B$30</f>
        <v/>
      </c>
      <c r="BF196" s="41">
        <f>BF194*Assumptions!$B$143*Assumptions!$B$46*Assumptions!$B$30</f>
        <v/>
      </c>
      <c r="BG196" s="41">
        <f>BG194*Assumptions!$B$143*Assumptions!$B$46*Assumptions!$B$30</f>
        <v/>
      </c>
      <c r="BH196" s="41">
        <f>BH194*Assumptions!$B$143*Assumptions!$B$46*Assumptions!$B$30</f>
        <v/>
      </c>
      <c r="BI196" s="41">
        <f>BI194*Assumptions!$B$143*Assumptions!$B$46*Assumptions!$B$30</f>
        <v/>
      </c>
      <c r="BJ196" s="41">
        <f>BJ194*Assumptions!$B$143*Assumptions!$B$46*Assumptions!$B$30</f>
        <v/>
      </c>
    </row>
    <row r="197">
      <c r="A197" s="3" t="inlineStr">
        <is>
          <t>South Africa: Agency / partner: Agency tier: closing</t>
        </is>
      </c>
      <c r="B197" s="17" t="inlineStr">
        <is>
          <t>workspaces</t>
        </is>
      </c>
      <c r="C197" s="44">
        <f>C194+C195-C196</f>
        <v/>
      </c>
      <c r="D197" s="44">
        <f>D194+D195-D196</f>
        <v/>
      </c>
      <c r="E197" s="44">
        <f>E194+E195-E196</f>
        <v/>
      </c>
      <c r="F197" s="44">
        <f>F194+F195-F196</f>
        <v/>
      </c>
      <c r="G197" s="44">
        <f>G194+G195-G196</f>
        <v/>
      </c>
      <c r="H197" s="44">
        <f>H194+H195-H196</f>
        <v/>
      </c>
      <c r="I197" s="44">
        <f>I194+I195-I196</f>
        <v/>
      </c>
      <c r="J197" s="44">
        <f>J194+J195-J196</f>
        <v/>
      </c>
      <c r="K197" s="44">
        <f>K194+K195-K196</f>
        <v/>
      </c>
      <c r="L197" s="44">
        <f>L194+L195-L196</f>
        <v/>
      </c>
      <c r="M197" s="44">
        <f>M194+M195-M196</f>
        <v/>
      </c>
      <c r="N197" s="44">
        <f>N194+N195-N196</f>
        <v/>
      </c>
      <c r="O197" s="44">
        <f>O194+O195-O196</f>
        <v/>
      </c>
      <c r="P197" s="44">
        <f>P194+P195-P196</f>
        <v/>
      </c>
      <c r="Q197" s="44">
        <f>Q194+Q195-Q196</f>
        <v/>
      </c>
      <c r="R197" s="44">
        <f>R194+R195-R196</f>
        <v/>
      </c>
      <c r="S197" s="44">
        <f>S194+S195-S196</f>
        <v/>
      </c>
      <c r="T197" s="44">
        <f>T194+T195-T196</f>
        <v/>
      </c>
      <c r="U197" s="44">
        <f>U194+U195-U196</f>
        <v/>
      </c>
      <c r="V197" s="44">
        <f>V194+V195-V196</f>
        <v/>
      </c>
      <c r="W197" s="44">
        <f>W194+W195-W196</f>
        <v/>
      </c>
      <c r="X197" s="44">
        <f>X194+X195-X196</f>
        <v/>
      </c>
      <c r="Y197" s="44">
        <f>Y194+Y195-Y196</f>
        <v/>
      </c>
      <c r="Z197" s="44">
        <f>Z194+Z195-Z196</f>
        <v/>
      </c>
      <c r="AA197" s="44">
        <f>AA194+AA195-AA196</f>
        <v/>
      </c>
      <c r="AB197" s="44">
        <f>AB194+AB195-AB196</f>
        <v/>
      </c>
      <c r="AC197" s="44">
        <f>AC194+AC195-AC196</f>
        <v/>
      </c>
      <c r="AD197" s="44">
        <f>AD194+AD195-AD196</f>
        <v/>
      </c>
      <c r="AE197" s="44">
        <f>AE194+AE195-AE196</f>
        <v/>
      </c>
      <c r="AF197" s="44">
        <f>AF194+AF195-AF196</f>
        <v/>
      </c>
      <c r="AG197" s="44">
        <f>AG194+AG195-AG196</f>
        <v/>
      </c>
      <c r="AH197" s="44">
        <f>AH194+AH195-AH196</f>
        <v/>
      </c>
      <c r="AI197" s="44">
        <f>AI194+AI195-AI196</f>
        <v/>
      </c>
      <c r="AJ197" s="44">
        <f>AJ194+AJ195-AJ196</f>
        <v/>
      </c>
      <c r="AK197" s="44">
        <f>AK194+AK195-AK196</f>
        <v/>
      </c>
      <c r="AL197" s="44">
        <f>AL194+AL195-AL196</f>
        <v/>
      </c>
      <c r="AM197" s="44">
        <f>AM194+AM195-AM196</f>
        <v/>
      </c>
      <c r="AN197" s="44">
        <f>AN194+AN195-AN196</f>
        <v/>
      </c>
      <c r="AO197" s="44">
        <f>AO194+AO195-AO196</f>
        <v/>
      </c>
      <c r="AP197" s="44">
        <f>AP194+AP195-AP196</f>
        <v/>
      </c>
      <c r="AQ197" s="44">
        <f>AQ194+AQ195-AQ196</f>
        <v/>
      </c>
      <c r="AR197" s="44">
        <f>AR194+AR195-AR196</f>
        <v/>
      </c>
      <c r="AS197" s="44">
        <f>AS194+AS195-AS196</f>
        <v/>
      </c>
      <c r="AT197" s="44">
        <f>AT194+AT195-AT196</f>
        <v/>
      </c>
      <c r="AU197" s="44">
        <f>AU194+AU195-AU196</f>
        <v/>
      </c>
      <c r="AV197" s="44">
        <f>AV194+AV195-AV196</f>
        <v/>
      </c>
      <c r="AW197" s="44">
        <f>AW194+AW195-AW196</f>
        <v/>
      </c>
      <c r="AX197" s="44">
        <f>AX194+AX195-AX196</f>
        <v/>
      </c>
      <c r="AY197" s="44">
        <f>AY194+AY195-AY196</f>
        <v/>
      </c>
      <c r="AZ197" s="44">
        <f>AZ194+AZ195-AZ196</f>
        <v/>
      </c>
      <c r="BA197" s="44">
        <f>BA194+BA195-BA196</f>
        <v/>
      </c>
      <c r="BB197" s="44">
        <f>BB194+BB195-BB196</f>
        <v/>
      </c>
      <c r="BC197" s="44">
        <f>BC194+BC195-BC196</f>
        <v/>
      </c>
      <c r="BD197" s="44">
        <f>BD194+BD195-BD196</f>
        <v/>
      </c>
      <c r="BE197" s="44">
        <f>BE194+BE195-BE196</f>
        <v/>
      </c>
      <c r="BF197" s="44">
        <f>BF194+BF195-BF196</f>
        <v/>
      </c>
      <c r="BG197" s="44">
        <f>BG194+BG195-BG196</f>
        <v/>
      </c>
      <c r="BH197" s="44">
        <f>BH194+BH195-BH196</f>
        <v/>
      </c>
      <c r="BI197" s="44">
        <f>BI194+BI195-BI196</f>
        <v/>
      </c>
      <c r="BJ197" s="44">
        <f>BJ194+BJ195-BJ196</f>
        <v/>
      </c>
    </row>
    <row r="198">
      <c r="A198" s="4" t="inlineStr">
        <is>
          <t>South Africa: Corporate (inbound): opening</t>
        </is>
      </c>
      <c r="B198" s="17" t="inlineStr">
        <is>
          <t>workspaces</t>
        </is>
      </c>
      <c r="C198" s="41">
        <f>0</f>
        <v/>
      </c>
      <c r="D198" s="41">
        <f>C201</f>
        <v/>
      </c>
      <c r="E198" s="41">
        <f>D201</f>
        <v/>
      </c>
      <c r="F198" s="41">
        <f>E201</f>
        <v/>
      </c>
      <c r="G198" s="41">
        <f>F201</f>
        <v/>
      </c>
      <c r="H198" s="41">
        <f>G201</f>
        <v/>
      </c>
      <c r="I198" s="41">
        <f>H201</f>
        <v/>
      </c>
      <c r="J198" s="41">
        <f>I201</f>
        <v/>
      </c>
      <c r="K198" s="41">
        <f>J201</f>
        <v/>
      </c>
      <c r="L198" s="41">
        <f>K201</f>
        <v/>
      </c>
      <c r="M198" s="41">
        <f>L201</f>
        <v/>
      </c>
      <c r="N198" s="41">
        <f>M201</f>
        <v/>
      </c>
      <c r="O198" s="41">
        <f>N201</f>
        <v/>
      </c>
      <c r="P198" s="41">
        <f>O201</f>
        <v/>
      </c>
      <c r="Q198" s="41">
        <f>P201</f>
        <v/>
      </c>
      <c r="R198" s="41">
        <f>Q201</f>
        <v/>
      </c>
      <c r="S198" s="41">
        <f>R201</f>
        <v/>
      </c>
      <c r="T198" s="41">
        <f>S201</f>
        <v/>
      </c>
      <c r="U198" s="41">
        <f>T201</f>
        <v/>
      </c>
      <c r="V198" s="41">
        <f>U201</f>
        <v/>
      </c>
      <c r="W198" s="41">
        <f>V201</f>
        <v/>
      </c>
      <c r="X198" s="41">
        <f>W201</f>
        <v/>
      </c>
      <c r="Y198" s="41">
        <f>X201</f>
        <v/>
      </c>
      <c r="Z198" s="41">
        <f>Y201</f>
        <v/>
      </c>
      <c r="AA198" s="41">
        <f>Z201</f>
        <v/>
      </c>
      <c r="AB198" s="41">
        <f>AA201</f>
        <v/>
      </c>
      <c r="AC198" s="41">
        <f>AB201</f>
        <v/>
      </c>
      <c r="AD198" s="41">
        <f>AC201</f>
        <v/>
      </c>
      <c r="AE198" s="41">
        <f>AD201</f>
        <v/>
      </c>
      <c r="AF198" s="41">
        <f>AE201</f>
        <v/>
      </c>
      <c r="AG198" s="41">
        <f>AF201</f>
        <v/>
      </c>
      <c r="AH198" s="41">
        <f>AG201</f>
        <v/>
      </c>
      <c r="AI198" s="41">
        <f>AH201</f>
        <v/>
      </c>
      <c r="AJ198" s="41">
        <f>AI201</f>
        <v/>
      </c>
      <c r="AK198" s="41">
        <f>AJ201</f>
        <v/>
      </c>
      <c r="AL198" s="41">
        <f>AK201</f>
        <v/>
      </c>
      <c r="AM198" s="41">
        <f>AL201</f>
        <v/>
      </c>
      <c r="AN198" s="41">
        <f>AM201</f>
        <v/>
      </c>
      <c r="AO198" s="41">
        <f>AN201</f>
        <v/>
      </c>
      <c r="AP198" s="41">
        <f>AO201</f>
        <v/>
      </c>
      <c r="AQ198" s="41">
        <f>AP201</f>
        <v/>
      </c>
      <c r="AR198" s="41">
        <f>AQ201</f>
        <v/>
      </c>
      <c r="AS198" s="41">
        <f>AR201</f>
        <v/>
      </c>
      <c r="AT198" s="41">
        <f>AS201</f>
        <v/>
      </c>
      <c r="AU198" s="41">
        <f>AT201</f>
        <v/>
      </c>
      <c r="AV198" s="41">
        <f>AU201</f>
        <v/>
      </c>
      <c r="AW198" s="41">
        <f>AV201</f>
        <v/>
      </c>
      <c r="AX198" s="41">
        <f>AW201</f>
        <v/>
      </c>
      <c r="AY198" s="41">
        <f>AX201</f>
        <v/>
      </c>
      <c r="AZ198" s="41">
        <f>AY201</f>
        <v/>
      </c>
      <c r="BA198" s="41">
        <f>AZ201</f>
        <v/>
      </c>
      <c r="BB198" s="41">
        <f>BA201</f>
        <v/>
      </c>
      <c r="BC198" s="41">
        <f>BB201</f>
        <v/>
      </c>
      <c r="BD198" s="41">
        <f>BC201</f>
        <v/>
      </c>
      <c r="BE198" s="41">
        <f>BD201</f>
        <v/>
      </c>
      <c r="BF198" s="41">
        <f>BE201</f>
        <v/>
      </c>
      <c r="BG198" s="41">
        <f>BF201</f>
        <v/>
      </c>
      <c r="BH198" s="41">
        <f>BG201</f>
        <v/>
      </c>
      <c r="BI198" s="41">
        <f>BH201</f>
        <v/>
      </c>
      <c r="BJ198" s="41">
        <f>BI201</f>
        <v/>
      </c>
    </row>
    <row r="199">
      <c r="A199" s="4" t="inlineStr">
        <is>
          <t>South Africa: Corporate (inbound): new</t>
        </is>
      </c>
      <c r="B199" s="17" t="inlineStr">
        <is>
          <t>workspaces</t>
        </is>
      </c>
      <c r="C199" s="41">
        <f>C162</f>
        <v/>
      </c>
      <c r="D199" s="41">
        <f>D162</f>
        <v/>
      </c>
      <c r="E199" s="41">
        <f>E162</f>
        <v/>
      </c>
      <c r="F199" s="41">
        <f>F162</f>
        <v/>
      </c>
      <c r="G199" s="41">
        <f>G162</f>
        <v/>
      </c>
      <c r="H199" s="41">
        <f>H162</f>
        <v/>
      </c>
      <c r="I199" s="41">
        <f>I162</f>
        <v/>
      </c>
      <c r="J199" s="41">
        <f>J162</f>
        <v/>
      </c>
      <c r="K199" s="41">
        <f>K162</f>
        <v/>
      </c>
      <c r="L199" s="41">
        <f>L162</f>
        <v/>
      </c>
      <c r="M199" s="41">
        <f>M162</f>
        <v/>
      </c>
      <c r="N199" s="41">
        <f>N162</f>
        <v/>
      </c>
      <c r="O199" s="41">
        <f>O162</f>
        <v/>
      </c>
      <c r="P199" s="41">
        <f>P162</f>
        <v/>
      </c>
      <c r="Q199" s="41">
        <f>Q162</f>
        <v/>
      </c>
      <c r="R199" s="41">
        <f>R162</f>
        <v/>
      </c>
      <c r="S199" s="41">
        <f>S162</f>
        <v/>
      </c>
      <c r="T199" s="41">
        <f>T162</f>
        <v/>
      </c>
      <c r="U199" s="41">
        <f>U162</f>
        <v/>
      </c>
      <c r="V199" s="41">
        <f>V162</f>
        <v/>
      </c>
      <c r="W199" s="41">
        <f>W162</f>
        <v/>
      </c>
      <c r="X199" s="41">
        <f>X162</f>
        <v/>
      </c>
      <c r="Y199" s="41">
        <f>Y162</f>
        <v/>
      </c>
      <c r="Z199" s="41">
        <f>Z162</f>
        <v/>
      </c>
      <c r="AA199" s="41">
        <f>AA162</f>
        <v/>
      </c>
      <c r="AB199" s="41">
        <f>AB162</f>
        <v/>
      </c>
      <c r="AC199" s="41">
        <f>AC162</f>
        <v/>
      </c>
      <c r="AD199" s="41">
        <f>AD162</f>
        <v/>
      </c>
      <c r="AE199" s="41">
        <f>AE162</f>
        <v/>
      </c>
      <c r="AF199" s="41">
        <f>AF162</f>
        <v/>
      </c>
      <c r="AG199" s="41">
        <f>AG162</f>
        <v/>
      </c>
      <c r="AH199" s="41">
        <f>AH162</f>
        <v/>
      </c>
      <c r="AI199" s="41">
        <f>AI162</f>
        <v/>
      </c>
      <c r="AJ199" s="41">
        <f>AJ162</f>
        <v/>
      </c>
      <c r="AK199" s="41">
        <f>AK162</f>
        <v/>
      </c>
      <c r="AL199" s="41">
        <f>AL162</f>
        <v/>
      </c>
      <c r="AM199" s="41">
        <f>AM162</f>
        <v/>
      </c>
      <c r="AN199" s="41">
        <f>AN162</f>
        <v/>
      </c>
      <c r="AO199" s="41">
        <f>AO162</f>
        <v/>
      </c>
      <c r="AP199" s="41">
        <f>AP162</f>
        <v/>
      </c>
      <c r="AQ199" s="41">
        <f>AQ162</f>
        <v/>
      </c>
      <c r="AR199" s="41">
        <f>AR162</f>
        <v/>
      </c>
      <c r="AS199" s="41">
        <f>AS162</f>
        <v/>
      </c>
      <c r="AT199" s="41">
        <f>AT162</f>
        <v/>
      </c>
      <c r="AU199" s="41">
        <f>AU162</f>
        <v/>
      </c>
      <c r="AV199" s="41">
        <f>AV162</f>
        <v/>
      </c>
      <c r="AW199" s="41">
        <f>AW162</f>
        <v/>
      </c>
      <c r="AX199" s="41">
        <f>AX162</f>
        <v/>
      </c>
      <c r="AY199" s="41">
        <f>AY162</f>
        <v/>
      </c>
      <c r="AZ199" s="41">
        <f>AZ162</f>
        <v/>
      </c>
      <c r="BA199" s="41">
        <f>BA162</f>
        <v/>
      </c>
      <c r="BB199" s="41">
        <f>BB162</f>
        <v/>
      </c>
      <c r="BC199" s="41">
        <f>BC162</f>
        <v/>
      </c>
      <c r="BD199" s="41">
        <f>BD162</f>
        <v/>
      </c>
      <c r="BE199" s="41">
        <f>BE162</f>
        <v/>
      </c>
      <c r="BF199" s="41">
        <f>BF162</f>
        <v/>
      </c>
      <c r="BG199" s="41">
        <f>BG162</f>
        <v/>
      </c>
      <c r="BH199" s="41">
        <f>BH162</f>
        <v/>
      </c>
      <c r="BI199" s="41">
        <f>BI162</f>
        <v/>
      </c>
      <c r="BJ199" s="41">
        <f>BJ162</f>
        <v/>
      </c>
    </row>
    <row r="200">
      <c r="A200" s="4" t="inlineStr">
        <is>
          <t>South Africa: Corporate (inbound): churned</t>
        </is>
      </c>
      <c r="B200" s="17" t="inlineStr">
        <is>
          <t>workspaces</t>
        </is>
      </c>
      <c r="C200" s="41">
        <f>C198*Assumptions!$B$144*Assumptions!$B$46*Assumptions!$B$30</f>
        <v/>
      </c>
      <c r="D200" s="41">
        <f>D198*Assumptions!$B$144*Assumptions!$B$46*Assumptions!$B$30</f>
        <v/>
      </c>
      <c r="E200" s="41">
        <f>E198*Assumptions!$B$144*Assumptions!$B$46*Assumptions!$B$30</f>
        <v/>
      </c>
      <c r="F200" s="41">
        <f>F198*Assumptions!$B$144*Assumptions!$B$46*Assumptions!$B$30</f>
        <v/>
      </c>
      <c r="G200" s="41">
        <f>G198*Assumptions!$B$144*Assumptions!$B$46*Assumptions!$B$30</f>
        <v/>
      </c>
      <c r="H200" s="41">
        <f>H198*Assumptions!$B$144*Assumptions!$B$46*Assumptions!$B$30</f>
        <v/>
      </c>
      <c r="I200" s="41">
        <f>I198*Assumptions!$B$144*Assumptions!$B$46*Assumptions!$B$30</f>
        <v/>
      </c>
      <c r="J200" s="41">
        <f>J198*Assumptions!$B$144*Assumptions!$B$46*Assumptions!$B$30</f>
        <v/>
      </c>
      <c r="K200" s="41">
        <f>K198*Assumptions!$B$144*Assumptions!$B$46*Assumptions!$B$30</f>
        <v/>
      </c>
      <c r="L200" s="41">
        <f>L198*Assumptions!$B$144*Assumptions!$B$46*Assumptions!$B$30</f>
        <v/>
      </c>
      <c r="M200" s="41">
        <f>M198*Assumptions!$B$144*Assumptions!$B$46*Assumptions!$B$30</f>
        <v/>
      </c>
      <c r="N200" s="41">
        <f>N198*Assumptions!$B$144*Assumptions!$B$46*Assumptions!$B$30</f>
        <v/>
      </c>
      <c r="O200" s="41">
        <f>O198*Assumptions!$B$144*Assumptions!$B$46*Assumptions!$B$30</f>
        <v/>
      </c>
      <c r="P200" s="41">
        <f>P198*Assumptions!$B$144*Assumptions!$B$46*Assumptions!$B$30</f>
        <v/>
      </c>
      <c r="Q200" s="41">
        <f>Q198*Assumptions!$B$144*Assumptions!$B$46*Assumptions!$B$30</f>
        <v/>
      </c>
      <c r="R200" s="41">
        <f>R198*Assumptions!$B$144*Assumptions!$B$46*Assumptions!$B$30</f>
        <v/>
      </c>
      <c r="S200" s="41">
        <f>S198*Assumptions!$B$144*Assumptions!$B$46*Assumptions!$B$30</f>
        <v/>
      </c>
      <c r="T200" s="41">
        <f>T198*Assumptions!$B$144*Assumptions!$B$46*Assumptions!$B$30</f>
        <v/>
      </c>
      <c r="U200" s="41">
        <f>U198*Assumptions!$B$144*Assumptions!$B$46*Assumptions!$B$30</f>
        <v/>
      </c>
      <c r="V200" s="41">
        <f>V198*Assumptions!$B$144*Assumptions!$B$46*Assumptions!$B$30</f>
        <v/>
      </c>
      <c r="W200" s="41">
        <f>W198*Assumptions!$B$144*Assumptions!$B$46*Assumptions!$B$30</f>
        <v/>
      </c>
      <c r="X200" s="41">
        <f>X198*Assumptions!$B$144*Assumptions!$B$46*Assumptions!$B$30</f>
        <v/>
      </c>
      <c r="Y200" s="41">
        <f>Y198*Assumptions!$B$144*Assumptions!$B$46*Assumptions!$B$30</f>
        <v/>
      </c>
      <c r="Z200" s="41">
        <f>Z198*Assumptions!$B$144*Assumptions!$B$46*Assumptions!$B$30</f>
        <v/>
      </c>
      <c r="AA200" s="41">
        <f>AA198*Assumptions!$B$144*Assumptions!$B$46*Assumptions!$B$30</f>
        <v/>
      </c>
      <c r="AB200" s="41">
        <f>AB198*Assumptions!$B$144*Assumptions!$B$46*Assumptions!$B$30</f>
        <v/>
      </c>
      <c r="AC200" s="41">
        <f>AC198*Assumptions!$B$144*Assumptions!$B$46*Assumptions!$B$30</f>
        <v/>
      </c>
      <c r="AD200" s="41">
        <f>AD198*Assumptions!$B$144*Assumptions!$B$46*Assumptions!$B$30</f>
        <v/>
      </c>
      <c r="AE200" s="41">
        <f>AE198*Assumptions!$B$144*Assumptions!$B$46*Assumptions!$B$30</f>
        <v/>
      </c>
      <c r="AF200" s="41">
        <f>AF198*Assumptions!$B$144*Assumptions!$B$46*Assumptions!$B$30</f>
        <v/>
      </c>
      <c r="AG200" s="41">
        <f>AG198*Assumptions!$B$144*Assumptions!$B$46*Assumptions!$B$30</f>
        <v/>
      </c>
      <c r="AH200" s="41">
        <f>AH198*Assumptions!$B$144*Assumptions!$B$46*Assumptions!$B$30</f>
        <v/>
      </c>
      <c r="AI200" s="41">
        <f>AI198*Assumptions!$B$144*Assumptions!$B$46*Assumptions!$B$30</f>
        <v/>
      </c>
      <c r="AJ200" s="41">
        <f>AJ198*Assumptions!$B$144*Assumptions!$B$46*Assumptions!$B$30</f>
        <v/>
      </c>
      <c r="AK200" s="41">
        <f>AK198*Assumptions!$B$144*Assumptions!$B$46*Assumptions!$B$30</f>
        <v/>
      </c>
      <c r="AL200" s="41">
        <f>AL198*Assumptions!$B$144*Assumptions!$B$46*Assumptions!$B$30</f>
        <v/>
      </c>
      <c r="AM200" s="41">
        <f>AM198*Assumptions!$B$144*Assumptions!$B$46*Assumptions!$B$30</f>
        <v/>
      </c>
      <c r="AN200" s="41">
        <f>AN198*Assumptions!$B$144*Assumptions!$B$46*Assumptions!$B$30</f>
        <v/>
      </c>
      <c r="AO200" s="41">
        <f>AO198*Assumptions!$B$144*Assumptions!$B$46*Assumptions!$B$30</f>
        <v/>
      </c>
      <c r="AP200" s="41">
        <f>AP198*Assumptions!$B$144*Assumptions!$B$46*Assumptions!$B$30</f>
        <v/>
      </c>
      <c r="AQ200" s="41">
        <f>AQ198*Assumptions!$B$144*Assumptions!$B$46*Assumptions!$B$30</f>
        <v/>
      </c>
      <c r="AR200" s="41">
        <f>AR198*Assumptions!$B$144*Assumptions!$B$46*Assumptions!$B$30</f>
        <v/>
      </c>
      <c r="AS200" s="41">
        <f>AS198*Assumptions!$B$144*Assumptions!$B$46*Assumptions!$B$30</f>
        <v/>
      </c>
      <c r="AT200" s="41">
        <f>AT198*Assumptions!$B$144*Assumptions!$B$46*Assumptions!$B$30</f>
        <v/>
      </c>
      <c r="AU200" s="41">
        <f>AU198*Assumptions!$B$144*Assumptions!$B$46*Assumptions!$B$30</f>
        <v/>
      </c>
      <c r="AV200" s="41">
        <f>AV198*Assumptions!$B$144*Assumptions!$B$46*Assumptions!$B$30</f>
        <v/>
      </c>
      <c r="AW200" s="41">
        <f>AW198*Assumptions!$B$144*Assumptions!$B$46*Assumptions!$B$30</f>
        <v/>
      </c>
      <c r="AX200" s="41">
        <f>AX198*Assumptions!$B$144*Assumptions!$B$46*Assumptions!$B$30</f>
        <v/>
      </c>
      <c r="AY200" s="41">
        <f>AY198*Assumptions!$B$144*Assumptions!$B$46*Assumptions!$B$30</f>
        <v/>
      </c>
      <c r="AZ200" s="41">
        <f>AZ198*Assumptions!$B$144*Assumptions!$B$46*Assumptions!$B$30</f>
        <v/>
      </c>
      <c r="BA200" s="41">
        <f>BA198*Assumptions!$B$144*Assumptions!$B$46*Assumptions!$B$30</f>
        <v/>
      </c>
      <c r="BB200" s="41">
        <f>BB198*Assumptions!$B$144*Assumptions!$B$46*Assumptions!$B$30</f>
        <v/>
      </c>
      <c r="BC200" s="41">
        <f>BC198*Assumptions!$B$144*Assumptions!$B$46*Assumptions!$B$30</f>
        <v/>
      </c>
      <c r="BD200" s="41">
        <f>BD198*Assumptions!$B$144*Assumptions!$B$46*Assumptions!$B$30</f>
        <v/>
      </c>
      <c r="BE200" s="41">
        <f>BE198*Assumptions!$B$144*Assumptions!$B$46*Assumptions!$B$30</f>
        <v/>
      </c>
      <c r="BF200" s="41">
        <f>BF198*Assumptions!$B$144*Assumptions!$B$46*Assumptions!$B$30</f>
        <v/>
      </c>
      <c r="BG200" s="41">
        <f>BG198*Assumptions!$B$144*Assumptions!$B$46*Assumptions!$B$30</f>
        <v/>
      </c>
      <c r="BH200" s="41">
        <f>BH198*Assumptions!$B$144*Assumptions!$B$46*Assumptions!$B$30</f>
        <v/>
      </c>
      <c r="BI200" s="41">
        <f>BI198*Assumptions!$B$144*Assumptions!$B$46*Assumptions!$B$30</f>
        <v/>
      </c>
      <c r="BJ200" s="41">
        <f>BJ198*Assumptions!$B$144*Assumptions!$B$46*Assumptions!$B$30</f>
        <v/>
      </c>
    </row>
    <row r="201">
      <c r="A201" s="3" t="inlineStr">
        <is>
          <t>South Africa: Corporate (inbound): closing</t>
        </is>
      </c>
      <c r="B201" s="17" t="inlineStr">
        <is>
          <t>workspaces</t>
        </is>
      </c>
      <c r="C201" s="44">
        <f>C198+C199-C200</f>
        <v/>
      </c>
      <c r="D201" s="44">
        <f>D198+D199-D200</f>
        <v/>
      </c>
      <c r="E201" s="44">
        <f>E198+E199-E200</f>
        <v/>
      </c>
      <c r="F201" s="44">
        <f>F198+F199-F200</f>
        <v/>
      </c>
      <c r="G201" s="44">
        <f>G198+G199-G200</f>
        <v/>
      </c>
      <c r="H201" s="44">
        <f>H198+H199-H200</f>
        <v/>
      </c>
      <c r="I201" s="44">
        <f>I198+I199-I200</f>
        <v/>
      </c>
      <c r="J201" s="44">
        <f>J198+J199-J200</f>
        <v/>
      </c>
      <c r="K201" s="44">
        <f>K198+K199-K200</f>
        <v/>
      </c>
      <c r="L201" s="44">
        <f>L198+L199-L200</f>
        <v/>
      </c>
      <c r="M201" s="44">
        <f>M198+M199-M200</f>
        <v/>
      </c>
      <c r="N201" s="44">
        <f>N198+N199-N200</f>
        <v/>
      </c>
      <c r="O201" s="44">
        <f>O198+O199-O200</f>
        <v/>
      </c>
      <c r="P201" s="44">
        <f>P198+P199-P200</f>
        <v/>
      </c>
      <c r="Q201" s="44">
        <f>Q198+Q199-Q200</f>
        <v/>
      </c>
      <c r="R201" s="44">
        <f>R198+R199-R200</f>
        <v/>
      </c>
      <c r="S201" s="44">
        <f>S198+S199-S200</f>
        <v/>
      </c>
      <c r="T201" s="44">
        <f>T198+T199-T200</f>
        <v/>
      </c>
      <c r="U201" s="44">
        <f>U198+U199-U200</f>
        <v/>
      </c>
      <c r="V201" s="44">
        <f>V198+V199-V200</f>
        <v/>
      </c>
      <c r="W201" s="44">
        <f>W198+W199-W200</f>
        <v/>
      </c>
      <c r="X201" s="44">
        <f>X198+X199-X200</f>
        <v/>
      </c>
      <c r="Y201" s="44">
        <f>Y198+Y199-Y200</f>
        <v/>
      </c>
      <c r="Z201" s="44">
        <f>Z198+Z199-Z200</f>
        <v/>
      </c>
      <c r="AA201" s="44">
        <f>AA198+AA199-AA200</f>
        <v/>
      </c>
      <c r="AB201" s="44">
        <f>AB198+AB199-AB200</f>
        <v/>
      </c>
      <c r="AC201" s="44">
        <f>AC198+AC199-AC200</f>
        <v/>
      </c>
      <c r="AD201" s="44">
        <f>AD198+AD199-AD200</f>
        <v/>
      </c>
      <c r="AE201" s="44">
        <f>AE198+AE199-AE200</f>
        <v/>
      </c>
      <c r="AF201" s="44">
        <f>AF198+AF199-AF200</f>
        <v/>
      </c>
      <c r="AG201" s="44">
        <f>AG198+AG199-AG200</f>
        <v/>
      </c>
      <c r="AH201" s="44">
        <f>AH198+AH199-AH200</f>
        <v/>
      </c>
      <c r="AI201" s="44">
        <f>AI198+AI199-AI200</f>
        <v/>
      </c>
      <c r="AJ201" s="44">
        <f>AJ198+AJ199-AJ200</f>
        <v/>
      </c>
      <c r="AK201" s="44">
        <f>AK198+AK199-AK200</f>
        <v/>
      </c>
      <c r="AL201" s="44">
        <f>AL198+AL199-AL200</f>
        <v/>
      </c>
      <c r="AM201" s="44">
        <f>AM198+AM199-AM200</f>
        <v/>
      </c>
      <c r="AN201" s="44">
        <f>AN198+AN199-AN200</f>
        <v/>
      </c>
      <c r="AO201" s="44">
        <f>AO198+AO199-AO200</f>
        <v/>
      </c>
      <c r="AP201" s="44">
        <f>AP198+AP199-AP200</f>
        <v/>
      </c>
      <c r="AQ201" s="44">
        <f>AQ198+AQ199-AQ200</f>
        <v/>
      </c>
      <c r="AR201" s="44">
        <f>AR198+AR199-AR200</f>
        <v/>
      </c>
      <c r="AS201" s="44">
        <f>AS198+AS199-AS200</f>
        <v/>
      </c>
      <c r="AT201" s="44">
        <f>AT198+AT199-AT200</f>
        <v/>
      </c>
      <c r="AU201" s="44">
        <f>AU198+AU199-AU200</f>
        <v/>
      </c>
      <c r="AV201" s="44">
        <f>AV198+AV199-AV200</f>
        <v/>
      </c>
      <c r="AW201" s="44">
        <f>AW198+AW199-AW200</f>
        <v/>
      </c>
      <c r="AX201" s="44">
        <f>AX198+AX199-AX200</f>
        <v/>
      </c>
      <c r="AY201" s="44">
        <f>AY198+AY199-AY200</f>
        <v/>
      </c>
      <c r="AZ201" s="44">
        <f>AZ198+AZ199-AZ200</f>
        <v/>
      </c>
      <c r="BA201" s="44">
        <f>BA198+BA199-BA200</f>
        <v/>
      </c>
      <c r="BB201" s="44">
        <f>BB198+BB199-BB200</f>
        <v/>
      </c>
      <c r="BC201" s="44">
        <f>BC198+BC199-BC200</f>
        <v/>
      </c>
      <c r="BD201" s="44">
        <f>BD198+BD199-BD200</f>
        <v/>
      </c>
      <c r="BE201" s="44">
        <f>BE198+BE199-BE200</f>
        <v/>
      </c>
      <c r="BF201" s="44">
        <f>BF198+BF199-BF200</f>
        <v/>
      </c>
      <c r="BG201" s="44">
        <f>BG198+BG199-BG200</f>
        <v/>
      </c>
      <c r="BH201" s="44">
        <f>BH198+BH199-BH200</f>
        <v/>
      </c>
      <c r="BI201" s="44">
        <f>BI198+BI199-BI200</f>
        <v/>
      </c>
      <c r="BJ201" s="44">
        <f>BJ198+BJ199-BJ200</f>
        <v/>
      </c>
    </row>
    <row r="202">
      <c r="A202" s="4" t="inlineStr">
        <is>
          <t>South Africa: Enterprise: Custom (inbound): opening</t>
        </is>
      </c>
      <c r="B202" s="17" t="inlineStr">
        <is>
          <t>workspaces</t>
        </is>
      </c>
      <c r="C202" s="41">
        <f>0</f>
        <v/>
      </c>
      <c r="D202" s="41">
        <f>C205</f>
        <v/>
      </c>
      <c r="E202" s="41">
        <f>D205</f>
        <v/>
      </c>
      <c r="F202" s="41">
        <f>E205</f>
        <v/>
      </c>
      <c r="G202" s="41">
        <f>F205</f>
        <v/>
      </c>
      <c r="H202" s="41">
        <f>G205</f>
        <v/>
      </c>
      <c r="I202" s="41">
        <f>H205</f>
        <v/>
      </c>
      <c r="J202" s="41">
        <f>I205</f>
        <v/>
      </c>
      <c r="K202" s="41">
        <f>J205</f>
        <v/>
      </c>
      <c r="L202" s="41">
        <f>K205</f>
        <v/>
      </c>
      <c r="M202" s="41">
        <f>L205</f>
        <v/>
      </c>
      <c r="N202" s="41">
        <f>M205</f>
        <v/>
      </c>
      <c r="O202" s="41">
        <f>N205</f>
        <v/>
      </c>
      <c r="P202" s="41">
        <f>O205</f>
        <v/>
      </c>
      <c r="Q202" s="41">
        <f>P205</f>
        <v/>
      </c>
      <c r="R202" s="41">
        <f>Q205</f>
        <v/>
      </c>
      <c r="S202" s="41">
        <f>R205</f>
        <v/>
      </c>
      <c r="T202" s="41">
        <f>S205</f>
        <v/>
      </c>
      <c r="U202" s="41">
        <f>T205</f>
        <v/>
      </c>
      <c r="V202" s="41">
        <f>U205</f>
        <v/>
      </c>
      <c r="W202" s="41">
        <f>V205</f>
        <v/>
      </c>
      <c r="X202" s="41">
        <f>W205</f>
        <v/>
      </c>
      <c r="Y202" s="41">
        <f>X205</f>
        <v/>
      </c>
      <c r="Z202" s="41">
        <f>Y205</f>
        <v/>
      </c>
      <c r="AA202" s="41">
        <f>Z205</f>
        <v/>
      </c>
      <c r="AB202" s="41">
        <f>AA205</f>
        <v/>
      </c>
      <c r="AC202" s="41">
        <f>AB205</f>
        <v/>
      </c>
      <c r="AD202" s="41">
        <f>AC205</f>
        <v/>
      </c>
      <c r="AE202" s="41">
        <f>AD205</f>
        <v/>
      </c>
      <c r="AF202" s="41">
        <f>AE205</f>
        <v/>
      </c>
      <c r="AG202" s="41">
        <f>AF205</f>
        <v/>
      </c>
      <c r="AH202" s="41">
        <f>AG205</f>
        <v/>
      </c>
      <c r="AI202" s="41">
        <f>AH205</f>
        <v/>
      </c>
      <c r="AJ202" s="41">
        <f>AI205</f>
        <v/>
      </c>
      <c r="AK202" s="41">
        <f>AJ205</f>
        <v/>
      </c>
      <c r="AL202" s="41">
        <f>AK205</f>
        <v/>
      </c>
      <c r="AM202" s="41">
        <f>AL205</f>
        <v/>
      </c>
      <c r="AN202" s="41">
        <f>AM205</f>
        <v/>
      </c>
      <c r="AO202" s="41">
        <f>AN205</f>
        <v/>
      </c>
      <c r="AP202" s="41">
        <f>AO205</f>
        <v/>
      </c>
      <c r="AQ202" s="41">
        <f>AP205</f>
        <v/>
      </c>
      <c r="AR202" s="41">
        <f>AQ205</f>
        <v/>
      </c>
      <c r="AS202" s="41">
        <f>AR205</f>
        <v/>
      </c>
      <c r="AT202" s="41">
        <f>AS205</f>
        <v/>
      </c>
      <c r="AU202" s="41">
        <f>AT205</f>
        <v/>
      </c>
      <c r="AV202" s="41">
        <f>AU205</f>
        <v/>
      </c>
      <c r="AW202" s="41">
        <f>AV205</f>
        <v/>
      </c>
      <c r="AX202" s="41">
        <f>AW205</f>
        <v/>
      </c>
      <c r="AY202" s="41">
        <f>AX205</f>
        <v/>
      </c>
      <c r="AZ202" s="41">
        <f>AY205</f>
        <v/>
      </c>
      <c r="BA202" s="41">
        <f>AZ205</f>
        <v/>
      </c>
      <c r="BB202" s="41">
        <f>BA205</f>
        <v/>
      </c>
      <c r="BC202" s="41">
        <f>BB205</f>
        <v/>
      </c>
      <c r="BD202" s="41">
        <f>BC205</f>
        <v/>
      </c>
      <c r="BE202" s="41">
        <f>BD205</f>
        <v/>
      </c>
      <c r="BF202" s="41">
        <f>BE205</f>
        <v/>
      </c>
      <c r="BG202" s="41">
        <f>BF205</f>
        <v/>
      </c>
      <c r="BH202" s="41">
        <f>BG205</f>
        <v/>
      </c>
      <c r="BI202" s="41">
        <f>BH205</f>
        <v/>
      </c>
      <c r="BJ202" s="41">
        <f>BI205</f>
        <v/>
      </c>
    </row>
    <row r="203">
      <c r="A203" s="4" t="inlineStr">
        <is>
          <t>South Africa: Enterprise: Custom (inbound): new</t>
        </is>
      </c>
      <c r="B203" s="17" t="inlineStr">
        <is>
          <t>workspaces</t>
        </is>
      </c>
      <c r="C203" s="41">
        <f>C163</f>
        <v/>
      </c>
      <c r="D203" s="41">
        <f>D163</f>
        <v/>
      </c>
      <c r="E203" s="41">
        <f>E163</f>
        <v/>
      </c>
      <c r="F203" s="41">
        <f>F163</f>
        <v/>
      </c>
      <c r="G203" s="41">
        <f>G163</f>
        <v/>
      </c>
      <c r="H203" s="41">
        <f>H163</f>
        <v/>
      </c>
      <c r="I203" s="41">
        <f>I163</f>
        <v/>
      </c>
      <c r="J203" s="41">
        <f>J163</f>
        <v/>
      </c>
      <c r="K203" s="41">
        <f>K163</f>
        <v/>
      </c>
      <c r="L203" s="41">
        <f>L163</f>
        <v/>
      </c>
      <c r="M203" s="41">
        <f>M163</f>
        <v/>
      </c>
      <c r="N203" s="41">
        <f>N163</f>
        <v/>
      </c>
      <c r="O203" s="41">
        <f>O163</f>
        <v/>
      </c>
      <c r="P203" s="41">
        <f>P163</f>
        <v/>
      </c>
      <c r="Q203" s="41">
        <f>Q163</f>
        <v/>
      </c>
      <c r="R203" s="41">
        <f>R163</f>
        <v/>
      </c>
      <c r="S203" s="41">
        <f>S163</f>
        <v/>
      </c>
      <c r="T203" s="41">
        <f>T163</f>
        <v/>
      </c>
      <c r="U203" s="41">
        <f>U163</f>
        <v/>
      </c>
      <c r="V203" s="41">
        <f>V163</f>
        <v/>
      </c>
      <c r="W203" s="41">
        <f>W163</f>
        <v/>
      </c>
      <c r="X203" s="41">
        <f>X163</f>
        <v/>
      </c>
      <c r="Y203" s="41">
        <f>Y163</f>
        <v/>
      </c>
      <c r="Z203" s="41">
        <f>Z163</f>
        <v/>
      </c>
      <c r="AA203" s="41">
        <f>AA163</f>
        <v/>
      </c>
      <c r="AB203" s="41">
        <f>AB163</f>
        <v/>
      </c>
      <c r="AC203" s="41">
        <f>AC163</f>
        <v/>
      </c>
      <c r="AD203" s="41">
        <f>AD163</f>
        <v/>
      </c>
      <c r="AE203" s="41">
        <f>AE163</f>
        <v/>
      </c>
      <c r="AF203" s="41">
        <f>AF163</f>
        <v/>
      </c>
      <c r="AG203" s="41">
        <f>AG163</f>
        <v/>
      </c>
      <c r="AH203" s="41">
        <f>AH163</f>
        <v/>
      </c>
      <c r="AI203" s="41">
        <f>AI163</f>
        <v/>
      </c>
      <c r="AJ203" s="41">
        <f>AJ163</f>
        <v/>
      </c>
      <c r="AK203" s="41">
        <f>AK163</f>
        <v/>
      </c>
      <c r="AL203" s="41">
        <f>AL163</f>
        <v/>
      </c>
      <c r="AM203" s="41">
        <f>AM163</f>
        <v/>
      </c>
      <c r="AN203" s="41">
        <f>AN163</f>
        <v/>
      </c>
      <c r="AO203" s="41">
        <f>AO163</f>
        <v/>
      </c>
      <c r="AP203" s="41">
        <f>AP163</f>
        <v/>
      </c>
      <c r="AQ203" s="41">
        <f>AQ163</f>
        <v/>
      </c>
      <c r="AR203" s="41">
        <f>AR163</f>
        <v/>
      </c>
      <c r="AS203" s="41">
        <f>AS163</f>
        <v/>
      </c>
      <c r="AT203" s="41">
        <f>AT163</f>
        <v/>
      </c>
      <c r="AU203" s="41">
        <f>AU163</f>
        <v/>
      </c>
      <c r="AV203" s="41">
        <f>AV163</f>
        <v/>
      </c>
      <c r="AW203" s="41">
        <f>AW163</f>
        <v/>
      </c>
      <c r="AX203" s="41">
        <f>AX163</f>
        <v/>
      </c>
      <c r="AY203" s="41">
        <f>AY163</f>
        <v/>
      </c>
      <c r="AZ203" s="41">
        <f>AZ163</f>
        <v/>
      </c>
      <c r="BA203" s="41">
        <f>BA163</f>
        <v/>
      </c>
      <c r="BB203" s="41">
        <f>BB163</f>
        <v/>
      </c>
      <c r="BC203" s="41">
        <f>BC163</f>
        <v/>
      </c>
      <c r="BD203" s="41">
        <f>BD163</f>
        <v/>
      </c>
      <c r="BE203" s="41">
        <f>BE163</f>
        <v/>
      </c>
      <c r="BF203" s="41">
        <f>BF163</f>
        <v/>
      </c>
      <c r="BG203" s="41">
        <f>BG163</f>
        <v/>
      </c>
      <c r="BH203" s="41">
        <f>BH163</f>
        <v/>
      </c>
      <c r="BI203" s="41">
        <f>BI163</f>
        <v/>
      </c>
      <c r="BJ203" s="41">
        <f>BJ163</f>
        <v/>
      </c>
    </row>
    <row r="204">
      <c r="A204" s="4" t="inlineStr">
        <is>
          <t>South Africa: Enterprise: Custom (inbound): churned</t>
        </is>
      </c>
      <c r="B204" s="17" t="inlineStr">
        <is>
          <t>workspaces</t>
        </is>
      </c>
      <c r="C204" s="41">
        <f>C202*Assumptions!$B$145*Assumptions!$B$46*Assumptions!$B$30</f>
        <v/>
      </c>
      <c r="D204" s="41">
        <f>D202*Assumptions!$B$145*Assumptions!$B$46*Assumptions!$B$30</f>
        <v/>
      </c>
      <c r="E204" s="41">
        <f>E202*Assumptions!$B$145*Assumptions!$B$46*Assumptions!$B$30</f>
        <v/>
      </c>
      <c r="F204" s="41">
        <f>F202*Assumptions!$B$145*Assumptions!$B$46*Assumptions!$B$30</f>
        <v/>
      </c>
      <c r="G204" s="41">
        <f>G202*Assumptions!$B$145*Assumptions!$B$46*Assumptions!$B$30</f>
        <v/>
      </c>
      <c r="H204" s="41">
        <f>H202*Assumptions!$B$145*Assumptions!$B$46*Assumptions!$B$30</f>
        <v/>
      </c>
      <c r="I204" s="41">
        <f>I202*Assumptions!$B$145*Assumptions!$B$46*Assumptions!$B$30</f>
        <v/>
      </c>
      <c r="J204" s="41">
        <f>J202*Assumptions!$B$145*Assumptions!$B$46*Assumptions!$B$30</f>
        <v/>
      </c>
      <c r="K204" s="41">
        <f>K202*Assumptions!$B$145*Assumptions!$B$46*Assumptions!$B$30</f>
        <v/>
      </c>
      <c r="L204" s="41">
        <f>L202*Assumptions!$B$145*Assumptions!$B$46*Assumptions!$B$30</f>
        <v/>
      </c>
      <c r="M204" s="41">
        <f>M202*Assumptions!$B$145*Assumptions!$B$46*Assumptions!$B$30</f>
        <v/>
      </c>
      <c r="N204" s="41">
        <f>N202*Assumptions!$B$145*Assumptions!$B$46*Assumptions!$B$30</f>
        <v/>
      </c>
      <c r="O204" s="41">
        <f>O202*Assumptions!$B$145*Assumptions!$B$46*Assumptions!$B$30</f>
        <v/>
      </c>
      <c r="P204" s="41">
        <f>P202*Assumptions!$B$145*Assumptions!$B$46*Assumptions!$B$30</f>
        <v/>
      </c>
      <c r="Q204" s="41">
        <f>Q202*Assumptions!$B$145*Assumptions!$B$46*Assumptions!$B$30</f>
        <v/>
      </c>
      <c r="R204" s="41">
        <f>R202*Assumptions!$B$145*Assumptions!$B$46*Assumptions!$B$30</f>
        <v/>
      </c>
      <c r="S204" s="41">
        <f>S202*Assumptions!$B$145*Assumptions!$B$46*Assumptions!$B$30</f>
        <v/>
      </c>
      <c r="T204" s="41">
        <f>T202*Assumptions!$B$145*Assumptions!$B$46*Assumptions!$B$30</f>
        <v/>
      </c>
      <c r="U204" s="41">
        <f>U202*Assumptions!$B$145*Assumptions!$B$46*Assumptions!$B$30</f>
        <v/>
      </c>
      <c r="V204" s="41">
        <f>V202*Assumptions!$B$145*Assumptions!$B$46*Assumptions!$B$30</f>
        <v/>
      </c>
      <c r="W204" s="41">
        <f>W202*Assumptions!$B$145*Assumptions!$B$46*Assumptions!$B$30</f>
        <v/>
      </c>
      <c r="X204" s="41">
        <f>X202*Assumptions!$B$145*Assumptions!$B$46*Assumptions!$B$30</f>
        <v/>
      </c>
      <c r="Y204" s="41">
        <f>Y202*Assumptions!$B$145*Assumptions!$B$46*Assumptions!$B$30</f>
        <v/>
      </c>
      <c r="Z204" s="41">
        <f>Z202*Assumptions!$B$145*Assumptions!$B$46*Assumptions!$B$30</f>
        <v/>
      </c>
      <c r="AA204" s="41">
        <f>AA202*Assumptions!$B$145*Assumptions!$B$46*Assumptions!$B$30</f>
        <v/>
      </c>
      <c r="AB204" s="41">
        <f>AB202*Assumptions!$B$145*Assumptions!$B$46*Assumptions!$B$30</f>
        <v/>
      </c>
      <c r="AC204" s="41">
        <f>AC202*Assumptions!$B$145*Assumptions!$B$46*Assumptions!$B$30</f>
        <v/>
      </c>
      <c r="AD204" s="41">
        <f>AD202*Assumptions!$B$145*Assumptions!$B$46*Assumptions!$B$30</f>
        <v/>
      </c>
      <c r="AE204" s="41">
        <f>AE202*Assumptions!$B$145*Assumptions!$B$46*Assumptions!$B$30</f>
        <v/>
      </c>
      <c r="AF204" s="41">
        <f>AF202*Assumptions!$B$145*Assumptions!$B$46*Assumptions!$B$30</f>
        <v/>
      </c>
      <c r="AG204" s="41">
        <f>AG202*Assumptions!$B$145*Assumptions!$B$46*Assumptions!$B$30</f>
        <v/>
      </c>
      <c r="AH204" s="41">
        <f>AH202*Assumptions!$B$145*Assumptions!$B$46*Assumptions!$B$30</f>
        <v/>
      </c>
      <c r="AI204" s="41">
        <f>AI202*Assumptions!$B$145*Assumptions!$B$46*Assumptions!$B$30</f>
        <v/>
      </c>
      <c r="AJ204" s="41">
        <f>AJ202*Assumptions!$B$145*Assumptions!$B$46*Assumptions!$B$30</f>
        <v/>
      </c>
      <c r="AK204" s="41">
        <f>AK202*Assumptions!$B$145*Assumptions!$B$46*Assumptions!$B$30</f>
        <v/>
      </c>
      <c r="AL204" s="41">
        <f>AL202*Assumptions!$B$145*Assumptions!$B$46*Assumptions!$B$30</f>
        <v/>
      </c>
      <c r="AM204" s="41">
        <f>AM202*Assumptions!$B$145*Assumptions!$B$46*Assumptions!$B$30</f>
        <v/>
      </c>
      <c r="AN204" s="41">
        <f>AN202*Assumptions!$B$145*Assumptions!$B$46*Assumptions!$B$30</f>
        <v/>
      </c>
      <c r="AO204" s="41">
        <f>AO202*Assumptions!$B$145*Assumptions!$B$46*Assumptions!$B$30</f>
        <v/>
      </c>
      <c r="AP204" s="41">
        <f>AP202*Assumptions!$B$145*Assumptions!$B$46*Assumptions!$B$30</f>
        <v/>
      </c>
      <c r="AQ204" s="41">
        <f>AQ202*Assumptions!$B$145*Assumptions!$B$46*Assumptions!$B$30</f>
        <v/>
      </c>
      <c r="AR204" s="41">
        <f>AR202*Assumptions!$B$145*Assumptions!$B$46*Assumptions!$B$30</f>
        <v/>
      </c>
      <c r="AS204" s="41">
        <f>AS202*Assumptions!$B$145*Assumptions!$B$46*Assumptions!$B$30</f>
        <v/>
      </c>
      <c r="AT204" s="41">
        <f>AT202*Assumptions!$B$145*Assumptions!$B$46*Assumptions!$B$30</f>
        <v/>
      </c>
      <c r="AU204" s="41">
        <f>AU202*Assumptions!$B$145*Assumptions!$B$46*Assumptions!$B$30</f>
        <v/>
      </c>
      <c r="AV204" s="41">
        <f>AV202*Assumptions!$B$145*Assumptions!$B$46*Assumptions!$B$30</f>
        <v/>
      </c>
      <c r="AW204" s="41">
        <f>AW202*Assumptions!$B$145*Assumptions!$B$46*Assumptions!$B$30</f>
        <v/>
      </c>
      <c r="AX204" s="41">
        <f>AX202*Assumptions!$B$145*Assumptions!$B$46*Assumptions!$B$30</f>
        <v/>
      </c>
      <c r="AY204" s="41">
        <f>AY202*Assumptions!$B$145*Assumptions!$B$46*Assumptions!$B$30</f>
        <v/>
      </c>
      <c r="AZ204" s="41">
        <f>AZ202*Assumptions!$B$145*Assumptions!$B$46*Assumptions!$B$30</f>
        <v/>
      </c>
      <c r="BA204" s="41">
        <f>BA202*Assumptions!$B$145*Assumptions!$B$46*Assumptions!$B$30</f>
        <v/>
      </c>
      <c r="BB204" s="41">
        <f>BB202*Assumptions!$B$145*Assumptions!$B$46*Assumptions!$B$30</f>
        <v/>
      </c>
      <c r="BC204" s="41">
        <f>BC202*Assumptions!$B$145*Assumptions!$B$46*Assumptions!$B$30</f>
        <v/>
      </c>
      <c r="BD204" s="41">
        <f>BD202*Assumptions!$B$145*Assumptions!$B$46*Assumptions!$B$30</f>
        <v/>
      </c>
      <c r="BE204" s="41">
        <f>BE202*Assumptions!$B$145*Assumptions!$B$46*Assumptions!$B$30</f>
        <v/>
      </c>
      <c r="BF204" s="41">
        <f>BF202*Assumptions!$B$145*Assumptions!$B$46*Assumptions!$B$30</f>
        <v/>
      </c>
      <c r="BG204" s="41">
        <f>BG202*Assumptions!$B$145*Assumptions!$B$46*Assumptions!$B$30</f>
        <v/>
      </c>
      <c r="BH204" s="41">
        <f>BH202*Assumptions!$B$145*Assumptions!$B$46*Assumptions!$B$30</f>
        <v/>
      </c>
      <c r="BI204" s="41">
        <f>BI202*Assumptions!$B$145*Assumptions!$B$46*Assumptions!$B$30</f>
        <v/>
      </c>
      <c r="BJ204" s="41">
        <f>BJ202*Assumptions!$B$145*Assumptions!$B$46*Assumptions!$B$30</f>
        <v/>
      </c>
    </row>
    <row r="205">
      <c r="A205" s="3" t="inlineStr">
        <is>
          <t>South Africa: Enterprise: Custom (inbound): closing</t>
        </is>
      </c>
      <c r="B205" s="17" t="inlineStr">
        <is>
          <t>workspaces</t>
        </is>
      </c>
      <c r="C205" s="44">
        <f>C202+C203-C204</f>
        <v/>
      </c>
      <c r="D205" s="44">
        <f>D202+D203-D204</f>
        <v/>
      </c>
      <c r="E205" s="44">
        <f>E202+E203-E204</f>
        <v/>
      </c>
      <c r="F205" s="44">
        <f>F202+F203-F204</f>
        <v/>
      </c>
      <c r="G205" s="44">
        <f>G202+G203-G204</f>
        <v/>
      </c>
      <c r="H205" s="44">
        <f>H202+H203-H204</f>
        <v/>
      </c>
      <c r="I205" s="44">
        <f>I202+I203-I204</f>
        <v/>
      </c>
      <c r="J205" s="44">
        <f>J202+J203-J204</f>
        <v/>
      </c>
      <c r="K205" s="44">
        <f>K202+K203-K204</f>
        <v/>
      </c>
      <c r="L205" s="44">
        <f>L202+L203-L204</f>
        <v/>
      </c>
      <c r="M205" s="44">
        <f>M202+M203-M204</f>
        <v/>
      </c>
      <c r="N205" s="44">
        <f>N202+N203-N204</f>
        <v/>
      </c>
      <c r="O205" s="44">
        <f>O202+O203-O204</f>
        <v/>
      </c>
      <c r="P205" s="44">
        <f>P202+P203-P204</f>
        <v/>
      </c>
      <c r="Q205" s="44">
        <f>Q202+Q203-Q204</f>
        <v/>
      </c>
      <c r="R205" s="44">
        <f>R202+R203-R204</f>
        <v/>
      </c>
      <c r="S205" s="44">
        <f>S202+S203-S204</f>
        <v/>
      </c>
      <c r="T205" s="44">
        <f>T202+T203-T204</f>
        <v/>
      </c>
      <c r="U205" s="44">
        <f>U202+U203-U204</f>
        <v/>
      </c>
      <c r="V205" s="44">
        <f>V202+V203-V204</f>
        <v/>
      </c>
      <c r="W205" s="44">
        <f>W202+W203-W204</f>
        <v/>
      </c>
      <c r="X205" s="44">
        <f>X202+X203-X204</f>
        <v/>
      </c>
      <c r="Y205" s="44">
        <f>Y202+Y203-Y204</f>
        <v/>
      </c>
      <c r="Z205" s="44">
        <f>Z202+Z203-Z204</f>
        <v/>
      </c>
      <c r="AA205" s="44">
        <f>AA202+AA203-AA204</f>
        <v/>
      </c>
      <c r="AB205" s="44">
        <f>AB202+AB203-AB204</f>
        <v/>
      </c>
      <c r="AC205" s="44">
        <f>AC202+AC203-AC204</f>
        <v/>
      </c>
      <c r="AD205" s="44">
        <f>AD202+AD203-AD204</f>
        <v/>
      </c>
      <c r="AE205" s="44">
        <f>AE202+AE203-AE204</f>
        <v/>
      </c>
      <c r="AF205" s="44">
        <f>AF202+AF203-AF204</f>
        <v/>
      </c>
      <c r="AG205" s="44">
        <f>AG202+AG203-AG204</f>
        <v/>
      </c>
      <c r="AH205" s="44">
        <f>AH202+AH203-AH204</f>
        <v/>
      </c>
      <c r="AI205" s="44">
        <f>AI202+AI203-AI204</f>
        <v/>
      </c>
      <c r="AJ205" s="44">
        <f>AJ202+AJ203-AJ204</f>
        <v/>
      </c>
      <c r="AK205" s="44">
        <f>AK202+AK203-AK204</f>
        <v/>
      </c>
      <c r="AL205" s="44">
        <f>AL202+AL203-AL204</f>
        <v/>
      </c>
      <c r="AM205" s="44">
        <f>AM202+AM203-AM204</f>
        <v/>
      </c>
      <c r="AN205" s="44">
        <f>AN202+AN203-AN204</f>
        <v/>
      </c>
      <c r="AO205" s="44">
        <f>AO202+AO203-AO204</f>
        <v/>
      </c>
      <c r="AP205" s="44">
        <f>AP202+AP203-AP204</f>
        <v/>
      </c>
      <c r="AQ205" s="44">
        <f>AQ202+AQ203-AQ204</f>
        <v/>
      </c>
      <c r="AR205" s="44">
        <f>AR202+AR203-AR204</f>
        <v/>
      </c>
      <c r="AS205" s="44">
        <f>AS202+AS203-AS204</f>
        <v/>
      </c>
      <c r="AT205" s="44">
        <f>AT202+AT203-AT204</f>
        <v/>
      </c>
      <c r="AU205" s="44">
        <f>AU202+AU203-AU204</f>
        <v/>
      </c>
      <c r="AV205" s="44">
        <f>AV202+AV203-AV204</f>
        <v/>
      </c>
      <c r="AW205" s="44">
        <f>AW202+AW203-AW204</f>
        <v/>
      </c>
      <c r="AX205" s="44">
        <f>AX202+AX203-AX204</f>
        <v/>
      </c>
      <c r="AY205" s="44">
        <f>AY202+AY203-AY204</f>
        <v/>
      </c>
      <c r="AZ205" s="44">
        <f>AZ202+AZ203-AZ204</f>
        <v/>
      </c>
      <c r="BA205" s="44">
        <f>BA202+BA203-BA204</f>
        <v/>
      </c>
      <c r="BB205" s="44">
        <f>BB202+BB203-BB204</f>
        <v/>
      </c>
      <c r="BC205" s="44">
        <f>BC202+BC203-BC204</f>
        <v/>
      </c>
      <c r="BD205" s="44">
        <f>BD202+BD203-BD204</f>
        <v/>
      </c>
      <c r="BE205" s="44">
        <f>BE202+BE203-BE204</f>
        <v/>
      </c>
      <c r="BF205" s="44">
        <f>BF202+BF203-BF204</f>
        <v/>
      </c>
      <c r="BG205" s="44">
        <f>BG202+BG203-BG204</f>
        <v/>
      </c>
      <c r="BH205" s="44">
        <f>BH202+BH203-BH204</f>
        <v/>
      </c>
      <c r="BI205" s="44">
        <f>BI202+BI203-BI204</f>
        <v/>
      </c>
      <c r="BJ205" s="44">
        <f>BJ202+BJ203-BJ204</f>
        <v/>
      </c>
    </row>
    <row r="206">
      <c r="A206" s="4" t="inlineStr">
        <is>
          <t>Nigeria: Solo: Nano: opening</t>
        </is>
      </c>
      <c r="B206" s="17" t="inlineStr">
        <is>
          <t>workspaces</t>
        </is>
      </c>
      <c r="C206" s="41">
        <f>0</f>
        <v/>
      </c>
      <c r="D206" s="41">
        <f>C210</f>
        <v/>
      </c>
      <c r="E206" s="41">
        <f>D210</f>
        <v/>
      </c>
      <c r="F206" s="41">
        <f>E210</f>
        <v/>
      </c>
      <c r="G206" s="41">
        <f>F210</f>
        <v/>
      </c>
      <c r="H206" s="41">
        <f>G210</f>
        <v/>
      </c>
      <c r="I206" s="41">
        <f>H210</f>
        <v/>
      </c>
      <c r="J206" s="41">
        <f>I210</f>
        <v/>
      </c>
      <c r="K206" s="41">
        <f>J210</f>
        <v/>
      </c>
      <c r="L206" s="41">
        <f>K210</f>
        <v/>
      </c>
      <c r="M206" s="41">
        <f>L210</f>
        <v/>
      </c>
      <c r="N206" s="41">
        <f>M210</f>
        <v/>
      </c>
      <c r="O206" s="41">
        <f>N210</f>
        <v/>
      </c>
      <c r="P206" s="41">
        <f>O210</f>
        <v/>
      </c>
      <c r="Q206" s="41">
        <f>P210</f>
        <v/>
      </c>
      <c r="R206" s="41">
        <f>Q210</f>
        <v/>
      </c>
      <c r="S206" s="41">
        <f>R210</f>
        <v/>
      </c>
      <c r="T206" s="41">
        <f>S210</f>
        <v/>
      </c>
      <c r="U206" s="41">
        <f>T210</f>
        <v/>
      </c>
      <c r="V206" s="41">
        <f>U210</f>
        <v/>
      </c>
      <c r="W206" s="41">
        <f>V210</f>
        <v/>
      </c>
      <c r="X206" s="41">
        <f>W210</f>
        <v/>
      </c>
      <c r="Y206" s="41">
        <f>X210</f>
        <v/>
      </c>
      <c r="Z206" s="41">
        <f>Y210</f>
        <v/>
      </c>
      <c r="AA206" s="41">
        <f>Z210</f>
        <v/>
      </c>
      <c r="AB206" s="41">
        <f>AA210</f>
        <v/>
      </c>
      <c r="AC206" s="41">
        <f>AB210</f>
        <v/>
      </c>
      <c r="AD206" s="41">
        <f>AC210</f>
        <v/>
      </c>
      <c r="AE206" s="41">
        <f>AD210</f>
        <v/>
      </c>
      <c r="AF206" s="41">
        <f>AE210</f>
        <v/>
      </c>
      <c r="AG206" s="41">
        <f>AF210</f>
        <v/>
      </c>
      <c r="AH206" s="41">
        <f>AG210</f>
        <v/>
      </c>
      <c r="AI206" s="41">
        <f>AH210</f>
        <v/>
      </c>
      <c r="AJ206" s="41">
        <f>AI210</f>
        <v/>
      </c>
      <c r="AK206" s="41">
        <f>AJ210</f>
        <v/>
      </c>
      <c r="AL206" s="41">
        <f>AK210</f>
        <v/>
      </c>
      <c r="AM206" s="41">
        <f>AL210</f>
        <v/>
      </c>
      <c r="AN206" s="41">
        <f>AM210</f>
        <v/>
      </c>
      <c r="AO206" s="41">
        <f>AN210</f>
        <v/>
      </c>
      <c r="AP206" s="41">
        <f>AO210</f>
        <v/>
      </c>
      <c r="AQ206" s="41">
        <f>AP210</f>
        <v/>
      </c>
      <c r="AR206" s="41">
        <f>AQ210</f>
        <v/>
      </c>
      <c r="AS206" s="41">
        <f>AR210</f>
        <v/>
      </c>
      <c r="AT206" s="41">
        <f>AS210</f>
        <v/>
      </c>
      <c r="AU206" s="41">
        <f>AT210</f>
        <v/>
      </c>
      <c r="AV206" s="41">
        <f>AU210</f>
        <v/>
      </c>
      <c r="AW206" s="41">
        <f>AV210</f>
        <v/>
      </c>
      <c r="AX206" s="41">
        <f>AW210</f>
        <v/>
      </c>
      <c r="AY206" s="41">
        <f>AX210</f>
        <v/>
      </c>
      <c r="AZ206" s="41">
        <f>AY210</f>
        <v/>
      </c>
      <c r="BA206" s="41">
        <f>AZ210</f>
        <v/>
      </c>
      <c r="BB206" s="41">
        <f>BA210</f>
        <v/>
      </c>
      <c r="BC206" s="41">
        <f>BB210</f>
        <v/>
      </c>
      <c r="BD206" s="41">
        <f>BC210</f>
        <v/>
      </c>
      <c r="BE206" s="41">
        <f>BD210</f>
        <v/>
      </c>
      <c r="BF206" s="41">
        <f>BE210</f>
        <v/>
      </c>
      <c r="BG206" s="41">
        <f>BF210</f>
        <v/>
      </c>
      <c r="BH206" s="41">
        <f>BG210</f>
        <v/>
      </c>
      <c r="BI206" s="41">
        <f>BH210</f>
        <v/>
      </c>
      <c r="BJ206" s="41">
        <f>BI210</f>
        <v/>
      </c>
    </row>
    <row r="207">
      <c r="A207" s="4" t="inlineStr">
        <is>
          <t>Nigeria: Solo: Nano: new</t>
        </is>
      </c>
      <c r="B207" s="17" t="inlineStr">
        <is>
          <t>workspaces</t>
        </is>
      </c>
      <c r="C207" s="41">
        <f>C148*Assumptions!$B$124</f>
        <v/>
      </c>
      <c r="D207" s="41">
        <f>D148*Assumptions!$B$124</f>
        <v/>
      </c>
      <c r="E207" s="41">
        <f>E148*Assumptions!$B$124</f>
        <v/>
      </c>
      <c r="F207" s="41">
        <f>F148*Assumptions!$B$124</f>
        <v/>
      </c>
      <c r="G207" s="41">
        <f>G148*Assumptions!$B$124</f>
        <v/>
      </c>
      <c r="H207" s="41">
        <f>H148*Assumptions!$B$124</f>
        <v/>
      </c>
      <c r="I207" s="41">
        <f>I148*Assumptions!$B$124</f>
        <v/>
      </c>
      <c r="J207" s="41">
        <f>J148*Assumptions!$B$124</f>
        <v/>
      </c>
      <c r="K207" s="41">
        <f>K148*Assumptions!$B$124</f>
        <v/>
      </c>
      <c r="L207" s="41">
        <f>L148*Assumptions!$B$124</f>
        <v/>
      </c>
      <c r="M207" s="41">
        <f>M148*Assumptions!$B$124</f>
        <v/>
      </c>
      <c r="N207" s="41">
        <f>N148*Assumptions!$B$124</f>
        <v/>
      </c>
      <c r="O207" s="41">
        <f>O148*Assumptions!$B$124</f>
        <v/>
      </c>
      <c r="P207" s="41">
        <f>P148*Assumptions!$B$124</f>
        <v/>
      </c>
      <c r="Q207" s="41">
        <f>Q148*Assumptions!$B$124</f>
        <v/>
      </c>
      <c r="R207" s="41">
        <f>R148*Assumptions!$B$124</f>
        <v/>
      </c>
      <c r="S207" s="41">
        <f>S148*Assumptions!$B$124</f>
        <v/>
      </c>
      <c r="T207" s="41">
        <f>T148*Assumptions!$B$124</f>
        <v/>
      </c>
      <c r="U207" s="41">
        <f>U148*Assumptions!$B$124</f>
        <v/>
      </c>
      <c r="V207" s="41">
        <f>V148*Assumptions!$B$124</f>
        <v/>
      </c>
      <c r="W207" s="41">
        <f>W148*Assumptions!$B$124</f>
        <v/>
      </c>
      <c r="X207" s="41">
        <f>X148*Assumptions!$B$124</f>
        <v/>
      </c>
      <c r="Y207" s="41">
        <f>Y148*Assumptions!$B$124</f>
        <v/>
      </c>
      <c r="Z207" s="41">
        <f>Z148*Assumptions!$B$124</f>
        <v/>
      </c>
      <c r="AA207" s="41">
        <f>AA148*Assumptions!$B$124</f>
        <v/>
      </c>
      <c r="AB207" s="41">
        <f>AB148*Assumptions!$B$124</f>
        <v/>
      </c>
      <c r="AC207" s="41">
        <f>AC148*Assumptions!$B$124</f>
        <v/>
      </c>
      <c r="AD207" s="41">
        <f>AD148*Assumptions!$B$124</f>
        <v/>
      </c>
      <c r="AE207" s="41">
        <f>AE148*Assumptions!$B$124</f>
        <v/>
      </c>
      <c r="AF207" s="41">
        <f>AF148*Assumptions!$B$124</f>
        <v/>
      </c>
      <c r="AG207" s="41">
        <f>AG148*Assumptions!$B$124</f>
        <v/>
      </c>
      <c r="AH207" s="41">
        <f>AH148*Assumptions!$B$124</f>
        <v/>
      </c>
      <c r="AI207" s="41">
        <f>AI148*Assumptions!$B$124</f>
        <v/>
      </c>
      <c r="AJ207" s="41">
        <f>AJ148*Assumptions!$B$124</f>
        <v/>
      </c>
      <c r="AK207" s="41">
        <f>AK148*Assumptions!$B$124</f>
        <v/>
      </c>
      <c r="AL207" s="41">
        <f>AL148*Assumptions!$B$124</f>
        <v/>
      </c>
      <c r="AM207" s="41">
        <f>AM148*Assumptions!$B$124</f>
        <v/>
      </c>
      <c r="AN207" s="41">
        <f>AN148*Assumptions!$B$124</f>
        <v/>
      </c>
      <c r="AO207" s="41">
        <f>AO148*Assumptions!$B$124</f>
        <v/>
      </c>
      <c r="AP207" s="41">
        <f>AP148*Assumptions!$B$124</f>
        <v/>
      </c>
      <c r="AQ207" s="41">
        <f>AQ148*Assumptions!$B$124</f>
        <v/>
      </c>
      <c r="AR207" s="41">
        <f>AR148*Assumptions!$B$124</f>
        <v/>
      </c>
      <c r="AS207" s="41">
        <f>AS148*Assumptions!$B$124</f>
        <v/>
      </c>
      <c r="AT207" s="41">
        <f>AT148*Assumptions!$B$124</f>
        <v/>
      </c>
      <c r="AU207" s="41">
        <f>AU148*Assumptions!$B$124</f>
        <v/>
      </c>
      <c r="AV207" s="41">
        <f>AV148*Assumptions!$B$124</f>
        <v/>
      </c>
      <c r="AW207" s="41">
        <f>AW148*Assumptions!$B$124</f>
        <v/>
      </c>
      <c r="AX207" s="41">
        <f>AX148*Assumptions!$B$124</f>
        <v/>
      </c>
      <c r="AY207" s="41">
        <f>AY148*Assumptions!$B$124</f>
        <v/>
      </c>
      <c r="AZ207" s="41">
        <f>AZ148*Assumptions!$B$124</f>
        <v/>
      </c>
      <c r="BA207" s="41">
        <f>BA148*Assumptions!$B$124</f>
        <v/>
      </c>
      <c r="BB207" s="41">
        <f>BB148*Assumptions!$B$124</f>
        <v/>
      </c>
      <c r="BC207" s="41">
        <f>BC148*Assumptions!$B$124</f>
        <v/>
      </c>
      <c r="BD207" s="41">
        <f>BD148*Assumptions!$B$124</f>
        <v/>
      </c>
      <c r="BE207" s="41">
        <f>BE148*Assumptions!$B$124</f>
        <v/>
      </c>
      <c r="BF207" s="41">
        <f>BF148*Assumptions!$B$124</f>
        <v/>
      </c>
      <c r="BG207" s="41">
        <f>BG148*Assumptions!$B$124</f>
        <v/>
      </c>
      <c r="BH207" s="41">
        <f>BH148*Assumptions!$B$124</f>
        <v/>
      </c>
      <c r="BI207" s="41">
        <f>BI148*Assumptions!$B$124</f>
        <v/>
      </c>
      <c r="BJ207" s="41">
        <f>BJ148*Assumptions!$B$124</f>
        <v/>
      </c>
    </row>
    <row r="208">
      <c r="A208" s="4" t="inlineStr">
        <is>
          <t>Nigeria: Solo: Nano: churned</t>
        </is>
      </c>
      <c r="B208" s="17" t="inlineStr">
        <is>
          <t>workspaces</t>
        </is>
      </c>
      <c r="C208" s="41">
        <f>C206*Assumptions!$B$137*Assumptions!$B$46*Assumptions!$B$30*Assumptions!$B$64</f>
        <v/>
      </c>
      <c r="D208" s="41">
        <f>D206*Assumptions!$B$137*Assumptions!$B$46*Assumptions!$B$30*Assumptions!$B$64</f>
        <v/>
      </c>
      <c r="E208" s="41">
        <f>E206*Assumptions!$B$137*Assumptions!$B$46*Assumptions!$B$30*Assumptions!$B$64</f>
        <v/>
      </c>
      <c r="F208" s="41">
        <f>F206*Assumptions!$B$137*Assumptions!$B$46*Assumptions!$B$30*Assumptions!$B$64</f>
        <v/>
      </c>
      <c r="G208" s="41">
        <f>G206*Assumptions!$B$137*Assumptions!$B$46*Assumptions!$B$30*Assumptions!$B$64</f>
        <v/>
      </c>
      <c r="H208" s="41">
        <f>H206*Assumptions!$B$137*Assumptions!$B$46*Assumptions!$B$30*Assumptions!$B$64</f>
        <v/>
      </c>
      <c r="I208" s="41">
        <f>I206*Assumptions!$B$137*Assumptions!$B$46*Assumptions!$B$30*Assumptions!$B$64</f>
        <v/>
      </c>
      <c r="J208" s="41">
        <f>J206*Assumptions!$B$137*Assumptions!$B$46*Assumptions!$B$30*Assumptions!$B$64</f>
        <v/>
      </c>
      <c r="K208" s="41">
        <f>K206*Assumptions!$B$137*Assumptions!$B$46*Assumptions!$B$30*Assumptions!$B$64</f>
        <v/>
      </c>
      <c r="L208" s="41">
        <f>L206*Assumptions!$B$137*Assumptions!$B$46*Assumptions!$B$30*Assumptions!$B$64</f>
        <v/>
      </c>
      <c r="M208" s="41">
        <f>M206*Assumptions!$B$137*Assumptions!$B$46*Assumptions!$B$30*Assumptions!$B$64</f>
        <v/>
      </c>
      <c r="N208" s="41">
        <f>N206*Assumptions!$B$137*Assumptions!$B$46*Assumptions!$B$30*Assumptions!$B$64</f>
        <v/>
      </c>
      <c r="O208" s="41">
        <f>O206*Assumptions!$B$137*Assumptions!$B$46*Assumptions!$B$30*Assumptions!$B$64</f>
        <v/>
      </c>
      <c r="P208" s="41">
        <f>P206*Assumptions!$B$137*Assumptions!$B$46*Assumptions!$B$30*Assumptions!$B$64</f>
        <v/>
      </c>
      <c r="Q208" s="41">
        <f>Q206*Assumptions!$B$137*Assumptions!$B$46*Assumptions!$B$30*Assumptions!$B$64</f>
        <v/>
      </c>
      <c r="R208" s="41">
        <f>R206*Assumptions!$B$137*Assumptions!$B$46*Assumptions!$B$30*Assumptions!$B$64</f>
        <v/>
      </c>
      <c r="S208" s="41">
        <f>S206*Assumptions!$B$137*Assumptions!$B$46*Assumptions!$B$30*Assumptions!$B$64</f>
        <v/>
      </c>
      <c r="T208" s="41">
        <f>T206*Assumptions!$B$137*Assumptions!$B$46*Assumptions!$B$30*Assumptions!$B$64</f>
        <v/>
      </c>
      <c r="U208" s="41">
        <f>U206*Assumptions!$B$137*Assumptions!$B$46*Assumptions!$B$30*Assumptions!$B$64</f>
        <v/>
      </c>
      <c r="V208" s="41">
        <f>V206*Assumptions!$B$137*Assumptions!$B$46*Assumptions!$B$30*Assumptions!$B$64</f>
        <v/>
      </c>
      <c r="W208" s="41">
        <f>W206*Assumptions!$B$137*Assumptions!$B$46*Assumptions!$B$30*Assumptions!$B$64</f>
        <v/>
      </c>
      <c r="X208" s="41">
        <f>X206*Assumptions!$B$137*Assumptions!$B$46*Assumptions!$B$30*Assumptions!$B$64</f>
        <v/>
      </c>
      <c r="Y208" s="41">
        <f>Y206*Assumptions!$B$137*Assumptions!$B$46*Assumptions!$B$30*Assumptions!$B$64</f>
        <v/>
      </c>
      <c r="Z208" s="41">
        <f>Z206*Assumptions!$B$137*Assumptions!$B$46*Assumptions!$B$30*Assumptions!$B$64</f>
        <v/>
      </c>
      <c r="AA208" s="41">
        <f>AA206*Assumptions!$B$137*Assumptions!$B$46*Assumptions!$B$30*Assumptions!$B$64</f>
        <v/>
      </c>
      <c r="AB208" s="41">
        <f>AB206*Assumptions!$B$137*Assumptions!$B$46*Assumptions!$B$30*Assumptions!$B$64</f>
        <v/>
      </c>
      <c r="AC208" s="41">
        <f>AC206*Assumptions!$B$137*Assumptions!$B$46*Assumptions!$B$30*Assumptions!$B$64</f>
        <v/>
      </c>
      <c r="AD208" s="41">
        <f>AD206*Assumptions!$B$137*Assumptions!$B$46*Assumptions!$B$30*Assumptions!$B$64</f>
        <v/>
      </c>
      <c r="AE208" s="41">
        <f>AE206*Assumptions!$B$137*Assumptions!$B$46*Assumptions!$B$30*Assumptions!$B$64</f>
        <v/>
      </c>
      <c r="AF208" s="41">
        <f>AF206*Assumptions!$B$137*Assumptions!$B$46*Assumptions!$B$30*Assumptions!$B$64</f>
        <v/>
      </c>
      <c r="AG208" s="41">
        <f>AG206*Assumptions!$B$137*Assumptions!$B$46*Assumptions!$B$30*Assumptions!$B$64</f>
        <v/>
      </c>
      <c r="AH208" s="41">
        <f>AH206*Assumptions!$B$137*Assumptions!$B$46*Assumptions!$B$30*Assumptions!$B$64</f>
        <v/>
      </c>
      <c r="AI208" s="41">
        <f>AI206*Assumptions!$B$137*Assumptions!$B$46*Assumptions!$B$30*Assumptions!$B$64</f>
        <v/>
      </c>
      <c r="AJ208" s="41">
        <f>AJ206*Assumptions!$B$137*Assumptions!$B$46*Assumptions!$B$30*Assumptions!$B$64</f>
        <v/>
      </c>
      <c r="AK208" s="41">
        <f>AK206*Assumptions!$B$137*Assumptions!$B$46*Assumptions!$B$30*Assumptions!$B$64</f>
        <v/>
      </c>
      <c r="AL208" s="41">
        <f>AL206*Assumptions!$B$137*Assumptions!$B$46*Assumptions!$B$30*Assumptions!$B$64</f>
        <v/>
      </c>
      <c r="AM208" s="41">
        <f>AM206*Assumptions!$B$137*Assumptions!$B$46*Assumptions!$B$30*Assumptions!$B$64</f>
        <v/>
      </c>
      <c r="AN208" s="41">
        <f>AN206*Assumptions!$B$137*Assumptions!$B$46*Assumptions!$B$30*Assumptions!$B$64</f>
        <v/>
      </c>
      <c r="AO208" s="41">
        <f>AO206*Assumptions!$B$137*Assumptions!$B$46*Assumptions!$B$30*Assumptions!$B$64</f>
        <v/>
      </c>
      <c r="AP208" s="41">
        <f>AP206*Assumptions!$B$137*Assumptions!$B$46*Assumptions!$B$30*Assumptions!$B$64</f>
        <v/>
      </c>
      <c r="AQ208" s="41">
        <f>AQ206*Assumptions!$B$137*Assumptions!$B$46*Assumptions!$B$30*Assumptions!$B$64</f>
        <v/>
      </c>
      <c r="AR208" s="41">
        <f>AR206*Assumptions!$B$137*Assumptions!$B$46*Assumptions!$B$30*Assumptions!$B$64</f>
        <v/>
      </c>
      <c r="AS208" s="41">
        <f>AS206*Assumptions!$B$137*Assumptions!$B$46*Assumptions!$B$30*Assumptions!$B$64</f>
        <v/>
      </c>
      <c r="AT208" s="41">
        <f>AT206*Assumptions!$B$137*Assumptions!$B$46*Assumptions!$B$30*Assumptions!$B$64</f>
        <v/>
      </c>
      <c r="AU208" s="41">
        <f>AU206*Assumptions!$B$137*Assumptions!$B$46*Assumptions!$B$30*Assumptions!$B$64</f>
        <v/>
      </c>
      <c r="AV208" s="41">
        <f>AV206*Assumptions!$B$137*Assumptions!$B$46*Assumptions!$B$30*Assumptions!$B$64</f>
        <v/>
      </c>
      <c r="AW208" s="41">
        <f>AW206*Assumptions!$B$137*Assumptions!$B$46*Assumptions!$B$30*Assumptions!$B$64</f>
        <v/>
      </c>
      <c r="AX208" s="41">
        <f>AX206*Assumptions!$B$137*Assumptions!$B$46*Assumptions!$B$30*Assumptions!$B$64</f>
        <v/>
      </c>
      <c r="AY208" s="41">
        <f>AY206*Assumptions!$B$137*Assumptions!$B$46*Assumptions!$B$30*Assumptions!$B$64</f>
        <v/>
      </c>
      <c r="AZ208" s="41">
        <f>AZ206*Assumptions!$B$137*Assumptions!$B$46*Assumptions!$B$30*Assumptions!$B$64</f>
        <v/>
      </c>
      <c r="BA208" s="41">
        <f>BA206*Assumptions!$B$137*Assumptions!$B$46*Assumptions!$B$30*Assumptions!$B$64</f>
        <v/>
      </c>
      <c r="BB208" s="41">
        <f>BB206*Assumptions!$B$137*Assumptions!$B$46*Assumptions!$B$30*Assumptions!$B$64</f>
        <v/>
      </c>
      <c r="BC208" s="41">
        <f>BC206*Assumptions!$B$137*Assumptions!$B$46*Assumptions!$B$30*Assumptions!$B$64</f>
        <v/>
      </c>
      <c r="BD208" s="41">
        <f>BD206*Assumptions!$B$137*Assumptions!$B$46*Assumptions!$B$30*Assumptions!$B$64</f>
        <v/>
      </c>
      <c r="BE208" s="41">
        <f>BE206*Assumptions!$B$137*Assumptions!$B$46*Assumptions!$B$30*Assumptions!$B$64</f>
        <v/>
      </c>
      <c r="BF208" s="41">
        <f>BF206*Assumptions!$B$137*Assumptions!$B$46*Assumptions!$B$30*Assumptions!$B$64</f>
        <v/>
      </c>
      <c r="BG208" s="41">
        <f>BG206*Assumptions!$B$137*Assumptions!$B$46*Assumptions!$B$30*Assumptions!$B$64</f>
        <v/>
      </c>
      <c r="BH208" s="41">
        <f>BH206*Assumptions!$B$137*Assumptions!$B$46*Assumptions!$B$30*Assumptions!$B$64</f>
        <v/>
      </c>
      <c r="BI208" s="41">
        <f>BI206*Assumptions!$B$137*Assumptions!$B$46*Assumptions!$B$30*Assumptions!$B$64</f>
        <v/>
      </c>
      <c r="BJ208" s="41">
        <f>BJ206*Assumptions!$B$137*Assumptions!$B$46*Assumptions!$B$30*Assumptions!$B$64</f>
        <v/>
      </c>
    </row>
    <row r="209">
      <c r="A209" s="4" t="inlineStr">
        <is>
          <t>Nigeria: Solo: Nano: upgraded out</t>
        </is>
      </c>
      <c r="B209" s="17" t="inlineStr">
        <is>
          <t>workspaces</t>
        </is>
      </c>
      <c r="C209" s="41">
        <f>C206*Assumptions!$B$130</f>
        <v/>
      </c>
      <c r="D209" s="41">
        <f>D206*Assumptions!$B$130</f>
        <v/>
      </c>
      <c r="E209" s="41">
        <f>E206*Assumptions!$B$130</f>
        <v/>
      </c>
      <c r="F209" s="41">
        <f>F206*Assumptions!$B$130</f>
        <v/>
      </c>
      <c r="G209" s="41">
        <f>G206*Assumptions!$B$130</f>
        <v/>
      </c>
      <c r="H209" s="41">
        <f>H206*Assumptions!$B$130</f>
        <v/>
      </c>
      <c r="I209" s="41">
        <f>I206*Assumptions!$B$130</f>
        <v/>
      </c>
      <c r="J209" s="41">
        <f>J206*Assumptions!$B$130</f>
        <v/>
      </c>
      <c r="K209" s="41">
        <f>K206*Assumptions!$B$130</f>
        <v/>
      </c>
      <c r="L209" s="41">
        <f>L206*Assumptions!$B$130</f>
        <v/>
      </c>
      <c r="M209" s="41">
        <f>M206*Assumptions!$B$130</f>
        <v/>
      </c>
      <c r="N209" s="41">
        <f>N206*Assumptions!$B$130</f>
        <v/>
      </c>
      <c r="O209" s="41">
        <f>O206*Assumptions!$B$130</f>
        <v/>
      </c>
      <c r="P209" s="41">
        <f>P206*Assumptions!$B$130</f>
        <v/>
      </c>
      <c r="Q209" s="41">
        <f>Q206*Assumptions!$B$130</f>
        <v/>
      </c>
      <c r="R209" s="41">
        <f>R206*Assumptions!$B$130</f>
        <v/>
      </c>
      <c r="S209" s="41">
        <f>S206*Assumptions!$B$130</f>
        <v/>
      </c>
      <c r="T209" s="41">
        <f>T206*Assumptions!$B$130</f>
        <v/>
      </c>
      <c r="U209" s="41">
        <f>U206*Assumptions!$B$130</f>
        <v/>
      </c>
      <c r="V209" s="41">
        <f>V206*Assumptions!$B$130</f>
        <v/>
      </c>
      <c r="W209" s="41">
        <f>W206*Assumptions!$B$130</f>
        <v/>
      </c>
      <c r="X209" s="41">
        <f>X206*Assumptions!$B$130</f>
        <v/>
      </c>
      <c r="Y209" s="41">
        <f>Y206*Assumptions!$B$130</f>
        <v/>
      </c>
      <c r="Z209" s="41">
        <f>Z206*Assumptions!$B$130</f>
        <v/>
      </c>
      <c r="AA209" s="41">
        <f>AA206*Assumptions!$B$130</f>
        <v/>
      </c>
      <c r="AB209" s="41">
        <f>AB206*Assumptions!$B$130</f>
        <v/>
      </c>
      <c r="AC209" s="41">
        <f>AC206*Assumptions!$B$130</f>
        <v/>
      </c>
      <c r="AD209" s="41">
        <f>AD206*Assumptions!$B$130</f>
        <v/>
      </c>
      <c r="AE209" s="41">
        <f>AE206*Assumptions!$B$130</f>
        <v/>
      </c>
      <c r="AF209" s="41">
        <f>AF206*Assumptions!$B$130</f>
        <v/>
      </c>
      <c r="AG209" s="41">
        <f>AG206*Assumptions!$B$130</f>
        <v/>
      </c>
      <c r="AH209" s="41">
        <f>AH206*Assumptions!$B$130</f>
        <v/>
      </c>
      <c r="AI209" s="41">
        <f>AI206*Assumptions!$B$130</f>
        <v/>
      </c>
      <c r="AJ209" s="41">
        <f>AJ206*Assumptions!$B$130</f>
        <v/>
      </c>
      <c r="AK209" s="41">
        <f>AK206*Assumptions!$B$130</f>
        <v/>
      </c>
      <c r="AL209" s="41">
        <f>AL206*Assumptions!$B$130</f>
        <v/>
      </c>
      <c r="AM209" s="41">
        <f>AM206*Assumptions!$B$130</f>
        <v/>
      </c>
      <c r="AN209" s="41">
        <f>AN206*Assumptions!$B$130</f>
        <v/>
      </c>
      <c r="AO209" s="41">
        <f>AO206*Assumptions!$B$130</f>
        <v/>
      </c>
      <c r="AP209" s="41">
        <f>AP206*Assumptions!$B$130</f>
        <v/>
      </c>
      <c r="AQ209" s="41">
        <f>AQ206*Assumptions!$B$130</f>
        <v/>
      </c>
      <c r="AR209" s="41">
        <f>AR206*Assumptions!$B$130</f>
        <v/>
      </c>
      <c r="AS209" s="41">
        <f>AS206*Assumptions!$B$130</f>
        <v/>
      </c>
      <c r="AT209" s="41">
        <f>AT206*Assumptions!$B$130</f>
        <v/>
      </c>
      <c r="AU209" s="41">
        <f>AU206*Assumptions!$B$130</f>
        <v/>
      </c>
      <c r="AV209" s="41">
        <f>AV206*Assumptions!$B$130</f>
        <v/>
      </c>
      <c r="AW209" s="41">
        <f>AW206*Assumptions!$B$130</f>
        <v/>
      </c>
      <c r="AX209" s="41">
        <f>AX206*Assumptions!$B$130</f>
        <v/>
      </c>
      <c r="AY209" s="41">
        <f>AY206*Assumptions!$B$130</f>
        <v/>
      </c>
      <c r="AZ209" s="41">
        <f>AZ206*Assumptions!$B$130</f>
        <v/>
      </c>
      <c r="BA209" s="41">
        <f>BA206*Assumptions!$B$130</f>
        <v/>
      </c>
      <c r="BB209" s="41">
        <f>BB206*Assumptions!$B$130</f>
        <v/>
      </c>
      <c r="BC209" s="41">
        <f>BC206*Assumptions!$B$130</f>
        <v/>
      </c>
      <c r="BD209" s="41">
        <f>BD206*Assumptions!$B$130</f>
        <v/>
      </c>
      <c r="BE209" s="41">
        <f>BE206*Assumptions!$B$130</f>
        <v/>
      </c>
      <c r="BF209" s="41">
        <f>BF206*Assumptions!$B$130</f>
        <v/>
      </c>
      <c r="BG209" s="41">
        <f>BG206*Assumptions!$B$130</f>
        <v/>
      </c>
      <c r="BH209" s="41">
        <f>BH206*Assumptions!$B$130</f>
        <v/>
      </c>
      <c r="BI209" s="41">
        <f>BI206*Assumptions!$B$130</f>
        <v/>
      </c>
      <c r="BJ209" s="41">
        <f>BJ206*Assumptions!$B$130</f>
        <v/>
      </c>
    </row>
    <row r="210">
      <c r="A210" s="3" t="inlineStr">
        <is>
          <t>Nigeria: Solo: Nano: closing</t>
        </is>
      </c>
      <c r="B210" s="17" t="inlineStr">
        <is>
          <t>workspaces</t>
        </is>
      </c>
      <c r="C210" s="44">
        <f>C206+C207-C208-C209</f>
        <v/>
      </c>
      <c r="D210" s="44">
        <f>D206+D207-D208-D209</f>
        <v/>
      </c>
      <c r="E210" s="44">
        <f>E206+E207-E208-E209</f>
        <v/>
      </c>
      <c r="F210" s="44">
        <f>F206+F207-F208-F209</f>
        <v/>
      </c>
      <c r="G210" s="44">
        <f>G206+G207-G208-G209</f>
        <v/>
      </c>
      <c r="H210" s="44">
        <f>H206+H207-H208-H209</f>
        <v/>
      </c>
      <c r="I210" s="44">
        <f>I206+I207-I208-I209</f>
        <v/>
      </c>
      <c r="J210" s="44">
        <f>J206+J207-J208-J209</f>
        <v/>
      </c>
      <c r="K210" s="44">
        <f>K206+K207-K208-K209</f>
        <v/>
      </c>
      <c r="L210" s="44">
        <f>L206+L207-L208-L209</f>
        <v/>
      </c>
      <c r="M210" s="44">
        <f>M206+M207-M208-M209</f>
        <v/>
      </c>
      <c r="N210" s="44">
        <f>N206+N207-N208-N209</f>
        <v/>
      </c>
      <c r="O210" s="44">
        <f>O206+O207-O208-O209</f>
        <v/>
      </c>
      <c r="P210" s="44">
        <f>P206+P207-P208-P209</f>
        <v/>
      </c>
      <c r="Q210" s="44">
        <f>Q206+Q207-Q208-Q209</f>
        <v/>
      </c>
      <c r="R210" s="44">
        <f>R206+R207-R208-R209</f>
        <v/>
      </c>
      <c r="S210" s="44">
        <f>S206+S207-S208-S209</f>
        <v/>
      </c>
      <c r="T210" s="44">
        <f>T206+T207-T208-T209</f>
        <v/>
      </c>
      <c r="U210" s="44">
        <f>U206+U207-U208-U209</f>
        <v/>
      </c>
      <c r="V210" s="44">
        <f>V206+V207-V208-V209</f>
        <v/>
      </c>
      <c r="W210" s="44">
        <f>W206+W207-W208-W209</f>
        <v/>
      </c>
      <c r="X210" s="44">
        <f>X206+X207-X208-X209</f>
        <v/>
      </c>
      <c r="Y210" s="44">
        <f>Y206+Y207-Y208-Y209</f>
        <v/>
      </c>
      <c r="Z210" s="44">
        <f>Z206+Z207-Z208-Z209</f>
        <v/>
      </c>
      <c r="AA210" s="44">
        <f>AA206+AA207-AA208-AA209</f>
        <v/>
      </c>
      <c r="AB210" s="44">
        <f>AB206+AB207-AB208-AB209</f>
        <v/>
      </c>
      <c r="AC210" s="44">
        <f>AC206+AC207-AC208-AC209</f>
        <v/>
      </c>
      <c r="AD210" s="44">
        <f>AD206+AD207-AD208-AD209</f>
        <v/>
      </c>
      <c r="AE210" s="44">
        <f>AE206+AE207-AE208-AE209</f>
        <v/>
      </c>
      <c r="AF210" s="44">
        <f>AF206+AF207-AF208-AF209</f>
        <v/>
      </c>
      <c r="AG210" s="44">
        <f>AG206+AG207-AG208-AG209</f>
        <v/>
      </c>
      <c r="AH210" s="44">
        <f>AH206+AH207-AH208-AH209</f>
        <v/>
      </c>
      <c r="AI210" s="44">
        <f>AI206+AI207-AI208-AI209</f>
        <v/>
      </c>
      <c r="AJ210" s="44">
        <f>AJ206+AJ207-AJ208-AJ209</f>
        <v/>
      </c>
      <c r="AK210" s="44">
        <f>AK206+AK207-AK208-AK209</f>
        <v/>
      </c>
      <c r="AL210" s="44">
        <f>AL206+AL207-AL208-AL209</f>
        <v/>
      </c>
      <c r="AM210" s="44">
        <f>AM206+AM207-AM208-AM209</f>
        <v/>
      </c>
      <c r="AN210" s="44">
        <f>AN206+AN207-AN208-AN209</f>
        <v/>
      </c>
      <c r="AO210" s="44">
        <f>AO206+AO207-AO208-AO209</f>
        <v/>
      </c>
      <c r="AP210" s="44">
        <f>AP206+AP207-AP208-AP209</f>
        <v/>
      </c>
      <c r="AQ210" s="44">
        <f>AQ206+AQ207-AQ208-AQ209</f>
        <v/>
      </c>
      <c r="AR210" s="44">
        <f>AR206+AR207-AR208-AR209</f>
        <v/>
      </c>
      <c r="AS210" s="44">
        <f>AS206+AS207-AS208-AS209</f>
        <v/>
      </c>
      <c r="AT210" s="44">
        <f>AT206+AT207-AT208-AT209</f>
        <v/>
      </c>
      <c r="AU210" s="44">
        <f>AU206+AU207-AU208-AU209</f>
        <v/>
      </c>
      <c r="AV210" s="44">
        <f>AV206+AV207-AV208-AV209</f>
        <v/>
      </c>
      <c r="AW210" s="44">
        <f>AW206+AW207-AW208-AW209</f>
        <v/>
      </c>
      <c r="AX210" s="44">
        <f>AX206+AX207-AX208-AX209</f>
        <v/>
      </c>
      <c r="AY210" s="44">
        <f>AY206+AY207-AY208-AY209</f>
        <v/>
      </c>
      <c r="AZ210" s="44">
        <f>AZ206+AZ207-AZ208-AZ209</f>
        <v/>
      </c>
      <c r="BA210" s="44">
        <f>BA206+BA207-BA208-BA209</f>
        <v/>
      </c>
      <c r="BB210" s="44">
        <f>BB206+BB207-BB208-BB209</f>
        <v/>
      </c>
      <c r="BC210" s="44">
        <f>BC206+BC207-BC208-BC209</f>
        <v/>
      </c>
      <c r="BD210" s="44">
        <f>BD206+BD207-BD208-BD209</f>
        <v/>
      </c>
      <c r="BE210" s="44">
        <f>BE206+BE207-BE208-BE209</f>
        <v/>
      </c>
      <c r="BF210" s="44">
        <f>BF206+BF207-BF208-BF209</f>
        <v/>
      </c>
      <c r="BG210" s="44">
        <f>BG206+BG207-BG208-BG209</f>
        <v/>
      </c>
      <c r="BH210" s="44">
        <f>BH206+BH207-BH208-BH209</f>
        <v/>
      </c>
      <c r="BI210" s="44">
        <f>BI206+BI207-BI208-BI209</f>
        <v/>
      </c>
      <c r="BJ210" s="44">
        <f>BJ206+BJ207-BJ208-BJ209</f>
        <v/>
      </c>
    </row>
    <row r="211">
      <c r="A211" s="4" t="inlineStr">
        <is>
          <t>Nigeria: Solo: Micro (direct or upgraded): opening</t>
        </is>
      </c>
      <c r="B211" s="17" t="inlineStr">
        <is>
          <t>workspaces</t>
        </is>
      </c>
      <c r="C211" s="41">
        <f>0</f>
        <v/>
      </c>
      <c r="D211" s="41">
        <f>C215</f>
        <v/>
      </c>
      <c r="E211" s="41">
        <f>D215</f>
        <v/>
      </c>
      <c r="F211" s="41">
        <f>E215</f>
        <v/>
      </c>
      <c r="G211" s="41">
        <f>F215</f>
        <v/>
      </c>
      <c r="H211" s="41">
        <f>G215</f>
        <v/>
      </c>
      <c r="I211" s="41">
        <f>H215</f>
        <v/>
      </c>
      <c r="J211" s="41">
        <f>I215</f>
        <v/>
      </c>
      <c r="K211" s="41">
        <f>J215</f>
        <v/>
      </c>
      <c r="L211" s="41">
        <f>K215</f>
        <v/>
      </c>
      <c r="M211" s="41">
        <f>L215</f>
        <v/>
      </c>
      <c r="N211" s="41">
        <f>M215</f>
        <v/>
      </c>
      <c r="O211" s="41">
        <f>N215</f>
        <v/>
      </c>
      <c r="P211" s="41">
        <f>O215</f>
        <v/>
      </c>
      <c r="Q211" s="41">
        <f>P215</f>
        <v/>
      </c>
      <c r="R211" s="41">
        <f>Q215</f>
        <v/>
      </c>
      <c r="S211" s="41">
        <f>R215</f>
        <v/>
      </c>
      <c r="T211" s="41">
        <f>S215</f>
        <v/>
      </c>
      <c r="U211" s="41">
        <f>T215</f>
        <v/>
      </c>
      <c r="V211" s="41">
        <f>U215</f>
        <v/>
      </c>
      <c r="W211" s="41">
        <f>V215</f>
        <v/>
      </c>
      <c r="X211" s="41">
        <f>W215</f>
        <v/>
      </c>
      <c r="Y211" s="41">
        <f>X215</f>
        <v/>
      </c>
      <c r="Z211" s="41">
        <f>Y215</f>
        <v/>
      </c>
      <c r="AA211" s="41">
        <f>Z215</f>
        <v/>
      </c>
      <c r="AB211" s="41">
        <f>AA215</f>
        <v/>
      </c>
      <c r="AC211" s="41">
        <f>AB215</f>
        <v/>
      </c>
      <c r="AD211" s="41">
        <f>AC215</f>
        <v/>
      </c>
      <c r="AE211" s="41">
        <f>AD215</f>
        <v/>
      </c>
      <c r="AF211" s="41">
        <f>AE215</f>
        <v/>
      </c>
      <c r="AG211" s="41">
        <f>AF215</f>
        <v/>
      </c>
      <c r="AH211" s="41">
        <f>AG215</f>
        <v/>
      </c>
      <c r="AI211" s="41">
        <f>AH215</f>
        <v/>
      </c>
      <c r="AJ211" s="41">
        <f>AI215</f>
        <v/>
      </c>
      <c r="AK211" s="41">
        <f>AJ215</f>
        <v/>
      </c>
      <c r="AL211" s="41">
        <f>AK215</f>
        <v/>
      </c>
      <c r="AM211" s="41">
        <f>AL215</f>
        <v/>
      </c>
      <c r="AN211" s="41">
        <f>AM215</f>
        <v/>
      </c>
      <c r="AO211" s="41">
        <f>AN215</f>
        <v/>
      </c>
      <c r="AP211" s="41">
        <f>AO215</f>
        <v/>
      </c>
      <c r="AQ211" s="41">
        <f>AP215</f>
        <v/>
      </c>
      <c r="AR211" s="41">
        <f>AQ215</f>
        <v/>
      </c>
      <c r="AS211" s="41">
        <f>AR215</f>
        <v/>
      </c>
      <c r="AT211" s="41">
        <f>AS215</f>
        <v/>
      </c>
      <c r="AU211" s="41">
        <f>AT215</f>
        <v/>
      </c>
      <c r="AV211" s="41">
        <f>AU215</f>
        <v/>
      </c>
      <c r="AW211" s="41">
        <f>AV215</f>
        <v/>
      </c>
      <c r="AX211" s="41">
        <f>AW215</f>
        <v/>
      </c>
      <c r="AY211" s="41">
        <f>AX215</f>
        <v/>
      </c>
      <c r="AZ211" s="41">
        <f>AY215</f>
        <v/>
      </c>
      <c r="BA211" s="41">
        <f>AZ215</f>
        <v/>
      </c>
      <c r="BB211" s="41">
        <f>BA215</f>
        <v/>
      </c>
      <c r="BC211" s="41">
        <f>BB215</f>
        <v/>
      </c>
      <c r="BD211" s="41">
        <f>BC215</f>
        <v/>
      </c>
      <c r="BE211" s="41">
        <f>BD215</f>
        <v/>
      </c>
      <c r="BF211" s="41">
        <f>BE215</f>
        <v/>
      </c>
      <c r="BG211" s="41">
        <f>BF215</f>
        <v/>
      </c>
      <c r="BH211" s="41">
        <f>BG215</f>
        <v/>
      </c>
      <c r="BI211" s="41">
        <f>BH215</f>
        <v/>
      </c>
      <c r="BJ211" s="41">
        <f>BI215</f>
        <v/>
      </c>
    </row>
    <row r="212">
      <c r="A212" s="4" t="inlineStr">
        <is>
          <t>Nigeria: Solo: Micro (direct or upgraded): new</t>
        </is>
      </c>
      <c r="B212" s="17" t="inlineStr">
        <is>
          <t>workspaces</t>
        </is>
      </c>
      <c r="C212" s="41">
        <f>C148*Assumptions!$B$125+C209</f>
        <v/>
      </c>
      <c r="D212" s="41">
        <f>D148*Assumptions!$B$125+D209</f>
        <v/>
      </c>
      <c r="E212" s="41">
        <f>E148*Assumptions!$B$125+E209</f>
        <v/>
      </c>
      <c r="F212" s="41">
        <f>F148*Assumptions!$B$125+F209</f>
        <v/>
      </c>
      <c r="G212" s="41">
        <f>G148*Assumptions!$B$125+G209</f>
        <v/>
      </c>
      <c r="H212" s="41">
        <f>H148*Assumptions!$B$125+H209</f>
        <v/>
      </c>
      <c r="I212" s="41">
        <f>I148*Assumptions!$B$125+I209</f>
        <v/>
      </c>
      <c r="J212" s="41">
        <f>J148*Assumptions!$B$125+J209</f>
        <v/>
      </c>
      <c r="K212" s="41">
        <f>K148*Assumptions!$B$125+K209</f>
        <v/>
      </c>
      <c r="L212" s="41">
        <f>L148*Assumptions!$B$125+L209</f>
        <v/>
      </c>
      <c r="M212" s="41">
        <f>M148*Assumptions!$B$125+M209</f>
        <v/>
      </c>
      <c r="N212" s="41">
        <f>N148*Assumptions!$B$125+N209</f>
        <v/>
      </c>
      <c r="O212" s="41">
        <f>O148*Assumptions!$B$125+O209</f>
        <v/>
      </c>
      <c r="P212" s="41">
        <f>P148*Assumptions!$B$125+P209</f>
        <v/>
      </c>
      <c r="Q212" s="41">
        <f>Q148*Assumptions!$B$125+Q209</f>
        <v/>
      </c>
      <c r="R212" s="41">
        <f>R148*Assumptions!$B$125+R209</f>
        <v/>
      </c>
      <c r="S212" s="41">
        <f>S148*Assumptions!$B$125+S209</f>
        <v/>
      </c>
      <c r="T212" s="41">
        <f>T148*Assumptions!$B$125+T209</f>
        <v/>
      </c>
      <c r="U212" s="41">
        <f>U148*Assumptions!$B$125+U209</f>
        <v/>
      </c>
      <c r="V212" s="41">
        <f>V148*Assumptions!$B$125+V209</f>
        <v/>
      </c>
      <c r="W212" s="41">
        <f>W148*Assumptions!$B$125+W209</f>
        <v/>
      </c>
      <c r="X212" s="41">
        <f>X148*Assumptions!$B$125+X209</f>
        <v/>
      </c>
      <c r="Y212" s="41">
        <f>Y148*Assumptions!$B$125+Y209</f>
        <v/>
      </c>
      <c r="Z212" s="41">
        <f>Z148*Assumptions!$B$125+Z209</f>
        <v/>
      </c>
      <c r="AA212" s="41">
        <f>AA148*Assumptions!$B$125+AA209</f>
        <v/>
      </c>
      <c r="AB212" s="41">
        <f>AB148*Assumptions!$B$125+AB209</f>
        <v/>
      </c>
      <c r="AC212" s="41">
        <f>AC148*Assumptions!$B$125+AC209</f>
        <v/>
      </c>
      <c r="AD212" s="41">
        <f>AD148*Assumptions!$B$125+AD209</f>
        <v/>
      </c>
      <c r="AE212" s="41">
        <f>AE148*Assumptions!$B$125+AE209</f>
        <v/>
      </c>
      <c r="AF212" s="41">
        <f>AF148*Assumptions!$B$125+AF209</f>
        <v/>
      </c>
      <c r="AG212" s="41">
        <f>AG148*Assumptions!$B$125+AG209</f>
        <v/>
      </c>
      <c r="AH212" s="41">
        <f>AH148*Assumptions!$B$125+AH209</f>
        <v/>
      </c>
      <c r="AI212" s="41">
        <f>AI148*Assumptions!$B$125+AI209</f>
        <v/>
      </c>
      <c r="AJ212" s="41">
        <f>AJ148*Assumptions!$B$125+AJ209</f>
        <v/>
      </c>
      <c r="AK212" s="41">
        <f>AK148*Assumptions!$B$125+AK209</f>
        <v/>
      </c>
      <c r="AL212" s="41">
        <f>AL148*Assumptions!$B$125+AL209</f>
        <v/>
      </c>
      <c r="AM212" s="41">
        <f>AM148*Assumptions!$B$125+AM209</f>
        <v/>
      </c>
      <c r="AN212" s="41">
        <f>AN148*Assumptions!$B$125+AN209</f>
        <v/>
      </c>
      <c r="AO212" s="41">
        <f>AO148*Assumptions!$B$125+AO209</f>
        <v/>
      </c>
      <c r="AP212" s="41">
        <f>AP148*Assumptions!$B$125+AP209</f>
        <v/>
      </c>
      <c r="AQ212" s="41">
        <f>AQ148*Assumptions!$B$125+AQ209</f>
        <v/>
      </c>
      <c r="AR212" s="41">
        <f>AR148*Assumptions!$B$125+AR209</f>
        <v/>
      </c>
      <c r="AS212" s="41">
        <f>AS148*Assumptions!$B$125+AS209</f>
        <v/>
      </c>
      <c r="AT212" s="41">
        <f>AT148*Assumptions!$B$125+AT209</f>
        <v/>
      </c>
      <c r="AU212" s="41">
        <f>AU148*Assumptions!$B$125+AU209</f>
        <v/>
      </c>
      <c r="AV212" s="41">
        <f>AV148*Assumptions!$B$125+AV209</f>
        <v/>
      </c>
      <c r="AW212" s="41">
        <f>AW148*Assumptions!$B$125+AW209</f>
        <v/>
      </c>
      <c r="AX212" s="41">
        <f>AX148*Assumptions!$B$125+AX209</f>
        <v/>
      </c>
      <c r="AY212" s="41">
        <f>AY148*Assumptions!$B$125+AY209</f>
        <v/>
      </c>
      <c r="AZ212" s="41">
        <f>AZ148*Assumptions!$B$125+AZ209</f>
        <v/>
      </c>
      <c r="BA212" s="41">
        <f>BA148*Assumptions!$B$125+BA209</f>
        <v/>
      </c>
      <c r="BB212" s="41">
        <f>BB148*Assumptions!$B$125+BB209</f>
        <v/>
      </c>
      <c r="BC212" s="41">
        <f>BC148*Assumptions!$B$125+BC209</f>
        <v/>
      </c>
      <c r="BD212" s="41">
        <f>BD148*Assumptions!$B$125+BD209</f>
        <v/>
      </c>
      <c r="BE212" s="41">
        <f>BE148*Assumptions!$B$125+BE209</f>
        <v/>
      </c>
      <c r="BF212" s="41">
        <f>BF148*Assumptions!$B$125+BF209</f>
        <v/>
      </c>
      <c r="BG212" s="41">
        <f>BG148*Assumptions!$B$125+BG209</f>
        <v/>
      </c>
      <c r="BH212" s="41">
        <f>BH148*Assumptions!$B$125+BH209</f>
        <v/>
      </c>
      <c r="BI212" s="41">
        <f>BI148*Assumptions!$B$125+BI209</f>
        <v/>
      </c>
      <c r="BJ212" s="41">
        <f>BJ148*Assumptions!$B$125+BJ209</f>
        <v/>
      </c>
    </row>
    <row r="213">
      <c r="A213" s="4" t="inlineStr">
        <is>
          <t>Nigeria: Solo: Micro (direct or upgraded): churned</t>
        </is>
      </c>
      <c r="B213" s="17" t="inlineStr">
        <is>
          <t>workspaces</t>
        </is>
      </c>
      <c r="C213" s="41">
        <f>C211*Assumptions!$B$138*Assumptions!$B$46*Assumptions!$B$30*Assumptions!$B$64</f>
        <v/>
      </c>
      <c r="D213" s="41">
        <f>D211*Assumptions!$B$138*Assumptions!$B$46*Assumptions!$B$30*Assumptions!$B$64</f>
        <v/>
      </c>
      <c r="E213" s="41">
        <f>E211*Assumptions!$B$138*Assumptions!$B$46*Assumptions!$B$30*Assumptions!$B$64</f>
        <v/>
      </c>
      <c r="F213" s="41">
        <f>F211*Assumptions!$B$138*Assumptions!$B$46*Assumptions!$B$30*Assumptions!$B$64</f>
        <v/>
      </c>
      <c r="G213" s="41">
        <f>G211*Assumptions!$B$138*Assumptions!$B$46*Assumptions!$B$30*Assumptions!$B$64</f>
        <v/>
      </c>
      <c r="H213" s="41">
        <f>H211*Assumptions!$B$138*Assumptions!$B$46*Assumptions!$B$30*Assumptions!$B$64</f>
        <v/>
      </c>
      <c r="I213" s="41">
        <f>I211*Assumptions!$B$138*Assumptions!$B$46*Assumptions!$B$30*Assumptions!$B$64</f>
        <v/>
      </c>
      <c r="J213" s="41">
        <f>J211*Assumptions!$B$138*Assumptions!$B$46*Assumptions!$B$30*Assumptions!$B$64</f>
        <v/>
      </c>
      <c r="K213" s="41">
        <f>K211*Assumptions!$B$138*Assumptions!$B$46*Assumptions!$B$30*Assumptions!$B$64</f>
        <v/>
      </c>
      <c r="L213" s="41">
        <f>L211*Assumptions!$B$138*Assumptions!$B$46*Assumptions!$B$30*Assumptions!$B$64</f>
        <v/>
      </c>
      <c r="M213" s="41">
        <f>M211*Assumptions!$B$138*Assumptions!$B$46*Assumptions!$B$30*Assumptions!$B$64</f>
        <v/>
      </c>
      <c r="N213" s="41">
        <f>N211*Assumptions!$B$138*Assumptions!$B$46*Assumptions!$B$30*Assumptions!$B$64</f>
        <v/>
      </c>
      <c r="O213" s="41">
        <f>O211*Assumptions!$B$138*Assumptions!$B$46*Assumptions!$B$30*Assumptions!$B$64</f>
        <v/>
      </c>
      <c r="P213" s="41">
        <f>P211*Assumptions!$B$138*Assumptions!$B$46*Assumptions!$B$30*Assumptions!$B$64</f>
        <v/>
      </c>
      <c r="Q213" s="41">
        <f>Q211*Assumptions!$B$138*Assumptions!$B$46*Assumptions!$B$30*Assumptions!$B$64</f>
        <v/>
      </c>
      <c r="R213" s="41">
        <f>R211*Assumptions!$B$138*Assumptions!$B$46*Assumptions!$B$30*Assumptions!$B$64</f>
        <v/>
      </c>
      <c r="S213" s="41">
        <f>S211*Assumptions!$B$138*Assumptions!$B$46*Assumptions!$B$30*Assumptions!$B$64</f>
        <v/>
      </c>
      <c r="T213" s="41">
        <f>T211*Assumptions!$B$138*Assumptions!$B$46*Assumptions!$B$30*Assumptions!$B$64</f>
        <v/>
      </c>
      <c r="U213" s="41">
        <f>U211*Assumptions!$B$138*Assumptions!$B$46*Assumptions!$B$30*Assumptions!$B$64</f>
        <v/>
      </c>
      <c r="V213" s="41">
        <f>V211*Assumptions!$B$138*Assumptions!$B$46*Assumptions!$B$30*Assumptions!$B$64</f>
        <v/>
      </c>
      <c r="W213" s="41">
        <f>W211*Assumptions!$B$138*Assumptions!$B$46*Assumptions!$B$30*Assumptions!$B$64</f>
        <v/>
      </c>
      <c r="X213" s="41">
        <f>X211*Assumptions!$B$138*Assumptions!$B$46*Assumptions!$B$30*Assumptions!$B$64</f>
        <v/>
      </c>
      <c r="Y213" s="41">
        <f>Y211*Assumptions!$B$138*Assumptions!$B$46*Assumptions!$B$30*Assumptions!$B$64</f>
        <v/>
      </c>
      <c r="Z213" s="41">
        <f>Z211*Assumptions!$B$138*Assumptions!$B$46*Assumptions!$B$30*Assumptions!$B$64</f>
        <v/>
      </c>
      <c r="AA213" s="41">
        <f>AA211*Assumptions!$B$138*Assumptions!$B$46*Assumptions!$B$30*Assumptions!$B$64</f>
        <v/>
      </c>
      <c r="AB213" s="41">
        <f>AB211*Assumptions!$B$138*Assumptions!$B$46*Assumptions!$B$30*Assumptions!$B$64</f>
        <v/>
      </c>
      <c r="AC213" s="41">
        <f>AC211*Assumptions!$B$138*Assumptions!$B$46*Assumptions!$B$30*Assumptions!$B$64</f>
        <v/>
      </c>
      <c r="AD213" s="41">
        <f>AD211*Assumptions!$B$138*Assumptions!$B$46*Assumptions!$B$30*Assumptions!$B$64</f>
        <v/>
      </c>
      <c r="AE213" s="41">
        <f>AE211*Assumptions!$B$138*Assumptions!$B$46*Assumptions!$B$30*Assumptions!$B$64</f>
        <v/>
      </c>
      <c r="AF213" s="41">
        <f>AF211*Assumptions!$B$138*Assumptions!$B$46*Assumptions!$B$30*Assumptions!$B$64</f>
        <v/>
      </c>
      <c r="AG213" s="41">
        <f>AG211*Assumptions!$B$138*Assumptions!$B$46*Assumptions!$B$30*Assumptions!$B$64</f>
        <v/>
      </c>
      <c r="AH213" s="41">
        <f>AH211*Assumptions!$B$138*Assumptions!$B$46*Assumptions!$B$30*Assumptions!$B$64</f>
        <v/>
      </c>
      <c r="AI213" s="41">
        <f>AI211*Assumptions!$B$138*Assumptions!$B$46*Assumptions!$B$30*Assumptions!$B$64</f>
        <v/>
      </c>
      <c r="AJ213" s="41">
        <f>AJ211*Assumptions!$B$138*Assumptions!$B$46*Assumptions!$B$30*Assumptions!$B$64</f>
        <v/>
      </c>
      <c r="AK213" s="41">
        <f>AK211*Assumptions!$B$138*Assumptions!$B$46*Assumptions!$B$30*Assumptions!$B$64</f>
        <v/>
      </c>
      <c r="AL213" s="41">
        <f>AL211*Assumptions!$B$138*Assumptions!$B$46*Assumptions!$B$30*Assumptions!$B$64</f>
        <v/>
      </c>
      <c r="AM213" s="41">
        <f>AM211*Assumptions!$B$138*Assumptions!$B$46*Assumptions!$B$30*Assumptions!$B$64</f>
        <v/>
      </c>
      <c r="AN213" s="41">
        <f>AN211*Assumptions!$B$138*Assumptions!$B$46*Assumptions!$B$30*Assumptions!$B$64</f>
        <v/>
      </c>
      <c r="AO213" s="41">
        <f>AO211*Assumptions!$B$138*Assumptions!$B$46*Assumptions!$B$30*Assumptions!$B$64</f>
        <v/>
      </c>
      <c r="AP213" s="41">
        <f>AP211*Assumptions!$B$138*Assumptions!$B$46*Assumptions!$B$30*Assumptions!$B$64</f>
        <v/>
      </c>
      <c r="AQ213" s="41">
        <f>AQ211*Assumptions!$B$138*Assumptions!$B$46*Assumptions!$B$30*Assumptions!$B$64</f>
        <v/>
      </c>
      <c r="AR213" s="41">
        <f>AR211*Assumptions!$B$138*Assumptions!$B$46*Assumptions!$B$30*Assumptions!$B$64</f>
        <v/>
      </c>
      <c r="AS213" s="41">
        <f>AS211*Assumptions!$B$138*Assumptions!$B$46*Assumptions!$B$30*Assumptions!$B$64</f>
        <v/>
      </c>
      <c r="AT213" s="41">
        <f>AT211*Assumptions!$B$138*Assumptions!$B$46*Assumptions!$B$30*Assumptions!$B$64</f>
        <v/>
      </c>
      <c r="AU213" s="41">
        <f>AU211*Assumptions!$B$138*Assumptions!$B$46*Assumptions!$B$30*Assumptions!$B$64</f>
        <v/>
      </c>
      <c r="AV213" s="41">
        <f>AV211*Assumptions!$B$138*Assumptions!$B$46*Assumptions!$B$30*Assumptions!$B$64</f>
        <v/>
      </c>
      <c r="AW213" s="41">
        <f>AW211*Assumptions!$B$138*Assumptions!$B$46*Assumptions!$B$30*Assumptions!$B$64</f>
        <v/>
      </c>
      <c r="AX213" s="41">
        <f>AX211*Assumptions!$B$138*Assumptions!$B$46*Assumptions!$B$30*Assumptions!$B$64</f>
        <v/>
      </c>
      <c r="AY213" s="41">
        <f>AY211*Assumptions!$B$138*Assumptions!$B$46*Assumptions!$B$30*Assumptions!$B$64</f>
        <v/>
      </c>
      <c r="AZ213" s="41">
        <f>AZ211*Assumptions!$B$138*Assumptions!$B$46*Assumptions!$B$30*Assumptions!$B$64</f>
        <v/>
      </c>
      <c r="BA213" s="41">
        <f>BA211*Assumptions!$B$138*Assumptions!$B$46*Assumptions!$B$30*Assumptions!$B$64</f>
        <v/>
      </c>
      <c r="BB213" s="41">
        <f>BB211*Assumptions!$B$138*Assumptions!$B$46*Assumptions!$B$30*Assumptions!$B$64</f>
        <v/>
      </c>
      <c r="BC213" s="41">
        <f>BC211*Assumptions!$B$138*Assumptions!$B$46*Assumptions!$B$30*Assumptions!$B$64</f>
        <v/>
      </c>
      <c r="BD213" s="41">
        <f>BD211*Assumptions!$B$138*Assumptions!$B$46*Assumptions!$B$30*Assumptions!$B$64</f>
        <v/>
      </c>
      <c r="BE213" s="41">
        <f>BE211*Assumptions!$B$138*Assumptions!$B$46*Assumptions!$B$30*Assumptions!$B$64</f>
        <v/>
      </c>
      <c r="BF213" s="41">
        <f>BF211*Assumptions!$B$138*Assumptions!$B$46*Assumptions!$B$30*Assumptions!$B$64</f>
        <v/>
      </c>
      <c r="BG213" s="41">
        <f>BG211*Assumptions!$B$138*Assumptions!$B$46*Assumptions!$B$30*Assumptions!$B$64</f>
        <v/>
      </c>
      <c r="BH213" s="41">
        <f>BH211*Assumptions!$B$138*Assumptions!$B$46*Assumptions!$B$30*Assumptions!$B$64</f>
        <v/>
      </c>
      <c r="BI213" s="41">
        <f>BI211*Assumptions!$B$138*Assumptions!$B$46*Assumptions!$B$30*Assumptions!$B$64</f>
        <v/>
      </c>
      <c r="BJ213" s="41">
        <f>BJ211*Assumptions!$B$138*Assumptions!$B$46*Assumptions!$B$30*Assumptions!$B$64</f>
        <v/>
      </c>
    </row>
    <row r="214">
      <c r="A214" s="4" t="inlineStr">
        <is>
          <t>Nigeria: Solo: Micro (direct or upgraded): upgraded out</t>
        </is>
      </c>
      <c r="B214" s="17" t="inlineStr">
        <is>
          <t>workspaces</t>
        </is>
      </c>
      <c r="C214" s="41">
        <f>C211*Assumptions!$B$131</f>
        <v/>
      </c>
      <c r="D214" s="41">
        <f>D211*Assumptions!$B$131</f>
        <v/>
      </c>
      <c r="E214" s="41">
        <f>E211*Assumptions!$B$131</f>
        <v/>
      </c>
      <c r="F214" s="41">
        <f>F211*Assumptions!$B$131</f>
        <v/>
      </c>
      <c r="G214" s="41">
        <f>G211*Assumptions!$B$131</f>
        <v/>
      </c>
      <c r="H214" s="41">
        <f>H211*Assumptions!$B$131</f>
        <v/>
      </c>
      <c r="I214" s="41">
        <f>I211*Assumptions!$B$131</f>
        <v/>
      </c>
      <c r="J214" s="41">
        <f>J211*Assumptions!$B$131</f>
        <v/>
      </c>
      <c r="K214" s="41">
        <f>K211*Assumptions!$B$131</f>
        <v/>
      </c>
      <c r="L214" s="41">
        <f>L211*Assumptions!$B$131</f>
        <v/>
      </c>
      <c r="M214" s="41">
        <f>M211*Assumptions!$B$131</f>
        <v/>
      </c>
      <c r="N214" s="41">
        <f>N211*Assumptions!$B$131</f>
        <v/>
      </c>
      <c r="O214" s="41">
        <f>O211*Assumptions!$B$131</f>
        <v/>
      </c>
      <c r="P214" s="41">
        <f>P211*Assumptions!$B$131</f>
        <v/>
      </c>
      <c r="Q214" s="41">
        <f>Q211*Assumptions!$B$131</f>
        <v/>
      </c>
      <c r="R214" s="41">
        <f>R211*Assumptions!$B$131</f>
        <v/>
      </c>
      <c r="S214" s="41">
        <f>S211*Assumptions!$B$131</f>
        <v/>
      </c>
      <c r="T214" s="41">
        <f>T211*Assumptions!$B$131</f>
        <v/>
      </c>
      <c r="U214" s="41">
        <f>U211*Assumptions!$B$131</f>
        <v/>
      </c>
      <c r="V214" s="41">
        <f>V211*Assumptions!$B$131</f>
        <v/>
      </c>
      <c r="W214" s="41">
        <f>W211*Assumptions!$B$131</f>
        <v/>
      </c>
      <c r="X214" s="41">
        <f>X211*Assumptions!$B$131</f>
        <v/>
      </c>
      <c r="Y214" s="41">
        <f>Y211*Assumptions!$B$131</f>
        <v/>
      </c>
      <c r="Z214" s="41">
        <f>Z211*Assumptions!$B$131</f>
        <v/>
      </c>
      <c r="AA214" s="41">
        <f>AA211*Assumptions!$B$131</f>
        <v/>
      </c>
      <c r="AB214" s="41">
        <f>AB211*Assumptions!$B$131</f>
        <v/>
      </c>
      <c r="AC214" s="41">
        <f>AC211*Assumptions!$B$131</f>
        <v/>
      </c>
      <c r="AD214" s="41">
        <f>AD211*Assumptions!$B$131</f>
        <v/>
      </c>
      <c r="AE214" s="41">
        <f>AE211*Assumptions!$B$131</f>
        <v/>
      </c>
      <c r="AF214" s="41">
        <f>AF211*Assumptions!$B$131</f>
        <v/>
      </c>
      <c r="AG214" s="41">
        <f>AG211*Assumptions!$B$131</f>
        <v/>
      </c>
      <c r="AH214" s="41">
        <f>AH211*Assumptions!$B$131</f>
        <v/>
      </c>
      <c r="AI214" s="41">
        <f>AI211*Assumptions!$B$131</f>
        <v/>
      </c>
      <c r="AJ214" s="41">
        <f>AJ211*Assumptions!$B$131</f>
        <v/>
      </c>
      <c r="AK214" s="41">
        <f>AK211*Assumptions!$B$131</f>
        <v/>
      </c>
      <c r="AL214" s="41">
        <f>AL211*Assumptions!$B$131</f>
        <v/>
      </c>
      <c r="AM214" s="41">
        <f>AM211*Assumptions!$B$131</f>
        <v/>
      </c>
      <c r="AN214" s="41">
        <f>AN211*Assumptions!$B$131</f>
        <v/>
      </c>
      <c r="AO214" s="41">
        <f>AO211*Assumptions!$B$131</f>
        <v/>
      </c>
      <c r="AP214" s="41">
        <f>AP211*Assumptions!$B$131</f>
        <v/>
      </c>
      <c r="AQ214" s="41">
        <f>AQ211*Assumptions!$B$131</f>
        <v/>
      </c>
      <c r="AR214" s="41">
        <f>AR211*Assumptions!$B$131</f>
        <v/>
      </c>
      <c r="AS214" s="41">
        <f>AS211*Assumptions!$B$131</f>
        <v/>
      </c>
      <c r="AT214" s="41">
        <f>AT211*Assumptions!$B$131</f>
        <v/>
      </c>
      <c r="AU214" s="41">
        <f>AU211*Assumptions!$B$131</f>
        <v/>
      </c>
      <c r="AV214" s="41">
        <f>AV211*Assumptions!$B$131</f>
        <v/>
      </c>
      <c r="AW214" s="41">
        <f>AW211*Assumptions!$B$131</f>
        <v/>
      </c>
      <c r="AX214" s="41">
        <f>AX211*Assumptions!$B$131</f>
        <v/>
      </c>
      <c r="AY214" s="41">
        <f>AY211*Assumptions!$B$131</f>
        <v/>
      </c>
      <c r="AZ214" s="41">
        <f>AZ211*Assumptions!$B$131</f>
        <v/>
      </c>
      <c r="BA214" s="41">
        <f>BA211*Assumptions!$B$131</f>
        <v/>
      </c>
      <c r="BB214" s="41">
        <f>BB211*Assumptions!$B$131</f>
        <v/>
      </c>
      <c r="BC214" s="41">
        <f>BC211*Assumptions!$B$131</f>
        <v/>
      </c>
      <c r="BD214" s="41">
        <f>BD211*Assumptions!$B$131</f>
        <v/>
      </c>
      <c r="BE214" s="41">
        <f>BE211*Assumptions!$B$131</f>
        <v/>
      </c>
      <c r="BF214" s="41">
        <f>BF211*Assumptions!$B$131</f>
        <v/>
      </c>
      <c r="BG214" s="41">
        <f>BG211*Assumptions!$B$131</f>
        <v/>
      </c>
      <c r="BH214" s="41">
        <f>BH211*Assumptions!$B$131</f>
        <v/>
      </c>
      <c r="BI214" s="41">
        <f>BI211*Assumptions!$B$131</f>
        <v/>
      </c>
      <c r="BJ214" s="41">
        <f>BJ211*Assumptions!$B$131</f>
        <v/>
      </c>
    </row>
    <row r="215">
      <c r="A215" s="3" t="inlineStr">
        <is>
          <t>Nigeria: Solo: Micro (direct or upgraded): closing</t>
        </is>
      </c>
      <c r="B215" s="17" t="inlineStr">
        <is>
          <t>workspaces</t>
        </is>
      </c>
      <c r="C215" s="44">
        <f>C211+C212-C213-C214</f>
        <v/>
      </c>
      <c r="D215" s="44">
        <f>D211+D212-D213-D214</f>
        <v/>
      </c>
      <c r="E215" s="44">
        <f>E211+E212-E213-E214</f>
        <v/>
      </c>
      <c r="F215" s="44">
        <f>F211+F212-F213-F214</f>
        <v/>
      </c>
      <c r="G215" s="44">
        <f>G211+G212-G213-G214</f>
        <v/>
      </c>
      <c r="H215" s="44">
        <f>H211+H212-H213-H214</f>
        <v/>
      </c>
      <c r="I215" s="44">
        <f>I211+I212-I213-I214</f>
        <v/>
      </c>
      <c r="J215" s="44">
        <f>J211+J212-J213-J214</f>
        <v/>
      </c>
      <c r="K215" s="44">
        <f>K211+K212-K213-K214</f>
        <v/>
      </c>
      <c r="L215" s="44">
        <f>L211+L212-L213-L214</f>
        <v/>
      </c>
      <c r="M215" s="44">
        <f>M211+M212-M213-M214</f>
        <v/>
      </c>
      <c r="N215" s="44">
        <f>N211+N212-N213-N214</f>
        <v/>
      </c>
      <c r="O215" s="44">
        <f>O211+O212-O213-O214</f>
        <v/>
      </c>
      <c r="P215" s="44">
        <f>P211+P212-P213-P214</f>
        <v/>
      </c>
      <c r="Q215" s="44">
        <f>Q211+Q212-Q213-Q214</f>
        <v/>
      </c>
      <c r="R215" s="44">
        <f>R211+R212-R213-R214</f>
        <v/>
      </c>
      <c r="S215" s="44">
        <f>S211+S212-S213-S214</f>
        <v/>
      </c>
      <c r="T215" s="44">
        <f>T211+T212-T213-T214</f>
        <v/>
      </c>
      <c r="U215" s="44">
        <f>U211+U212-U213-U214</f>
        <v/>
      </c>
      <c r="V215" s="44">
        <f>V211+V212-V213-V214</f>
        <v/>
      </c>
      <c r="W215" s="44">
        <f>W211+W212-W213-W214</f>
        <v/>
      </c>
      <c r="X215" s="44">
        <f>X211+X212-X213-X214</f>
        <v/>
      </c>
      <c r="Y215" s="44">
        <f>Y211+Y212-Y213-Y214</f>
        <v/>
      </c>
      <c r="Z215" s="44">
        <f>Z211+Z212-Z213-Z214</f>
        <v/>
      </c>
      <c r="AA215" s="44">
        <f>AA211+AA212-AA213-AA214</f>
        <v/>
      </c>
      <c r="AB215" s="44">
        <f>AB211+AB212-AB213-AB214</f>
        <v/>
      </c>
      <c r="AC215" s="44">
        <f>AC211+AC212-AC213-AC214</f>
        <v/>
      </c>
      <c r="AD215" s="44">
        <f>AD211+AD212-AD213-AD214</f>
        <v/>
      </c>
      <c r="AE215" s="44">
        <f>AE211+AE212-AE213-AE214</f>
        <v/>
      </c>
      <c r="AF215" s="44">
        <f>AF211+AF212-AF213-AF214</f>
        <v/>
      </c>
      <c r="AG215" s="44">
        <f>AG211+AG212-AG213-AG214</f>
        <v/>
      </c>
      <c r="AH215" s="44">
        <f>AH211+AH212-AH213-AH214</f>
        <v/>
      </c>
      <c r="AI215" s="44">
        <f>AI211+AI212-AI213-AI214</f>
        <v/>
      </c>
      <c r="AJ215" s="44">
        <f>AJ211+AJ212-AJ213-AJ214</f>
        <v/>
      </c>
      <c r="AK215" s="44">
        <f>AK211+AK212-AK213-AK214</f>
        <v/>
      </c>
      <c r="AL215" s="44">
        <f>AL211+AL212-AL213-AL214</f>
        <v/>
      </c>
      <c r="AM215" s="44">
        <f>AM211+AM212-AM213-AM214</f>
        <v/>
      </c>
      <c r="AN215" s="44">
        <f>AN211+AN212-AN213-AN214</f>
        <v/>
      </c>
      <c r="AO215" s="44">
        <f>AO211+AO212-AO213-AO214</f>
        <v/>
      </c>
      <c r="AP215" s="44">
        <f>AP211+AP212-AP213-AP214</f>
        <v/>
      </c>
      <c r="AQ215" s="44">
        <f>AQ211+AQ212-AQ213-AQ214</f>
        <v/>
      </c>
      <c r="AR215" s="44">
        <f>AR211+AR212-AR213-AR214</f>
        <v/>
      </c>
      <c r="AS215" s="44">
        <f>AS211+AS212-AS213-AS214</f>
        <v/>
      </c>
      <c r="AT215" s="44">
        <f>AT211+AT212-AT213-AT214</f>
        <v/>
      </c>
      <c r="AU215" s="44">
        <f>AU211+AU212-AU213-AU214</f>
        <v/>
      </c>
      <c r="AV215" s="44">
        <f>AV211+AV212-AV213-AV214</f>
        <v/>
      </c>
      <c r="AW215" s="44">
        <f>AW211+AW212-AW213-AW214</f>
        <v/>
      </c>
      <c r="AX215" s="44">
        <f>AX211+AX212-AX213-AX214</f>
        <v/>
      </c>
      <c r="AY215" s="44">
        <f>AY211+AY212-AY213-AY214</f>
        <v/>
      </c>
      <c r="AZ215" s="44">
        <f>AZ211+AZ212-AZ213-AZ214</f>
        <v/>
      </c>
      <c r="BA215" s="44">
        <f>BA211+BA212-BA213-BA214</f>
        <v/>
      </c>
      <c r="BB215" s="44">
        <f>BB211+BB212-BB213-BB214</f>
        <v/>
      </c>
      <c r="BC215" s="44">
        <f>BC211+BC212-BC213-BC214</f>
        <v/>
      </c>
      <c r="BD215" s="44">
        <f>BD211+BD212-BD213-BD214</f>
        <v/>
      </c>
      <c r="BE215" s="44">
        <f>BE211+BE212-BE213-BE214</f>
        <v/>
      </c>
      <c r="BF215" s="44">
        <f>BF211+BF212-BF213-BF214</f>
        <v/>
      </c>
      <c r="BG215" s="44">
        <f>BG211+BG212-BG213-BG214</f>
        <v/>
      </c>
      <c r="BH215" s="44">
        <f>BH211+BH212-BH213-BH214</f>
        <v/>
      </c>
      <c r="BI215" s="44">
        <f>BI211+BI212-BI213-BI214</f>
        <v/>
      </c>
      <c r="BJ215" s="44">
        <f>BJ211+BJ212-BJ213-BJ214</f>
        <v/>
      </c>
    </row>
    <row r="216">
      <c r="A216" s="4" t="inlineStr">
        <is>
          <t>Nigeria: Solo: Starter (direct or upgraded): opening</t>
        </is>
      </c>
      <c r="B216" s="17" t="inlineStr">
        <is>
          <t>workspaces</t>
        </is>
      </c>
      <c r="C216" s="41">
        <f>0</f>
        <v/>
      </c>
      <c r="D216" s="41">
        <f>C219</f>
        <v/>
      </c>
      <c r="E216" s="41">
        <f>D219</f>
        <v/>
      </c>
      <c r="F216" s="41">
        <f>E219</f>
        <v/>
      </c>
      <c r="G216" s="41">
        <f>F219</f>
        <v/>
      </c>
      <c r="H216" s="41">
        <f>G219</f>
        <v/>
      </c>
      <c r="I216" s="41">
        <f>H219</f>
        <v/>
      </c>
      <c r="J216" s="41">
        <f>I219</f>
        <v/>
      </c>
      <c r="K216" s="41">
        <f>J219</f>
        <v/>
      </c>
      <c r="L216" s="41">
        <f>K219</f>
        <v/>
      </c>
      <c r="M216" s="41">
        <f>L219</f>
        <v/>
      </c>
      <c r="N216" s="41">
        <f>M219</f>
        <v/>
      </c>
      <c r="O216" s="41">
        <f>N219</f>
        <v/>
      </c>
      <c r="P216" s="41">
        <f>O219</f>
        <v/>
      </c>
      <c r="Q216" s="41">
        <f>P219</f>
        <v/>
      </c>
      <c r="R216" s="41">
        <f>Q219</f>
        <v/>
      </c>
      <c r="S216" s="41">
        <f>R219</f>
        <v/>
      </c>
      <c r="T216" s="41">
        <f>S219</f>
        <v/>
      </c>
      <c r="U216" s="41">
        <f>T219</f>
        <v/>
      </c>
      <c r="V216" s="41">
        <f>U219</f>
        <v/>
      </c>
      <c r="W216" s="41">
        <f>V219</f>
        <v/>
      </c>
      <c r="X216" s="41">
        <f>W219</f>
        <v/>
      </c>
      <c r="Y216" s="41">
        <f>X219</f>
        <v/>
      </c>
      <c r="Z216" s="41">
        <f>Y219</f>
        <v/>
      </c>
      <c r="AA216" s="41">
        <f>Z219</f>
        <v/>
      </c>
      <c r="AB216" s="41">
        <f>AA219</f>
        <v/>
      </c>
      <c r="AC216" s="41">
        <f>AB219</f>
        <v/>
      </c>
      <c r="AD216" s="41">
        <f>AC219</f>
        <v/>
      </c>
      <c r="AE216" s="41">
        <f>AD219</f>
        <v/>
      </c>
      <c r="AF216" s="41">
        <f>AE219</f>
        <v/>
      </c>
      <c r="AG216" s="41">
        <f>AF219</f>
        <v/>
      </c>
      <c r="AH216" s="41">
        <f>AG219</f>
        <v/>
      </c>
      <c r="AI216" s="41">
        <f>AH219</f>
        <v/>
      </c>
      <c r="AJ216" s="41">
        <f>AI219</f>
        <v/>
      </c>
      <c r="AK216" s="41">
        <f>AJ219</f>
        <v/>
      </c>
      <c r="AL216" s="41">
        <f>AK219</f>
        <v/>
      </c>
      <c r="AM216" s="41">
        <f>AL219</f>
        <v/>
      </c>
      <c r="AN216" s="41">
        <f>AM219</f>
        <v/>
      </c>
      <c r="AO216" s="41">
        <f>AN219</f>
        <v/>
      </c>
      <c r="AP216" s="41">
        <f>AO219</f>
        <v/>
      </c>
      <c r="AQ216" s="41">
        <f>AP219</f>
        <v/>
      </c>
      <c r="AR216" s="41">
        <f>AQ219</f>
        <v/>
      </c>
      <c r="AS216" s="41">
        <f>AR219</f>
        <v/>
      </c>
      <c r="AT216" s="41">
        <f>AS219</f>
        <v/>
      </c>
      <c r="AU216" s="41">
        <f>AT219</f>
        <v/>
      </c>
      <c r="AV216" s="41">
        <f>AU219</f>
        <v/>
      </c>
      <c r="AW216" s="41">
        <f>AV219</f>
        <v/>
      </c>
      <c r="AX216" s="41">
        <f>AW219</f>
        <v/>
      </c>
      <c r="AY216" s="41">
        <f>AX219</f>
        <v/>
      </c>
      <c r="AZ216" s="41">
        <f>AY219</f>
        <v/>
      </c>
      <c r="BA216" s="41">
        <f>AZ219</f>
        <v/>
      </c>
      <c r="BB216" s="41">
        <f>BA219</f>
        <v/>
      </c>
      <c r="BC216" s="41">
        <f>BB219</f>
        <v/>
      </c>
      <c r="BD216" s="41">
        <f>BC219</f>
        <v/>
      </c>
      <c r="BE216" s="41">
        <f>BD219</f>
        <v/>
      </c>
      <c r="BF216" s="41">
        <f>BE219</f>
        <v/>
      </c>
      <c r="BG216" s="41">
        <f>BF219</f>
        <v/>
      </c>
      <c r="BH216" s="41">
        <f>BG219</f>
        <v/>
      </c>
      <c r="BI216" s="41">
        <f>BH219</f>
        <v/>
      </c>
      <c r="BJ216" s="41">
        <f>BI219</f>
        <v/>
      </c>
    </row>
    <row r="217">
      <c r="A217" s="4" t="inlineStr">
        <is>
          <t>Nigeria: Solo: Starter (direct or upgraded): new</t>
        </is>
      </c>
      <c r="B217" s="17" t="inlineStr">
        <is>
          <t>workspaces</t>
        </is>
      </c>
      <c r="C217" s="41">
        <f>C148*Assumptions!$B$126+C214</f>
        <v/>
      </c>
      <c r="D217" s="41">
        <f>D148*Assumptions!$B$126+D214</f>
        <v/>
      </c>
      <c r="E217" s="41">
        <f>E148*Assumptions!$B$126+E214</f>
        <v/>
      </c>
      <c r="F217" s="41">
        <f>F148*Assumptions!$B$126+F214</f>
        <v/>
      </c>
      <c r="G217" s="41">
        <f>G148*Assumptions!$B$126+G214</f>
        <v/>
      </c>
      <c r="H217" s="41">
        <f>H148*Assumptions!$B$126+H214</f>
        <v/>
      </c>
      <c r="I217" s="41">
        <f>I148*Assumptions!$B$126+I214</f>
        <v/>
      </c>
      <c r="J217" s="41">
        <f>J148*Assumptions!$B$126+J214</f>
        <v/>
      </c>
      <c r="K217" s="41">
        <f>K148*Assumptions!$B$126+K214</f>
        <v/>
      </c>
      <c r="L217" s="41">
        <f>L148*Assumptions!$B$126+L214</f>
        <v/>
      </c>
      <c r="M217" s="41">
        <f>M148*Assumptions!$B$126+M214</f>
        <v/>
      </c>
      <c r="N217" s="41">
        <f>N148*Assumptions!$B$126+N214</f>
        <v/>
      </c>
      <c r="O217" s="41">
        <f>O148*Assumptions!$B$126+O214</f>
        <v/>
      </c>
      <c r="P217" s="41">
        <f>P148*Assumptions!$B$126+P214</f>
        <v/>
      </c>
      <c r="Q217" s="41">
        <f>Q148*Assumptions!$B$126+Q214</f>
        <v/>
      </c>
      <c r="R217" s="41">
        <f>R148*Assumptions!$B$126+R214</f>
        <v/>
      </c>
      <c r="S217" s="41">
        <f>S148*Assumptions!$B$126+S214</f>
        <v/>
      </c>
      <c r="T217" s="41">
        <f>T148*Assumptions!$B$126+T214</f>
        <v/>
      </c>
      <c r="U217" s="41">
        <f>U148*Assumptions!$B$126+U214</f>
        <v/>
      </c>
      <c r="V217" s="41">
        <f>V148*Assumptions!$B$126+V214</f>
        <v/>
      </c>
      <c r="W217" s="41">
        <f>W148*Assumptions!$B$126+W214</f>
        <v/>
      </c>
      <c r="X217" s="41">
        <f>X148*Assumptions!$B$126+X214</f>
        <v/>
      </c>
      <c r="Y217" s="41">
        <f>Y148*Assumptions!$B$126+Y214</f>
        <v/>
      </c>
      <c r="Z217" s="41">
        <f>Z148*Assumptions!$B$126+Z214</f>
        <v/>
      </c>
      <c r="AA217" s="41">
        <f>AA148*Assumptions!$B$126+AA214</f>
        <v/>
      </c>
      <c r="AB217" s="41">
        <f>AB148*Assumptions!$B$126+AB214</f>
        <v/>
      </c>
      <c r="AC217" s="41">
        <f>AC148*Assumptions!$B$126+AC214</f>
        <v/>
      </c>
      <c r="AD217" s="41">
        <f>AD148*Assumptions!$B$126+AD214</f>
        <v/>
      </c>
      <c r="AE217" s="41">
        <f>AE148*Assumptions!$B$126+AE214</f>
        <v/>
      </c>
      <c r="AF217" s="41">
        <f>AF148*Assumptions!$B$126+AF214</f>
        <v/>
      </c>
      <c r="AG217" s="41">
        <f>AG148*Assumptions!$B$126+AG214</f>
        <v/>
      </c>
      <c r="AH217" s="41">
        <f>AH148*Assumptions!$B$126+AH214</f>
        <v/>
      </c>
      <c r="AI217" s="41">
        <f>AI148*Assumptions!$B$126+AI214</f>
        <v/>
      </c>
      <c r="AJ217" s="41">
        <f>AJ148*Assumptions!$B$126+AJ214</f>
        <v/>
      </c>
      <c r="AK217" s="41">
        <f>AK148*Assumptions!$B$126+AK214</f>
        <v/>
      </c>
      <c r="AL217" s="41">
        <f>AL148*Assumptions!$B$126+AL214</f>
        <v/>
      </c>
      <c r="AM217" s="41">
        <f>AM148*Assumptions!$B$126+AM214</f>
        <v/>
      </c>
      <c r="AN217" s="41">
        <f>AN148*Assumptions!$B$126+AN214</f>
        <v/>
      </c>
      <c r="AO217" s="41">
        <f>AO148*Assumptions!$B$126+AO214</f>
        <v/>
      </c>
      <c r="AP217" s="41">
        <f>AP148*Assumptions!$B$126+AP214</f>
        <v/>
      </c>
      <c r="AQ217" s="41">
        <f>AQ148*Assumptions!$B$126+AQ214</f>
        <v/>
      </c>
      <c r="AR217" s="41">
        <f>AR148*Assumptions!$B$126+AR214</f>
        <v/>
      </c>
      <c r="AS217" s="41">
        <f>AS148*Assumptions!$B$126+AS214</f>
        <v/>
      </c>
      <c r="AT217" s="41">
        <f>AT148*Assumptions!$B$126+AT214</f>
        <v/>
      </c>
      <c r="AU217" s="41">
        <f>AU148*Assumptions!$B$126+AU214</f>
        <v/>
      </c>
      <c r="AV217" s="41">
        <f>AV148*Assumptions!$B$126+AV214</f>
        <v/>
      </c>
      <c r="AW217" s="41">
        <f>AW148*Assumptions!$B$126+AW214</f>
        <v/>
      </c>
      <c r="AX217" s="41">
        <f>AX148*Assumptions!$B$126+AX214</f>
        <v/>
      </c>
      <c r="AY217" s="41">
        <f>AY148*Assumptions!$B$126+AY214</f>
        <v/>
      </c>
      <c r="AZ217" s="41">
        <f>AZ148*Assumptions!$B$126+AZ214</f>
        <v/>
      </c>
      <c r="BA217" s="41">
        <f>BA148*Assumptions!$B$126+BA214</f>
        <v/>
      </c>
      <c r="BB217" s="41">
        <f>BB148*Assumptions!$B$126+BB214</f>
        <v/>
      </c>
      <c r="BC217" s="41">
        <f>BC148*Assumptions!$B$126+BC214</f>
        <v/>
      </c>
      <c r="BD217" s="41">
        <f>BD148*Assumptions!$B$126+BD214</f>
        <v/>
      </c>
      <c r="BE217" s="41">
        <f>BE148*Assumptions!$B$126+BE214</f>
        <v/>
      </c>
      <c r="BF217" s="41">
        <f>BF148*Assumptions!$B$126+BF214</f>
        <v/>
      </c>
      <c r="BG217" s="41">
        <f>BG148*Assumptions!$B$126+BG214</f>
        <v/>
      </c>
      <c r="BH217" s="41">
        <f>BH148*Assumptions!$B$126+BH214</f>
        <v/>
      </c>
      <c r="BI217" s="41">
        <f>BI148*Assumptions!$B$126+BI214</f>
        <v/>
      </c>
      <c r="BJ217" s="41">
        <f>BJ148*Assumptions!$B$126+BJ214</f>
        <v/>
      </c>
    </row>
    <row r="218">
      <c r="A218" s="4" t="inlineStr">
        <is>
          <t>Nigeria: Solo: Starter (direct or upgraded): churned</t>
        </is>
      </c>
      <c r="B218" s="17" t="inlineStr">
        <is>
          <t>workspaces</t>
        </is>
      </c>
      <c r="C218" s="41">
        <f>C216*Assumptions!$B$139*Assumptions!$B$46*Assumptions!$B$30*Assumptions!$B$64</f>
        <v/>
      </c>
      <c r="D218" s="41">
        <f>D216*Assumptions!$B$139*Assumptions!$B$46*Assumptions!$B$30*Assumptions!$B$64</f>
        <v/>
      </c>
      <c r="E218" s="41">
        <f>E216*Assumptions!$B$139*Assumptions!$B$46*Assumptions!$B$30*Assumptions!$B$64</f>
        <v/>
      </c>
      <c r="F218" s="41">
        <f>F216*Assumptions!$B$139*Assumptions!$B$46*Assumptions!$B$30*Assumptions!$B$64</f>
        <v/>
      </c>
      <c r="G218" s="41">
        <f>G216*Assumptions!$B$139*Assumptions!$B$46*Assumptions!$B$30*Assumptions!$B$64</f>
        <v/>
      </c>
      <c r="H218" s="41">
        <f>H216*Assumptions!$B$139*Assumptions!$B$46*Assumptions!$B$30*Assumptions!$B$64</f>
        <v/>
      </c>
      <c r="I218" s="41">
        <f>I216*Assumptions!$B$139*Assumptions!$B$46*Assumptions!$B$30*Assumptions!$B$64</f>
        <v/>
      </c>
      <c r="J218" s="41">
        <f>J216*Assumptions!$B$139*Assumptions!$B$46*Assumptions!$B$30*Assumptions!$B$64</f>
        <v/>
      </c>
      <c r="K218" s="41">
        <f>K216*Assumptions!$B$139*Assumptions!$B$46*Assumptions!$B$30*Assumptions!$B$64</f>
        <v/>
      </c>
      <c r="L218" s="41">
        <f>L216*Assumptions!$B$139*Assumptions!$B$46*Assumptions!$B$30*Assumptions!$B$64</f>
        <v/>
      </c>
      <c r="M218" s="41">
        <f>M216*Assumptions!$B$139*Assumptions!$B$46*Assumptions!$B$30*Assumptions!$B$64</f>
        <v/>
      </c>
      <c r="N218" s="41">
        <f>N216*Assumptions!$B$139*Assumptions!$B$46*Assumptions!$B$30*Assumptions!$B$64</f>
        <v/>
      </c>
      <c r="O218" s="41">
        <f>O216*Assumptions!$B$139*Assumptions!$B$46*Assumptions!$B$30*Assumptions!$B$64</f>
        <v/>
      </c>
      <c r="P218" s="41">
        <f>P216*Assumptions!$B$139*Assumptions!$B$46*Assumptions!$B$30*Assumptions!$B$64</f>
        <v/>
      </c>
      <c r="Q218" s="41">
        <f>Q216*Assumptions!$B$139*Assumptions!$B$46*Assumptions!$B$30*Assumptions!$B$64</f>
        <v/>
      </c>
      <c r="R218" s="41">
        <f>R216*Assumptions!$B$139*Assumptions!$B$46*Assumptions!$B$30*Assumptions!$B$64</f>
        <v/>
      </c>
      <c r="S218" s="41">
        <f>S216*Assumptions!$B$139*Assumptions!$B$46*Assumptions!$B$30*Assumptions!$B$64</f>
        <v/>
      </c>
      <c r="T218" s="41">
        <f>T216*Assumptions!$B$139*Assumptions!$B$46*Assumptions!$B$30*Assumptions!$B$64</f>
        <v/>
      </c>
      <c r="U218" s="41">
        <f>U216*Assumptions!$B$139*Assumptions!$B$46*Assumptions!$B$30*Assumptions!$B$64</f>
        <v/>
      </c>
      <c r="V218" s="41">
        <f>V216*Assumptions!$B$139*Assumptions!$B$46*Assumptions!$B$30*Assumptions!$B$64</f>
        <v/>
      </c>
      <c r="W218" s="41">
        <f>W216*Assumptions!$B$139*Assumptions!$B$46*Assumptions!$B$30*Assumptions!$B$64</f>
        <v/>
      </c>
      <c r="X218" s="41">
        <f>X216*Assumptions!$B$139*Assumptions!$B$46*Assumptions!$B$30*Assumptions!$B$64</f>
        <v/>
      </c>
      <c r="Y218" s="41">
        <f>Y216*Assumptions!$B$139*Assumptions!$B$46*Assumptions!$B$30*Assumptions!$B$64</f>
        <v/>
      </c>
      <c r="Z218" s="41">
        <f>Z216*Assumptions!$B$139*Assumptions!$B$46*Assumptions!$B$30*Assumptions!$B$64</f>
        <v/>
      </c>
      <c r="AA218" s="41">
        <f>AA216*Assumptions!$B$139*Assumptions!$B$46*Assumptions!$B$30*Assumptions!$B$64</f>
        <v/>
      </c>
      <c r="AB218" s="41">
        <f>AB216*Assumptions!$B$139*Assumptions!$B$46*Assumptions!$B$30*Assumptions!$B$64</f>
        <v/>
      </c>
      <c r="AC218" s="41">
        <f>AC216*Assumptions!$B$139*Assumptions!$B$46*Assumptions!$B$30*Assumptions!$B$64</f>
        <v/>
      </c>
      <c r="AD218" s="41">
        <f>AD216*Assumptions!$B$139*Assumptions!$B$46*Assumptions!$B$30*Assumptions!$B$64</f>
        <v/>
      </c>
      <c r="AE218" s="41">
        <f>AE216*Assumptions!$B$139*Assumptions!$B$46*Assumptions!$B$30*Assumptions!$B$64</f>
        <v/>
      </c>
      <c r="AF218" s="41">
        <f>AF216*Assumptions!$B$139*Assumptions!$B$46*Assumptions!$B$30*Assumptions!$B$64</f>
        <v/>
      </c>
      <c r="AG218" s="41">
        <f>AG216*Assumptions!$B$139*Assumptions!$B$46*Assumptions!$B$30*Assumptions!$B$64</f>
        <v/>
      </c>
      <c r="AH218" s="41">
        <f>AH216*Assumptions!$B$139*Assumptions!$B$46*Assumptions!$B$30*Assumptions!$B$64</f>
        <v/>
      </c>
      <c r="AI218" s="41">
        <f>AI216*Assumptions!$B$139*Assumptions!$B$46*Assumptions!$B$30*Assumptions!$B$64</f>
        <v/>
      </c>
      <c r="AJ218" s="41">
        <f>AJ216*Assumptions!$B$139*Assumptions!$B$46*Assumptions!$B$30*Assumptions!$B$64</f>
        <v/>
      </c>
      <c r="AK218" s="41">
        <f>AK216*Assumptions!$B$139*Assumptions!$B$46*Assumptions!$B$30*Assumptions!$B$64</f>
        <v/>
      </c>
      <c r="AL218" s="41">
        <f>AL216*Assumptions!$B$139*Assumptions!$B$46*Assumptions!$B$30*Assumptions!$B$64</f>
        <v/>
      </c>
      <c r="AM218" s="41">
        <f>AM216*Assumptions!$B$139*Assumptions!$B$46*Assumptions!$B$30*Assumptions!$B$64</f>
        <v/>
      </c>
      <c r="AN218" s="41">
        <f>AN216*Assumptions!$B$139*Assumptions!$B$46*Assumptions!$B$30*Assumptions!$B$64</f>
        <v/>
      </c>
      <c r="AO218" s="41">
        <f>AO216*Assumptions!$B$139*Assumptions!$B$46*Assumptions!$B$30*Assumptions!$B$64</f>
        <v/>
      </c>
      <c r="AP218" s="41">
        <f>AP216*Assumptions!$B$139*Assumptions!$B$46*Assumptions!$B$30*Assumptions!$B$64</f>
        <v/>
      </c>
      <c r="AQ218" s="41">
        <f>AQ216*Assumptions!$B$139*Assumptions!$B$46*Assumptions!$B$30*Assumptions!$B$64</f>
        <v/>
      </c>
      <c r="AR218" s="41">
        <f>AR216*Assumptions!$B$139*Assumptions!$B$46*Assumptions!$B$30*Assumptions!$B$64</f>
        <v/>
      </c>
      <c r="AS218" s="41">
        <f>AS216*Assumptions!$B$139*Assumptions!$B$46*Assumptions!$B$30*Assumptions!$B$64</f>
        <v/>
      </c>
      <c r="AT218" s="41">
        <f>AT216*Assumptions!$B$139*Assumptions!$B$46*Assumptions!$B$30*Assumptions!$B$64</f>
        <v/>
      </c>
      <c r="AU218" s="41">
        <f>AU216*Assumptions!$B$139*Assumptions!$B$46*Assumptions!$B$30*Assumptions!$B$64</f>
        <v/>
      </c>
      <c r="AV218" s="41">
        <f>AV216*Assumptions!$B$139*Assumptions!$B$46*Assumptions!$B$30*Assumptions!$B$64</f>
        <v/>
      </c>
      <c r="AW218" s="41">
        <f>AW216*Assumptions!$B$139*Assumptions!$B$46*Assumptions!$B$30*Assumptions!$B$64</f>
        <v/>
      </c>
      <c r="AX218" s="41">
        <f>AX216*Assumptions!$B$139*Assumptions!$B$46*Assumptions!$B$30*Assumptions!$B$64</f>
        <v/>
      </c>
      <c r="AY218" s="41">
        <f>AY216*Assumptions!$B$139*Assumptions!$B$46*Assumptions!$B$30*Assumptions!$B$64</f>
        <v/>
      </c>
      <c r="AZ218" s="41">
        <f>AZ216*Assumptions!$B$139*Assumptions!$B$46*Assumptions!$B$30*Assumptions!$B$64</f>
        <v/>
      </c>
      <c r="BA218" s="41">
        <f>BA216*Assumptions!$B$139*Assumptions!$B$46*Assumptions!$B$30*Assumptions!$B$64</f>
        <v/>
      </c>
      <c r="BB218" s="41">
        <f>BB216*Assumptions!$B$139*Assumptions!$B$46*Assumptions!$B$30*Assumptions!$B$64</f>
        <v/>
      </c>
      <c r="BC218" s="41">
        <f>BC216*Assumptions!$B$139*Assumptions!$B$46*Assumptions!$B$30*Assumptions!$B$64</f>
        <v/>
      </c>
      <c r="BD218" s="41">
        <f>BD216*Assumptions!$B$139*Assumptions!$B$46*Assumptions!$B$30*Assumptions!$B$64</f>
        <v/>
      </c>
      <c r="BE218" s="41">
        <f>BE216*Assumptions!$B$139*Assumptions!$B$46*Assumptions!$B$30*Assumptions!$B$64</f>
        <v/>
      </c>
      <c r="BF218" s="41">
        <f>BF216*Assumptions!$B$139*Assumptions!$B$46*Assumptions!$B$30*Assumptions!$B$64</f>
        <v/>
      </c>
      <c r="BG218" s="41">
        <f>BG216*Assumptions!$B$139*Assumptions!$B$46*Assumptions!$B$30*Assumptions!$B$64</f>
        <v/>
      </c>
      <c r="BH218" s="41">
        <f>BH216*Assumptions!$B$139*Assumptions!$B$46*Assumptions!$B$30*Assumptions!$B$64</f>
        <v/>
      </c>
      <c r="BI218" s="41">
        <f>BI216*Assumptions!$B$139*Assumptions!$B$46*Assumptions!$B$30*Assumptions!$B$64</f>
        <v/>
      </c>
      <c r="BJ218" s="41">
        <f>BJ216*Assumptions!$B$139*Assumptions!$B$46*Assumptions!$B$30*Assumptions!$B$64</f>
        <v/>
      </c>
    </row>
    <row r="219">
      <c r="A219" s="3" t="inlineStr">
        <is>
          <t>Nigeria: Solo: Starter (direct or upgraded): closing</t>
        </is>
      </c>
      <c r="B219" s="17" t="inlineStr">
        <is>
          <t>workspaces</t>
        </is>
      </c>
      <c r="C219" s="44">
        <f>C216+C217-C218</f>
        <v/>
      </c>
      <c r="D219" s="44">
        <f>D216+D217-D218</f>
        <v/>
      </c>
      <c r="E219" s="44">
        <f>E216+E217-E218</f>
        <v/>
      </c>
      <c r="F219" s="44">
        <f>F216+F217-F218</f>
        <v/>
      </c>
      <c r="G219" s="44">
        <f>G216+G217-G218</f>
        <v/>
      </c>
      <c r="H219" s="44">
        <f>H216+H217-H218</f>
        <v/>
      </c>
      <c r="I219" s="44">
        <f>I216+I217-I218</f>
        <v/>
      </c>
      <c r="J219" s="44">
        <f>J216+J217-J218</f>
        <v/>
      </c>
      <c r="K219" s="44">
        <f>K216+K217-K218</f>
        <v/>
      </c>
      <c r="L219" s="44">
        <f>L216+L217-L218</f>
        <v/>
      </c>
      <c r="M219" s="44">
        <f>M216+M217-M218</f>
        <v/>
      </c>
      <c r="N219" s="44">
        <f>N216+N217-N218</f>
        <v/>
      </c>
      <c r="O219" s="44">
        <f>O216+O217-O218</f>
        <v/>
      </c>
      <c r="P219" s="44">
        <f>P216+P217-P218</f>
        <v/>
      </c>
      <c r="Q219" s="44">
        <f>Q216+Q217-Q218</f>
        <v/>
      </c>
      <c r="R219" s="44">
        <f>R216+R217-R218</f>
        <v/>
      </c>
      <c r="S219" s="44">
        <f>S216+S217-S218</f>
        <v/>
      </c>
      <c r="T219" s="44">
        <f>T216+T217-T218</f>
        <v/>
      </c>
      <c r="U219" s="44">
        <f>U216+U217-U218</f>
        <v/>
      </c>
      <c r="V219" s="44">
        <f>V216+V217-V218</f>
        <v/>
      </c>
      <c r="W219" s="44">
        <f>W216+W217-W218</f>
        <v/>
      </c>
      <c r="X219" s="44">
        <f>X216+X217-X218</f>
        <v/>
      </c>
      <c r="Y219" s="44">
        <f>Y216+Y217-Y218</f>
        <v/>
      </c>
      <c r="Z219" s="44">
        <f>Z216+Z217-Z218</f>
        <v/>
      </c>
      <c r="AA219" s="44">
        <f>AA216+AA217-AA218</f>
        <v/>
      </c>
      <c r="AB219" s="44">
        <f>AB216+AB217-AB218</f>
        <v/>
      </c>
      <c r="AC219" s="44">
        <f>AC216+AC217-AC218</f>
        <v/>
      </c>
      <c r="AD219" s="44">
        <f>AD216+AD217-AD218</f>
        <v/>
      </c>
      <c r="AE219" s="44">
        <f>AE216+AE217-AE218</f>
        <v/>
      </c>
      <c r="AF219" s="44">
        <f>AF216+AF217-AF218</f>
        <v/>
      </c>
      <c r="AG219" s="44">
        <f>AG216+AG217-AG218</f>
        <v/>
      </c>
      <c r="AH219" s="44">
        <f>AH216+AH217-AH218</f>
        <v/>
      </c>
      <c r="AI219" s="44">
        <f>AI216+AI217-AI218</f>
        <v/>
      </c>
      <c r="AJ219" s="44">
        <f>AJ216+AJ217-AJ218</f>
        <v/>
      </c>
      <c r="AK219" s="44">
        <f>AK216+AK217-AK218</f>
        <v/>
      </c>
      <c r="AL219" s="44">
        <f>AL216+AL217-AL218</f>
        <v/>
      </c>
      <c r="AM219" s="44">
        <f>AM216+AM217-AM218</f>
        <v/>
      </c>
      <c r="AN219" s="44">
        <f>AN216+AN217-AN218</f>
        <v/>
      </c>
      <c r="AO219" s="44">
        <f>AO216+AO217-AO218</f>
        <v/>
      </c>
      <c r="AP219" s="44">
        <f>AP216+AP217-AP218</f>
        <v/>
      </c>
      <c r="AQ219" s="44">
        <f>AQ216+AQ217-AQ218</f>
        <v/>
      </c>
      <c r="AR219" s="44">
        <f>AR216+AR217-AR218</f>
        <v/>
      </c>
      <c r="AS219" s="44">
        <f>AS216+AS217-AS218</f>
        <v/>
      </c>
      <c r="AT219" s="44">
        <f>AT216+AT217-AT218</f>
        <v/>
      </c>
      <c r="AU219" s="44">
        <f>AU216+AU217-AU218</f>
        <v/>
      </c>
      <c r="AV219" s="44">
        <f>AV216+AV217-AV218</f>
        <v/>
      </c>
      <c r="AW219" s="44">
        <f>AW216+AW217-AW218</f>
        <v/>
      </c>
      <c r="AX219" s="44">
        <f>AX216+AX217-AX218</f>
        <v/>
      </c>
      <c r="AY219" s="44">
        <f>AY216+AY217-AY218</f>
        <v/>
      </c>
      <c r="AZ219" s="44">
        <f>AZ216+AZ217-AZ218</f>
        <v/>
      </c>
      <c r="BA219" s="44">
        <f>BA216+BA217-BA218</f>
        <v/>
      </c>
      <c r="BB219" s="44">
        <f>BB216+BB217-BB218</f>
        <v/>
      </c>
      <c r="BC219" s="44">
        <f>BC216+BC217-BC218</f>
        <v/>
      </c>
      <c r="BD219" s="44">
        <f>BD216+BD217-BD218</f>
        <v/>
      </c>
      <c r="BE219" s="44">
        <f>BE216+BE217-BE218</f>
        <v/>
      </c>
      <c r="BF219" s="44">
        <f>BF216+BF217-BF218</f>
        <v/>
      </c>
      <c r="BG219" s="44">
        <f>BG216+BG217-BG218</f>
        <v/>
      </c>
      <c r="BH219" s="44">
        <f>BH216+BH217-BH218</f>
        <v/>
      </c>
      <c r="BI219" s="44">
        <f>BI216+BI217-BI218</f>
        <v/>
      </c>
      <c r="BJ219" s="44">
        <f>BJ216+BJ217-BJ218</f>
        <v/>
      </c>
    </row>
    <row r="220">
      <c r="A220" s="4" t="inlineStr">
        <is>
          <t>Nigeria: SME: Starter: opening</t>
        </is>
      </c>
      <c r="B220" s="17" t="inlineStr">
        <is>
          <t>workspaces</t>
        </is>
      </c>
      <c r="C220" s="41">
        <f>0</f>
        <v/>
      </c>
      <c r="D220" s="41">
        <f>C224</f>
        <v/>
      </c>
      <c r="E220" s="41">
        <f>D224</f>
        <v/>
      </c>
      <c r="F220" s="41">
        <f>E224</f>
        <v/>
      </c>
      <c r="G220" s="41">
        <f>F224</f>
        <v/>
      </c>
      <c r="H220" s="41">
        <f>G224</f>
        <v/>
      </c>
      <c r="I220" s="41">
        <f>H224</f>
        <v/>
      </c>
      <c r="J220" s="41">
        <f>I224</f>
        <v/>
      </c>
      <c r="K220" s="41">
        <f>J224</f>
        <v/>
      </c>
      <c r="L220" s="41">
        <f>K224</f>
        <v/>
      </c>
      <c r="M220" s="41">
        <f>L224</f>
        <v/>
      </c>
      <c r="N220" s="41">
        <f>M224</f>
        <v/>
      </c>
      <c r="O220" s="41">
        <f>N224</f>
        <v/>
      </c>
      <c r="P220" s="41">
        <f>O224</f>
        <v/>
      </c>
      <c r="Q220" s="41">
        <f>P224</f>
        <v/>
      </c>
      <c r="R220" s="41">
        <f>Q224</f>
        <v/>
      </c>
      <c r="S220" s="41">
        <f>R224</f>
        <v/>
      </c>
      <c r="T220" s="41">
        <f>S224</f>
        <v/>
      </c>
      <c r="U220" s="41">
        <f>T224</f>
        <v/>
      </c>
      <c r="V220" s="41">
        <f>U224</f>
        <v/>
      </c>
      <c r="W220" s="41">
        <f>V224</f>
        <v/>
      </c>
      <c r="X220" s="41">
        <f>W224</f>
        <v/>
      </c>
      <c r="Y220" s="41">
        <f>X224</f>
        <v/>
      </c>
      <c r="Z220" s="41">
        <f>Y224</f>
        <v/>
      </c>
      <c r="AA220" s="41">
        <f>Z224</f>
        <v/>
      </c>
      <c r="AB220" s="41">
        <f>AA224</f>
        <v/>
      </c>
      <c r="AC220" s="41">
        <f>AB224</f>
        <v/>
      </c>
      <c r="AD220" s="41">
        <f>AC224</f>
        <v/>
      </c>
      <c r="AE220" s="41">
        <f>AD224</f>
        <v/>
      </c>
      <c r="AF220" s="41">
        <f>AE224</f>
        <v/>
      </c>
      <c r="AG220" s="41">
        <f>AF224</f>
        <v/>
      </c>
      <c r="AH220" s="41">
        <f>AG224</f>
        <v/>
      </c>
      <c r="AI220" s="41">
        <f>AH224</f>
        <v/>
      </c>
      <c r="AJ220" s="41">
        <f>AI224</f>
        <v/>
      </c>
      <c r="AK220" s="41">
        <f>AJ224</f>
        <v/>
      </c>
      <c r="AL220" s="41">
        <f>AK224</f>
        <v/>
      </c>
      <c r="AM220" s="41">
        <f>AL224</f>
        <v/>
      </c>
      <c r="AN220" s="41">
        <f>AM224</f>
        <v/>
      </c>
      <c r="AO220" s="41">
        <f>AN224</f>
        <v/>
      </c>
      <c r="AP220" s="41">
        <f>AO224</f>
        <v/>
      </c>
      <c r="AQ220" s="41">
        <f>AP224</f>
        <v/>
      </c>
      <c r="AR220" s="41">
        <f>AQ224</f>
        <v/>
      </c>
      <c r="AS220" s="41">
        <f>AR224</f>
        <v/>
      </c>
      <c r="AT220" s="41">
        <f>AS224</f>
        <v/>
      </c>
      <c r="AU220" s="41">
        <f>AT224</f>
        <v/>
      </c>
      <c r="AV220" s="41">
        <f>AU224</f>
        <v/>
      </c>
      <c r="AW220" s="41">
        <f>AV224</f>
        <v/>
      </c>
      <c r="AX220" s="41">
        <f>AW224</f>
        <v/>
      </c>
      <c r="AY220" s="41">
        <f>AX224</f>
        <v/>
      </c>
      <c r="AZ220" s="41">
        <f>AY224</f>
        <v/>
      </c>
      <c r="BA220" s="41">
        <f>AZ224</f>
        <v/>
      </c>
      <c r="BB220" s="41">
        <f>BA224</f>
        <v/>
      </c>
      <c r="BC220" s="41">
        <f>BB224</f>
        <v/>
      </c>
      <c r="BD220" s="41">
        <f>BC224</f>
        <v/>
      </c>
      <c r="BE220" s="41">
        <f>BD224</f>
        <v/>
      </c>
      <c r="BF220" s="41">
        <f>BE224</f>
        <v/>
      </c>
      <c r="BG220" s="41">
        <f>BF224</f>
        <v/>
      </c>
      <c r="BH220" s="41">
        <f>BG224</f>
        <v/>
      </c>
      <c r="BI220" s="41">
        <f>BH224</f>
        <v/>
      </c>
      <c r="BJ220" s="41">
        <f>BI224</f>
        <v/>
      </c>
    </row>
    <row r="221">
      <c r="A221" s="4" t="inlineStr">
        <is>
          <t>Nigeria: SME: Starter: new</t>
        </is>
      </c>
      <c r="B221" s="17" t="inlineStr">
        <is>
          <t>workspaces</t>
        </is>
      </c>
      <c r="C221" s="41">
        <f>C149*Assumptions!$B$127</f>
        <v/>
      </c>
      <c r="D221" s="41">
        <f>D149*Assumptions!$B$127</f>
        <v/>
      </c>
      <c r="E221" s="41">
        <f>E149*Assumptions!$B$127</f>
        <v/>
      </c>
      <c r="F221" s="41">
        <f>F149*Assumptions!$B$127</f>
        <v/>
      </c>
      <c r="G221" s="41">
        <f>G149*Assumptions!$B$127</f>
        <v/>
      </c>
      <c r="H221" s="41">
        <f>H149*Assumptions!$B$127</f>
        <v/>
      </c>
      <c r="I221" s="41">
        <f>I149*Assumptions!$B$127</f>
        <v/>
      </c>
      <c r="J221" s="41">
        <f>J149*Assumptions!$B$127</f>
        <v/>
      </c>
      <c r="K221" s="41">
        <f>K149*Assumptions!$B$127</f>
        <v/>
      </c>
      <c r="L221" s="41">
        <f>L149*Assumptions!$B$127</f>
        <v/>
      </c>
      <c r="M221" s="41">
        <f>M149*Assumptions!$B$127</f>
        <v/>
      </c>
      <c r="N221" s="41">
        <f>N149*Assumptions!$B$127</f>
        <v/>
      </c>
      <c r="O221" s="41">
        <f>O149*Assumptions!$B$127</f>
        <v/>
      </c>
      <c r="P221" s="41">
        <f>P149*Assumptions!$B$127</f>
        <v/>
      </c>
      <c r="Q221" s="41">
        <f>Q149*Assumptions!$B$127</f>
        <v/>
      </c>
      <c r="R221" s="41">
        <f>R149*Assumptions!$B$127</f>
        <v/>
      </c>
      <c r="S221" s="41">
        <f>S149*Assumptions!$B$127</f>
        <v/>
      </c>
      <c r="T221" s="41">
        <f>T149*Assumptions!$B$127</f>
        <v/>
      </c>
      <c r="U221" s="41">
        <f>U149*Assumptions!$B$127</f>
        <v/>
      </c>
      <c r="V221" s="41">
        <f>V149*Assumptions!$B$127</f>
        <v/>
      </c>
      <c r="W221" s="41">
        <f>W149*Assumptions!$B$127</f>
        <v/>
      </c>
      <c r="X221" s="41">
        <f>X149*Assumptions!$B$127</f>
        <v/>
      </c>
      <c r="Y221" s="41">
        <f>Y149*Assumptions!$B$127</f>
        <v/>
      </c>
      <c r="Z221" s="41">
        <f>Z149*Assumptions!$B$127</f>
        <v/>
      </c>
      <c r="AA221" s="41">
        <f>AA149*Assumptions!$B$127</f>
        <v/>
      </c>
      <c r="AB221" s="41">
        <f>AB149*Assumptions!$B$127</f>
        <v/>
      </c>
      <c r="AC221" s="41">
        <f>AC149*Assumptions!$B$127</f>
        <v/>
      </c>
      <c r="AD221" s="41">
        <f>AD149*Assumptions!$B$127</f>
        <v/>
      </c>
      <c r="AE221" s="41">
        <f>AE149*Assumptions!$B$127</f>
        <v/>
      </c>
      <c r="AF221" s="41">
        <f>AF149*Assumptions!$B$127</f>
        <v/>
      </c>
      <c r="AG221" s="41">
        <f>AG149*Assumptions!$B$127</f>
        <v/>
      </c>
      <c r="AH221" s="41">
        <f>AH149*Assumptions!$B$127</f>
        <v/>
      </c>
      <c r="AI221" s="41">
        <f>AI149*Assumptions!$B$127</f>
        <v/>
      </c>
      <c r="AJ221" s="41">
        <f>AJ149*Assumptions!$B$127</f>
        <v/>
      </c>
      <c r="AK221" s="41">
        <f>AK149*Assumptions!$B$127</f>
        <v/>
      </c>
      <c r="AL221" s="41">
        <f>AL149*Assumptions!$B$127</f>
        <v/>
      </c>
      <c r="AM221" s="41">
        <f>AM149*Assumptions!$B$127</f>
        <v/>
      </c>
      <c r="AN221" s="41">
        <f>AN149*Assumptions!$B$127</f>
        <v/>
      </c>
      <c r="AO221" s="41">
        <f>AO149*Assumptions!$B$127</f>
        <v/>
      </c>
      <c r="AP221" s="41">
        <f>AP149*Assumptions!$B$127</f>
        <v/>
      </c>
      <c r="AQ221" s="41">
        <f>AQ149*Assumptions!$B$127</f>
        <v/>
      </c>
      <c r="AR221" s="41">
        <f>AR149*Assumptions!$B$127</f>
        <v/>
      </c>
      <c r="AS221" s="41">
        <f>AS149*Assumptions!$B$127</f>
        <v/>
      </c>
      <c r="AT221" s="41">
        <f>AT149*Assumptions!$B$127</f>
        <v/>
      </c>
      <c r="AU221" s="41">
        <f>AU149*Assumptions!$B$127</f>
        <v/>
      </c>
      <c r="AV221" s="41">
        <f>AV149*Assumptions!$B$127</f>
        <v/>
      </c>
      <c r="AW221" s="41">
        <f>AW149*Assumptions!$B$127</f>
        <v/>
      </c>
      <c r="AX221" s="41">
        <f>AX149*Assumptions!$B$127</f>
        <v/>
      </c>
      <c r="AY221" s="41">
        <f>AY149*Assumptions!$B$127</f>
        <v/>
      </c>
      <c r="AZ221" s="41">
        <f>AZ149*Assumptions!$B$127</f>
        <v/>
      </c>
      <c r="BA221" s="41">
        <f>BA149*Assumptions!$B$127</f>
        <v/>
      </c>
      <c r="BB221" s="41">
        <f>BB149*Assumptions!$B$127</f>
        <v/>
      </c>
      <c r="BC221" s="41">
        <f>BC149*Assumptions!$B$127</f>
        <v/>
      </c>
      <c r="BD221" s="41">
        <f>BD149*Assumptions!$B$127</f>
        <v/>
      </c>
      <c r="BE221" s="41">
        <f>BE149*Assumptions!$B$127</f>
        <v/>
      </c>
      <c r="BF221" s="41">
        <f>BF149*Assumptions!$B$127</f>
        <v/>
      </c>
      <c r="BG221" s="41">
        <f>BG149*Assumptions!$B$127</f>
        <v/>
      </c>
      <c r="BH221" s="41">
        <f>BH149*Assumptions!$B$127</f>
        <v/>
      </c>
      <c r="BI221" s="41">
        <f>BI149*Assumptions!$B$127</f>
        <v/>
      </c>
      <c r="BJ221" s="41">
        <f>BJ149*Assumptions!$B$127</f>
        <v/>
      </c>
    </row>
    <row r="222">
      <c r="A222" s="4" t="inlineStr">
        <is>
          <t>Nigeria: SME: Starter: churned</t>
        </is>
      </c>
      <c r="B222" s="17" t="inlineStr">
        <is>
          <t>workspaces</t>
        </is>
      </c>
      <c r="C222" s="41">
        <f>C220*Assumptions!$B$140*Assumptions!$B$46*Assumptions!$B$30*Assumptions!$B$64</f>
        <v/>
      </c>
      <c r="D222" s="41">
        <f>D220*Assumptions!$B$140*Assumptions!$B$46*Assumptions!$B$30*Assumptions!$B$64</f>
        <v/>
      </c>
      <c r="E222" s="41">
        <f>E220*Assumptions!$B$140*Assumptions!$B$46*Assumptions!$B$30*Assumptions!$B$64</f>
        <v/>
      </c>
      <c r="F222" s="41">
        <f>F220*Assumptions!$B$140*Assumptions!$B$46*Assumptions!$B$30*Assumptions!$B$64</f>
        <v/>
      </c>
      <c r="G222" s="41">
        <f>G220*Assumptions!$B$140*Assumptions!$B$46*Assumptions!$B$30*Assumptions!$B$64</f>
        <v/>
      </c>
      <c r="H222" s="41">
        <f>H220*Assumptions!$B$140*Assumptions!$B$46*Assumptions!$B$30*Assumptions!$B$64</f>
        <v/>
      </c>
      <c r="I222" s="41">
        <f>I220*Assumptions!$B$140*Assumptions!$B$46*Assumptions!$B$30*Assumptions!$B$64</f>
        <v/>
      </c>
      <c r="J222" s="41">
        <f>J220*Assumptions!$B$140*Assumptions!$B$46*Assumptions!$B$30*Assumptions!$B$64</f>
        <v/>
      </c>
      <c r="K222" s="41">
        <f>K220*Assumptions!$B$140*Assumptions!$B$46*Assumptions!$B$30*Assumptions!$B$64</f>
        <v/>
      </c>
      <c r="L222" s="41">
        <f>L220*Assumptions!$B$140*Assumptions!$B$46*Assumptions!$B$30*Assumptions!$B$64</f>
        <v/>
      </c>
      <c r="M222" s="41">
        <f>M220*Assumptions!$B$140*Assumptions!$B$46*Assumptions!$B$30*Assumptions!$B$64</f>
        <v/>
      </c>
      <c r="N222" s="41">
        <f>N220*Assumptions!$B$140*Assumptions!$B$46*Assumptions!$B$30*Assumptions!$B$64</f>
        <v/>
      </c>
      <c r="O222" s="41">
        <f>O220*Assumptions!$B$140*Assumptions!$B$46*Assumptions!$B$30*Assumptions!$B$64</f>
        <v/>
      </c>
      <c r="P222" s="41">
        <f>P220*Assumptions!$B$140*Assumptions!$B$46*Assumptions!$B$30*Assumptions!$B$64</f>
        <v/>
      </c>
      <c r="Q222" s="41">
        <f>Q220*Assumptions!$B$140*Assumptions!$B$46*Assumptions!$B$30*Assumptions!$B$64</f>
        <v/>
      </c>
      <c r="R222" s="41">
        <f>R220*Assumptions!$B$140*Assumptions!$B$46*Assumptions!$B$30*Assumptions!$B$64</f>
        <v/>
      </c>
      <c r="S222" s="41">
        <f>S220*Assumptions!$B$140*Assumptions!$B$46*Assumptions!$B$30*Assumptions!$B$64</f>
        <v/>
      </c>
      <c r="T222" s="41">
        <f>T220*Assumptions!$B$140*Assumptions!$B$46*Assumptions!$B$30*Assumptions!$B$64</f>
        <v/>
      </c>
      <c r="U222" s="41">
        <f>U220*Assumptions!$B$140*Assumptions!$B$46*Assumptions!$B$30*Assumptions!$B$64</f>
        <v/>
      </c>
      <c r="V222" s="41">
        <f>V220*Assumptions!$B$140*Assumptions!$B$46*Assumptions!$B$30*Assumptions!$B$64</f>
        <v/>
      </c>
      <c r="W222" s="41">
        <f>W220*Assumptions!$B$140*Assumptions!$B$46*Assumptions!$B$30*Assumptions!$B$64</f>
        <v/>
      </c>
      <c r="X222" s="41">
        <f>X220*Assumptions!$B$140*Assumptions!$B$46*Assumptions!$B$30*Assumptions!$B$64</f>
        <v/>
      </c>
      <c r="Y222" s="41">
        <f>Y220*Assumptions!$B$140*Assumptions!$B$46*Assumptions!$B$30*Assumptions!$B$64</f>
        <v/>
      </c>
      <c r="Z222" s="41">
        <f>Z220*Assumptions!$B$140*Assumptions!$B$46*Assumptions!$B$30*Assumptions!$B$64</f>
        <v/>
      </c>
      <c r="AA222" s="41">
        <f>AA220*Assumptions!$B$140*Assumptions!$B$46*Assumptions!$B$30*Assumptions!$B$64</f>
        <v/>
      </c>
      <c r="AB222" s="41">
        <f>AB220*Assumptions!$B$140*Assumptions!$B$46*Assumptions!$B$30*Assumptions!$B$64</f>
        <v/>
      </c>
      <c r="AC222" s="41">
        <f>AC220*Assumptions!$B$140*Assumptions!$B$46*Assumptions!$B$30*Assumptions!$B$64</f>
        <v/>
      </c>
      <c r="AD222" s="41">
        <f>AD220*Assumptions!$B$140*Assumptions!$B$46*Assumptions!$B$30*Assumptions!$B$64</f>
        <v/>
      </c>
      <c r="AE222" s="41">
        <f>AE220*Assumptions!$B$140*Assumptions!$B$46*Assumptions!$B$30*Assumptions!$B$64</f>
        <v/>
      </c>
      <c r="AF222" s="41">
        <f>AF220*Assumptions!$B$140*Assumptions!$B$46*Assumptions!$B$30*Assumptions!$B$64</f>
        <v/>
      </c>
      <c r="AG222" s="41">
        <f>AG220*Assumptions!$B$140*Assumptions!$B$46*Assumptions!$B$30*Assumptions!$B$64</f>
        <v/>
      </c>
      <c r="AH222" s="41">
        <f>AH220*Assumptions!$B$140*Assumptions!$B$46*Assumptions!$B$30*Assumptions!$B$64</f>
        <v/>
      </c>
      <c r="AI222" s="41">
        <f>AI220*Assumptions!$B$140*Assumptions!$B$46*Assumptions!$B$30*Assumptions!$B$64</f>
        <v/>
      </c>
      <c r="AJ222" s="41">
        <f>AJ220*Assumptions!$B$140*Assumptions!$B$46*Assumptions!$B$30*Assumptions!$B$64</f>
        <v/>
      </c>
      <c r="AK222" s="41">
        <f>AK220*Assumptions!$B$140*Assumptions!$B$46*Assumptions!$B$30*Assumptions!$B$64</f>
        <v/>
      </c>
      <c r="AL222" s="41">
        <f>AL220*Assumptions!$B$140*Assumptions!$B$46*Assumptions!$B$30*Assumptions!$B$64</f>
        <v/>
      </c>
      <c r="AM222" s="41">
        <f>AM220*Assumptions!$B$140*Assumptions!$B$46*Assumptions!$B$30*Assumptions!$B$64</f>
        <v/>
      </c>
      <c r="AN222" s="41">
        <f>AN220*Assumptions!$B$140*Assumptions!$B$46*Assumptions!$B$30*Assumptions!$B$64</f>
        <v/>
      </c>
      <c r="AO222" s="41">
        <f>AO220*Assumptions!$B$140*Assumptions!$B$46*Assumptions!$B$30*Assumptions!$B$64</f>
        <v/>
      </c>
      <c r="AP222" s="41">
        <f>AP220*Assumptions!$B$140*Assumptions!$B$46*Assumptions!$B$30*Assumptions!$B$64</f>
        <v/>
      </c>
      <c r="AQ222" s="41">
        <f>AQ220*Assumptions!$B$140*Assumptions!$B$46*Assumptions!$B$30*Assumptions!$B$64</f>
        <v/>
      </c>
      <c r="AR222" s="41">
        <f>AR220*Assumptions!$B$140*Assumptions!$B$46*Assumptions!$B$30*Assumptions!$B$64</f>
        <v/>
      </c>
      <c r="AS222" s="41">
        <f>AS220*Assumptions!$B$140*Assumptions!$B$46*Assumptions!$B$30*Assumptions!$B$64</f>
        <v/>
      </c>
      <c r="AT222" s="41">
        <f>AT220*Assumptions!$B$140*Assumptions!$B$46*Assumptions!$B$30*Assumptions!$B$64</f>
        <v/>
      </c>
      <c r="AU222" s="41">
        <f>AU220*Assumptions!$B$140*Assumptions!$B$46*Assumptions!$B$30*Assumptions!$B$64</f>
        <v/>
      </c>
      <c r="AV222" s="41">
        <f>AV220*Assumptions!$B$140*Assumptions!$B$46*Assumptions!$B$30*Assumptions!$B$64</f>
        <v/>
      </c>
      <c r="AW222" s="41">
        <f>AW220*Assumptions!$B$140*Assumptions!$B$46*Assumptions!$B$30*Assumptions!$B$64</f>
        <v/>
      </c>
      <c r="AX222" s="41">
        <f>AX220*Assumptions!$B$140*Assumptions!$B$46*Assumptions!$B$30*Assumptions!$B$64</f>
        <v/>
      </c>
      <c r="AY222" s="41">
        <f>AY220*Assumptions!$B$140*Assumptions!$B$46*Assumptions!$B$30*Assumptions!$B$64</f>
        <v/>
      </c>
      <c r="AZ222" s="41">
        <f>AZ220*Assumptions!$B$140*Assumptions!$B$46*Assumptions!$B$30*Assumptions!$B$64</f>
        <v/>
      </c>
      <c r="BA222" s="41">
        <f>BA220*Assumptions!$B$140*Assumptions!$B$46*Assumptions!$B$30*Assumptions!$B$64</f>
        <v/>
      </c>
      <c r="BB222" s="41">
        <f>BB220*Assumptions!$B$140*Assumptions!$B$46*Assumptions!$B$30*Assumptions!$B$64</f>
        <v/>
      </c>
      <c r="BC222" s="41">
        <f>BC220*Assumptions!$B$140*Assumptions!$B$46*Assumptions!$B$30*Assumptions!$B$64</f>
        <v/>
      </c>
      <c r="BD222" s="41">
        <f>BD220*Assumptions!$B$140*Assumptions!$B$46*Assumptions!$B$30*Assumptions!$B$64</f>
        <v/>
      </c>
      <c r="BE222" s="41">
        <f>BE220*Assumptions!$B$140*Assumptions!$B$46*Assumptions!$B$30*Assumptions!$B$64</f>
        <v/>
      </c>
      <c r="BF222" s="41">
        <f>BF220*Assumptions!$B$140*Assumptions!$B$46*Assumptions!$B$30*Assumptions!$B$64</f>
        <v/>
      </c>
      <c r="BG222" s="41">
        <f>BG220*Assumptions!$B$140*Assumptions!$B$46*Assumptions!$B$30*Assumptions!$B$64</f>
        <v/>
      </c>
      <c r="BH222" s="41">
        <f>BH220*Assumptions!$B$140*Assumptions!$B$46*Assumptions!$B$30*Assumptions!$B$64</f>
        <v/>
      </c>
      <c r="BI222" s="41">
        <f>BI220*Assumptions!$B$140*Assumptions!$B$46*Assumptions!$B$30*Assumptions!$B$64</f>
        <v/>
      </c>
      <c r="BJ222" s="41">
        <f>BJ220*Assumptions!$B$140*Assumptions!$B$46*Assumptions!$B$30*Assumptions!$B$64</f>
        <v/>
      </c>
    </row>
    <row r="223">
      <c r="A223" s="4" t="inlineStr">
        <is>
          <t>Nigeria: SME: Starter: upgraded out</t>
        </is>
      </c>
      <c r="B223" s="17" t="inlineStr">
        <is>
          <t>workspaces</t>
        </is>
      </c>
      <c r="C223" s="41">
        <f>C220*Assumptions!$B$132</f>
        <v/>
      </c>
      <c r="D223" s="41">
        <f>D220*Assumptions!$B$132</f>
        <v/>
      </c>
      <c r="E223" s="41">
        <f>E220*Assumptions!$B$132</f>
        <v/>
      </c>
      <c r="F223" s="41">
        <f>F220*Assumptions!$B$132</f>
        <v/>
      </c>
      <c r="G223" s="41">
        <f>G220*Assumptions!$B$132</f>
        <v/>
      </c>
      <c r="H223" s="41">
        <f>H220*Assumptions!$B$132</f>
        <v/>
      </c>
      <c r="I223" s="41">
        <f>I220*Assumptions!$B$132</f>
        <v/>
      </c>
      <c r="J223" s="41">
        <f>J220*Assumptions!$B$132</f>
        <v/>
      </c>
      <c r="K223" s="41">
        <f>K220*Assumptions!$B$132</f>
        <v/>
      </c>
      <c r="L223" s="41">
        <f>L220*Assumptions!$B$132</f>
        <v/>
      </c>
      <c r="M223" s="41">
        <f>M220*Assumptions!$B$132</f>
        <v/>
      </c>
      <c r="N223" s="41">
        <f>N220*Assumptions!$B$132</f>
        <v/>
      </c>
      <c r="O223" s="41">
        <f>O220*Assumptions!$B$132</f>
        <v/>
      </c>
      <c r="P223" s="41">
        <f>P220*Assumptions!$B$132</f>
        <v/>
      </c>
      <c r="Q223" s="41">
        <f>Q220*Assumptions!$B$132</f>
        <v/>
      </c>
      <c r="R223" s="41">
        <f>R220*Assumptions!$B$132</f>
        <v/>
      </c>
      <c r="S223" s="41">
        <f>S220*Assumptions!$B$132</f>
        <v/>
      </c>
      <c r="T223" s="41">
        <f>T220*Assumptions!$B$132</f>
        <v/>
      </c>
      <c r="U223" s="41">
        <f>U220*Assumptions!$B$132</f>
        <v/>
      </c>
      <c r="V223" s="41">
        <f>V220*Assumptions!$B$132</f>
        <v/>
      </c>
      <c r="W223" s="41">
        <f>W220*Assumptions!$B$132</f>
        <v/>
      </c>
      <c r="X223" s="41">
        <f>X220*Assumptions!$B$132</f>
        <v/>
      </c>
      <c r="Y223" s="41">
        <f>Y220*Assumptions!$B$132</f>
        <v/>
      </c>
      <c r="Z223" s="41">
        <f>Z220*Assumptions!$B$132</f>
        <v/>
      </c>
      <c r="AA223" s="41">
        <f>AA220*Assumptions!$B$132</f>
        <v/>
      </c>
      <c r="AB223" s="41">
        <f>AB220*Assumptions!$B$132</f>
        <v/>
      </c>
      <c r="AC223" s="41">
        <f>AC220*Assumptions!$B$132</f>
        <v/>
      </c>
      <c r="AD223" s="41">
        <f>AD220*Assumptions!$B$132</f>
        <v/>
      </c>
      <c r="AE223" s="41">
        <f>AE220*Assumptions!$B$132</f>
        <v/>
      </c>
      <c r="AF223" s="41">
        <f>AF220*Assumptions!$B$132</f>
        <v/>
      </c>
      <c r="AG223" s="41">
        <f>AG220*Assumptions!$B$132</f>
        <v/>
      </c>
      <c r="AH223" s="41">
        <f>AH220*Assumptions!$B$132</f>
        <v/>
      </c>
      <c r="AI223" s="41">
        <f>AI220*Assumptions!$B$132</f>
        <v/>
      </c>
      <c r="AJ223" s="41">
        <f>AJ220*Assumptions!$B$132</f>
        <v/>
      </c>
      <c r="AK223" s="41">
        <f>AK220*Assumptions!$B$132</f>
        <v/>
      </c>
      <c r="AL223" s="41">
        <f>AL220*Assumptions!$B$132</f>
        <v/>
      </c>
      <c r="AM223" s="41">
        <f>AM220*Assumptions!$B$132</f>
        <v/>
      </c>
      <c r="AN223" s="41">
        <f>AN220*Assumptions!$B$132</f>
        <v/>
      </c>
      <c r="AO223" s="41">
        <f>AO220*Assumptions!$B$132</f>
        <v/>
      </c>
      <c r="AP223" s="41">
        <f>AP220*Assumptions!$B$132</f>
        <v/>
      </c>
      <c r="AQ223" s="41">
        <f>AQ220*Assumptions!$B$132</f>
        <v/>
      </c>
      <c r="AR223" s="41">
        <f>AR220*Assumptions!$B$132</f>
        <v/>
      </c>
      <c r="AS223" s="41">
        <f>AS220*Assumptions!$B$132</f>
        <v/>
      </c>
      <c r="AT223" s="41">
        <f>AT220*Assumptions!$B$132</f>
        <v/>
      </c>
      <c r="AU223" s="41">
        <f>AU220*Assumptions!$B$132</f>
        <v/>
      </c>
      <c r="AV223" s="41">
        <f>AV220*Assumptions!$B$132</f>
        <v/>
      </c>
      <c r="AW223" s="41">
        <f>AW220*Assumptions!$B$132</f>
        <v/>
      </c>
      <c r="AX223" s="41">
        <f>AX220*Assumptions!$B$132</f>
        <v/>
      </c>
      <c r="AY223" s="41">
        <f>AY220*Assumptions!$B$132</f>
        <v/>
      </c>
      <c r="AZ223" s="41">
        <f>AZ220*Assumptions!$B$132</f>
        <v/>
      </c>
      <c r="BA223" s="41">
        <f>BA220*Assumptions!$B$132</f>
        <v/>
      </c>
      <c r="BB223" s="41">
        <f>BB220*Assumptions!$B$132</f>
        <v/>
      </c>
      <c r="BC223" s="41">
        <f>BC220*Assumptions!$B$132</f>
        <v/>
      </c>
      <c r="BD223" s="41">
        <f>BD220*Assumptions!$B$132</f>
        <v/>
      </c>
      <c r="BE223" s="41">
        <f>BE220*Assumptions!$B$132</f>
        <v/>
      </c>
      <c r="BF223" s="41">
        <f>BF220*Assumptions!$B$132</f>
        <v/>
      </c>
      <c r="BG223" s="41">
        <f>BG220*Assumptions!$B$132</f>
        <v/>
      </c>
      <c r="BH223" s="41">
        <f>BH220*Assumptions!$B$132</f>
        <v/>
      </c>
      <c r="BI223" s="41">
        <f>BI220*Assumptions!$B$132</f>
        <v/>
      </c>
      <c r="BJ223" s="41">
        <f>BJ220*Assumptions!$B$132</f>
        <v/>
      </c>
    </row>
    <row r="224">
      <c r="A224" s="3" t="inlineStr">
        <is>
          <t>Nigeria: SME: Starter: closing</t>
        </is>
      </c>
      <c r="B224" s="17" t="inlineStr">
        <is>
          <t>workspaces</t>
        </is>
      </c>
      <c r="C224" s="44">
        <f>C220+C221-C222-C223</f>
        <v/>
      </c>
      <c r="D224" s="44">
        <f>D220+D221-D222-D223</f>
        <v/>
      </c>
      <c r="E224" s="44">
        <f>E220+E221-E222-E223</f>
        <v/>
      </c>
      <c r="F224" s="44">
        <f>F220+F221-F222-F223</f>
        <v/>
      </c>
      <c r="G224" s="44">
        <f>G220+G221-G222-G223</f>
        <v/>
      </c>
      <c r="H224" s="44">
        <f>H220+H221-H222-H223</f>
        <v/>
      </c>
      <c r="I224" s="44">
        <f>I220+I221-I222-I223</f>
        <v/>
      </c>
      <c r="J224" s="44">
        <f>J220+J221-J222-J223</f>
        <v/>
      </c>
      <c r="K224" s="44">
        <f>K220+K221-K222-K223</f>
        <v/>
      </c>
      <c r="L224" s="44">
        <f>L220+L221-L222-L223</f>
        <v/>
      </c>
      <c r="M224" s="44">
        <f>M220+M221-M222-M223</f>
        <v/>
      </c>
      <c r="N224" s="44">
        <f>N220+N221-N222-N223</f>
        <v/>
      </c>
      <c r="O224" s="44">
        <f>O220+O221-O222-O223</f>
        <v/>
      </c>
      <c r="P224" s="44">
        <f>P220+P221-P222-P223</f>
        <v/>
      </c>
      <c r="Q224" s="44">
        <f>Q220+Q221-Q222-Q223</f>
        <v/>
      </c>
      <c r="R224" s="44">
        <f>R220+R221-R222-R223</f>
        <v/>
      </c>
      <c r="S224" s="44">
        <f>S220+S221-S222-S223</f>
        <v/>
      </c>
      <c r="T224" s="44">
        <f>T220+T221-T222-T223</f>
        <v/>
      </c>
      <c r="U224" s="44">
        <f>U220+U221-U222-U223</f>
        <v/>
      </c>
      <c r="V224" s="44">
        <f>V220+V221-V222-V223</f>
        <v/>
      </c>
      <c r="W224" s="44">
        <f>W220+W221-W222-W223</f>
        <v/>
      </c>
      <c r="X224" s="44">
        <f>X220+X221-X222-X223</f>
        <v/>
      </c>
      <c r="Y224" s="44">
        <f>Y220+Y221-Y222-Y223</f>
        <v/>
      </c>
      <c r="Z224" s="44">
        <f>Z220+Z221-Z222-Z223</f>
        <v/>
      </c>
      <c r="AA224" s="44">
        <f>AA220+AA221-AA222-AA223</f>
        <v/>
      </c>
      <c r="AB224" s="44">
        <f>AB220+AB221-AB222-AB223</f>
        <v/>
      </c>
      <c r="AC224" s="44">
        <f>AC220+AC221-AC222-AC223</f>
        <v/>
      </c>
      <c r="AD224" s="44">
        <f>AD220+AD221-AD222-AD223</f>
        <v/>
      </c>
      <c r="AE224" s="44">
        <f>AE220+AE221-AE222-AE223</f>
        <v/>
      </c>
      <c r="AF224" s="44">
        <f>AF220+AF221-AF222-AF223</f>
        <v/>
      </c>
      <c r="AG224" s="44">
        <f>AG220+AG221-AG222-AG223</f>
        <v/>
      </c>
      <c r="AH224" s="44">
        <f>AH220+AH221-AH222-AH223</f>
        <v/>
      </c>
      <c r="AI224" s="44">
        <f>AI220+AI221-AI222-AI223</f>
        <v/>
      </c>
      <c r="AJ224" s="44">
        <f>AJ220+AJ221-AJ222-AJ223</f>
        <v/>
      </c>
      <c r="AK224" s="44">
        <f>AK220+AK221-AK222-AK223</f>
        <v/>
      </c>
      <c r="AL224" s="44">
        <f>AL220+AL221-AL222-AL223</f>
        <v/>
      </c>
      <c r="AM224" s="44">
        <f>AM220+AM221-AM222-AM223</f>
        <v/>
      </c>
      <c r="AN224" s="44">
        <f>AN220+AN221-AN222-AN223</f>
        <v/>
      </c>
      <c r="AO224" s="44">
        <f>AO220+AO221-AO222-AO223</f>
        <v/>
      </c>
      <c r="AP224" s="44">
        <f>AP220+AP221-AP222-AP223</f>
        <v/>
      </c>
      <c r="AQ224" s="44">
        <f>AQ220+AQ221-AQ222-AQ223</f>
        <v/>
      </c>
      <c r="AR224" s="44">
        <f>AR220+AR221-AR222-AR223</f>
        <v/>
      </c>
      <c r="AS224" s="44">
        <f>AS220+AS221-AS222-AS223</f>
        <v/>
      </c>
      <c r="AT224" s="44">
        <f>AT220+AT221-AT222-AT223</f>
        <v/>
      </c>
      <c r="AU224" s="44">
        <f>AU220+AU221-AU222-AU223</f>
        <v/>
      </c>
      <c r="AV224" s="44">
        <f>AV220+AV221-AV222-AV223</f>
        <v/>
      </c>
      <c r="AW224" s="44">
        <f>AW220+AW221-AW222-AW223</f>
        <v/>
      </c>
      <c r="AX224" s="44">
        <f>AX220+AX221-AX222-AX223</f>
        <v/>
      </c>
      <c r="AY224" s="44">
        <f>AY220+AY221-AY222-AY223</f>
        <v/>
      </c>
      <c r="AZ224" s="44">
        <f>AZ220+AZ221-AZ222-AZ223</f>
        <v/>
      </c>
      <c r="BA224" s="44">
        <f>BA220+BA221-BA222-BA223</f>
        <v/>
      </c>
      <c r="BB224" s="44">
        <f>BB220+BB221-BB222-BB223</f>
        <v/>
      </c>
      <c r="BC224" s="44">
        <f>BC220+BC221-BC222-BC223</f>
        <v/>
      </c>
      <c r="BD224" s="44">
        <f>BD220+BD221-BD222-BD223</f>
        <v/>
      </c>
      <c r="BE224" s="44">
        <f>BE220+BE221-BE222-BE223</f>
        <v/>
      </c>
      <c r="BF224" s="44">
        <f>BF220+BF221-BF222-BF223</f>
        <v/>
      </c>
      <c r="BG224" s="44">
        <f>BG220+BG221-BG222-BG223</f>
        <v/>
      </c>
      <c r="BH224" s="44">
        <f>BH220+BH221-BH222-BH223</f>
        <v/>
      </c>
      <c r="BI224" s="44">
        <f>BI220+BI221-BI222-BI223</f>
        <v/>
      </c>
      <c r="BJ224" s="44">
        <f>BJ220+BJ221-BJ222-BJ223</f>
        <v/>
      </c>
    </row>
    <row r="225">
      <c r="A225" s="4" t="inlineStr">
        <is>
          <t>Nigeria: SME: Growth (direct or upgraded): opening</t>
        </is>
      </c>
      <c r="B225" s="17" t="inlineStr">
        <is>
          <t>workspaces</t>
        </is>
      </c>
      <c r="C225" s="41">
        <f>0</f>
        <v/>
      </c>
      <c r="D225" s="41">
        <f>C229</f>
        <v/>
      </c>
      <c r="E225" s="41">
        <f>D229</f>
        <v/>
      </c>
      <c r="F225" s="41">
        <f>E229</f>
        <v/>
      </c>
      <c r="G225" s="41">
        <f>F229</f>
        <v/>
      </c>
      <c r="H225" s="41">
        <f>G229</f>
        <v/>
      </c>
      <c r="I225" s="41">
        <f>H229</f>
        <v/>
      </c>
      <c r="J225" s="41">
        <f>I229</f>
        <v/>
      </c>
      <c r="K225" s="41">
        <f>J229</f>
        <v/>
      </c>
      <c r="L225" s="41">
        <f>K229</f>
        <v/>
      </c>
      <c r="M225" s="41">
        <f>L229</f>
        <v/>
      </c>
      <c r="N225" s="41">
        <f>M229</f>
        <v/>
      </c>
      <c r="O225" s="41">
        <f>N229</f>
        <v/>
      </c>
      <c r="P225" s="41">
        <f>O229</f>
        <v/>
      </c>
      <c r="Q225" s="41">
        <f>P229</f>
        <v/>
      </c>
      <c r="R225" s="41">
        <f>Q229</f>
        <v/>
      </c>
      <c r="S225" s="41">
        <f>R229</f>
        <v/>
      </c>
      <c r="T225" s="41">
        <f>S229</f>
        <v/>
      </c>
      <c r="U225" s="41">
        <f>T229</f>
        <v/>
      </c>
      <c r="V225" s="41">
        <f>U229</f>
        <v/>
      </c>
      <c r="W225" s="41">
        <f>V229</f>
        <v/>
      </c>
      <c r="X225" s="41">
        <f>W229</f>
        <v/>
      </c>
      <c r="Y225" s="41">
        <f>X229</f>
        <v/>
      </c>
      <c r="Z225" s="41">
        <f>Y229</f>
        <v/>
      </c>
      <c r="AA225" s="41">
        <f>Z229</f>
        <v/>
      </c>
      <c r="AB225" s="41">
        <f>AA229</f>
        <v/>
      </c>
      <c r="AC225" s="41">
        <f>AB229</f>
        <v/>
      </c>
      <c r="AD225" s="41">
        <f>AC229</f>
        <v/>
      </c>
      <c r="AE225" s="41">
        <f>AD229</f>
        <v/>
      </c>
      <c r="AF225" s="41">
        <f>AE229</f>
        <v/>
      </c>
      <c r="AG225" s="41">
        <f>AF229</f>
        <v/>
      </c>
      <c r="AH225" s="41">
        <f>AG229</f>
        <v/>
      </c>
      <c r="AI225" s="41">
        <f>AH229</f>
        <v/>
      </c>
      <c r="AJ225" s="41">
        <f>AI229</f>
        <v/>
      </c>
      <c r="AK225" s="41">
        <f>AJ229</f>
        <v/>
      </c>
      <c r="AL225" s="41">
        <f>AK229</f>
        <v/>
      </c>
      <c r="AM225" s="41">
        <f>AL229</f>
        <v/>
      </c>
      <c r="AN225" s="41">
        <f>AM229</f>
        <v/>
      </c>
      <c r="AO225" s="41">
        <f>AN229</f>
        <v/>
      </c>
      <c r="AP225" s="41">
        <f>AO229</f>
        <v/>
      </c>
      <c r="AQ225" s="41">
        <f>AP229</f>
        <v/>
      </c>
      <c r="AR225" s="41">
        <f>AQ229</f>
        <v/>
      </c>
      <c r="AS225" s="41">
        <f>AR229</f>
        <v/>
      </c>
      <c r="AT225" s="41">
        <f>AS229</f>
        <v/>
      </c>
      <c r="AU225" s="41">
        <f>AT229</f>
        <v/>
      </c>
      <c r="AV225" s="41">
        <f>AU229</f>
        <v/>
      </c>
      <c r="AW225" s="41">
        <f>AV229</f>
        <v/>
      </c>
      <c r="AX225" s="41">
        <f>AW229</f>
        <v/>
      </c>
      <c r="AY225" s="41">
        <f>AX229</f>
        <v/>
      </c>
      <c r="AZ225" s="41">
        <f>AY229</f>
        <v/>
      </c>
      <c r="BA225" s="41">
        <f>AZ229</f>
        <v/>
      </c>
      <c r="BB225" s="41">
        <f>BA229</f>
        <v/>
      </c>
      <c r="BC225" s="41">
        <f>BB229</f>
        <v/>
      </c>
      <c r="BD225" s="41">
        <f>BC229</f>
        <v/>
      </c>
      <c r="BE225" s="41">
        <f>BD229</f>
        <v/>
      </c>
      <c r="BF225" s="41">
        <f>BE229</f>
        <v/>
      </c>
      <c r="BG225" s="41">
        <f>BF229</f>
        <v/>
      </c>
      <c r="BH225" s="41">
        <f>BG229</f>
        <v/>
      </c>
      <c r="BI225" s="41">
        <f>BH229</f>
        <v/>
      </c>
      <c r="BJ225" s="41">
        <f>BI229</f>
        <v/>
      </c>
    </row>
    <row r="226">
      <c r="A226" s="4" t="inlineStr">
        <is>
          <t>Nigeria: SME: Growth (direct or upgraded): new</t>
        </is>
      </c>
      <c r="B226" s="17" t="inlineStr">
        <is>
          <t>workspaces</t>
        </is>
      </c>
      <c r="C226" s="41">
        <f>C149*Assumptions!$B$128+C223</f>
        <v/>
      </c>
      <c r="D226" s="41">
        <f>D149*Assumptions!$B$128+D223</f>
        <v/>
      </c>
      <c r="E226" s="41">
        <f>E149*Assumptions!$B$128+E223</f>
        <v/>
      </c>
      <c r="F226" s="41">
        <f>F149*Assumptions!$B$128+F223</f>
        <v/>
      </c>
      <c r="G226" s="41">
        <f>G149*Assumptions!$B$128+G223</f>
        <v/>
      </c>
      <c r="H226" s="41">
        <f>H149*Assumptions!$B$128+H223</f>
        <v/>
      </c>
      <c r="I226" s="41">
        <f>I149*Assumptions!$B$128+I223</f>
        <v/>
      </c>
      <c r="J226" s="41">
        <f>J149*Assumptions!$B$128+J223</f>
        <v/>
      </c>
      <c r="K226" s="41">
        <f>K149*Assumptions!$B$128+K223</f>
        <v/>
      </c>
      <c r="L226" s="41">
        <f>L149*Assumptions!$B$128+L223</f>
        <v/>
      </c>
      <c r="M226" s="41">
        <f>M149*Assumptions!$B$128+M223</f>
        <v/>
      </c>
      <c r="N226" s="41">
        <f>N149*Assumptions!$B$128+N223</f>
        <v/>
      </c>
      <c r="O226" s="41">
        <f>O149*Assumptions!$B$128+O223</f>
        <v/>
      </c>
      <c r="P226" s="41">
        <f>P149*Assumptions!$B$128+P223</f>
        <v/>
      </c>
      <c r="Q226" s="41">
        <f>Q149*Assumptions!$B$128+Q223</f>
        <v/>
      </c>
      <c r="R226" s="41">
        <f>R149*Assumptions!$B$128+R223</f>
        <v/>
      </c>
      <c r="S226" s="41">
        <f>S149*Assumptions!$B$128+S223</f>
        <v/>
      </c>
      <c r="T226" s="41">
        <f>T149*Assumptions!$B$128+T223</f>
        <v/>
      </c>
      <c r="U226" s="41">
        <f>U149*Assumptions!$B$128+U223</f>
        <v/>
      </c>
      <c r="V226" s="41">
        <f>V149*Assumptions!$B$128+V223</f>
        <v/>
      </c>
      <c r="W226" s="41">
        <f>W149*Assumptions!$B$128+W223</f>
        <v/>
      </c>
      <c r="X226" s="41">
        <f>X149*Assumptions!$B$128+X223</f>
        <v/>
      </c>
      <c r="Y226" s="41">
        <f>Y149*Assumptions!$B$128+Y223</f>
        <v/>
      </c>
      <c r="Z226" s="41">
        <f>Z149*Assumptions!$B$128+Z223</f>
        <v/>
      </c>
      <c r="AA226" s="41">
        <f>AA149*Assumptions!$B$128+AA223</f>
        <v/>
      </c>
      <c r="AB226" s="41">
        <f>AB149*Assumptions!$B$128+AB223</f>
        <v/>
      </c>
      <c r="AC226" s="41">
        <f>AC149*Assumptions!$B$128+AC223</f>
        <v/>
      </c>
      <c r="AD226" s="41">
        <f>AD149*Assumptions!$B$128+AD223</f>
        <v/>
      </c>
      <c r="AE226" s="41">
        <f>AE149*Assumptions!$B$128+AE223</f>
        <v/>
      </c>
      <c r="AF226" s="41">
        <f>AF149*Assumptions!$B$128+AF223</f>
        <v/>
      </c>
      <c r="AG226" s="41">
        <f>AG149*Assumptions!$B$128+AG223</f>
        <v/>
      </c>
      <c r="AH226" s="41">
        <f>AH149*Assumptions!$B$128+AH223</f>
        <v/>
      </c>
      <c r="AI226" s="41">
        <f>AI149*Assumptions!$B$128+AI223</f>
        <v/>
      </c>
      <c r="AJ226" s="41">
        <f>AJ149*Assumptions!$B$128+AJ223</f>
        <v/>
      </c>
      <c r="AK226" s="41">
        <f>AK149*Assumptions!$B$128+AK223</f>
        <v/>
      </c>
      <c r="AL226" s="41">
        <f>AL149*Assumptions!$B$128+AL223</f>
        <v/>
      </c>
      <c r="AM226" s="41">
        <f>AM149*Assumptions!$B$128+AM223</f>
        <v/>
      </c>
      <c r="AN226" s="41">
        <f>AN149*Assumptions!$B$128+AN223</f>
        <v/>
      </c>
      <c r="AO226" s="41">
        <f>AO149*Assumptions!$B$128+AO223</f>
        <v/>
      </c>
      <c r="AP226" s="41">
        <f>AP149*Assumptions!$B$128+AP223</f>
        <v/>
      </c>
      <c r="AQ226" s="41">
        <f>AQ149*Assumptions!$B$128+AQ223</f>
        <v/>
      </c>
      <c r="AR226" s="41">
        <f>AR149*Assumptions!$B$128+AR223</f>
        <v/>
      </c>
      <c r="AS226" s="41">
        <f>AS149*Assumptions!$B$128+AS223</f>
        <v/>
      </c>
      <c r="AT226" s="41">
        <f>AT149*Assumptions!$B$128+AT223</f>
        <v/>
      </c>
      <c r="AU226" s="41">
        <f>AU149*Assumptions!$B$128+AU223</f>
        <v/>
      </c>
      <c r="AV226" s="41">
        <f>AV149*Assumptions!$B$128+AV223</f>
        <v/>
      </c>
      <c r="AW226" s="41">
        <f>AW149*Assumptions!$B$128+AW223</f>
        <v/>
      </c>
      <c r="AX226" s="41">
        <f>AX149*Assumptions!$B$128+AX223</f>
        <v/>
      </c>
      <c r="AY226" s="41">
        <f>AY149*Assumptions!$B$128+AY223</f>
        <v/>
      </c>
      <c r="AZ226" s="41">
        <f>AZ149*Assumptions!$B$128+AZ223</f>
        <v/>
      </c>
      <c r="BA226" s="41">
        <f>BA149*Assumptions!$B$128+BA223</f>
        <v/>
      </c>
      <c r="BB226" s="41">
        <f>BB149*Assumptions!$B$128+BB223</f>
        <v/>
      </c>
      <c r="BC226" s="41">
        <f>BC149*Assumptions!$B$128+BC223</f>
        <v/>
      </c>
      <c r="BD226" s="41">
        <f>BD149*Assumptions!$B$128+BD223</f>
        <v/>
      </c>
      <c r="BE226" s="41">
        <f>BE149*Assumptions!$B$128+BE223</f>
        <v/>
      </c>
      <c r="BF226" s="41">
        <f>BF149*Assumptions!$B$128+BF223</f>
        <v/>
      </c>
      <c r="BG226" s="41">
        <f>BG149*Assumptions!$B$128+BG223</f>
        <v/>
      </c>
      <c r="BH226" s="41">
        <f>BH149*Assumptions!$B$128+BH223</f>
        <v/>
      </c>
      <c r="BI226" s="41">
        <f>BI149*Assumptions!$B$128+BI223</f>
        <v/>
      </c>
      <c r="BJ226" s="41">
        <f>BJ149*Assumptions!$B$128+BJ223</f>
        <v/>
      </c>
    </row>
    <row r="227">
      <c r="A227" s="4" t="inlineStr">
        <is>
          <t>Nigeria: SME: Growth (direct or upgraded): churned</t>
        </is>
      </c>
      <c r="B227" s="17" t="inlineStr">
        <is>
          <t>workspaces</t>
        </is>
      </c>
      <c r="C227" s="41">
        <f>C225*Assumptions!$B$141*Assumptions!$B$46*Assumptions!$B$30*Assumptions!$B$64</f>
        <v/>
      </c>
      <c r="D227" s="41">
        <f>D225*Assumptions!$B$141*Assumptions!$B$46*Assumptions!$B$30*Assumptions!$B$64</f>
        <v/>
      </c>
      <c r="E227" s="41">
        <f>E225*Assumptions!$B$141*Assumptions!$B$46*Assumptions!$B$30*Assumptions!$B$64</f>
        <v/>
      </c>
      <c r="F227" s="41">
        <f>F225*Assumptions!$B$141*Assumptions!$B$46*Assumptions!$B$30*Assumptions!$B$64</f>
        <v/>
      </c>
      <c r="G227" s="41">
        <f>G225*Assumptions!$B$141*Assumptions!$B$46*Assumptions!$B$30*Assumptions!$B$64</f>
        <v/>
      </c>
      <c r="H227" s="41">
        <f>H225*Assumptions!$B$141*Assumptions!$B$46*Assumptions!$B$30*Assumptions!$B$64</f>
        <v/>
      </c>
      <c r="I227" s="41">
        <f>I225*Assumptions!$B$141*Assumptions!$B$46*Assumptions!$B$30*Assumptions!$B$64</f>
        <v/>
      </c>
      <c r="J227" s="41">
        <f>J225*Assumptions!$B$141*Assumptions!$B$46*Assumptions!$B$30*Assumptions!$B$64</f>
        <v/>
      </c>
      <c r="K227" s="41">
        <f>K225*Assumptions!$B$141*Assumptions!$B$46*Assumptions!$B$30*Assumptions!$B$64</f>
        <v/>
      </c>
      <c r="L227" s="41">
        <f>L225*Assumptions!$B$141*Assumptions!$B$46*Assumptions!$B$30*Assumptions!$B$64</f>
        <v/>
      </c>
      <c r="M227" s="41">
        <f>M225*Assumptions!$B$141*Assumptions!$B$46*Assumptions!$B$30*Assumptions!$B$64</f>
        <v/>
      </c>
      <c r="N227" s="41">
        <f>N225*Assumptions!$B$141*Assumptions!$B$46*Assumptions!$B$30*Assumptions!$B$64</f>
        <v/>
      </c>
      <c r="O227" s="41">
        <f>O225*Assumptions!$B$141*Assumptions!$B$46*Assumptions!$B$30*Assumptions!$B$64</f>
        <v/>
      </c>
      <c r="P227" s="41">
        <f>P225*Assumptions!$B$141*Assumptions!$B$46*Assumptions!$B$30*Assumptions!$B$64</f>
        <v/>
      </c>
      <c r="Q227" s="41">
        <f>Q225*Assumptions!$B$141*Assumptions!$B$46*Assumptions!$B$30*Assumptions!$B$64</f>
        <v/>
      </c>
      <c r="R227" s="41">
        <f>R225*Assumptions!$B$141*Assumptions!$B$46*Assumptions!$B$30*Assumptions!$B$64</f>
        <v/>
      </c>
      <c r="S227" s="41">
        <f>S225*Assumptions!$B$141*Assumptions!$B$46*Assumptions!$B$30*Assumptions!$B$64</f>
        <v/>
      </c>
      <c r="T227" s="41">
        <f>T225*Assumptions!$B$141*Assumptions!$B$46*Assumptions!$B$30*Assumptions!$B$64</f>
        <v/>
      </c>
      <c r="U227" s="41">
        <f>U225*Assumptions!$B$141*Assumptions!$B$46*Assumptions!$B$30*Assumptions!$B$64</f>
        <v/>
      </c>
      <c r="V227" s="41">
        <f>V225*Assumptions!$B$141*Assumptions!$B$46*Assumptions!$B$30*Assumptions!$B$64</f>
        <v/>
      </c>
      <c r="W227" s="41">
        <f>W225*Assumptions!$B$141*Assumptions!$B$46*Assumptions!$B$30*Assumptions!$B$64</f>
        <v/>
      </c>
      <c r="X227" s="41">
        <f>X225*Assumptions!$B$141*Assumptions!$B$46*Assumptions!$B$30*Assumptions!$B$64</f>
        <v/>
      </c>
      <c r="Y227" s="41">
        <f>Y225*Assumptions!$B$141*Assumptions!$B$46*Assumptions!$B$30*Assumptions!$B$64</f>
        <v/>
      </c>
      <c r="Z227" s="41">
        <f>Z225*Assumptions!$B$141*Assumptions!$B$46*Assumptions!$B$30*Assumptions!$B$64</f>
        <v/>
      </c>
      <c r="AA227" s="41">
        <f>AA225*Assumptions!$B$141*Assumptions!$B$46*Assumptions!$B$30*Assumptions!$B$64</f>
        <v/>
      </c>
      <c r="AB227" s="41">
        <f>AB225*Assumptions!$B$141*Assumptions!$B$46*Assumptions!$B$30*Assumptions!$B$64</f>
        <v/>
      </c>
      <c r="AC227" s="41">
        <f>AC225*Assumptions!$B$141*Assumptions!$B$46*Assumptions!$B$30*Assumptions!$B$64</f>
        <v/>
      </c>
      <c r="AD227" s="41">
        <f>AD225*Assumptions!$B$141*Assumptions!$B$46*Assumptions!$B$30*Assumptions!$B$64</f>
        <v/>
      </c>
      <c r="AE227" s="41">
        <f>AE225*Assumptions!$B$141*Assumptions!$B$46*Assumptions!$B$30*Assumptions!$B$64</f>
        <v/>
      </c>
      <c r="AF227" s="41">
        <f>AF225*Assumptions!$B$141*Assumptions!$B$46*Assumptions!$B$30*Assumptions!$B$64</f>
        <v/>
      </c>
      <c r="AG227" s="41">
        <f>AG225*Assumptions!$B$141*Assumptions!$B$46*Assumptions!$B$30*Assumptions!$B$64</f>
        <v/>
      </c>
      <c r="AH227" s="41">
        <f>AH225*Assumptions!$B$141*Assumptions!$B$46*Assumptions!$B$30*Assumptions!$B$64</f>
        <v/>
      </c>
      <c r="AI227" s="41">
        <f>AI225*Assumptions!$B$141*Assumptions!$B$46*Assumptions!$B$30*Assumptions!$B$64</f>
        <v/>
      </c>
      <c r="AJ227" s="41">
        <f>AJ225*Assumptions!$B$141*Assumptions!$B$46*Assumptions!$B$30*Assumptions!$B$64</f>
        <v/>
      </c>
      <c r="AK227" s="41">
        <f>AK225*Assumptions!$B$141*Assumptions!$B$46*Assumptions!$B$30*Assumptions!$B$64</f>
        <v/>
      </c>
      <c r="AL227" s="41">
        <f>AL225*Assumptions!$B$141*Assumptions!$B$46*Assumptions!$B$30*Assumptions!$B$64</f>
        <v/>
      </c>
      <c r="AM227" s="41">
        <f>AM225*Assumptions!$B$141*Assumptions!$B$46*Assumptions!$B$30*Assumptions!$B$64</f>
        <v/>
      </c>
      <c r="AN227" s="41">
        <f>AN225*Assumptions!$B$141*Assumptions!$B$46*Assumptions!$B$30*Assumptions!$B$64</f>
        <v/>
      </c>
      <c r="AO227" s="41">
        <f>AO225*Assumptions!$B$141*Assumptions!$B$46*Assumptions!$B$30*Assumptions!$B$64</f>
        <v/>
      </c>
      <c r="AP227" s="41">
        <f>AP225*Assumptions!$B$141*Assumptions!$B$46*Assumptions!$B$30*Assumptions!$B$64</f>
        <v/>
      </c>
      <c r="AQ227" s="41">
        <f>AQ225*Assumptions!$B$141*Assumptions!$B$46*Assumptions!$B$30*Assumptions!$B$64</f>
        <v/>
      </c>
      <c r="AR227" s="41">
        <f>AR225*Assumptions!$B$141*Assumptions!$B$46*Assumptions!$B$30*Assumptions!$B$64</f>
        <v/>
      </c>
      <c r="AS227" s="41">
        <f>AS225*Assumptions!$B$141*Assumptions!$B$46*Assumptions!$B$30*Assumptions!$B$64</f>
        <v/>
      </c>
      <c r="AT227" s="41">
        <f>AT225*Assumptions!$B$141*Assumptions!$B$46*Assumptions!$B$30*Assumptions!$B$64</f>
        <v/>
      </c>
      <c r="AU227" s="41">
        <f>AU225*Assumptions!$B$141*Assumptions!$B$46*Assumptions!$B$30*Assumptions!$B$64</f>
        <v/>
      </c>
      <c r="AV227" s="41">
        <f>AV225*Assumptions!$B$141*Assumptions!$B$46*Assumptions!$B$30*Assumptions!$B$64</f>
        <v/>
      </c>
      <c r="AW227" s="41">
        <f>AW225*Assumptions!$B$141*Assumptions!$B$46*Assumptions!$B$30*Assumptions!$B$64</f>
        <v/>
      </c>
      <c r="AX227" s="41">
        <f>AX225*Assumptions!$B$141*Assumptions!$B$46*Assumptions!$B$30*Assumptions!$B$64</f>
        <v/>
      </c>
      <c r="AY227" s="41">
        <f>AY225*Assumptions!$B$141*Assumptions!$B$46*Assumptions!$B$30*Assumptions!$B$64</f>
        <v/>
      </c>
      <c r="AZ227" s="41">
        <f>AZ225*Assumptions!$B$141*Assumptions!$B$46*Assumptions!$B$30*Assumptions!$B$64</f>
        <v/>
      </c>
      <c r="BA227" s="41">
        <f>BA225*Assumptions!$B$141*Assumptions!$B$46*Assumptions!$B$30*Assumptions!$B$64</f>
        <v/>
      </c>
      <c r="BB227" s="41">
        <f>BB225*Assumptions!$B$141*Assumptions!$B$46*Assumptions!$B$30*Assumptions!$B$64</f>
        <v/>
      </c>
      <c r="BC227" s="41">
        <f>BC225*Assumptions!$B$141*Assumptions!$B$46*Assumptions!$B$30*Assumptions!$B$64</f>
        <v/>
      </c>
      <c r="BD227" s="41">
        <f>BD225*Assumptions!$B$141*Assumptions!$B$46*Assumptions!$B$30*Assumptions!$B$64</f>
        <v/>
      </c>
      <c r="BE227" s="41">
        <f>BE225*Assumptions!$B$141*Assumptions!$B$46*Assumptions!$B$30*Assumptions!$B$64</f>
        <v/>
      </c>
      <c r="BF227" s="41">
        <f>BF225*Assumptions!$B$141*Assumptions!$B$46*Assumptions!$B$30*Assumptions!$B$64</f>
        <v/>
      </c>
      <c r="BG227" s="41">
        <f>BG225*Assumptions!$B$141*Assumptions!$B$46*Assumptions!$B$30*Assumptions!$B$64</f>
        <v/>
      </c>
      <c r="BH227" s="41">
        <f>BH225*Assumptions!$B$141*Assumptions!$B$46*Assumptions!$B$30*Assumptions!$B$64</f>
        <v/>
      </c>
      <c r="BI227" s="41">
        <f>BI225*Assumptions!$B$141*Assumptions!$B$46*Assumptions!$B$30*Assumptions!$B$64</f>
        <v/>
      </c>
      <c r="BJ227" s="41">
        <f>BJ225*Assumptions!$B$141*Assumptions!$B$46*Assumptions!$B$30*Assumptions!$B$64</f>
        <v/>
      </c>
    </row>
    <row r="228">
      <c r="A228" s="4" t="inlineStr">
        <is>
          <t>Nigeria: SME: Growth (direct or upgraded): upgraded out</t>
        </is>
      </c>
      <c r="B228" s="17" t="inlineStr">
        <is>
          <t>workspaces</t>
        </is>
      </c>
      <c r="C228" s="41">
        <f>C225*Assumptions!$B$133</f>
        <v/>
      </c>
      <c r="D228" s="41">
        <f>D225*Assumptions!$B$133</f>
        <v/>
      </c>
      <c r="E228" s="41">
        <f>E225*Assumptions!$B$133</f>
        <v/>
      </c>
      <c r="F228" s="41">
        <f>F225*Assumptions!$B$133</f>
        <v/>
      </c>
      <c r="G228" s="41">
        <f>G225*Assumptions!$B$133</f>
        <v/>
      </c>
      <c r="H228" s="41">
        <f>H225*Assumptions!$B$133</f>
        <v/>
      </c>
      <c r="I228" s="41">
        <f>I225*Assumptions!$B$133</f>
        <v/>
      </c>
      <c r="J228" s="41">
        <f>J225*Assumptions!$B$133</f>
        <v/>
      </c>
      <c r="K228" s="41">
        <f>K225*Assumptions!$B$133</f>
        <v/>
      </c>
      <c r="L228" s="41">
        <f>L225*Assumptions!$B$133</f>
        <v/>
      </c>
      <c r="M228" s="41">
        <f>M225*Assumptions!$B$133</f>
        <v/>
      </c>
      <c r="N228" s="41">
        <f>N225*Assumptions!$B$133</f>
        <v/>
      </c>
      <c r="O228" s="41">
        <f>O225*Assumptions!$B$133</f>
        <v/>
      </c>
      <c r="P228" s="41">
        <f>P225*Assumptions!$B$133</f>
        <v/>
      </c>
      <c r="Q228" s="41">
        <f>Q225*Assumptions!$B$133</f>
        <v/>
      </c>
      <c r="R228" s="41">
        <f>R225*Assumptions!$B$133</f>
        <v/>
      </c>
      <c r="S228" s="41">
        <f>S225*Assumptions!$B$133</f>
        <v/>
      </c>
      <c r="T228" s="41">
        <f>T225*Assumptions!$B$133</f>
        <v/>
      </c>
      <c r="U228" s="41">
        <f>U225*Assumptions!$B$133</f>
        <v/>
      </c>
      <c r="V228" s="41">
        <f>V225*Assumptions!$B$133</f>
        <v/>
      </c>
      <c r="W228" s="41">
        <f>W225*Assumptions!$B$133</f>
        <v/>
      </c>
      <c r="X228" s="41">
        <f>X225*Assumptions!$B$133</f>
        <v/>
      </c>
      <c r="Y228" s="41">
        <f>Y225*Assumptions!$B$133</f>
        <v/>
      </c>
      <c r="Z228" s="41">
        <f>Z225*Assumptions!$B$133</f>
        <v/>
      </c>
      <c r="AA228" s="41">
        <f>AA225*Assumptions!$B$133</f>
        <v/>
      </c>
      <c r="AB228" s="41">
        <f>AB225*Assumptions!$B$133</f>
        <v/>
      </c>
      <c r="AC228" s="41">
        <f>AC225*Assumptions!$B$133</f>
        <v/>
      </c>
      <c r="AD228" s="41">
        <f>AD225*Assumptions!$B$133</f>
        <v/>
      </c>
      <c r="AE228" s="41">
        <f>AE225*Assumptions!$B$133</f>
        <v/>
      </c>
      <c r="AF228" s="41">
        <f>AF225*Assumptions!$B$133</f>
        <v/>
      </c>
      <c r="AG228" s="41">
        <f>AG225*Assumptions!$B$133</f>
        <v/>
      </c>
      <c r="AH228" s="41">
        <f>AH225*Assumptions!$B$133</f>
        <v/>
      </c>
      <c r="AI228" s="41">
        <f>AI225*Assumptions!$B$133</f>
        <v/>
      </c>
      <c r="AJ228" s="41">
        <f>AJ225*Assumptions!$B$133</f>
        <v/>
      </c>
      <c r="AK228" s="41">
        <f>AK225*Assumptions!$B$133</f>
        <v/>
      </c>
      <c r="AL228" s="41">
        <f>AL225*Assumptions!$B$133</f>
        <v/>
      </c>
      <c r="AM228" s="41">
        <f>AM225*Assumptions!$B$133</f>
        <v/>
      </c>
      <c r="AN228" s="41">
        <f>AN225*Assumptions!$B$133</f>
        <v/>
      </c>
      <c r="AO228" s="41">
        <f>AO225*Assumptions!$B$133</f>
        <v/>
      </c>
      <c r="AP228" s="41">
        <f>AP225*Assumptions!$B$133</f>
        <v/>
      </c>
      <c r="AQ228" s="41">
        <f>AQ225*Assumptions!$B$133</f>
        <v/>
      </c>
      <c r="AR228" s="41">
        <f>AR225*Assumptions!$B$133</f>
        <v/>
      </c>
      <c r="AS228" s="41">
        <f>AS225*Assumptions!$B$133</f>
        <v/>
      </c>
      <c r="AT228" s="41">
        <f>AT225*Assumptions!$B$133</f>
        <v/>
      </c>
      <c r="AU228" s="41">
        <f>AU225*Assumptions!$B$133</f>
        <v/>
      </c>
      <c r="AV228" s="41">
        <f>AV225*Assumptions!$B$133</f>
        <v/>
      </c>
      <c r="AW228" s="41">
        <f>AW225*Assumptions!$B$133</f>
        <v/>
      </c>
      <c r="AX228" s="41">
        <f>AX225*Assumptions!$B$133</f>
        <v/>
      </c>
      <c r="AY228" s="41">
        <f>AY225*Assumptions!$B$133</f>
        <v/>
      </c>
      <c r="AZ228" s="41">
        <f>AZ225*Assumptions!$B$133</f>
        <v/>
      </c>
      <c r="BA228" s="41">
        <f>BA225*Assumptions!$B$133</f>
        <v/>
      </c>
      <c r="BB228" s="41">
        <f>BB225*Assumptions!$B$133</f>
        <v/>
      </c>
      <c r="BC228" s="41">
        <f>BC225*Assumptions!$B$133</f>
        <v/>
      </c>
      <c r="BD228" s="41">
        <f>BD225*Assumptions!$B$133</f>
        <v/>
      </c>
      <c r="BE228" s="41">
        <f>BE225*Assumptions!$B$133</f>
        <v/>
      </c>
      <c r="BF228" s="41">
        <f>BF225*Assumptions!$B$133</f>
        <v/>
      </c>
      <c r="BG228" s="41">
        <f>BG225*Assumptions!$B$133</f>
        <v/>
      </c>
      <c r="BH228" s="41">
        <f>BH225*Assumptions!$B$133</f>
        <v/>
      </c>
      <c r="BI228" s="41">
        <f>BI225*Assumptions!$B$133</f>
        <v/>
      </c>
      <c r="BJ228" s="41">
        <f>BJ225*Assumptions!$B$133</f>
        <v/>
      </c>
    </row>
    <row r="229">
      <c r="A229" s="3" t="inlineStr">
        <is>
          <t>Nigeria: SME: Growth (direct or upgraded): closing</t>
        </is>
      </c>
      <c r="B229" s="17" t="inlineStr">
        <is>
          <t>workspaces</t>
        </is>
      </c>
      <c r="C229" s="44">
        <f>C225+C226-C227-C228</f>
        <v/>
      </c>
      <c r="D229" s="44">
        <f>D225+D226-D227-D228</f>
        <v/>
      </c>
      <c r="E229" s="44">
        <f>E225+E226-E227-E228</f>
        <v/>
      </c>
      <c r="F229" s="44">
        <f>F225+F226-F227-F228</f>
        <v/>
      </c>
      <c r="G229" s="44">
        <f>G225+G226-G227-G228</f>
        <v/>
      </c>
      <c r="H229" s="44">
        <f>H225+H226-H227-H228</f>
        <v/>
      </c>
      <c r="I229" s="44">
        <f>I225+I226-I227-I228</f>
        <v/>
      </c>
      <c r="J229" s="44">
        <f>J225+J226-J227-J228</f>
        <v/>
      </c>
      <c r="K229" s="44">
        <f>K225+K226-K227-K228</f>
        <v/>
      </c>
      <c r="L229" s="44">
        <f>L225+L226-L227-L228</f>
        <v/>
      </c>
      <c r="M229" s="44">
        <f>M225+M226-M227-M228</f>
        <v/>
      </c>
      <c r="N229" s="44">
        <f>N225+N226-N227-N228</f>
        <v/>
      </c>
      <c r="O229" s="44">
        <f>O225+O226-O227-O228</f>
        <v/>
      </c>
      <c r="P229" s="44">
        <f>P225+P226-P227-P228</f>
        <v/>
      </c>
      <c r="Q229" s="44">
        <f>Q225+Q226-Q227-Q228</f>
        <v/>
      </c>
      <c r="R229" s="44">
        <f>R225+R226-R227-R228</f>
        <v/>
      </c>
      <c r="S229" s="44">
        <f>S225+S226-S227-S228</f>
        <v/>
      </c>
      <c r="T229" s="44">
        <f>T225+T226-T227-T228</f>
        <v/>
      </c>
      <c r="U229" s="44">
        <f>U225+U226-U227-U228</f>
        <v/>
      </c>
      <c r="V229" s="44">
        <f>V225+V226-V227-V228</f>
        <v/>
      </c>
      <c r="W229" s="44">
        <f>W225+W226-W227-W228</f>
        <v/>
      </c>
      <c r="X229" s="44">
        <f>X225+X226-X227-X228</f>
        <v/>
      </c>
      <c r="Y229" s="44">
        <f>Y225+Y226-Y227-Y228</f>
        <v/>
      </c>
      <c r="Z229" s="44">
        <f>Z225+Z226-Z227-Z228</f>
        <v/>
      </c>
      <c r="AA229" s="44">
        <f>AA225+AA226-AA227-AA228</f>
        <v/>
      </c>
      <c r="AB229" s="44">
        <f>AB225+AB226-AB227-AB228</f>
        <v/>
      </c>
      <c r="AC229" s="44">
        <f>AC225+AC226-AC227-AC228</f>
        <v/>
      </c>
      <c r="AD229" s="44">
        <f>AD225+AD226-AD227-AD228</f>
        <v/>
      </c>
      <c r="AE229" s="44">
        <f>AE225+AE226-AE227-AE228</f>
        <v/>
      </c>
      <c r="AF229" s="44">
        <f>AF225+AF226-AF227-AF228</f>
        <v/>
      </c>
      <c r="AG229" s="44">
        <f>AG225+AG226-AG227-AG228</f>
        <v/>
      </c>
      <c r="AH229" s="44">
        <f>AH225+AH226-AH227-AH228</f>
        <v/>
      </c>
      <c r="AI229" s="44">
        <f>AI225+AI226-AI227-AI228</f>
        <v/>
      </c>
      <c r="AJ229" s="44">
        <f>AJ225+AJ226-AJ227-AJ228</f>
        <v/>
      </c>
      <c r="AK229" s="44">
        <f>AK225+AK226-AK227-AK228</f>
        <v/>
      </c>
      <c r="AL229" s="44">
        <f>AL225+AL226-AL227-AL228</f>
        <v/>
      </c>
      <c r="AM229" s="44">
        <f>AM225+AM226-AM227-AM228</f>
        <v/>
      </c>
      <c r="AN229" s="44">
        <f>AN225+AN226-AN227-AN228</f>
        <v/>
      </c>
      <c r="AO229" s="44">
        <f>AO225+AO226-AO227-AO228</f>
        <v/>
      </c>
      <c r="AP229" s="44">
        <f>AP225+AP226-AP227-AP228</f>
        <v/>
      </c>
      <c r="AQ229" s="44">
        <f>AQ225+AQ226-AQ227-AQ228</f>
        <v/>
      </c>
      <c r="AR229" s="44">
        <f>AR225+AR226-AR227-AR228</f>
        <v/>
      </c>
      <c r="AS229" s="44">
        <f>AS225+AS226-AS227-AS228</f>
        <v/>
      </c>
      <c r="AT229" s="44">
        <f>AT225+AT226-AT227-AT228</f>
        <v/>
      </c>
      <c r="AU229" s="44">
        <f>AU225+AU226-AU227-AU228</f>
        <v/>
      </c>
      <c r="AV229" s="44">
        <f>AV225+AV226-AV227-AV228</f>
        <v/>
      </c>
      <c r="AW229" s="44">
        <f>AW225+AW226-AW227-AW228</f>
        <v/>
      </c>
      <c r="AX229" s="44">
        <f>AX225+AX226-AX227-AX228</f>
        <v/>
      </c>
      <c r="AY229" s="44">
        <f>AY225+AY226-AY227-AY228</f>
        <v/>
      </c>
      <c r="AZ229" s="44">
        <f>AZ225+AZ226-AZ227-AZ228</f>
        <v/>
      </c>
      <c r="BA229" s="44">
        <f>BA225+BA226-BA227-BA228</f>
        <v/>
      </c>
      <c r="BB229" s="44">
        <f>BB225+BB226-BB227-BB228</f>
        <v/>
      </c>
      <c r="BC229" s="44">
        <f>BC225+BC226-BC227-BC228</f>
        <v/>
      </c>
      <c r="BD229" s="44">
        <f>BD225+BD226-BD227-BD228</f>
        <v/>
      </c>
      <c r="BE229" s="44">
        <f>BE225+BE226-BE227-BE228</f>
        <v/>
      </c>
      <c r="BF229" s="44">
        <f>BF225+BF226-BF227-BF228</f>
        <v/>
      </c>
      <c r="BG229" s="44">
        <f>BG225+BG226-BG227-BG228</f>
        <v/>
      </c>
      <c r="BH229" s="44">
        <f>BH225+BH226-BH227-BH228</f>
        <v/>
      </c>
      <c r="BI229" s="44">
        <f>BI225+BI226-BI227-BI228</f>
        <v/>
      </c>
      <c r="BJ229" s="44">
        <f>BJ225+BJ226-BJ227-BJ228</f>
        <v/>
      </c>
    </row>
    <row r="230">
      <c r="A230" s="4" t="inlineStr">
        <is>
          <t>Nigeria: SME: Scale (direct or upgraded): opening</t>
        </is>
      </c>
      <c r="B230" s="17" t="inlineStr">
        <is>
          <t>workspaces</t>
        </is>
      </c>
      <c r="C230" s="41">
        <f>0</f>
        <v/>
      </c>
      <c r="D230" s="41">
        <f>C233</f>
        <v/>
      </c>
      <c r="E230" s="41">
        <f>D233</f>
        <v/>
      </c>
      <c r="F230" s="41">
        <f>E233</f>
        <v/>
      </c>
      <c r="G230" s="41">
        <f>F233</f>
        <v/>
      </c>
      <c r="H230" s="41">
        <f>G233</f>
        <v/>
      </c>
      <c r="I230" s="41">
        <f>H233</f>
        <v/>
      </c>
      <c r="J230" s="41">
        <f>I233</f>
        <v/>
      </c>
      <c r="K230" s="41">
        <f>J233</f>
        <v/>
      </c>
      <c r="L230" s="41">
        <f>K233</f>
        <v/>
      </c>
      <c r="M230" s="41">
        <f>L233</f>
        <v/>
      </c>
      <c r="N230" s="41">
        <f>M233</f>
        <v/>
      </c>
      <c r="O230" s="41">
        <f>N233</f>
        <v/>
      </c>
      <c r="P230" s="41">
        <f>O233</f>
        <v/>
      </c>
      <c r="Q230" s="41">
        <f>P233</f>
        <v/>
      </c>
      <c r="R230" s="41">
        <f>Q233</f>
        <v/>
      </c>
      <c r="S230" s="41">
        <f>R233</f>
        <v/>
      </c>
      <c r="T230" s="41">
        <f>S233</f>
        <v/>
      </c>
      <c r="U230" s="41">
        <f>T233</f>
        <v/>
      </c>
      <c r="V230" s="41">
        <f>U233</f>
        <v/>
      </c>
      <c r="W230" s="41">
        <f>V233</f>
        <v/>
      </c>
      <c r="X230" s="41">
        <f>W233</f>
        <v/>
      </c>
      <c r="Y230" s="41">
        <f>X233</f>
        <v/>
      </c>
      <c r="Z230" s="41">
        <f>Y233</f>
        <v/>
      </c>
      <c r="AA230" s="41">
        <f>Z233</f>
        <v/>
      </c>
      <c r="AB230" s="41">
        <f>AA233</f>
        <v/>
      </c>
      <c r="AC230" s="41">
        <f>AB233</f>
        <v/>
      </c>
      <c r="AD230" s="41">
        <f>AC233</f>
        <v/>
      </c>
      <c r="AE230" s="41">
        <f>AD233</f>
        <v/>
      </c>
      <c r="AF230" s="41">
        <f>AE233</f>
        <v/>
      </c>
      <c r="AG230" s="41">
        <f>AF233</f>
        <v/>
      </c>
      <c r="AH230" s="41">
        <f>AG233</f>
        <v/>
      </c>
      <c r="AI230" s="41">
        <f>AH233</f>
        <v/>
      </c>
      <c r="AJ230" s="41">
        <f>AI233</f>
        <v/>
      </c>
      <c r="AK230" s="41">
        <f>AJ233</f>
        <v/>
      </c>
      <c r="AL230" s="41">
        <f>AK233</f>
        <v/>
      </c>
      <c r="AM230" s="41">
        <f>AL233</f>
        <v/>
      </c>
      <c r="AN230" s="41">
        <f>AM233</f>
        <v/>
      </c>
      <c r="AO230" s="41">
        <f>AN233</f>
        <v/>
      </c>
      <c r="AP230" s="41">
        <f>AO233</f>
        <v/>
      </c>
      <c r="AQ230" s="41">
        <f>AP233</f>
        <v/>
      </c>
      <c r="AR230" s="41">
        <f>AQ233</f>
        <v/>
      </c>
      <c r="AS230" s="41">
        <f>AR233</f>
        <v/>
      </c>
      <c r="AT230" s="41">
        <f>AS233</f>
        <v/>
      </c>
      <c r="AU230" s="41">
        <f>AT233</f>
        <v/>
      </c>
      <c r="AV230" s="41">
        <f>AU233</f>
        <v/>
      </c>
      <c r="AW230" s="41">
        <f>AV233</f>
        <v/>
      </c>
      <c r="AX230" s="41">
        <f>AW233</f>
        <v/>
      </c>
      <c r="AY230" s="41">
        <f>AX233</f>
        <v/>
      </c>
      <c r="AZ230" s="41">
        <f>AY233</f>
        <v/>
      </c>
      <c r="BA230" s="41">
        <f>AZ233</f>
        <v/>
      </c>
      <c r="BB230" s="41">
        <f>BA233</f>
        <v/>
      </c>
      <c r="BC230" s="41">
        <f>BB233</f>
        <v/>
      </c>
      <c r="BD230" s="41">
        <f>BC233</f>
        <v/>
      </c>
      <c r="BE230" s="41">
        <f>BD233</f>
        <v/>
      </c>
      <c r="BF230" s="41">
        <f>BE233</f>
        <v/>
      </c>
      <c r="BG230" s="41">
        <f>BF233</f>
        <v/>
      </c>
      <c r="BH230" s="41">
        <f>BG233</f>
        <v/>
      </c>
      <c r="BI230" s="41">
        <f>BH233</f>
        <v/>
      </c>
      <c r="BJ230" s="41">
        <f>BI233</f>
        <v/>
      </c>
    </row>
    <row r="231">
      <c r="A231" s="4" t="inlineStr">
        <is>
          <t>Nigeria: SME: Scale (direct or upgraded): new</t>
        </is>
      </c>
      <c r="B231" s="17" t="inlineStr">
        <is>
          <t>workspaces</t>
        </is>
      </c>
      <c r="C231" s="41">
        <f>C149*Assumptions!$B$129+C228</f>
        <v/>
      </c>
      <c r="D231" s="41">
        <f>D149*Assumptions!$B$129+D228</f>
        <v/>
      </c>
      <c r="E231" s="41">
        <f>E149*Assumptions!$B$129+E228</f>
        <v/>
      </c>
      <c r="F231" s="41">
        <f>F149*Assumptions!$B$129+F228</f>
        <v/>
      </c>
      <c r="G231" s="41">
        <f>G149*Assumptions!$B$129+G228</f>
        <v/>
      </c>
      <c r="H231" s="41">
        <f>H149*Assumptions!$B$129+H228</f>
        <v/>
      </c>
      <c r="I231" s="41">
        <f>I149*Assumptions!$B$129+I228</f>
        <v/>
      </c>
      <c r="J231" s="41">
        <f>J149*Assumptions!$B$129+J228</f>
        <v/>
      </c>
      <c r="K231" s="41">
        <f>K149*Assumptions!$B$129+K228</f>
        <v/>
      </c>
      <c r="L231" s="41">
        <f>L149*Assumptions!$B$129+L228</f>
        <v/>
      </c>
      <c r="M231" s="41">
        <f>M149*Assumptions!$B$129+M228</f>
        <v/>
      </c>
      <c r="N231" s="41">
        <f>N149*Assumptions!$B$129+N228</f>
        <v/>
      </c>
      <c r="O231" s="41">
        <f>O149*Assumptions!$B$129+O228</f>
        <v/>
      </c>
      <c r="P231" s="41">
        <f>P149*Assumptions!$B$129+P228</f>
        <v/>
      </c>
      <c r="Q231" s="41">
        <f>Q149*Assumptions!$B$129+Q228</f>
        <v/>
      </c>
      <c r="R231" s="41">
        <f>R149*Assumptions!$B$129+R228</f>
        <v/>
      </c>
      <c r="S231" s="41">
        <f>S149*Assumptions!$B$129+S228</f>
        <v/>
      </c>
      <c r="T231" s="41">
        <f>T149*Assumptions!$B$129+T228</f>
        <v/>
      </c>
      <c r="U231" s="41">
        <f>U149*Assumptions!$B$129+U228</f>
        <v/>
      </c>
      <c r="V231" s="41">
        <f>V149*Assumptions!$B$129+V228</f>
        <v/>
      </c>
      <c r="W231" s="41">
        <f>W149*Assumptions!$B$129+W228</f>
        <v/>
      </c>
      <c r="X231" s="41">
        <f>X149*Assumptions!$B$129+X228</f>
        <v/>
      </c>
      <c r="Y231" s="41">
        <f>Y149*Assumptions!$B$129+Y228</f>
        <v/>
      </c>
      <c r="Z231" s="41">
        <f>Z149*Assumptions!$B$129+Z228</f>
        <v/>
      </c>
      <c r="AA231" s="41">
        <f>AA149*Assumptions!$B$129+AA228</f>
        <v/>
      </c>
      <c r="AB231" s="41">
        <f>AB149*Assumptions!$B$129+AB228</f>
        <v/>
      </c>
      <c r="AC231" s="41">
        <f>AC149*Assumptions!$B$129+AC228</f>
        <v/>
      </c>
      <c r="AD231" s="41">
        <f>AD149*Assumptions!$B$129+AD228</f>
        <v/>
      </c>
      <c r="AE231" s="41">
        <f>AE149*Assumptions!$B$129+AE228</f>
        <v/>
      </c>
      <c r="AF231" s="41">
        <f>AF149*Assumptions!$B$129+AF228</f>
        <v/>
      </c>
      <c r="AG231" s="41">
        <f>AG149*Assumptions!$B$129+AG228</f>
        <v/>
      </c>
      <c r="AH231" s="41">
        <f>AH149*Assumptions!$B$129+AH228</f>
        <v/>
      </c>
      <c r="AI231" s="41">
        <f>AI149*Assumptions!$B$129+AI228</f>
        <v/>
      </c>
      <c r="AJ231" s="41">
        <f>AJ149*Assumptions!$B$129+AJ228</f>
        <v/>
      </c>
      <c r="AK231" s="41">
        <f>AK149*Assumptions!$B$129+AK228</f>
        <v/>
      </c>
      <c r="AL231" s="41">
        <f>AL149*Assumptions!$B$129+AL228</f>
        <v/>
      </c>
      <c r="AM231" s="41">
        <f>AM149*Assumptions!$B$129+AM228</f>
        <v/>
      </c>
      <c r="AN231" s="41">
        <f>AN149*Assumptions!$B$129+AN228</f>
        <v/>
      </c>
      <c r="AO231" s="41">
        <f>AO149*Assumptions!$B$129+AO228</f>
        <v/>
      </c>
      <c r="AP231" s="41">
        <f>AP149*Assumptions!$B$129+AP228</f>
        <v/>
      </c>
      <c r="AQ231" s="41">
        <f>AQ149*Assumptions!$B$129+AQ228</f>
        <v/>
      </c>
      <c r="AR231" s="41">
        <f>AR149*Assumptions!$B$129+AR228</f>
        <v/>
      </c>
      <c r="AS231" s="41">
        <f>AS149*Assumptions!$B$129+AS228</f>
        <v/>
      </c>
      <c r="AT231" s="41">
        <f>AT149*Assumptions!$B$129+AT228</f>
        <v/>
      </c>
      <c r="AU231" s="41">
        <f>AU149*Assumptions!$B$129+AU228</f>
        <v/>
      </c>
      <c r="AV231" s="41">
        <f>AV149*Assumptions!$B$129+AV228</f>
        <v/>
      </c>
      <c r="AW231" s="41">
        <f>AW149*Assumptions!$B$129+AW228</f>
        <v/>
      </c>
      <c r="AX231" s="41">
        <f>AX149*Assumptions!$B$129+AX228</f>
        <v/>
      </c>
      <c r="AY231" s="41">
        <f>AY149*Assumptions!$B$129+AY228</f>
        <v/>
      </c>
      <c r="AZ231" s="41">
        <f>AZ149*Assumptions!$B$129+AZ228</f>
        <v/>
      </c>
      <c r="BA231" s="41">
        <f>BA149*Assumptions!$B$129+BA228</f>
        <v/>
      </c>
      <c r="BB231" s="41">
        <f>BB149*Assumptions!$B$129+BB228</f>
        <v/>
      </c>
      <c r="BC231" s="41">
        <f>BC149*Assumptions!$B$129+BC228</f>
        <v/>
      </c>
      <c r="BD231" s="41">
        <f>BD149*Assumptions!$B$129+BD228</f>
        <v/>
      </c>
      <c r="BE231" s="41">
        <f>BE149*Assumptions!$B$129+BE228</f>
        <v/>
      </c>
      <c r="BF231" s="41">
        <f>BF149*Assumptions!$B$129+BF228</f>
        <v/>
      </c>
      <c r="BG231" s="41">
        <f>BG149*Assumptions!$B$129+BG228</f>
        <v/>
      </c>
      <c r="BH231" s="41">
        <f>BH149*Assumptions!$B$129+BH228</f>
        <v/>
      </c>
      <c r="BI231" s="41">
        <f>BI149*Assumptions!$B$129+BI228</f>
        <v/>
      </c>
      <c r="BJ231" s="41">
        <f>BJ149*Assumptions!$B$129+BJ228</f>
        <v/>
      </c>
    </row>
    <row r="232">
      <c r="A232" s="4" t="inlineStr">
        <is>
          <t>Nigeria: SME: Scale (direct or upgraded): churned</t>
        </is>
      </c>
      <c r="B232" s="17" t="inlineStr">
        <is>
          <t>workspaces</t>
        </is>
      </c>
      <c r="C232" s="41">
        <f>C230*Assumptions!$B$142*Assumptions!$B$46*Assumptions!$B$30*Assumptions!$B$64</f>
        <v/>
      </c>
      <c r="D232" s="41">
        <f>D230*Assumptions!$B$142*Assumptions!$B$46*Assumptions!$B$30*Assumptions!$B$64</f>
        <v/>
      </c>
      <c r="E232" s="41">
        <f>E230*Assumptions!$B$142*Assumptions!$B$46*Assumptions!$B$30*Assumptions!$B$64</f>
        <v/>
      </c>
      <c r="F232" s="41">
        <f>F230*Assumptions!$B$142*Assumptions!$B$46*Assumptions!$B$30*Assumptions!$B$64</f>
        <v/>
      </c>
      <c r="G232" s="41">
        <f>G230*Assumptions!$B$142*Assumptions!$B$46*Assumptions!$B$30*Assumptions!$B$64</f>
        <v/>
      </c>
      <c r="H232" s="41">
        <f>H230*Assumptions!$B$142*Assumptions!$B$46*Assumptions!$B$30*Assumptions!$B$64</f>
        <v/>
      </c>
      <c r="I232" s="41">
        <f>I230*Assumptions!$B$142*Assumptions!$B$46*Assumptions!$B$30*Assumptions!$B$64</f>
        <v/>
      </c>
      <c r="J232" s="41">
        <f>J230*Assumptions!$B$142*Assumptions!$B$46*Assumptions!$B$30*Assumptions!$B$64</f>
        <v/>
      </c>
      <c r="K232" s="41">
        <f>K230*Assumptions!$B$142*Assumptions!$B$46*Assumptions!$B$30*Assumptions!$B$64</f>
        <v/>
      </c>
      <c r="L232" s="41">
        <f>L230*Assumptions!$B$142*Assumptions!$B$46*Assumptions!$B$30*Assumptions!$B$64</f>
        <v/>
      </c>
      <c r="M232" s="41">
        <f>M230*Assumptions!$B$142*Assumptions!$B$46*Assumptions!$B$30*Assumptions!$B$64</f>
        <v/>
      </c>
      <c r="N232" s="41">
        <f>N230*Assumptions!$B$142*Assumptions!$B$46*Assumptions!$B$30*Assumptions!$B$64</f>
        <v/>
      </c>
      <c r="O232" s="41">
        <f>O230*Assumptions!$B$142*Assumptions!$B$46*Assumptions!$B$30*Assumptions!$B$64</f>
        <v/>
      </c>
      <c r="P232" s="41">
        <f>P230*Assumptions!$B$142*Assumptions!$B$46*Assumptions!$B$30*Assumptions!$B$64</f>
        <v/>
      </c>
      <c r="Q232" s="41">
        <f>Q230*Assumptions!$B$142*Assumptions!$B$46*Assumptions!$B$30*Assumptions!$B$64</f>
        <v/>
      </c>
      <c r="R232" s="41">
        <f>R230*Assumptions!$B$142*Assumptions!$B$46*Assumptions!$B$30*Assumptions!$B$64</f>
        <v/>
      </c>
      <c r="S232" s="41">
        <f>S230*Assumptions!$B$142*Assumptions!$B$46*Assumptions!$B$30*Assumptions!$B$64</f>
        <v/>
      </c>
      <c r="T232" s="41">
        <f>T230*Assumptions!$B$142*Assumptions!$B$46*Assumptions!$B$30*Assumptions!$B$64</f>
        <v/>
      </c>
      <c r="U232" s="41">
        <f>U230*Assumptions!$B$142*Assumptions!$B$46*Assumptions!$B$30*Assumptions!$B$64</f>
        <v/>
      </c>
      <c r="V232" s="41">
        <f>V230*Assumptions!$B$142*Assumptions!$B$46*Assumptions!$B$30*Assumptions!$B$64</f>
        <v/>
      </c>
      <c r="W232" s="41">
        <f>W230*Assumptions!$B$142*Assumptions!$B$46*Assumptions!$B$30*Assumptions!$B$64</f>
        <v/>
      </c>
      <c r="X232" s="41">
        <f>X230*Assumptions!$B$142*Assumptions!$B$46*Assumptions!$B$30*Assumptions!$B$64</f>
        <v/>
      </c>
      <c r="Y232" s="41">
        <f>Y230*Assumptions!$B$142*Assumptions!$B$46*Assumptions!$B$30*Assumptions!$B$64</f>
        <v/>
      </c>
      <c r="Z232" s="41">
        <f>Z230*Assumptions!$B$142*Assumptions!$B$46*Assumptions!$B$30*Assumptions!$B$64</f>
        <v/>
      </c>
      <c r="AA232" s="41">
        <f>AA230*Assumptions!$B$142*Assumptions!$B$46*Assumptions!$B$30*Assumptions!$B$64</f>
        <v/>
      </c>
      <c r="AB232" s="41">
        <f>AB230*Assumptions!$B$142*Assumptions!$B$46*Assumptions!$B$30*Assumptions!$B$64</f>
        <v/>
      </c>
      <c r="AC232" s="41">
        <f>AC230*Assumptions!$B$142*Assumptions!$B$46*Assumptions!$B$30*Assumptions!$B$64</f>
        <v/>
      </c>
      <c r="AD232" s="41">
        <f>AD230*Assumptions!$B$142*Assumptions!$B$46*Assumptions!$B$30*Assumptions!$B$64</f>
        <v/>
      </c>
      <c r="AE232" s="41">
        <f>AE230*Assumptions!$B$142*Assumptions!$B$46*Assumptions!$B$30*Assumptions!$B$64</f>
        <v/>
      </c>
      <c r="AF232" s="41">
        <f>AF230*Assumptions!$B$142*Assumptions!$B$46*Assumptions!$B$30*Assumptions!$B$64</f>
        <v/>
      </c>
      <c r="AG232" s="41">
        <f>AG230*Assumptions!$B$142*Assumptions!$B$46*Assumptions!$B$30*Assumptions!$B$64</f>
        <v/>
      </c>
      <c r="AH232" s="41">
        <f>AH230*Assumptions!$B$142*Assumptions!$B$46*Assumptions!$B$30*Assumptions!$B$64</f>
        <v/>
      </c>
      <c r="AI232" s="41">
        <f>AI230*Assumptions!$B$142*Assumptions!$B$46*Assumptions!$B$30*Assumptions!$B$64</f>
        <v/>
      </c>
      <c r="AJ232" s="41">
        <f>AJ230*Assumptions!$B$142*Assumptions!$B$46*Assumptions!$B$30*Assumptions!$B$64</f>
        <v/>
      </c>
      <c r="AK232" s="41">
        <f>AK230*Assumptions!$B$142*Assumptions!$B$46*Assumptions!$B$30*Assumptions!$B$64</f>
        <v/>
      </c>
      <c r="AL232" s="41">
        <f>AL230*Assumptions!$B$142*Assumptions!$B$46*Assumptions!$B$30*Assumptions!$B$64</f>
        <v/>
      </c>
      <c r="AM232" s="41">
        <f>AM230*Assumptions!$B$142*Assumptions!$B$46*Assumptions!$B$30*Assumptions!$B$64</f>
        <v/>
      </c>
      <c r="AN232" s="41">
        <f>AN230*Assumptions!$B$142*Assumptions!$B$46*Assumptions!$B$30*Assumptions!$B$64</f>
        <v/>
      </c>
      <c r="AO232" s="41">
        <f>AO230*Assumptions!$B$142*Assumptions!$B$46*Assumptions!$B$30*Assumptions!$B$64</f>
        <v/>
      </c>
      <c r="AP232" s="41">
        <f>AP230*Assumptions!$B$142*Assumptions!$B$46*Assumptions!$B$30*Assumptions!$B$64</f>
        <v/>
      </c>
      <c r="AQ232" s="41">
        <f>AQ230*Assumptions!$B$142*Assumptions!$B$46*Assumptions!$B$30*Assumptions!$B$64</f>
        <v/>
      </c>
      <c r="AR232" s="41">
        <f>AR230*Assumptions!$B$142*Assumptions!$B$46*Assumptions!$B$30*Assumptions!$B$64</f>
        <v/>
      </c>
      <c r="AS232" s="41">
        <f>AS230*Assumptions!$B$142*Assumptions!$B$46*Assumptions!$B$30*Assumptions!$B$64</f>
        <v/>
      </c>
      <c r="AT232" s="41">
        <f>AT230*Assumptions!$B$142*Assumptions!$B$46*Assumptions!$B$30*Assumptions!$B$64</f>
        <v/>
      </c>
      <c r="AU232" s="41">
        <f>AU230*Assumptions!$B$142*Assumptions!$B$46*Assumptions!$B$30*Assumptions!$B$64</f>
        <v/>
      </c>
      <c r="AV232" s="41">
        <f>AV230*Assumptions!$B$142*Assumptions!$B$46*Assumptions!$B$30*Assumptions!$B$64</f>
        <v/>
      </c>
      <c r="AW232" s="41">
        <f>AW230*Assumptions!$B$142*Assumptions!$B$46*Assumptions!$B$30*Assumptions!$B$64</f>
        <v/>
      </c>
      <c r="AX232" s="41">
        <f>AX230*Assumptions!$B$142*Assumptions!$B$46*Assumptions!$B$30*Assumptions!$B$64</f>
        <v/>
      </c>
      <c r="AY232" s="41">
        <f>AY230*Assumptions!$B$142*Assumptions!$B$46*Assumptions!$B$30*Assumptions!$B$64</f>
        <v/>
      </c>
      <c r="AZ232" s="41">
        <f>AZ230*Assumptions!$B$142*Assumptions!$B$46*Assumptions!$B$30*Assumptions!$B$64</f>
        <v/>
      </c>
      <c r="BA232" s="41">
        <f>BA230*Assumptions!$B$142*Assumptions!$B$46*Assumptions!$B$30*Assumptions!$B$64</f>
        <v/>
      </c>
      <c r="BB232" s="41">
        <f>BB230*Assumptions!$B$142*Assumptions!$B$46*Assumptions!$B$30*Assumptions!$B$64</f>
        <v/>
      </c>
      <c r="BC232" s="41">
        <f>BC230*Assumptions!$B$142*Assumptions!$B$46*Assumptions!$B$30*Assumptions!$B$64</f>
        <v/>
      </c>
      <c r="BD232" s="41">
        <f>BD230*Assumptions!$B$142*Assumptions!$B$46*Assumptions!$B$30*Assumptions!$B$64</f>
        <v/>
      </c>
      <c r="BE232" s="41">
        <f>BE230*Assumptions!$B$142*Assumptions!$B$46*Assumptions!$B$30*Assumptions!$B$64</f>
        <v/>
      </c>
      <c r="BF232" s="41">
        <f>BF230*Assumptions!$B$142*Assumptions!$B$46*Assumptions!$B$30*Assumptions!$B$64</f>
        <v/>
      </c>
      <c r="BG232" s="41">
        <f>BG230*Assumptions!$B$142*Assumptions!$B$46*Assumptions!$B$30*Assumptions!$B$64</f>
        <v/>
      </c>
      <c r="BH232" s="41">
        <f>BH230*Assumptions!$B$142*Assumptions!$B$46*Assumptions!$B$30*Assumptions!$B$64</f>
        <v/>
      </c>
      <c r="BI232" s="41">
        <f>BI230*Assumptions!$B$142*Assumptions!$B$46*Assumptions!$B$30*Assumptions!$B$64</f>
        <v/>
      </c>
      <c r="BJ232" s="41">
        <f>BJ230*Assumptions!$B$142*Assumptions!$B$46*Assumptions!$B$30*Assumptions!$B$64</f>
        <v/>
      </c>
    </row>
    <row r="233">
      <c r="A233" s="3" t="inlineStr">
        <is>
          <t>Nigeria: SME: Scale (direct or upgraded): closing</t>
        </is>
      </c>
      <c r="B233" s="17" t="inlineStr">
        <is>
          <t>workspaces</t>
        </is>
      </c>
      <c r="C233" s="44">
        <f>C230+C231-C232</f>
        <v/>
      </c>
      <c r="D233" s="44">
        <f>D230+D231-D232</f>
        <v/>
      </c>
      <c r="E233" s="44">
        <f>E230+E231-E232</f>
        <v/>
      </c>
      <c r="F233" s="44">
        <f>F230+F231-F232</f>
        <v/>
      </c>
      <c r="G233" s="44">
        <f>G230+G231-G232</f>
        <v/>
      </c>
      <c r="H233" s="44">
        <f>H230+H231-H232</f>
        <v/>
      </c>
      <c r="I233" s="44">
        <f>I230+I231-I232</f>
        <v/>
      </c>
      <c r="J233" s="44">
        <f>J230+J231-J232</f>
        <v/>
      </c>
      <c r="K233" s="44">
        <f>K230+K231-K232</f>
        <v/>
      </c>
      <c r="L233" s="44">
        <f>L230+L231-L232</f>
        <v/>
      </c>
      <c r="M233" s="44">
        <f>M230+M231-M232</f>
        <v/>
      </c>
      <c r="N233" s="44">
        <f>N230+N231-N232</f>
        <v/>
      </c>
      <c r="O233" s="44">
        <f>O230+O231-O232</f>
        <v/>
      </c>
      <c r="P233" s="44">
        <f>P230+P231-P232</f>
        <v/>
      </c>
      <c r="Q233" s="44">
        <f>Q230+Q231-Q232</f>
        <v/>
      </c>
      <c r="R233" s="44">
        <f>R230+R231-R232</f>
        <v/>
      </c>
      <c r="S233" s="44">
        <f>S230+S231-S232</f>
        <v/>
      </c>
      <c r="T233" s="44">
        <f>T230+T231-T232</f>
        <v/>
      </c>
      <c r="U233" s="44">
        <f>U230+U231-U232</f>
        <v/>
      </c>
      <c r="V233" s="44">
        <f>V230+V231-V232</f>
        <v/>
      </c>
      <c r="W233" s="44">
        <f>W230+W231-W232</f>
        <v/>
      </c>
      <c r="X233" s="44">
        <f>X230+X231-X232</f>
        <v/>
      </c>
      <c r="Y233" s="44">
        <f>Y230+Y231-Y232</f>
        <v/>
      </c>
      <c r="Z233" s="44">
        <f>Z230+Z231-Z232</f>
        <v/>
      </c>
      <c r="AA233" s="44">
        <f>AA230+AA231-AA232</f>
        <v/>
      </c>
      <c r="AB233" s="44">
        <f>AB230+AB231-AB232</f>
        <v/>
      </c>
      <c r="AC233" s="44">
        <f>AC230+AC231-AC232</f>
        <v/>
      </c>
      <c r="AD233" s="44">
        <f>AD230+AD231-AD232</f>
        <v/>
      </c>
      <c r="AE233" s="44">
        <f>AE230+AE231-AE232</f>
        <v/>
      </c>
      <c r="AF233" s="44">
        <f>AF230+AF231-AF232</f>
        <v/>
      </c>
      <c r="AG233" s="44">
        <f>AG230+AG231-AG232</f>
        <v/>
      </c>
      <c r="AH233" s="44">
        <f>AH230+AH231-AH232</f>
        <v/>
      </c>
      <c r="AI233" s="44">
        <f>AI230+AI231-AI232</f>
        <v/>
      </c>
      <c r="AJ233" s="44">
        <f>AJ230+AJ231-AJ232</f>
        <v/>
      </c>
      <c r="AK233" s="44">
        <f>AK230+AK231-AK232</f>
        <v/>
      </c>
      <c r="AL233" s="44">
        <f>AL230+AL231-AL232</f>
        <v/>
      </c>
      <c r="AM233" s="44">
        <f>AM230+AM231-AM232</f>
        <v/>
      </c>
      <c r="AN233" s="44">
        <f>AN230+AN231-AN232</f>
        <v/>
      </c>
      <c r="AO233" s="44">
        <f>AO230+AO231-AO232</f>
        <v/>
      </c>
      <c r="AP233" s="44">
        <f>AP230+AP231-AP232</f>
        <v/>
      </c>
      <c r="AQ233" s="44">
        <f>AQ230+AQ231-AQ232</f>
        <v/>
      </c>
      <c r="AR233" s="44">
        <f>AR230+AR231-AR232</f>
        <v/>
      </c>
      <c r="AS233" s="44">
        <f>AS230+AS231-AS232</f>
        <v/>
      </c>
      <c r="AT233" s="44">
        <f>AT230+AT231-AT232</f>
        <v/>
      </c>
      <c r="AU233" s="44">
        <f>AU230+AU231-AU232</f>
        <v/>
      </c>
      <c r="AV233" s="44">
        <f>AV230+AV231-AV232</f>
        <v/>
      </c>
      <c r="AW233" s="44">
        <f>AW230+AW231-AW232</f>
        <v/>
      </c>
      <c r="AX233" s="44">
        <f>AX230+AX231-AX232</f>
        <v/>
      </c>
      <c r="AY233" s="44">
        <f>AY230+AY231-AY232</f>
        <v/>
      </c>
      <c r="AZ233" s="44">
        <f>AZ230+AZ231-AZ232</f>
        <v/>
      </c>
      <c r="BA233" s="44">
        <f>BA230+BA231-BA232</f>
        <v/>
      </c>
      <c r="BB233" s="44">
        <f>BB230+BB231-BB232</f>
        <v/>
      </c>
      <c r="BC233" s="44">
        <f>BC230+BC231-BC232</f>
        <v/>
      </c>
      <c r="BD233" s="44">
        <f>BD230+BD231-BD232</f>
        <v/>
      </c>
      <c r="BE233" s="44">
        <f>BE230+BE231-BE232</f>
        <v/>
      </c>
      <c r="BF233" s="44">
        <f>BF230+BF231-BF232</f>
        <v/>
      </c>
      <c r="BG233" s="44">
        <f>BG230+BG231-BG232</f>
        <v/>
      </c>
      <c r="BH233" s="44">
        <f>BH230+BH231-BH232</f>
        <v/>
      </c>
      <c r="BI233" s="44">
        <f>BI230+BI231-BI232</f>
        <v/>
      </c>
      <c r="BJ233" s="44">
        <f>BJ230+BJ231-BJ232</f>
        <v/>
      </c>
    </row>
    <row r="234">
      <c r="A234" s="4" t="inlineStr">
        <is>
          <t>Nigeria: Agency / partner: Agency tier: opening</t>
        </is>
      </c>
      <c r="B234" s="17" t="inlineStr">
        <is>
          <t>workspaces</t>
        </is>
      </c>
      <c r="C234" s="41">
        <f>0</f>
        <v/>
      </c>
      <c r="D234" s="41">
        <f>C237</f>
        <v/>
      </c>
      <c r="E234" s="41">
        <f>D237</f>
        <v/>
      </c>
      <c r="F234" s="41">
        <f>E237</f>
        <v/>
      </c>
      <c r="G234" s="41">
        <f>F237</f>
        <v/>
      </c>
      <c r="H234" s="41">
        <f>G237</f>
        <v/>
      </c>
      <c r="I234" s="41">
        <f>H237</f>
        <v/>
      </c>
      <c r="J234" s="41">
        <f>I237</f>
        <v/>
      </c>
      <c r="K234" s="41">
        <f>J237</f>
        <v/>
      </c>
      <c r="L234" s="41">
        <f>K237</f>
        <v/>
      </c>
      <c r="M234" s="41">
        <f>L237</f>
        <v/>
      </c>
      <c r="N234" s="41">
        <f>M237</f>
        <v/>
      </c>
      <c r="O234" s="41">
        <f>N237</f>
        <v/>
      </c>
      <c r="P234" s="41">
        <f>O237</f>
        <v/>
      </c>
      <c r="Q234" s="41">
        <f>P237</f>
        <v/>
      </c>
      <c r="R234" s="41">
        <f>Q237</f>
        <v/>
      </c>
      <c r="S234" s="41">
        <f>R237</f>
        <v/>
      </c>
      <c r="T234" s="41">
        <f>S237</f>
        <v/>
      </c>
      <c r="U234" s="41">
        <f>T237</f>
        <v/>
      </c>
      <c r="V234" s="41">
        <f>U237</f>
        <v/>
      </c>
      <c r="W234" s="41">
        <f>V237</f>
        <v/>
      </c>
      <c r="X234" s="41">
        <f>W237</f>
        <v/>
      </c>
      <c r="Y234" s="41">
        <f>X237</f>
        <v/>
      </c>
      <c r="Z234" s="41">
        <f>Y237</f>
        <v/>
      </c>
      <c r="AA234" s="41">
        <f>Z237</f>
        <v/>
      </c>
      <c r="AB234" s="41">
        <f>AA237</f>
        <v/>
      </c>
      <c r="AC234" s="41">
        <f>AB237</f>
        <v/>
      </c>
      <c r="AD234" s="41">
        <f>AC237</f>
        <v/>
      </c>
      <c r="AE234" s="41">
        <f>AD237</f>
        <v/>
      </c>
      <c r="AF234" s="41">
        <f>AE237</f>
        <v/>
      </c>
      <c r="AG234" s="41">
        <f>AF237</f>
        <v/>
      </c>
      <c r="AH234" s="41">
        <f>AG237</f>
        <v/>
      </c>
      <c r="AI234" s="41">
        <f>AH237</f>
        <v/>
      </c>
      <c r="AJ234" s="41">
        <f>AI237</f>
        <v/>
      </c>
      <c r="AK234" s="41">
        <f>AJ237</f>
        <v/>
      </c>
      <c r="AL234" s="41">
        <f>AK237</f>
        <v/>
      </c>
      <c r="AM234" s="41">
        <f>AL237</f>
        <v/>
      </c>
      <c r="AN234" s="41">
        <f>AM237</f>
        <v/>
      </c>
      <c r="AO234" s="41">
        <f>AN237</f>
        <v/>
      </c>
      <c r="AP234" s="41">
        <f>AO237</f>
        <v/>
      </c>
      <c r="AQ234" s="41">
        <f>AP237</f>
        <v/>
      </c>
      <c r="AR234" s="41">
        <f>AQ237</f>
        <v/>
      </c>
      <c r="AS234" s="41">
        <f>AR237</f>
        <v/>
      </c>
      <c r="AT234" s="41">
        <f>AS237</f>
        <v/>
      </c>
      <c r="AU234" s="41">
        <f>AT237</f>
        <v/>
      </c>
      <c r="AV234" s="41">
        <f>AU237</f>
        <v/>
      </c>
      <c r="AW234" s="41">
        <f>AV237</f>
        <v/>
      </c>
      <c r="AX234" s="41">
        <f>AW237</f>
        <v/>
      </c>
      <c r="AY234" s="41">
        <f>AX237</f>
        <v/>
      </c>
      <c r="AZ234" s="41">
        <f>AY237</f>
        <v/>
      </c>
      <c r="BA234" s="41">
        <f>AZ237</f>
        <v/>
      </c>
      <c r="BB234" s="41">
        <f>BA237</f>
        <v/>
      </c>
      <c r="BC234" s="41">
        <f>BB237</f>
        <v/>
      </c>
      <c r="BD234" s="41">
        <f>BC237</f>
        <v/>
      </c>
      <c r="BE234" s="41">
        <f>BD237</f>
        <v/>
      </c>
      <c r="BF234" s="41">
        <f>BE237</f>
        <v/>
      </c>
      <c r="BG234" s="41">
        <f>BF237</f>
        <v/>
      </c>
      <c r="BH234" s="41">
        <f>BG237</f>
        <v/>
      </c>
      <c r="BI234" s="41">
        <f>BH237</f>
        <v/>
      </c>
      <c r="BJ234" s="41">
        <f>BI237</f>
        <v/>
      </c>
    </row>
    <row r="235">
      <c r="A235" s="4" t="inlineStr">
        <is>
          <t>Nigeria: Agency / partner: Agency tier: new</t>
        </is>
      </c>
      <c r="B235" s="17" t="inlineStr">
        <is>
          <t>workspaces</t>
        </is>
      </c>
      <c r="C235" s="41">
        <f>C159</f>
        <v/>
      </c>
      <c r="D235" s="41">
        <f>D159</f>
        <v/>
      </c>
      <c r="E235" s="41">
        <f>E159</f>
        <v/>
      </c>
      <c r="F235" s="41">
        <f>F159</f>
        <v/>
      </c>
      <c r="G235" s="41">
        <f>G159</f>
        <v/>
      </c>
      <c r="H235" s="41">
        <f>H159</f>
        <v/>
      </c>
      <c r="I235" s="41">
        <f>I159</f>
        <v/>
      </c>
      <c r="J235" s="41">
        <f>J159</f>
        <v/>
      </c>
      <c r="K235" s="41">
        <f>K159</f>
        <v/>
      </c>
      <c r="L235" s="41">
        <f>L159</f>
        <v/>
      </c>
      <c r="M235" s="41">
        <f>M159</f>
        <v/>
      </c>
      <c r="N235" s="41">
        <f>N159</f>
        <v/>
      </c>
      <c r="O235" s="41">
        <f>O159</f>
        <v/>
      </c>
      <c r="P235" s="41">
        <f>P159</f>
        <v/>
      </c>
      <c r="Q235" s="41">
        <f>Q159</f>
        <v/>
      </c>
      <c r="R235" s="41">
        <f>R159</f>
        <v/>
      </c>
      <c r="S235" s="41">
        <f>S159</f>
        <v/>
      </c>
      <c r="T235" s="41">
        <f>T159</f>
        <v/>
      </c>
      <c r="U235" s="41">
        <f>U159</f>
        <v/>
      </c>
      <c r="V235" s="41">
        <f>V159</f>
        <v/>
      </c>
      <c r="W235" s="41">
        <f>W159</f>
        <v/>
      </c>
      <c r="X235" s="41">
        <f>X159</f>
        <v/>
      </c>
      <c r="Y235" s="41">
        <f>Y159</f>
        <v/>
      </c>
      <c r="Z235" s="41">
        <f>Z159</f>
        <v/>
      </c>
      <c r="AA235" s="41">
        <f>AA159</f>
        <v/>
      </c>
      <c r="AB235" s="41">
        <f>AB159</f>
        <v/>
      </c>
      <c r="AC235" s="41">
        <f>AC159</f>
        <v/>
      </c>
      <c r="AD235" s="41">
        <f>AD159</f>
        <v/>
      </c>
      <c r="AE235" s="41">
        <f>AE159</f>
        <v/>
      </c>
      <c r="AF235" s="41">
        <f>AF159</f>
        <v/>
      </c>
      <c r="AG235" s="41">
        <f>AG159</f>
        <v/>
      </c>
      <c r="AH235" s="41">
        <f>AH159</f>
        <v/>
      </c>
      <c r="AI235" s="41">
        <f>AI159</f>
        <v/>
      </c>
      <c r="AJ235" s="41">
        <f>AJ159</f>
        <v/>
      </c>
      <c r="AK235" s="41">
        <f>AK159</f>
        <v/>
      </c>
      <c r="AL235" s="41">
        <f>AL159</f>
        <v/>
      </c>
      <c r="AM235" s="41">
        <f>AM159</f>
        <v/>
      </c>
      <c r="AN235" s="41">
        <f>AN159</f>
        <v/>
      </c>
      <c r="AO235" s="41">
        <f>AO159</f>
        <v/>
      </c>
      <c r="AP235" s="41">
        <f>AP159</f>
        <v/>
      </c>
      <c r="AQ235" s="41">
        <f>AQ159</f>
        <v/>
      </c>
      <c r="AR235" s="41">
        <f>AR159</f>
        <v/>
      </c>
      <c r="AS235" s="41">
        <f>AS159</f>
        <v/>
      </c>
      <c r="AT235" s="41">
        <f>AT159</f>
        <v/>
      </c>
      <c r="AU235" s="41">
        <f>AU159</f>
        <v/>
      </c>
      <c r="AV235" s="41">
        <f>AV159</f>
        <v/>
      </c>
      <c r="AW235" s="41">
        <f>AW159</f>
        <v/>
      </c>
      <c r="AX235" s="41">
        <f>AX159</f>
        <v/>
      </c>
      <c r="AY235" s="41">
        <f>AY159</f>
        <v/>
      </c>
      <c r="AZ235" s="41">
        <f>AZ159</f>
        <v/>
      </c>
      <c r="BA235" s="41">
        <f>BA159</f>
        <v/>
      </c>
      <c r="BB235" s="41">
        <f>BB159</f>
        <v/>
      </c>
      <c r="BC235" s="41">
        <f>BC159</f>
        <v/>
      </c>
      <c r="BD235" s="41">
        <f>BD159</f>
        <v/>
      </c>
      <c r="BE235" s="41">
        <f>BE159</f>
        <v/>
      </c>
      <c r="BF235" s="41">
        <f>BF159</f>
        <v/>
      </c>
      <c r="BG235" s="41">
        <f>BG159</f>
        <v/>
      </c>
      <c r="BH235" s="41">
        <f>BH159</f>
        <v/>
      </c>
      <c r="BI235" s="41">
        <f>BI159</f>
        <v/>
      </c>
      <c r="BJ235" s="41">
        <f>BJ159</f>
        <v/>
      </c>
    </row>
    <row r="236">
      <c r="A236" s="4" t="inlineStr">
        <is>
          <t>Nigeria: Agency / partner: Agency tier: churned</t>
        </is>
      </c>
      <c r="B236" s="17" t="inlineStr">
        <is>
          <t>workspaces</t>
        </is>
      </c>
      <c r="C236" s="41">
        <f>C234*Assumptions!$B$143*Assumptions!$B$46*Assumptions!$B$30*Assumptions!$B$64</f>
        <v/>
      </c>
      <c r="D236" s="41">
        <f>D234*Assumptions!$B$143*Assumptions!$B$46*Assumptions!$B$30*Assumptions!$B$64</f>
        <v/>
      </c>
      <c r="E236" s="41">
        <f>E234*Assumptions!$B$143*Assumptions!$B$46*Assumptions!$B$30*Assumptions!$B$64</f>
        <v/>
      </c>
      <c r="F236" s="41">
        <f>F234*Assumptions!$B$143*Assumptions!$B$46*Assumptions!$B$30*Assumptions!$B$64</f>
        <v/>
      </c>
      <c r="G236" s="41">
        <f>G234*Assumptions!$B$143*Assumptions!$B$46*Assumptions!$B$30*Assumptions!$B$64</f>
        <v/>
      </c>
      <c r="H236" s="41">
        <f>H234*Assumptions!$B$143*Assumptions!$B$46*Assumptions!$B$30*Assumptions!$B$64</f>
        <v/>
      </c>
      <c r="I236" s="41">
        <f>I234*Assumptions!$B$143*Assumptions!$B$46*Assumptions!$B$30*Assumptions!$B$64</f>
        <v/>
      </c>
      <c r="J236" s="41">
        <f>J234*Assumptions!$B$143*Assumptions!$B$46*Assumptions!$B$30*Assumptions!$B$64</f>
        <v/>
      </c>
      <c r="K236" s="41">
        <f>K234*Assumptions!$B$143*Assumptions!$B$46*Assumptions!$B$30*Assumptions!$B$64</f>
        <v/>
      </c>
      <c r="L236" s="41">
        <f>L234*Assumptions!$B$143*Assumptions!$B$46*Assumptions!$B$30*Assumptions!$B$64</f>
        <v/>
      </c>
      <c r="M236" s="41">
        <f>M234*Assumptions!$B$143*Assumptions!$B$46*Assumptions!$B$30*Assumptions!$B$64</f>
        <v/>
      </c>
      <c r="N236" s="41">
        <f>N234*Assumptions!$B$143*Assumptions!$B$46*Assumptions!$B$30*Assumptions!$B$64</f>
        <v/>
      </c>
      <c r="O236" s="41">
        <f>O234*Assumptions!$B$143*Assumptions!$B$46*Assumptions!$B$30*Assumptions!$B$64</f>
        <v/>
      </c>
      <c r="P236" s="41">
        <f>P234*Assumptions!$B$143*Assumptions!$B$46*Assumptions!$B$30*Assumptions!$B$64</f>
        <v/>
      </c>
      <c r="Q236" s="41">
        <f>Q234*Assumptions!$B$143*Assumptions!$B$46*Assumptions!$B$30*Assumptions!$B$64</f>
        <v/>
      </c>
      <c r="R236" s="41">
        <f>R234*Assumptions!$B$143*Assumptions!$B$46*Assumptions!$B$30*Assumptions!$B$64</f>
        <v/>
      </c>
      <c r="S236" s="41">
        <f>S234*Assumptions!$B$143*Assumptions!$B$46*Assumptions!$B$30*Assumptions!$B$64</f>
        <v/>
      </c>
      <c r="T236" s="41">
        <f>T234*Assumptions!$B$143*Assumptions!$B$46*Assumptions!$B$30*Assumptions!$B$64</f>
        <v/>
      </c>
      <c r="U236" s="41">
        <f>U234*Assumptions!$B$143*Assumptions!$B$46*Assumptions!$B$30*Assumptions!$B$64</f>
        <v/>
      </c>
      <c r="V236" s="41">
        <f>V234*Assumptions!$B$143*Assumptions!$B$46*Assumptions!$B$30*Assumptions!$B$64</f>
        <v/>
      </c>
      <c r="W236" s="41">
        <f>W234*Assumptions!$B$143*Assumptions!$B$46*Assumptions!$B$30*Assumptions!$B$64</f>
        <v/>
      </c>
      <c r="X236" s="41">
        <f>X234*Assumptions!$B$143*Assumptions!$B$46*Assumptions!$B$30*Assumptions!$B$64</f>
        <v/>
      </c>
      <c r="Y236" s="41">
        <f>Y234*Assumptions!$B$143*Assumptions!$B$46*Assumptions!$B$30*Assumptions!$B$64</f>
        <v/>
      </c>
      <c r="Z236" s="41">
        <f>Z234*Assumptions!$B$143*Assumptions!$B$46*Assumptions!$B$30*Assumptions!$B$64</f>
        <v/>
      </c>
      <c r="AA236" s="41">
        <f>AA234*Assumptions!$B$143*Assumptions!$B$46*Assumptions!$B$30*Assumptions!$B$64</f>
        <v/>
      </c>
      <c r="AB236" s="41">
        <f>AB234*Assumptions!$B$143*Assumptions!$B$46*Assumptions!$B$30*Assumptions!$B$64</f>
        <v/>
      </c>
      <c r="AC236" s="41">
        <f>AC234*Assumptions!$B$143*Assumptions!$B$46*Assumptions!$B$30*Assumptions!$B$64</f>
        <v/>
      </c>
      <c r="AD236" s="41">
        <f>AD234*Assumptions!$B$143*Assumptions!$B$46*Assumptions!$B$30*Assumptions!$B$64</f>
        <v/>
      </c>
      <c r="AE236" s="41">
        <f>AE234*Assumptions!$B$143*Assumptions!$B$46*Assumptions!$B$30*Assumptions!$B$64</f>
        <v/>
      </c>
      <c r="AF236" s="41">
        <f>AF234*Assumptions!$B$143*Assumptions!$B$46*Assumptions!$B$30*Assumptions!$B$64</f>
        <v/>
      </c>
      <c r="AG236" s="41">
        <f>AG234*Assumptions!$B$143*Assumptions!$B$46*Assumptions!$B$30*Assumptions!$B$64</f>
        <v/>
      </c>
      <c r="AH236" s="41">
        <f>AH234*Assumptions!$B$143*Assumptions!$B$46*Assumptions!$B$30*Assumptions!$B$64</f>
        <v/>
      </c>
      <c r="AI236" s="41">
        <f>AI234*Assumptions!$B$143*Assumptions!$B$46*Assumptions!$B$30*Assumptions!$B$64</f>
        <v/>
      </c>
      <c r="AJ236" s="41">
        <f>AJ234*Assumptions!$B$143*Assumptions!$B$46*Assumptions!$B$30*Assumptions!$B$64</f>
        <v/>
      </c>
      <c r="AK236" s="41">
        <f>AK234*Assumptions!$B$143*Assumptions!$B$46*Assumptions!$B$30*Assumptions!$B$64</f>
        <v/>
      </c>
      <c r="AL236" s="41">
        <f>AL234*Assumptions!$B$143*Assumptions!$B$46*Assumptions!$B$30*Assumptions!$B$64</f>
        <v/>
      </c>
      <c r="AM236" s="41">
        <f>AM234*Assumptions!$B$143*Assumptions!$B$46*Assumptions!$B$30*Assumptions!$B$64</f>
        <v/>
      </c>
      <c r="AN236" s="41">
        <f>AN234*Assumptions!$B$143*Assumptions!$B$46*Assumptions!$B$30*Assumptions!$B$64</f>
        <v/>
      </c>
      <c r="AO236" s="41">
        <f>AO234*Assumptions!$B$143*Assumptions!$B$46*Assumptions!$B$30*Assumptions!$B$64</f>
        <v/>
      </c>
      <c r="AP236" s="41">
        <f>AP234*Assumptions!$B$143*Assumptions!$B$46*Assumptions!$B$30*Assumptions!$B$64</f>
        <v/>
      </c>
      <c r="AQ236" s="41">
        <f>AQ234*Assumptions!$B$143*Assumptions!$B$46*Assumptions!$B$30*Assumptions!$B$64</f>
        <v/>
      </c>
      <c r="AR236" s="41">
        <f>AR234*Assumptions!$B$143*Assumptions!$B$46*Assumptions!$B$30*Assumptions!$B$64</f>
        <v/>
      </c>
      <c r="AS236" s="41">
        <f>AS234*Assumptions!$B$143*Assumptions!$B$46*Assumptions!$B$30*Assumptions!$B$64</f>
        <v/>
      </c>
      <c r="AT236" s="41">
        <f>AT234*Assumptions!$B$143*Assumptions!$B$46*Assumptions!$B$30*Assumptions!$B$64</f>
        <v/>
      </c>
      <c r="AU236" s="41">
        <f>AU234*Assumptions!$B$143*Assumptions!$B$46*Assumptions!$B$30*Assumptions!$B$64</f>
        <v/>
      </c>
      <c r="AV236" s="41">
        <f>AV234*Assumptions!$B$143*Assumptions!$B$46*Assumptions!$B$30*Assumptions!$B$64</f>
        <v/>
      </c>
      <c r="AW236" s="41">
        <f>AW234*Assumptions!$B$143*Assumptions!$B$46*Assumptions!$B$30*Assumptions!$B$64</f>
        <v/>
      </c>
      <c r="AX236" s="41">
        <f>AX234*Assumptions!$B$143*Assumptions!$B$46*Assumptions!$B$30*Assumptions!$B$64</f>
        <v/>
      </c>
      <c r="AY236" s="41">
        <f>AY234*Assumptions!$B$143*Assumptions!$B$46*Assumptions!$B$30*Assumptions!$B$64</f>
        <v/>
      </c>
      <c r="AZ236" s="41">
        <f>AZ234*Assumptions!$B$143*Assumptions!$B$46*Assumptions!$B$30*Assumptions!$B$64</f>
        <v/>
      </c>
      <c r="BA236" s="41">
        <f>BA234*Assumptions!$B$143*Assumptions!$B$46*Assumptions!$B$30*Assumptions!$B$64</f>
        <v/>
      </c>
      <c r="BB236" s="41">
        <f>BB234*Assumptions!$B$143*Assumptions!$B$46*Assumptions!$B$30*Assumptions!$B$64</f>
        <v/>
      </c>
      <c r="BC236" s="41">
        <f>BC234*Assumptions!$B$143*Assumptions!$B$46*Assumptions!$B$30*Assumptions!$B$64</f>
        <v/>
      </c>
      <c r="BD236" s="41">
        <f>BD234*Assumptions!$B$143*Assumptions!$B$46*Assumptions!$B$30*Assumptions!$B$64</f>
        <v/>
      </c>
      <c r="BE236" s="41">
        <f>BE234*Assumptions!$B$143*Assumptions!$B$46*Assumptions!$B$30*Assumptions!$B$64</f>
        <v/>
      </c>
      <c r="BF236" s="41">
        <f>BF234*Assumptions!$B$143*Assumptions!$B$46*Assumptions!$B$30*Assumptions!$B$64</f>
        <v/>
      </c>
      <c r="BG236" s="41">
        <f>BG234*Assumptions!$B$143*Assumptions!$B$46*Assumptions!$B$30*Assumptions!$B$64</f>
        <v/>
      </c>
      <c r="BH236" s="41">
        <f>BH234*Assumptions!$B$143*Assumptions!$B$46*Assumptions!$B$30*Assumptions!$B$64</f>
        <v/>
      </c>
      <c r="BI236" s="41">
        <f>BI234*Assumptions!$B$143*Assumptions!$B$46*Assumptions!$B$30*Assumptions!$B$64</f>
        <v/>
      </c>
      <c r="BJ236" s="41">
        <f>BJ234*Assumptions!$B$143*Assumptions!$B$46*Assumptions!$B$30*Assumptions!$B$64</f>
        <v/>
      </c>
    </row>
    <row r="237">
      <c r="A237" s="3" t="inlineStr">
        <is>
          <t>Nigeria: Agency / partner: Agency tier: closing</t>
        </is>
      </c>
      <c r="B237" s="17" t="inlineStr">
        <is>
          <t>workspaces</t>
        </is>
      </c>
      <c r="C237" s="44">
        <f>C234+C235-C236</f>
        <v/>
      </c>
      <c r="D237" s="44">
        <f>D234+D235-D236</f>
        <v/>
      </c>
      <c r="E237" s="44">
        <f>E234+E235-E236</f>
        <v/>
      </c>
      <c r="F237" s="44">
        <f>F234+F235-F236</f>
        <v/>
      </c>
      <c r="G237" s="44">
        <f>G234+G235-G236</f>
        <v/>
      </c>
      <c r="H237" s="44">
        <f>H234+H235-H236</f>
        <v/>
      </c>
      <c r="I237" s="44">
        <f>I234+I235-I236</f>
        <v/>
      </c>
      <c r="J237" s="44">
        <f>J234+J235-J236</f>
        <v/>
      </c>
      <c r="K237" s="44">
        <f>K234+K235-K236</f>
        <v/>
      </c>
      <c r="L237" s="44">
        <f>L234+L235-L236</f>
        <v/>
      </c>
      <c r="M237" s="44">
        <f>M234+M235-M236</f>
        <v/>
      </c>
      <c r="N237" s="44">
        <f>N234+N235-N236</f>
        <v/>
      </c>
      <c r="O237" s="44">
        <f>O234+O235-O236</f>
        <v/>
      </c>
      <c r="P237" s="44">
        <f>P234+P235-P236</f>
        <v/>
      </c>
      <c r="Q237" s="44">
        <f>Q234+Q235-Q236</f>
        <v/>
      </c>
      <c r="R237" s="44">
        <f>R234+R235-R236</f>
        <v/>
      </c>
      <c r="S237" s="44">
        <f>S234+S235-S236</f>
        <v/>
      </c>
      <c r="T237" s="44">
        <f>T234+T235-T236</f>
        <v/>
      </c>
      <c r="U237" s="44">
        <f>U234+U235-U236</f>
        <v/>
      </c>
      <c r="V237" s="44">
        <f>V234+V235-V236</f>
        <v/>
      </c>
      <c r="W237" s="44">
        <f>W234+W235-W236</f>
        <v/>
      </c>
      <c r="X237" s="44">
        <f>X234+X235-X236</f>
        <v/>
      </c>
      <c r="Y237" s="44">
        <f>Y234+Y235-Y236</f>
        <v/>
      </c>
      <c r="Z237" s="44">
        <f>Z234+Z235-Z236</f>
        <v/>
      </c>
      <c r="AA237" s="44">
        <f>AA234+AA235-AA236</f>
        <v/>
      </c>
      <c r="AB237" s="44">
        <f>AB234+AB235-AB236</f>
        <v/>
      </c>
      <c r="AC237" s="44">
        <f>AC234+AC235-AC236</f>
        <v/>
      </c>
      <c r="AD237" s="44">
        <f>AD234+AD235-AD236</f>
        <v/>
      </c>
      <c r="AE237" s="44">
        <f>AE234+AE235-AE236</f>
        <v/>
      </c>
      <c r="AF237" s="44">
        <f>AF234+AF235-AF236</f>
        <v/>
      </c>
      <c r="AG237" s="44">
        <f>AG234+AG235-AG236</f>
        <v/>
      </c>
      <c r="AH237" s="44">
        <f>AH234+AH235-AH236</f>
        <v/>
      </c>
      <c r="AI237" s="44">
        <f>AI234+AI235-AI236</f>
        <v/>
      </c>
      <c r="AJ237" s="44">
        <f>AJ234+AJ235-AJ236</f>
        <v/>
      </c>
      <c r="AK237" s="44">
        <f>AK234+AK235-AK236</f>
        <v/>
      </c>
      <c r="AL237" s="44">
        <f>AL234+AL235-AL236</f>
        <v/>
      </c>
      <c r="AM237" s="44">
        <f>AM234+AM235-AM236</f>
        <v/>
      </c>
      <c r="AN237" s="44">
        <f>AN234+AN235-AN236</f>
        <v/>
      </c>
      <c r="AO237" s="44">
        <f>AO234+AO235-AO236</f>
        <v/>
      </c>
      <c r="AP237" s="44">
        <f>AP234+AP235-AP236</f>
        <v/>
      </c>
      <c r="AQ237" s="44">
        <f>AQ234+AQ235-AQ236</f>
        <v/>
      </c>
      <c r="AR237" s="44">
        <f>AR234+AR235-AR236</f>
        <v/>
      </c>
      <c r="AS237" s="44">
        <f>AS234+AS235-AS236</f>
        <v/>
      </c>
      <c r="AT237" s="44">
        <f>AT234+AT235-AT236</f>
        <v/>
      </c>
      <c r="AU237" s="44">
        <f>AU234+AU235-AU236</f>
        <v/>
      </c>
      <c r="AV237" s="44">
        <f>AV234+AV235-AV236</f>
        <v/>
      </c>
      <c r="AW237" s="44">
        <f>AW234+AW235-AW236</f>
        <v/>
      </c>
      <c r="AX237" s="44">
        <f>AX234+AX235-AX236</f>
        <v/>
      </c>
      <c r="AY237" s="44">
        <f>AY234+AY235-AY236</f>
        <v/>
      </c>
      <c r="AZ237" s="44">
        <f>AZ234+AZ235-AZ236</f>
        <v/>
      </c>
      <c r="BA237" s="44">
        <f>BA234+BA235-BA236</f>
        <v/>
      </c>
      <c r="BB237" s="44">
        <f>BB234+BB235-BB236</f>
        <v/>
      </c>
      <c r="BC237" s="44">
        <f>BC234+BC235-BC236</f>
        <v/>
      </c>
      <c r="BD237" s="44">
        <f>BD234+BD235-BD236</f>
        <v/>
      </c>
      <c r="BE237" s="44">
        <f>BE234+BE235-BE236</f>
        <v/>
      </c>
      <c r="BF237" s="44">
        <f>BF234+BF235-BF236</f>
        <v/>
      </c>
      <c r="BG237" s="44">
        <f>BG234+BG235-BG236</f>
        <v/>
      </c>
      <c r="BH237" s="44">
        <f>BH234+BH235-BH236</f>
        <v/>
      </c>
      <c r="BI237" s="44">
        <f>BI234+BI235-BI236</f>
        <v/>
      </c>
      <c r="BJ237" s="44">
        <f>BJ234+BJ235-BJ236</f>
        <v/>
      </c>
    </row>
    <row r="238">
      <c r="A238" s="4" t="inlineStr">
        <is>
          <t>Kenya: Solo: Nano: opening</t>
        </is>
      </c>
      <c r="B238" s="17" t="inlineStr">
        <is>
          <t>workspaces</t>
        </is>
      </c>
      <c r="C238" s="41">
        <f>0</f>
        <v/>
      </c>
      <c r="D238" s="41">
        <f>C242</f>
        <v/>
      </c>
      <c r="E238" s="41">
        <f>D242</f>
        <v/>
      </c>
      <c r="F238" s="41">
        <f>E242</f>
        <v/>
      </c>
      <c r="G238" s="41">
        <f>F242</f>
        <v/>
      </c>
      <c r="H238" s="41">
        <f>G242</f>
        <v/>
      </c>
      <c r="I238" s="41">
        <f>H242</f>
        <v/>
      </c>
      <c r="J238" s="41">
        <f>I242</f>
        <v/>
      </c>
      <c r="K238" s="41">
        <f>J242</f>
        <v/>
      </c>
      <c r="L238" s="41">
        <f>K242</f>
        <v/>
      </c>
      <c r="M238" s="41">
        <f>L242</f>
        <v/>
      </c>
      <c r="N238" s="41">
        <f>M242</f>
        <v/>
      </c>
      <c r="O238" s="41">
        <f>N242</f>
        <v/>
      </c>
      <c r="P238" s="41">
        <f>O242</f>
        <v/>
      </c>
      <c r="Q238" s="41">
        <f>P242</f>
        <v/>
      </c>
      <c r="R238" s="41">
        <f>Q242</f>
        <v/>
      </c>
      <c r="S238" s="41">
        <f>R242</f>
        <v/>
      </c>
      <c r="T238" s="41">
        <f>S242</f>
        <v/>
      </c>
      <c r="U238" s="41">
        <f>T242</f>
        <v/>
      </c>
      <c r="V238" s="41">
        <f>U242</f>
        <v/>
      </c>
      <c r="W238" s="41">
        <f>V242</f>
        <v/>
      </c>
      <c r="X238" s="41">
        <f>W242</f>
        <v/>
      </c>
      <c r="Y238" s="41">
        <f>X242</f>
        <v/>
      </c>
      <c r="Z238" s="41">
        <f>Y242</f>
        <v/>
      </c>
      <c r="AA238" s="41">
        <f>Z242</f>
        <v/>
      </c>
      <c r="AB238" s="41">
        <f>AA242</f>
        <v/>
      </c>
      <c r="AC238" s="41">
        <f>AB242</f>
        <v/>
      </c>
      <c r="AD238" s="41">
        <f>AC242</f>
        <v/>
      </c>
      <c r="AE238" s="41">
        <f>AD242</f>
        <v/>
      </c>
      <c r="AF238" s="41">
        <f>AE242</f>
        <v/>
      </c>
      <c r="AG238" s="41">
        <f>AF242</f>
        <v/>
      </c>
      <c r="AH238" s="41">
        <f>AG242</f>
        <v/>
      </c>
      <c r="AI238" s="41">
        <f>AH242</f>
        <v/>
      </c>
      <c r="AJ238" s="41">
        <f>AI242</f>
        <v/>
      </c>
      <c r="AK238" s="41">
        <f>AJ242</f>
        <v/>
      </c>
      <c r="AL238" s="41">
        <f>AK242</f>
        <v/>
      </c>
      <c r="AM238" s="41">
        <f>AL242</f>
        <v/>
      </c>
      <c r="AN238" s="41">
        <f>AM242</f>
        <v/>
      </c>
      <c r="AO238" s="41">
        <f>AN242</f>
        <v/>
      </c>
      <c r="AP238" s="41">
        <f>AO242</f>
        <v/>
      </c>
      <c r="AQ238" s="41">
        <f>AP242</f>
        <v/>
      </c>
      <c r="AR238" s="41">
        <f>AQ242</f>
        <v/>
      </c>
      <c r="AS238" s="41">
        <f>AR242</f>
        <v/>
      </c>
      <c r="AT238" s="41">
        <f>AS242</f>
        <v/>
      </c>
      <c r="AU238" s="41">
        <f>AT242</f>
        <v/>
      </c>
      <c r="AV238" s="41">
        <f>AU242</f>
        <v/>
      </c>
      <c r="AW238" s="41">
        <f>AV242</f>
        <v/>
      </c>
      <c r="AX238" s="41">
        <f>AW242</f>
        <v/>
      </c>
      <c r="AY238" s="41">
        <f>AX242</f>
        <v/>
      </c>
      <c r="AZ238" s="41">
        <f>AY242</f>
        <v/>
      </c>
      <c r="BA238" s="41">
        <f>AZ242</f>
        <v/>
      </c>
      <c r="BB238" s="41">
        <f>BA242</f>
        <v/>
      </c>
      <c r="BC238" s="41">
        <f>BB242</f>
        <v/>
      </c>
      <c r="BD238" s="41">
        <f>BC242</f>
        <v/>
      </c>
      <c r="BE238" s="41">
        <f>BD242</f>
        <v/>
      </c>
      <c r="BF238" s="41">
        <f>BE242</f>
        <v/>
      </c>
      <c r="BG238" s="41">
        <f>BF242</f>
        <v/>
      </c>
      <c r="BH238" s="41">
        <f>BG242</f>
        <v/>
      </c>
      <c r="BI238" s="41">
        <f>BH242</f>
        <v/>
      </c>
      <c r="BJ238" s="41">
        <f>BI242</f>
        <v/>
      </c>
    </row>
    <row r="239">
      <c r="A239" s="4" t="inlineStr">
        <is>
          <t>Kenya: Solo: Nano: new</t>
        </is>
      </c>
      <c r="B239" s="17" t="inlineStr">
        <is>
          <t>workspaces</t>
        </is>
      </c>
      <c r="C239" s="41">
        <f>C150*Assumptions!$B$124</f>
        <v/>
      </c>
      <c r="D239" s="41">
        <f>D150*Assumptions!$B$124</f>
        <v/>
      </c>
      <c r="E239" s="41">
        <f>E150*Assumptions!$B$124</f>
        <v/>
      </c>
      <c r="F239" s="41">
        <f>F150*Assumptions!$B$124</f>
        <v/>
      </c>
      <c r="G239" s="41">
        <f>G150*Assumptions!$B$124</f>
        <v/>
      </c>
      <c r="H239" s="41">
        <f>H150*Assumptions!$B$124</f>
        <v/>
      </c>
      <c r="I239" s="41">
        <f>I150*Assumptions!$B$124</f>
        <v/>
      </c>
      <c r="J239" s="41">
        <f>J150*Assumptions!$B$124</f>
        <v/>
      </c>
      <c r="K239" s="41">
        <f>K150*Assumptions!$B$124</f>
        <v/>
      </c>
      <c r="L239" s="41">
        <f>L150*Assumptions!$B$124</f>
        <v/>
      </c>
      <c r="M239" s="41">
        <f>M150*Assumptions!$B$124</f>
        <v/>
      </c>
      <c r="N239" s="41">
        <f>N150*Assumptions!$B$124</f>
        <v/>
      </c>
      <c r="O239" s="41">
        <f>O150*Assumptions!$B$124</f>
        <v/>
      </c>
      <c r="P239" s="41">
        <f>P150*Assumptions!$B$124</f>
        <v/>
      </c>
      <c r="Q239" s="41">
        <f>Q150*Assumptions!$B$124</f>
        <v/>
      </c>
      <c r="R239" s="41">
        <f>R150*Assumptions!$B$124</f>
        <v/>
      </c>
      <c r="S239" s="41">
        <f>S150*Assumptions!$B$124</f>
        <v/>
      </c>
      <c r="T239" s="41">
        <f>T150*Assumptions!$B$124</f>
        <v/>
      </c>
      <c r="U239" s="41">
        <f>U150*Assumptions!$B$124</f>
        <v/>
      </c>
      <c r="V239" s="41">
        <f>V150*Assumptions!$B$124</f>
        <v/>
      </c>
      <c r="W239" s="41">
        <f>W150*Assumptions!$B$124</f>
        <v/>
      </c>
      <c r="X239" s="41">
        <f>X150*Assumptions!$B$124</f>
        <v/>
      </c>
      <c r="Y239" s="41">
        <f>Y150*Assumptions!$B$124</f>
        <v/>
      </c>
      <c r="Z239" s="41">
        <f>Z150*Assumptions!$B$124</f>
        <v/>
      </c>
      <c r="AA239" s="41">
        <f>AA150*Assumptions!$B$124</f>
        <v/>
      </c>
      <c r="AB239" s="41">
        <f>AB150*Assumptions!$B$124</f>
        <v/>
      </c>
      <c r="AC239" s="41">
        <f>AC150*Assumptions!$B$124</f>
        <v/>
      </c>
      <c r="AD239" s="41">
        <f>AD150*Assumptions!$B$124</f>
        <v/>
      </c>
      <c r="AE239" s="41">
        <f>AE150*Assumptions!$B$124</f>
        <v/>
      </c>
      <c r="AF239" s="41">
        <f>AF150*Assumptions!$B$124</f>
        <v/>
      </c>
      <c r="AG239" s="41">
        <f>AG150*Assumptions!$B$124</f>
        <v/>
      </c>
      <c r="AH239" s="41">
        <f>AH150*Assumptions!$B$124</f>
        <v/>
      </c>
      <c r="AI239" s="41">
        <f>AI150*Assumptions!$B$124</f>
        <v/>
      </c>
      <c r="AJ239" s="41">
        <f>AJ150*Assumptions!$B$124</f>
        <v/>
      </c>
      <c r="AK239" s="41">
        <f>AK150*Assumptions!$B$124</f>
        <v/>
      </c>
      <c r="AL239" s="41">
        <f>AL150*Assumptions!$B$124</f>
        <v/>
      </c>
      <c r="AM239" s="41">
        <f>AM150*Assumptions!$B$124</f>
        <v/>
      </c>
      <c r="AN239" s="41">
        <f>AN150*Assumptions!$B$124</f>
        <v/>
      </c>
      <c r="AO239" s="41">
        <f>AO150*Assumptions!$B$124</f>
        <v/>
      </c>
      <c r="AP239" s="41">
        <f>AP150*Assumptions!$B$124</f>
        <v/>
      </c>
      <c r="AQ239" s="41">
        <f>AQ150*Assumptions!$B$124</f>
        <v/>
      </c>
      <c r="AR239" s="41">
        <f>AR150*Assumptions!$B$124</f>
        <v/>
      </c>
      <c r="AS239" s="41">
        <f>AS150*Assumptions!$B$124</f>
        <v/>
      </c>
      <c r="AT239" s="41">
        <f>AT150*Assumptions!$B$124</f>
        <v/>
      </c>
      <c r="AU239" s="41">
        <f>AU150*Assumptions!$B$124</f>
        <v/>
      </c>
      <c r="AV239" s="41">
        <f>AV150*Assumptions!$B$124</f>
        <v/>
      </c>
      <c r="AW239" s="41">
        <f>AW150*Assumptions!$B$124</f>
        <v/>
      </c>
      <c r="AX239" s="41">
        <f>AX150*Assumptions!$B$124</f>
        <v/>
      </c>
      <c r="AY239" s="41">
        <f>AY150*Assumptions!$B$124</f>
        <v/>
      </c>
      <c r="AZ239" s="41">
        <f>AZ150*Assumptions!$B$124</f>
        <v/>
      </c>
      <c r="BA239" s="41">
        <f>BA150*Assumptions!$B$124</f>
        <v/>
      </c>
      <c r="BB239" s="41">
        <f>BB150*Assumptions!$B$124</f>
        <v/>
      </c>
      <c r="BC239" s="41">
        <f>BC150*Assumptions!$B$124</f>
        <v/>
      </c>
      <c r="BD239" s="41">
        <f>BD150*Assumptions!$B$124</f>
        <v/>
      </c>
      <c r="BE239" s="41">
        <f>BE150*Assumptions!$B$124</f>
        <v/>
      </c>
      <c r="BF239" s="41">
        <f>BF150*Assumptions!$B$124</f>
        <v/>
      </c>
      <c r="BG239" s="41">
        <f>BG150*Assumptions!$B$124</f>
        <v/>
      </c>
      <c r="BH239" s="41">
        <f>BH150*Assumptions!$B$124</f>
        <v/>
      </c>
      <c r="BI239" s="41">
        <f>BI150*Assumptions!$B$124</f>
        <v/>
      </c>
      <c r="BJ239" s="41">
        <f>BJ150*Assumptions!$B$124</f>
        <v/>
      </c>
    </row>
    <row r="240">
      <c r="A240" s="4" t="inlineStr">
        <is>
          <t>Kenya: Solo: Nano: churned</t>
        </is>
      </c>
      <c r="B240" s="17" t="inlineStr">
        <is>
          <t>workspaces</t>
        </is>
      </c>
      <c r="C240" s="41">
        <f>C238*Assumptions!$B$137*Assumptions!$B$46*Assumptions!$B$30*Assumptions!$B$74</f>
        <v/>
      </c>
      <c r="D240" s="41">
        <f>D238*Assumptions!$B$137*Assumptions!$B$46*Assumptions!$B$30*Assumptions!$B$74</f>
        <v/>
      </c>
      <c r="E240" s="41">
        <f>E238*Assumptions!$B$137*Assumptions!$B$46*Assumptions!$B$30*Assumptions!$B$74</f>
        <v/>
      </c>
      <c r="F240" s="41">
        <f>F238*Assumptions!$B$137*Assumptions!$B$46*Assumptions!$B$30*Assumptions!$B$74</f>
        <v/>
      </c>
      <c r="G240" s="41">
        <f>G238*Assumptions!$B$137*Assumptions!$B$46*Assumptions!$B$30*Assumptions!$B$74</f>
        <v/>
      </c>
      <c r="H240" s="41">
        <f>H238*Assumptions!$B$137*Assumptions!$B$46*Assumptions!$B$30*Assumptions!$B$74</f>
        <v/>
      </c>
      <c r="I240" s="41">
        <f>I238*Assumptions!$B$137*Assumptions!$B$46*Assumptions!$B$30*Assumptions!$B$74</f>
        <v/>
      </c>
      <c r="J240" s="41">
        <f>J238*Assumptions!$B$137*Assumptions!$B$46*Assumptions!$B$30*Assumptions!$B$74</f>
        <v/>
      </c>
      <c r="K240" s="41">
        <f>K238*Assumptions!$B$137*Assumptions!$B$46*Assumptions!$B$30*Assumptions!$B$74</f>
        <v/>
      </c>
      <c r="L240" s="41">
        <f>L238*Assumptions!$B$137*Assumptions!$B$46*Assumptions!$B$30*Assumptions!$B$74</f>
        <v/>
      </c>
      <c r="M240" s="41">
        <f>M238*Assumptions!$B$137*Assumptions!$B$46*Assumptions!$B$30*Assumptions!$B$74</f>
        <v/>
      </c>
      <c r="N240" s="41">
        <f>N238*Assumptions!$B$137*Assumptions!$B$46*Assumptions!$B$30*Assumptions!$B$74</f>
        <v/>
      </c>
      <c r="O240" s="41">
        <f>O238*Assumptions!$B$137*Assumptions!$B$46*Assumptions!$B$30*Assumptions!$B$74</f>
        <v/>
      </c>
      <c r="P240" s="41">
        <f>P238*Assumptions!$B$137*Assumptions!$B$46*Assumptions!$B$30*Assumptions!$B$74</f>
        <v/>
      </c>
      <c r="Q240" s="41">
        <f>Q238*Assumptions!$B$137*Assumptions!$B$46*Assumptions!$B$30*Assumptions!$B$74</f>
        <v/>
      </c>
      <c r="R240" s="41">
        <f>R238*Assumptions!$B$137*Assumptions!$B$46*Assumptions!$B$30*Assumptions!$B$74</f>
        <v/>
      </c>
      <c r="S240" s="41">
        <f>S238*Assumptions!$B$137*Assumptions!$B$46*Assumptions!$B$30*Assumptions!$B$74</f>
        <v/>
      </c>
      <c r="T240" s="41">
        <f>T238*Assumptions!$B$137*Assumptions!$B$46*Assumptions!$B$30*Assumptions!$B$74</f>
        <v/>
      </c>
      <c r="U240" s="41">
        <f>U238*Assumptions!$B$137*Assumptions!$B$46*Assumptions!$B$30*Assumptions!$B$74</f>
        <v/>
      </c>
      <c r="V240" s="41">
        <f>V238*Assumptions!$B$137*Assumptions!$B$46*Assumptions!$B$30*Assumptions!$B$74</f>
        <v/>
      </c>
      <c r="W240" s="41">
        <f>W238*Assumptions!$B$137*Assumptions!$B$46*Assumptions!$B$30*Assumptions!$B$74</f>
        <v/>
      </c>
      <c r="X240" s="41">
        <f>X238*Assumptions!$B$137*Assumptions!$B$46*Assumptions!$B$30*Assumptions!$B$74</f>
        <v/>
      </c>
      <c r="Y240" s="41">
        <f>Y238*Assumptions!$B$137*Assumptions!$B$46*Assumptions!$B$30*Assumptions!$B$74</f>
        <v/>
      </c>
      <c r="Z240" s="41">
        <f>Z238*Assumptions!$B$137*Assumptions!$B$46*Assumptions!$B$30*Assumptions!$B$74</f>
        <v/>
      </c>
      <c r="AA240" s="41">
        <f>AA238*Assumptions!$B$137*Assumptions!$B$46*Assumptions!$B$30*Assumptions!$B$74</f>
        <v/>
      </c>
      <c r="AB240" s="41">
        <f>AB238*Assumptions!$B$137*Assumptions!$B$46*Assumptions!$B$30*Assumptions!$B$74</f>
        <v/>
      </c>
      <c r="AC240" s="41">
        <f>AC238*Assumptions!$B$137*Assumptions!$B$46*Assumptions!$B$30*Assumptions!$B$74</f>
        <v/>
      </c>
      <c r="AD240" s="41">
        <f>AD238*Assumptions!$B$137*Assumptions!$B$46*Assumptions!$B$30*Assumptions!$B$74</f>
        <v/>
      </c>
      <c r="AE240" s="41">
        <f>AE238*Assumptions!$B$137*Assumptions!$B$46*Assumptions!$B$30*Assumptions!$B$74</f>
        <v/>
      </c>
      <c r="AF240" s="41">
        <f>AF238*Assumptions!$B$137*Assumptions!$B$46*Assumptions!$B$30*Assumptions!$B$74</f>
        <v/>
      </c>
      <c r="AG240" s="41">
        <f>AG238*Assumptions!$B$137*Assumptions!$B$46*Assumptions!$B$30*Assumptions!$B$74</f>
        <v/>
      </c>
      <c r="AH240" s="41">
        <f>AH238*Assumptions!$B$137*Assumptions!$B$46*Assumptions!$B$30*Assumptions!$B$74</f>
        <v/>
      </c>
      <c r="AI240" s="41">
        <f>AI238*Assumptions!$B$137*Assumptions!$B$46*Assumptions!$B$30*Assumptions!$B$74</f>
        <v/>
      </c>
      <c r="AJ240" s="41">
        <f>AJ238*Assumptions!$B$137*Assumptions!$B$46*Assumptions!$B$30*Assumptions!$B$74</f>
        <v/>
      </c>
      <c r="AK240" s="41">
        <f>AK238*Assumptions!$B$137*Assumptions!$B$46*Assumptions!$B$30*Assumptions!$B$74</f>
        <v/>
      </c>
      <c r="AL240" s="41">
        <f>AL238*Assumptions!$B$137*Assumptions!$B$46*Assumptions!$B$30*Assumptions!$B$74</f>
        <v/>
      </c>
      <c r="AM240" s="41">
        <f>AM238*Assumptions!$B$137*Assumptions!$B$46*Assumptions!$B$30*Assumptions!$B$74</f>
        <v/>
      </c>
      <c r="AN240" s="41">
        <f>AN238*Assumptions!$B$137*Assumptions!$B$46*Assumptions!$B$30*Assumptions!$B$74</f>
        <v/>
      </c>
      <c r="AO240" s="41">
        <f>AO238*Assumptions!$B$137*Assumptions!$B$46*Assumptions!$B$30*Assumptions!$B$74</f>
        <v/>
      </c>
      <c r="AP240" s="41">
        <f>AP238*Assumptions!$B$137*Assumptions!$B$46*Assumptions!$B$30*Assumptions!$B$74</f>
        <v/>
      </c>
      <c r="AQ240" s="41">
        <f>AQ238*Assumptions!$B$137*Assumptions!$B$46*Assumptions!$B$30*Assumptions!$B$74</f>
        <v/>
      </c>
      <c r="AR240" s="41">
        <f>AR238*Assumptions!$B$137*Assumptions!$B$46*Assumptions!$B$30*Assumptions!$B$74</f>
        <v/>
      </c>
      <c r="AS240" s="41">
        <f>AS238*Assumptions!$B$137*Assumptions!$B$46*Assumptions!$B$30*Assumptions!$B$74</f>
        <v/>
      </c>
      <c r="AT240" s="41">
        <f>AT238*Assumptions!$B$137*Assumptions!$B$46*Assumptions!$B$30*Assumptions!$B$74</f>
        <v/>
      </c>
      <c r="AU240" s="41">
        <f>AU238*Assumptions!$B$137*Assumptions!$B$46*Assumptions!$B$30*Assumptions!$B$74</f>
        <v/>
      </c>
      <c r="AV240" s="41">
        <f>AV238*Assumptions!$B$137*Assumptions!$B$46*Assumptions!$B$30*Assumptions!$B$74</f>
        <v/>
      </c>
      <c r="AW240" s="41">
        <f>AW238*Assumptions!$B$137*Assumptions!$B$46*Assumptions!$B$30*Assumptions!$B$74</f>
        <v/>
      </c>
      <c r="AX240" s="41">
        <f>AX238*Assumptions!$B$137*Assumptions!$B$46*Assumptions!$B$30*Assumptions!$B$74</f>
        <v/>
      </c>
      <c r="AY240" s="41">
        <f>AY238*Assumptions!$B$137*Assumptions!$B$46*Assumptions!$B$30*Assumptions!$B$74</f>
        <v/>
      </c>
      <c r="AZ240" s="41">
        <f>AZ238*Assumptions!$B$137*Assumptions!$B$46*Assumptions!$B$30*Assumptions!$B$74</f>
        <v/>
      </c>
      <c r="BA240" s="41">
        <f>BA238*Assumptions!$B$137*Assumptions!$B$46*Assumptions!$B$30*Assumptions!$B$74</f>
        <v/>
      </c>
      <c r="BB240" s="41">
        <f>BB238*Assumptions!$B$137*Assumptions!$B$46*Assumptions!$B$30*Assumptions!$B$74</f>
        <v/>
      </c>
      <c r="BC240" s="41">
        <f>BC238*Assumptions!$B$137*Assumptions!$B$46*Assumptions!$B$30*Assumptions!$B$74</f>
        <v/>
      </c>
      <c r="BD240" s="41">
        <f>BD238*Assumptions!$B$137*Assumptions!$B$46*Assumptions!$B$30*Assumptions!$B$74</f>
        <v/>
      </c>
      <c r="BE240" s="41">
        <f>BE238*Assumptions!$B$137*Assumptions!$B$46*Assumptions!$B$30*Assumptions!$B$74</f>
        <v/>
      </c>
      <c r="BF240" s="41">
        <f>BF238*Assumptions!$B$137*Assumptions!$B$46*Assumptions!$B$30*Assumptions!$B$74</f>
        <v/>
      </c>
      <c r="BG240" s="41">
        <f>BG238*Assumptions!$B$137*Assumptions!$B$46*Assumptions!$B$30*Assumptions!$B$74</f>
        <v/>
      </c>
      <c r="BH240" s="41">
        <f>BH238*Assumptions!$B$137*Assumptions!$B$46*Assumptions!$B$30*Assumptions!$B$74</f>
        <v/>
      </c>
      <c r="BI240" s="41">
        <f>BI238*Assumptions!$B$137*Assumptions!$B$46*Assumptions!$B$30*Assumptions!$B$74</f>
        <v/>
      </c>
      <c r="BJ240" s="41">
        <f>BJ238*Assumptions!$B$137*Assumptions!$B$46*Assumptions!$B$30*Assumptions!$B$74</f>
        <v/>
      </c>
    </row>
    <row r="241">
      <c r="A241" s="4" t="inlineStr">
        <is>
          <t>Kenya: Solo: Nano: upgraded out</t>
        </is>
      </c>
      <c r="B241" s="17" t="inlineStr">
        <is>
          <t>workspaces</t>
        </is>
      </c>
      <c r="C241" s="41">
        <f>C238*Assumptions!$B$130</f>
        <v/>
      </c>
      <c r="D241" s="41">
        <f>D238*Assumptions!$B$130</f>
        <v/>
      </c>
      <c r="E241" s="41">
        <f>E238*Assumptions!$B$130</f>
        <v/>
      </c>
      <c r="F241" s="41">
        <f>F238*Assumptions!$B$130</f>
        <v/>
      </c>
      <c r="G241" s="41">
        <f>G238*Assumptions!$B$130</f>
        <v/>
      </c>
      <c r="H241" s="41">
        <f>H238*Assumptions!$B$130</f>
        <v/>
      </c>
      <c r="I241" s="41">
        <f>I238*Assumptions!$B$130</f>
        <v/>
      </c>
      <c r="J241" s="41">
        <f>J238*Assumptions!$B$130</f>
        <v/>
      </c>
      <c r="K241" s="41">
        <f>K238*Assumptions!$B$130</f>
        <v/>
      </c>
      <c r="L241" s="41">
        <f>L238*Assumptions!$B$130</f>
        <v/>
      </c>
      <c r="M241" s="41">
        <f>M238*Assumptions!$B$130</f>
        <v/>
      </c>
      <c r="N241" s="41">
        <f>N238*Assumptions!$B$130</f>
        <v/>
      </c>
      <c r="O241" s="41">
        <f>O238*Assumptions!$B$130</f>
        <v/>
      </c>
      <c r="P241" s="41">
        <f>P238*Assumptions!$B$130</f>
        <v/>
      </c>
      <c r="Q241" s="41">
        <f>Q238*Assumptions!$B$130</f>
        <v/>
      </c>
      <c r="R241" s="41">
        <f>R238*Assumptions!$B$130</f>
        <v/>
      </c>
      <c r="S241" s="41">
        <f>S238*Assumptions!$B$130</f>
        <v/>
      </c>
      <c r="T241" s="41">
        <f>T238*Assumptions!$B$130</f>
        <v/>
      </c>
      <c r="U241" s="41">
        <f>U238*Assumptions!$B$130</f>
        <v/>
      </c>
      <c r="V241" s="41">
        <f>V238*Assumptions!$B$130</f>
        <v/>
      </c>
      <c r="W241" s="41">
        <f>W238*Assumptions!$B$130</f>
        <v/>
      </c>
      <c r="X241" s="41">
        <f>X238*Assumptions!$B$130</f>
        <v/>
      </c>
      <c r="Y241" s="41">
        <f>Y238*Assumptions!$B$130</f>
        <v/>
      </c>
      <c r="Z241" s="41">
        <f>Z238*Assumptions!$B$130</f>
        <v/>
      </c>
      <c r="AA241" s="41">
        <f>AA238*Assumptions!$B$130</f>
        <v/>
      </c>
      <c r="AB241" s="41">
        <f>AB238*Assumptions!$B$130</f>
        <v/>
      </c>
      <c r="AC241" s="41">
        <f>AC238*Assumptions!$B$130</f>
        <v/>
      </c>
      <c r="AD241" s="41">
        <f>AD238*Assumptions!$B$130</f>
        <v/>
      </c>
      <c r="AE241" s="41">
        <f>AE238*Assumptions!$B$130</f>
        <v/>
      </c>
      <c r="AF241" s="41">
        <f>AF238*Assumptions!$B$130</f>
        <v/>
      </c>
      <c r="AG241" s="41">
        <f>AG238*Assumptions!$B$130</f>
        <v/>
      </c>
      <c r="AH241" s="41">
        <f>AH238*Assumptions!$B$130</f>
        <v/>
      </c>
      <c r="AI241" s="41">
        <f>AI238*Assumptions!$B$130</f>
        <v/>
      </c>
      <c r="AJ241" s="41">
        <f>AJ238*Assumptions!$B$130</f>
        <v/>
      </c>
      <c r="AK241" s="41">
        <f>AK238*Assumptions!$B$130</f>
        <v/>
      </c>
      <c r="AL241" s="41">
        <f>AL238*Assumptions!$B$130</f>
        <v/>
      </c>
      <c r="AM241" s="41">
        <f>AM238*Assumptions!$B$130</f>
        <v/>
      </c>
      <c r="AN241" s="41">
        <f>AN238*Assumptions!$B$130</f>
        <v/>
      </c>
      <c r="AO241" s="41">
        <f>AO238*Assumptions!$B$130</f>
        <v/>
      </c>
      <c r="AP241" s="41">
        <f>AP238*Assumptions!$B$130</f>
        <v/>
      </c>
      <c r="AQ241" s="41">
        <f>AQ238*Assumptions!$B$130</f>
        <v/>
      </c>
      <c r="AR241" s="41">
        <f>AR238*Assumptions!$B$130</f>
        <v/>
      </c>
      <c r="AS241" s="41">
        <f>AS238*Assumptions!$B$130</f>
        <v/>
      </c>
      <c r="AT241" s="41">
        <f>AT238*Assumptions!$B$130</f>
        <v/>
      </c>
      <c r="AU241" s="41">
        <f>AU238*Assumptions!$B$130</f>
        <v/>
      </c>
      <c r="AV241" s="41">
        <f>AV238*Assumptions!$B$130</f>
        <v/>
      </c>
      <c r="AW241" s="41">
        <f>AW238*Assumptions!$B$130</f>
        <v/>
      </c>
      <c r="AX241" s="41">
        <f>AX238*Assumptions!$B$130</f>
        <v/>
      </c>
      <c r="AY241" s="41">
        <f>AY238*Assumptions!$B$130</f>
        <v/>
      </c>
      <c r="AZ241" s="41">
        <f>AZ238*Assumptions!$B$130</f>
        <v/>
      </c>
      <c r="BA241" s="41">
        <f>BA238*Assumptions!$B$130</f>
        <v/>
      </c>
      <c r="BB241" s="41">
        <f>BB238*Assumptions!$B$130</f>
        <v/>
      </c>
      <c r="BC241" s="41">
        <f>BC238*Assumptions!$B$130</f>
        <v/>
      </c>
      <c r="BD241" s="41">
        <f>BD238*Assumptions!$B$130</f>
        <v/>
      </c>
      <c r="BE241" s="41">
        <f>BE238*Assumptions!$B$130</f>
        <v/>
      </c>
      <c r="BF241" s="41">
        <f>BF238*Assumptions!$B$130</f>
        <v/>
      </c>
      <c r="BG241" s="41">
        <f>BG238*Assumptions!$B$130</f>
        <v/>
      </c>
      <c r="BH241" s="41">
        <f>BH238*Assumptions!$B$130</f>
        <v/>
      </c>
      <c r="BI241" s="41">
        <f>BI238*Assumptions!$B$130</f>
        <v/>
      </c>
      <c r="BJ241" s="41">
        <f>BJ238*Assumptions!$B$130</f>
        <v/>
      </c>
    </row>
    <row r="242">
      <c r="A242" s="3" t="inlineStr">
        <is>
          <t>Kenya: Solo: Nano: closing</t>
        </is>
      </c>
      <c r="B242" s="17" t="inlineStr">
        <is>
          <t>workspaces</t>
        </is>
      </c>
      <c r="C242" s="44">
        <f>C238+C239-C240-C241</f>
        <v/>
      </c>
      <c r="D242" s="44">
        <f>D238+D239-D240-D241</f>
        <v/>
      </c>
      <c r="E242" s="44">
        <f>E238+E239-E240-E241</f>
        <v/>
      </c>
      <c r="F242" s="44">
        <f>F238+F239-F240-F241</f>
        <v/>
      </c>
      <c r="G242" s="44">
        <f>G238+G239-G240-G241</f>
        <v/>
      </c>
      <c r="H242" s="44">
        <f>H238+H239-H240-H241</f>
        <v/>
      </c>
      <c r="I242" s="44">
        <f>I238+I239-I240-I241</f>
        <v/>
      </c>
      <c r="J242" s="44">
        <f>J238+J239-J240-J241</f>
        <v/>
      </c>
      <c r="K242" s="44">
        <f>K238+K239-K240-K241</f>
        <v/>
      </c>
      <c r="L242" s="44">
        <f>L238+L239-L240-L241</f>
        <v/>
      </c>
      <c r="M242" s="44">
        <f>M238+M239-M240-M241</f>
        <v/>
      </c>
      <c r="N242" s="44">
        <f>N238+N239-N240-N241</f>
        <v/>
      </c>
      <c r="O242" s="44">
        <f>O238+O239-O240-O241</f>
        <v/>
      </c>
      <c r="P242" s="44">
        <f>P238+P239-P240-P241</f>
        <v/>
      </c>
      <c r="Q242" s="44">
        <f>Q238+Q239-Q240-Q241</f>
        <v/>
      </c>
      <c r="R242" s="44">
        <f>R238+R239-R240-R241</f>
        <v/>
      </c>
      <c r="S242" s="44">
        <f>S238+S239-S240-S241</f>
        <v/>
      </c>
      <c r="T242" s="44">
        <f>T238+T239-T240-T241</f>
        <v/>
      </c>
      <c r="U242" s="44">
        <f>U238+U239-U240-U241</f>
        <v/>
      </c>
      <c r="V242" s="44">
        <f>V238+V239-V240-V241</f>
        <v/>
      </c>
      <c r="W242" s="44">
        <f>W238+W239-W240-W241</f>
        <v/>
      </c>
      <c r="X242" s="44">
        <f>X238+X239-X240-X241</f>
        <v/>
      </c>
      <c r="Y242" s="44">
        <f>Y238+Y239-Y240-Y241</f>
        <v/>
      </c>
      <c r="Z242" s="44">
        <f>Z238+Z239-Z240-Z241</f>
        <v/>
      </c>
      <c r="AA242" s="44">
        <f>AA238+AA239-AA240-AA241</f>
        <v/>
      </c>
      <c r="AB242" s="44">
        <f>AB238+AB239-AB240-AB241</f>
        <v/>
      </c>
      <c r="AC242" s="44">
        <f>AC238+AC239-AC240-AC241</f>
        <v/>
      </c>
      <c r="AD242" s="44">
        <f>AD238+AD239-AD240-AD241</f>
        <v/>
      </c>
      <c r="AE242" s="44">
        <f>AE238+AE239-AE240-AE241</f>
        <v/>
      </c>
      <c r="AF242" s="44">
        <f>AF238+AF239-AF240-AF241</f>
        <v/>
      </c>
      <c r="AG242" s="44">
        <f>AG238+AG239-AG240-AG241</f>
        <v/>
      </c>
      <c r="AH242" s="44">
        <f>AH238+AH239-AH240-AH241</f>
        <v/>
      </c>
      <c r="AI242" s="44">
        <f>AI238+AI239-AI240-AI241</f>
        <v/>
      </c>
      <c r="AJ242" s="44">
        <f>AJ238+AJ239-AJ240-AJ241</f>
        <v/>
      </c>
      <c r="AK242" s="44">
        <f>AK238+AK239-AK240-AK241</f>
        <v/>
      </c>
      <c r="AL242" s="44">
        <f>AL238+AL239-AL240-AL241</f>
        <v/>
      </c>
      <c r="AM242" s="44">
        <f>AM238+AM239-AM240-AM241</f>
        <v/>
      </c>
      <c r="AN242" s="44">
        <f>AN238+AN239-AN240-AN241</f>
        <v/>
      </c>
      <c r="AO242" s="44">
        <f>AO238+AO239-AO240-AO241</f>
        <v/>
      </c>
      <c r="AP242" s="44">
        <f>AP238+AP239-AP240-AP241</f>
        <v/>
      </c>
      <c r="AQ242" s="44">
        <f>AQ238+AQ239-AQ240-AQ241</f>
        <v/>
      </c>
      <c r="AR242" s="44">
        <f>AR238+AR239-AR240-AR241</f>
        <v/>
      </c>
      <c r="AS242" s="44">
        <f>AS238+AS239-AS240-AS241</f>
        <v/>
      </c>
      <c r="AT242" s="44">
        <f>AT238+AT239-AT240-AT241</f>
        <v/>
      </c>
      <c r="AU242" s="44">
        <f>AU238+AU239-AU240-AU241</f>
        <v/>
      </c>
      <c r="AV242" s="44">
        <f>AV238+AV239-AV240-AV241</f>
        <v/>
      </c>
      <c r="AW242" s="44">
        <f>AW238+AW239-AW240-AW241</f>
        <v/>
      </c>
      <c r="AX242" s="44">
        <f>AX238+AX239-AX240-AX241</f>
        <v/>
      </c>
      <c r="AY242" s="44">
        <f>AY238+AY239-AY240-AY241</f>
        <v/>
      </c>
      <c r="AZ242" s="44">
        <f>AZ238+AZ239-AZ240-AZ241</f>
        <v/>
      </c>
      <c r="BA242" s="44">
        <f>BA238+BA239-BA240-BA241</f>
        <v/>
      </c>
      <c r="BB242" s="44">
        <f>BB238+BB239-BB240-BB241</f>
        <v/>
      </c>
      <c r="BC242" s="44">
        <f>BC238+BC239-BC240-BC241</f>
        <v/>
      </c>
      <c r="BD242" s="44">
        <f>BD238+BD239-BD240-BD241</f>
        <v/>
      </c>
      <c r="BE242" s="44">
        <f>BE238+BE239-BE240-BE241</f>
        <v/>
      </c>
      <c r="BF242" s="44">
        <f>BF238+BF239-BF240-BF241</f>
        <v/>
      </c>
      <c r="BG242" s="44">
        <f>BG238+BG239-BG240-BG241</f>
        <v/>
      </c>
      <c r="BH242" s="44">
        <f>BH238+BH239-BH240-BH241</f>
        <v/>
      </c>
      <c r="BI242" s="44">
        <f>BI238+BI239-BI240-BI241</f>
        <v/>
      </c>
      <c r="BJ242" s="44">
        <f>BJ238+BJ239-BJ240-BJ241</f>
        <v/>
      </c>
    </row>
    <row r="243">
      <c r="A243" s="4" t="inlineStr">
        <is>
          <t>Kenya: Solo: Micro (direct or upgraded): opening</t>
        </is>
      </c>
      <c r="B243" s="17" t="inlineStr">
        <is>
          <t>workspaces</t>
        </is>
      </c>
      <c r="C243" s="41">
        <f>0</f>
        <v/>
      </c>
      <c r="D243" s="41">
        <f>C247</f>
        <v/>
      </c>
      <c r="E243" s="41">
        <f>D247</f>
        <v/>
      </c>
      <c r="F243" s="41">
        <f>E247</f>
        <v/>
      </c>
      <c r="G243" s="41">
        <f>F247</f>
        <v/>
      </c>
      <c r="H243" s="41">
        <f>G247</f>
        <v/>
      </c>
      <c r="I243" s="41">
        <f>H247</f>
        <v/>
      </c>
      <c r="J243" s="41">
        <f>I247</f>
        <v/>
      </c>
      <c r="K243" s="41">
        <f>J247</f>
        <v/>
      </c>
      <c r="L243" s="41">
        <f>K247</f>
        <v/>
      </c>
      <c r="M243" s="41">
        <f>L247</f>
        <v/>
      </c>
      <c r="N243" s="41">
        <f>M247</f>
        <v/>
      </c>
      <c r="O243" s="41">
        <f>N247</f>
        <v/>
      </c>
      <c r="P243" s="41">
        <f>O247</f>
        <v/>
      </c>
      <c r="Q243" s="41">
        <f>P247</f>
        <v/>
      </c>
      <c r="R243" s="41">
        <f>Q247</f>
        <v/>
      </c>
      <c r="S243" s="41">
        <f>R247</f>
        <v/>
      </c>
      <c r="T243" s="41">
        <f>S247</f>
        <v/>
      </c>
      <c r="U243" s="41">
        <f>T247</f>
        <v/>
      </c>
      <c r="V243" s="41">
        <f>U247</f>
        <v/>
      </c>
      <c r="W243" s="41">
        <f>V247</f>
        <v/>
      </c>
      <c r="X243" s="41">
        <f>W247</f>
        <v/>
      </c>
      <c r="Y243" s="41">
        <f>X247</f>
        <v/>
      </c>
      <c r="Z243" s="41">
        <f>Y247</f>
        <v/>
      </c>
      <c r="AA243" s="41">
        <f>Z247</f>
        <v/>
      </c>
      <c r="AB243" s="41">
        <f>AA247</f>
        <v/>
      </c>
      <c r="AC243" s="41">
        <f>AB247</f>
        <v/>
      </c>
      <c r="AD243" s="41">
        <f>AC247</f>
        <v/>
      </c>
      <c r="AE243" s="41">
        <f>AD247</f>
        <v/>
      </c>
      <c r="AF243" s="41">
        <f>AE247</f>
        <v/>
      </c>
      <c r="AG243" s="41">
        <f>AF247</f>
        <v/>
      </c>
      <c r="AH243" s="41">
        <f>AG247</f>
        <v/>
      </c>
      <c r="AI243" s="41">
        <f>AH247</f>
        <v/>
      </c>
      <c r="AJ243" s="41">
        <f>AI247</f>
        <v/>
      </c>
      <c r="AK243" s="41">
        <f>AJ247</f>
        <v/>
      </c>
      <c r="AL243" s="41">
        <f>AK247</f>
        <v/>
      </c>
      <c r="AM243" s="41">
        <f>AL247</f>
        <v/>
      </c>
      <c r="AN243" s="41">
        <f>AM247</f>
        <v/>
      </c>
      <c r="AO243" s="41">
        <f>AN247</f>
        <v/>
      </c>
      <c r="AP243" s="41">
        <f>AO247</f>
        <v/>
      </c>
      <c r="AQ243" s="41">
        <f>AP247</f>
        <v/>
      </c>
      <c r="AR243" s="41">
        <f>AQ247</f>
        <v/>
      </c>
      <c r="AS243" s="41">
        <f>AR247</f>
        <v/>
      </c>
      <c r="AT243" s="41">
        <f>AS247</f>
        <v/>
      </c>
      <c r="AU243" s="41">
        <f>AT247</f>
        <v/>
      </c>
      <c r="AV243" s="41">
        <f>AU247</f>
        <v/>
      </c>
      <c r="AW243" s="41">
        <f>AV247</f>
        <v/>
      </c>
      <c r="AX243" s="41">
        <f>AW247</f>
        <v/>
      </c>
      <c r="AY243" s="41">
        <f>AX247</f>
        <v/>
      </c>
      <c r="AZ243" s="41">
        <f>AY247</f>
        <v/>
      </c>
      <c r="BA243" s="41">
        <f>AZ247</f>
        <v/>
      </c>
      <c r="BB243" s="41">
        <f>BA247</f>
        <v/>
      </c>
      <c r="BC243" s="41">
        <f>BB247</f>
        <v/>
      </c>
      <c r="BD243" s="41">
        <f>BC247</f>
        <v/>
      </c>
      <c r="BE243" s="41">
        <f>BD247</f>
        <v/>
      </c>
      <c r="BF243" s="41">
        <f>BE247</f>
        <v/>
      </c>
      <c r="BG243" s="41">
        <f>BF247</f>
        <v/>
      </c>
      <c r="BH243" s="41">
        <f>BG247</f>
        <v/>
      </c>
      <c r="BI243" s="41">
        <f>BH247</f>
        <v/>
      </c>
      <c r="BJ243" s="41">
        <f>BI247</f>
        <v/>
      </c>
    </row>
    <row r="244">
      <c r="A244" s="4" t="inlineStr">
        <is>
          <t>Kenya: Solo: Micro (direct or upgraded): new</t>
        </is>
      </c>
      <c r="B244" s="17" t="inlineStr">
        <is>
          <t>workspaces</t>
        </is>
      </c>
      <c r="C244" s="41">
        <f>C150*Assumptions!$B$125+C241</f>
        <v/>
      </c>
      <c r="D244" s="41">
        <f>D150*Assumptions!$B$125+D241</f>
        <v/>
      </c>
      <c r="E244" s="41">
        <f>E150*Assumptions!$B$125+E241</f>
        <v/>
      </c>
      <c r="F244" s="41">
        <f>F150*Assumptions!$B$125+F241</f>
        <v/>
      </c>
      <c r="G244" s="41">
        <f>G150*Assumptions!$B$125+G241</f>
        <v/>
      </c>
      <c r="H244" s="41">
        <f>H150*Assumptions!$B$125+H241</f>
        <v/>
      </c>
      <c r="I244" s="41">
        <f>I150*Assumptions!$B$125+I241</f>
        <v/>
      </c>
      <c r="J244" s="41">
        <f>J150*Assumptions!$B$125+J241</f>
        <v/>
      </c>
      <c r="K244" s="41">
        <f>K150*Assumptions!$B$125+K241</f>
        <v/>
      </c>
      <c r="L244" s="41">
        <f>L150*Assumptions!$B$125+L241</f>
        <v/>
      </c>
      <c r="M244" s="41">
        <f>M150*Assumptions!$B$125+M241</f>
        <v/>
      </c>
      <c r="N244" s="41">
        <f>N150*Assumptions!$B$125+N241</f>
        <v/>
      </c>
      <c r="O244" s="41">
        <f>O150*Assumptions!$B$125+O241</f>
        <v/>
      </c>
      <c r="P244" s="41">
        <f>P150*Assumptions!$B$125+P241</f>
        <v/>
      </c>
      <c r="Q244" s="41">
        <f>Q150*Assumptions!$B$125+Q241</f>
        <v/>
      </c>
      <c r="R244" s="41">
        <f>R150*Assumptions!$B$125+R241</f>
        <v/>
      </c>
      <c r="S244" s="41">
        <f>S150*Assumptions!$B$125+S241</f>
        <v/>
      </c>
      <c r="T244" s="41">
        <f>T150*Assumptions!$B$125+T241</f>
        <v/>
      </c>
      <c r="U244" s="41">
        <f>U150*Assumptions!$B$125+U241</f>
        <v/>
      </c>
      <c r="V244" s="41">
        <f>V150*Assumptions!$B$125+V241</f>
        <v/>
      </c>
      <c r="W244" s="41">
        <f>W150*Assumptions!$B$125+W241</f>
        <v/>
      </c>
      <c r="X244" s="41">
        <f>X150*Assumptions!$B$125+X241</f>
        <v/>
      </c>
      <c r="Y244" s="41">
        <f>Y150*Assumptions!$B$125+Y241</f>
        <v/>
      </c>
      <c r="Z244" s="41">
        <f>Z150*Assumptions!$B$125+Z241</f>
        <v/>
      </c>
      <c r="AA244" s="41">
        <f>AA150*Assumptions!$B$125+AA241</f>
        <v/>
      </c>
      <c r="AB244" s="41">
        <f>AB150*Assumptions!$B$125+AB241</f>
        <v/>
      </c>
      <c r="AC244" s="41">
        <f>AC150*Assumptions!$B$125+AC241</f>
        <v/>
      </c>
      <c r="AD244" s="41">
        <f>AD150*Assumptions!$B$125+AD241</f>
        <v/>
      </c>
      <c r="AE244" s="41">
        <f>AE150*Assumptions!$B$125+AE241</f>
        <v/>
      </c>
      <c r="AF244" s="41">
        <f>AF150*Assumptions!$B$125+AF241</f>
        <v/>
      </c>
      <c r="AG244" s="41">
        <f>AG150*Assumptions!$B$125+AG241</f>
        <v/>
      </c>
      <c r="AH244" s="41">
        <f>AH150*Assumptions!$B$125+AH241</f>
        <v/>
      </c>
      <c r="AI244" s="41">
        <f>AI150*Assumptions!$B$125+AI241</f>
        <v/>
      </c>
      <c r="AJ244" s="41">
        <f>AJ150*Assumptions!$B$125+AJ241</f>
        <v/>
      </c>
      <c r="AK244" s="41">
        <f>AK150*Assumptions!$B$125+AK241</f>
        <v/>
      </c>
      <c r="AL244" s="41">
        <f>AL150*Assumptions!$B$125+AL241</f>
        <v/>
      </c>
      <c r="AM244" s="41">
        <f>AM150*Assumptions!$B$125+AM241</f>
        <v/>
      </c>
      <c r="AN244" s="41">
        <f>AN150*Assumptions!$B$125+AN241</f>
        <v/>
      </c>
      <c r="AO244" s="41">
        <f>AO150*Assumptions!$B$125+AO241</f>
        <v/>
      </c>
      <c r="AP244" s="41">
        <f>AP150*Assumptions!$B$125+AP241</f>
        <v/>
      </c>
      <c r="AQ244" s="41">
        <f>AQ150*Assumptions!$B$125+AQ241</f>
        <v/>
      </c>
      <c r="AR244" s="41">
        <f>AR150*Assumptions!$B$125+AR241</f>
        <v/>
      </c>
      <c r="AS244" s="41">
        <f>AS150*Assumptions!$B$125+AS241</f>
        <v/>
      </c>
      <c r="AT244" s="41">
        <f>AT150*Assumptions!$B$125+AT241</f>
        <v/>
      </c>
      <c r="AU244" s="41">
        <f>AU150*Assumptions!$B$125+AU241</f>
        <v/>
      </c>
      <c r="AV244" s="41">
        <f>AV150*Assumptions!$B$125+AV241</f>
        <v/>
      </c>
      <c r="AW244" s="41">
        <f>AW150*Assumptions!$B$125+AW241</f>
        <v/>
      </c>
      <c r="AX244" s="41">
        <f>AX150*Assumptions!$B$125+AX241</f>
        <v/>
      </c>
      <c r="AY244" s="41">
        <f>AY150*Assumptions!$B$125+AY241</f>
        <v/>
      </c>
      <c r="AZ244" s="41">
        <f>AZ150*Assumptions!$B$125+AZ241</f>
        <v/>
      </c>
      <c r="BA244" s="41">
        <f>BA150*Assumptions!$B$125+BA241</f>
        <v/>
      </c>
      <c r="BB244" s="41">
        <f>BB150*Assumptions!$B$125+BB241</f>
        <v/>
      </c>
      <c r="BC244" s="41">
        <f>BC150*Assumptions!$B$125+BC241</f>
        <v/>
      </c>
      <c r="BD244" s="41">
        <f>BD150*Assumptions!$B$125+BD241</f>
        <v/>
      </c>
      <c r="BE244" s="41">
        <f>BE150*Assumptions!$B$125+BE241</f>
        <v/>
      </c>
      <c r="BF244" s="41">
        <f>BF150*Assumptions!$B$125+BF241</f>
        <v/>
      </c>
      <c r="BG244" s="41">
        <f>BG150*Assumptions!$B$125+BG241</f>
        <v/>
      </c>
      <c r="BH244" s="41">
        <f>BH150*Assumptions!$B$125+BH241</f>
        <v/>
      </c>
      <c r="BI244" s="41">
        <f>BI150*Assumptions!$B$125+BI241</f>
        <v/>
      </c>
      <c r="BJ244" s="41">
        <f>BJ150*Assumptions!$B$125+BJ241</f>
        <v/>
      </c>
    </row>
    <row r="245">
      <c r="A245" s="4" t="inlineStr">
        <is>
          <t>Kenya: Solo: Micro (direct or upgraded): churned</t>
        </is>
      </c>
      <c r="B245" s="17" t="inlineStr">
        <is>
          <t>workspaces</t>
        </is>
      </c>
      <c r="C245" s="41">
        <f>C243*Assumptions!$B$138*Assumptions!$B$46*Assumptions!$B$30*Assumptions!$B$74</f>
        <v/>
      </c>
      <c r="D245" s="41">
        <f>D243*Assumptions!$B$138*Assumptions!$B$46*Assumptions!$B$30*Assumptions!$B$74</f>
        <v/>
      </c>
      <c r="E245" s="41">
        <f>E243*Assumptions!$B$138*Assumptions!$B$46*Assumptions!$B$30*Assumptions!$B$74</f>
        <v/>
      </c>
      <c r="F245" s="41">
        <f>F243*Assumptions!$B$138*Assumptions!$B$46*Assumptions!$B$30*Assumptions!$B$74</f>
        <v/>
      </c>
      <c r="G245" s="41">
        <f>G243*Assumptions!$B$138*Assumptions!$B$46*Assumptions!$B$30*Assumptions!$B$74</f>
        <v/>
      </c>
      <c r="H245" s="41">
        <f>H243*Assumptions!$B$138*Assumptions!$B$46*Assumptions!$B$30*Assumptions!$B$74</f>
        <v/>
      </c>
      <c r="I245" s="41">
        <f>I243*Assumptions!$B$138*Assumptions!$B$46*Assumptions!$B$30*Assumptions!$B$74</f>
        <v/>
      </c>
      <c r="J245" s="41">
        <f>J243*Assumptions!$B$138*Assumptions!$B$46*Assumptions!$B$30*Assumptions!$B$74</f>
        <v/>
      </c>
      <c r="K245" s="41">
        <f>K243*Assumptions!$B$138*Assumptions!$B$46*Assumptions!$B$30*Assumptions!$B$74</f>
        <v/>
      </c>
      <c r="L245" s="41">
        <f>L243*Assumptions!$B$138*Assumptions!$B$46*Assumptions!$B$30*Assumptions!$B$74</f>
        <v/>
      </c>
      <c r="M245" s="41">
        <f>M243*Assumptions!$B$138*Assumptions!$B$46*Assumptions!$B$30*Assumptions!$B$74</f>
        <v/>
      </c>
      <c r="N245" s="41">
        <f>N243*Assumptions!$B$138*Assumptions!$B$46*Assumptions!$B$30*Assumptions!$B$74</f>
        <v/>
      </c>
      <c r="O245" s="41">
        <f>O243*Assumptions!$B$138*Assumptions!$B$46*Assumptions!$B$30*Assumptions!$B$74</f>
        <v/>
      </c>
      <c r="P245" s="41">
        <f>P243*Assumptions!$B$138*Assumptions!$B$46*Assumptions!$B$30*Assumptions!$B$74</f>
        <v/>
      </c>
      <c r="Q245" s="41">
        <f>Q243*Assumptions!$B$138*Assumptions!$B$46*Assumptions!$B$30*Assumptions!$B$74</f>
        <v/>
      </c>
      <c r="R245" s="41">
        <f>R243*Assumptions!$B$138*Assumptions!$B$46*Assumptions!$B$30*Assumptions!$B$74</f>
        <v/>
      </c>
      <c r="S245" s="41">
        <f>S243*Assumptions!$B$138*Assumptions!$B$46*Assumptions!$B$30*Assumptions!$B$74</f>
        <v/>
      </c>
      <c r="T245" s="41">
        <f>T243*Assumptions!$B$138*Assumptions!$B$46*Assumptions!$B$30*Assumptions!$B$74</f>
        <v/>
      </c>
      <c r="U245" s="41">
        <f>U243*Assumptions!$B$138*Assumptions!$B$46*Assumptions!$B$30*Assumptions!$B$74</f>
        <v/>
      </c>
      <c r="V245" s="41">
        <f>V243*Assumptions!$B$138*Assumptions!$B$46*Assumptions!$B$30*Assumptions!$B$74</f>
        <v/>
      </c>
      <c r="W245" s="41">
        <f>W243*Assumptions!$B$138*Assumptions!$B$46*Assumptions!$B$30*Assumptions!$B$74</f>
        <v/>
      </c>
      <c r="X245" s="41">
        <f>X243*Assumptions!$B$138*Assumptions!$B$46*Assumptions!$B$30*Assumptions!$B$74</f>
        <v/>
      </c>
      <c r="Y245" s="41">
        <f>Y243*Assumptions!$B$138*Assumptions!$B$46*Assumptions!$B$30*Assumptions!$B$74</f>
        <v/>
      </c>
      <c r="Z245" s="41">
        <f>Z243*Assumptions!$B$138*Assumptions!$B$46*Assumptions!$B$30*Assumptions!$B$74</f>
        <v/>
      </c>
      <c r="AA245" s="41">
        <f>AA243*Assumptions!$B$138*Assumptions!$B$46*Assumptions!$B$30*Assumptions!$B$74</f>
        <v/>
      </c>
      <c r="AB245" s="41">
        <f>AB243*Assumptions!$B$138*Assumptions!$B$46*Assumptions!$B$30*Assumptions!$B$74</f>
        <v/>
      </c>
      <c r="AC245" s="41">
        <f>AC243*Assumptions!$B$138*Assumptions!$B$46*Assumptions!$B$30*Assumptions!$B$74</f>
        <v/>
      </c>
      <c r="AD245" s="41">
        <f>AD243*Assumptions!$B$138*Assumptions!$B$46*Assumptions!$B$30*Assumptions!$B$74</f>
        <v/>
      </c>
      <c r="AE245" s="41">
        <f>AE243*Assumptions!$B$138*Assumptions!$B$46*Assumptions!$B$30*Assumptions!$B$74</f>
        <v/>
      </c>
      <c r="AF245" s="41">
        <f>AF243*Assumptions!$B$138*Assumptions!$B$46*Assumptions!$B$30*Assumptions!$B$74</f>
        <v/>
      </c>
      <c r="AG245" s="41">
        <f>AG243*Assumptions!$B$138*Assumptions!$B$46*Assumptions!$B$30*Assumptions!$B$74</f>
        <v/>
      </c>
      <c r="AH245" s="41">
        <f>AH243*Assumptions!$B$138*Assumptions!$B$46*Assumptions!$B$30*Assumptions!$B$74</f>
        <v/>
      </c>
      <c r="AI245" s="41">
        <f>AI243*Assumptions!$B$138*Assumptions!$B$46*Assumptions!$B$30*Assumptions!$B$74</f>
        <v/>
      </c>
      <c r="AJ245" s="41">
        <f>AJ243*Assumptions!$B$138*Assumptions!$B$46*Assumptions!$B$30*Assumptions!$B$74</f>
        <v/>
      </c>
      <c r="AK245" s="41">
        <f>AK243*Assumptions!$B$138*Assumptions!$B$46*Assumptions!$B$30*Assumptions!$B$74</f>
        <v/>
      </c>
      <c r="AL245" s="41">
        <f>AL243*Assumptions!$B$138*Assumptions!$B$46*Assumptions!$B$30*Assumptions!$B$74</f>
        <v/>
      </c>
      <c r="AM245" s="41">
        <f>AM243*Assumptions!$B$138*Assumptions!$B$46*Assumptions!$B$30*Assumptions!$B$74</f>
        <v/>
      </c>
      <c r="AN245" s="41">
        <f>AN243*Assumptions!$B$138*Assumptions!$B$46*Assumptions!$B$30*Assumptions!$B$74</f>
        <v/>
      </c>
      <c r="AO245" s="41">
        <f>AO243*Assumptions!$B$138*Assumptions!$B$46*Assumptions!$B$30*Assumptions!$B$74</f>
        <v/>
      </c>
      <c r="AP245" s="41">
        <f>AP243*Assumptions!$B$138*Assumptions!$B$46*Assumptions!$B$30*Assumptions!$B$74</f>
        <v/>
      </c>
      <c r="AQ245" s="41">
        <f>AQ243*Assumptions!$B$138*Assumptions!$B$46*Assumptions!$B$30*Assumptions!$B$74</f>
        <v/>
      </c>
      <c r="AR245" s="41">
        <f>AR243*Assumptions!$B$138*Assumptions!$B$46*Assumptions!$B$30*Assumptions!$B$74</f>
        <v/>
      </c>
      <c r="AS245" s="41">
        <f>AS243*Assumptions!$B$138*Assumptions!$B$46*Assumptions!$B$30*Assumptions!$B$74</f>
        <v/>
      </c>
      <c r="AT245" s="41">
        <f>AT243*Assumptions!$B$138*Assumptions!$B$46*Assumptions!$B$30*Assumptions!$B$74</f>
        <v/>
      </c>
      <c r="AU245" s="41">
        <f>AU243*Assumptions!$B$138*Assumptions!$B$46*Assumptions!$B$30*Assumptions!$B$74</f>
        <v/>
      </c>
      <c r="AV245" s="41">
        <f>AV243*Assumptions!$B$138*Assumptions!$B$46*Assumptions!$B$30*Assumptions!$B$74</f>
        <v/>
      </c>
      <c r="AW245" s="41">
        <f>AW243*Assumptions!$B$138*Assumptions!$B$46*Assumptions!$B$30*Assumptions!$B$74</f>
        <v/>
      </c>
      <c r="AX245" s="41">
        <f>AX243*Assumptions!$B$138*Assumptions!$B$46*Assumptions!$B$30*Assumptions!$B$74</f>
        <v/>
      </c>
      <c r="AY245" s="41">
        <f>AY243*Assumptions!$B$138*Assumptions!$B$46*Assumptions!$B$30*Assumptions!$B$74</f>
        <v/>
      </c>
      <c r="AZ245" s="41">
        <f>AZ243*Assumptions!$B$138*Assumptions!$B$46*Assumptions!$B$30*Assumptions!$B$74</f>
        <v/>
      </c>
      <c r="BA245" s="41">
        <f>BA243*Assumptions!$B$138*Assumptions!$B$46*Assumptions!$B$30*Assumptions!$B$74</f>
        <v/>
      </c>
      <c r="BB245" s="41">
        <f>BB243*Assumptions!$B$138*Assumptions!$B$46*Assumptions!$B$30*Assumptions!$B$74</f>
        <v/>
      </c>
      <c r="BC245" s="41">
        <f>BC243*Assumptions!$B$138*Assumptions!$B$46*Assumptions!$B$30*Assumptions!$B$74</f>
        <v/>
      </c>
      <c r="BD245" s="41">
        <f>BD243*Assumptions!$B$138*Assumptions!$B$46*Assumptions!$B$30*Assumptions!$B$74</f>
        <v/>
      </c>
      <c r="BE245" s="41">
        <f>BE243*Assumptions!$B$138*Assumptions!$B$46*Assumptions!$B$30*Assumptions!$B$74</f>
        <v/>
      </c>
      <c r="BF245" s="41">
        <f>BF243*Assumptions!$B$138*Assumptions!$B$46*Assumptions!$B$30*Assumptions!$B$74</f>
        <v/>
      </c>
      <c r="BG245" s="41">
        <f>BG243*Assumptions!$B$138*Assumptions!$B$46*Assumptions!$B$30*Assumptions!$B$74</f>
        <v/>
      </c>
      <c r="BH245" s="41">
        <f>BH243*Assumptions!$B$138*Assumptions!$B$46*Assumptions!$B$30*Assumptions!$B$74</f>
        <v/>
      </c>
      <c r="BI245" s="41">
        <f>BI243*Assumptions!$B$138*Assumptions!$B$46*Assumptions!$B$30*Assumptions!$B$74</f>
        <v/>
      </c>
      <c r="BJ245" s="41">
        <f>BJ243*Assumptions!$B$138*Assumptions!$B$46*Assumptions!$B$30*Assumptions!$B$74</f>
        <v/>
      </c>
    </row>
    <row r="246">
      <c r="A246" s="4" t="inlineStr">
        <is>
          <t>Kenya: Solo: Micro (direct or upgraded): upgraded out</t>
        </is>
      </c>
      <c r="B246" s="17" t="inlineStr">
        <is>
          <t>workspaces</t>
        </is>
      </c>
      <c r="C246" s="41">
        <f>C243*Assumptions!$B$131</f>
        <v/>
      </c>
      <c r="D246" s="41">
        <f>D243*Assumptions!$B$131</f>
        <v/>
      </c>
      <c r="E246" s="41">
        <f>E243*Assumptions!$B$131</f>
        <v/>
      </c>
      <c r="F246" s="41">
        <f>F243*Assumptions!$B$131</f>
        <v/>
      </c>
      <c r="G246" s="41">
        <f>G243*Assumptions!$B$131</f>
        <v/>
      </c>
      <c r="H246" s="41">
        <f>H243*Assumptions!$B$131</f>
        <v/>
      </c>
      <c r="I246" s="41">
        <f>I243*Assumptions!$B$131</f>
        <v/>
      </c>
      <c r="J246" s="41">
        <f>J243*Assumptions!$B$131</f>
        <v/>
      </c>
      <c r="K246" s="41">
        <f>K243*Assumptions!$B$131</f>
        <v/>
      </c>
      <c r="L246" s="41">
        <f>L243*Assumptions!$B$131</f>
        <v/>
      </c>
      <c r="M246" s="41">
        <f>M243*Assumptions!$B$131</f>
        <v/>
      </c>
      <c r="N246" s="41">
        <f>N243*Assumptions!$B$131</f>
        <v/>
      </c>
      <c r="O246" s="41">
        <f>O243*Assumptions!$B$131</f>
        <v/>
      </c>
      <c r="P246" s="41">
        <f>P243*Assumptions!$B$131</f>
        <v/>
      </c>
      <c r="Q246" s="41">
        <f>Q243*Assumptions!$B$131</f>
        <v/>
      </c>
      <c r="R246" s="41">
        <f>R243*Assumptions!$B$131</f>
        <v/>
      </c>
      <c r="S246" s="41">
        <f>S243*Assumptions!$B$131</f>
        <v/>
      </c>
      <c r="T246" s="41">
        <f>T243*Assumptions!$B$131</f>
        <v/>
      </c>
      <c r="U246" s="41">
        <f>U243*Assumptions!$B$131</f>
        <v/>
      </c>
      <c r="V246" s="41">
        <f>V243*Assumptions!$B$131</f>
        <v/>
      </c>
      <c r="W246" s="41">
        <f>W243*Assumptions!$B$131</f>
        <v/>
      </c>
      <c r="X246" s="41">
        <f>X243*Assumptions!$B$131</f>
        <v/>
      </c>
      <c r="Y246" s="41">
        <f>Y243*Assumptions!$B$131</f>
        <v/>
      </c>
      <c r="Z246" s="41">
        <f>Z243*Assumptions!$B$131</f>
        <v/>
      </c>
      <c r="AA246" s="41">
        <f>AA243*Assumptions!$B$131</f>
        <v/>
      </c>
      <c r="AB246" s="41">
        <f>AB243*Assumptions!$B$131</f>
        <v/>
      </c>
      <c r="AC246" s="41">
        <f>AC243*Assumptions!$B$131</f>
        <v/>
      </c>
      <c r="AD246" s="41">
        <f>AD243*Assumptions!$B$131</f>
        <v/>
      </c>
      <c r="AE246" s="41">
        <f>AE243*Assumptions!$B$131</f>
        <v/>
      </c>
      <c r="AF246" s="41">
        <f>AF243*Assumptions!$B$131</f>
        <v/>
      </c>
      <c r="AG246" s="41">
        <f>AG243*Assumptions!$B$131</f>
        <v/>
      </c>
      <c r="AH246" s="41">
        <f>AH243*Assumptions!$B$131</f>
        <v/>
      </c>
      <c r="AI246" s="41">
        <f>AI243*Assumptions!$B$131</f>
        <v/>
      </c>
      <c r="AJ246" s="41">
        <f>AJ243*Assumptions!$B$131</f>
        <v/>
      </c>
      <c r="AK246" s="41">
        <f>AK243*Assumptions!$B$131</f>
        <v/>
      </c>
      <c r="AL246" s="41">
        <f>AL243*Assumptions!$B$131</f>
        <v/>
      </c>
      <c r="AM246" s="41">
        <f>AM243*Assumptions!$B$131</f>
        <v/>
      </c>
      <c r="AN246" s="41">
        <f>AN243*Assumptions!$B$131</f>
        <v/>
      </c>
      <c r="AO246" s="41">
        <f>AO243*Assumptions!$B$131</f>
        <v/>
      </c>
      <c r="AP246" s="41">
        <f>AP243*Assumptions!$B$131</f>
        <v/>
      </c>
      <c r="AQ246" s="41">
        <f>AQ243*Assumptions!$B$131</f>
        <v/>
      </c>
      <c r="AR246" s="41">
        <f>AR243*Assumptions!$B$131</f>
        <v/>
      </c>
      <c r="AS246" s="41">
        <f>AS243*Assumptions!$B$131</f>
        <v/>
      </c>
      <c r="AT246" s="41">
        <f>AT243*Assumptions!$B$131</f>
        <v/>
      </c>
      <c r="AU246" s="41">
        <f>AU243*Assumptions!$B$131</f>
        <v/>
      </c>
      <c r="AV246" s="41">
        <f>AV243*Assumptions!$B$131</f>
        <v/>
      </c>
      <c r="AW246" s="41">
        <f>AW243*Assumptions!$B$131</f>
        <v/>
      </c>
      <c r="AX246" s="41">
        <f>AX243*Assumptions!$B$131</f>
        <v/>
      </c>
      <c r="AY246" s="41">
        <f>AY243*Assumptions!$B$131</f>
        <v/>
      </c>
      <c r="AZ246" s="41">
        <f>AZ243*Assumptions!$B$131</f>
        <v/>
      </c>
      <c r="BA246" s="41">
        <f>BA243*Assumptions!$B$131</f>
        <v/>
      </c>
      <c r="BB246" s="41">
        <f>BB243*Assumptions!$B$131</f>
        <v/>
      </c>
      <c r="BC246" s="41">
        <f>BC243*Assumptions!$B$131</f>
        <v/>
      </c>
      <c r="BD246" s="41">
        <f>BD243*Assumptions!$B$131</f>
        <v/>
      </c>
      <c r="BE246" s="41">
        <f>BE243*Assumptions!$B$131</f>
        <v/>
      </c>
      <c r="BF246" s="41">
        <f>BF243*Assumptions!$B$131</f>
        <v/>
      </c>
      <c r="BG246" s="41">
        <f>BG243*Assumptions!$B$131</f>
        <v/>
      </c>
      <c r="BH246" s="41">
        <f>BH243*Assumptions!$B$131</f>
        <v/>
      </c>
      <c r="BI246" s="41">
        <f>BI243*Assumptions!$B$131</f>
        <v/>
      </c>
      <c r="BJ246" s="41">
        <f>BJ243*Assumptions!$B$131</f>
        <v/>
      </c>
    </row>
    <row r="247">
      <c r="A247" s="3" t="inlineStr">
        <is>
          <t>Kenya: Solo: Micro (direct or upgraded): closing</t>
        </is>
      </c>
      <c r="B247" s="17" t="inlineStr">
        <is>
          <t>workspaces</t>
        </is>
      </c>
      <c r="C247" s="44">
        <f>C243+C244-C245-C246</f>
        <v/>
      </c>
      <c r="D247" s="44">
        <f>D243+D244-D245-D246</f>
        <v/>
      </c>
      <c r="E247" s="44">
        <f>E243+E244-E245-E246</f>
        <v/>
      </c>
      <c r="F247" s="44">
        <f>F243+F244-F245-F246</f>
        <v/>
      </c>
      <c r="G247" s="44">
        <f>G243+G244-G245-G246</f>
        <v/>
      </c>
      <c r="H247" s="44">
        <f>H243+H244-H245-H246</f>
        <v/>
      </c>
      <c r="I247" s="44">
        <f>I243+I244-I245-I246</f>
        <v/>
      </c>
      <c r="J247" s="44">
        <f>J243+J244-J245-J246</f>
        <v/>
      </c>
      <c r="K247" s="44">
        <f>K243+K244-K245-K246</f>
        <v/>
      </c>
      <c r="L247" s="44">
        <f>L243+L244-L245-L246</f>
        <v/>
      </c>
      <c r="M247" s="44">
        <f>M243+M244-M245-M246</f>
        <v/>
      </c>
      <c r="N247" s="44">
        <f>N243+N244-N245-N246</f>
        <v/>
      </c>
      <c r="O247" s="44">
        <f>O243+O244-O245-O246</f>
        <v/>
      </c>
      <c r="P247" s="44">
        <f>P243+P244-P245-P246</f>
        <v/>
      </c>
      <c r="Q247" s="44">
        <f>Q243+Q244-Q245-Q246</f>
        <v/>
      </c>
      <c r="R247" s="44">
        <f>R243+R244-R245-R246</f>
        <v/>
      </c>
      <c r="S247" s="44">
        <f>S243+S244-S245-S246</f>
        <v/>
      </c>
      <c r="T247" s="44">
        <f>T243+T244-T245-T246</f>
        <v/>
      </c>
      <c r="U247" s="44">
        <f>U243+U244-U245-U246</f>
        <v/>
      </c>
      <c r="V247" s="44">
        <f>V243+V244-V245-V246</f>
        <v/>
      </c>
      <c r="W247" s="44">
        <f>W243+W244-W245-W246</f>
        <v/>
      </c>
      <c r="X247" s="44">
        <f>X243+X244-X245-X246</f>
        <v/>
      </c>
      <c r="Y247" s="44">
        <f>Y243+Y244-Y245-Y246</f>
        <v/>
      </c>
      <c r="Z247" s="44">
        <f>Z243+Z244-Z245-Z246</f>
        <v/>
      </c>
      <c r="AA247" s="44">
        <f>AA243+AA244-AA245-AA246</f>
        <v/>
      </c>
      <c r="AB247" s="44">
        <f>AB243+AB244-AB245-AB246</f>
        <v/>
      </c>
      <c r="AC247" s="44">
        <f>AC243+AC244-AC245-AC246</f>
        <v/>
      </c>
      <c r="AD247" s="44">
        <f>AD243+AD244-AD245-AD246</f>
        <v/>
      </c>
      <c r="AE247" s="44">
        <f>AE243+AE244-AE245-AE246</f>
        <v/>
      </c>
      <c r="AF247" s="44">
        <f>AF243+AF244-AF245-AF246</f>
        <v/>
      </c>
      <c r="AG247" s="44">
        <f>AG243+AG244-AG245-AG246</f>
        <v/>
      </c>
      <c r="AH247" s="44">
        <f>AH243+AH244-AH245-AH246</f>
        <v/>
      </c>
      <c r="AI247" s="44">
        <f>AI243+AI244-AI245-AI246</f>
        <v/>
      </c>
      <c r="AJ247" s="44">
        <f>AJ243+AJ244-AJ245-AJ246</f>
        <v/>
      </c>
      <c r="AK247" s="44">
        <f>AK243+AK244-AK245-AK246</f>
        <v/>
      </c>
      <c r="AL247" s="44">
        <f>AL243+AL244-AL245-AL246</f>
        <v/>
      </c>
      <c r="AM247" s="44">
        <f>AM243+AM244-AM245-AM246</f>
        <v/>
      </c>
      <c r="AN247" s="44">
        <f>AN243+AN244-AN245-AN246</f>
        <v/>
      </c>
      <c r="AO247" s="44">
        <f>AO243+AO244-AO245-AO246</f>
        <v/>
      </c>
      <c r="AP247" s="44">
        <f>AP243+AP244-AP245-AP246</f>
        <v/>
      </c>
      <c r="AQ247" s="44">
        <f>AQ243+AQ244-AQ245-AQ246</f>
        <v/>
      </c>
      <c r="AR247" s="44">
        <f>AR243+AR244-AR245-AR246</f>
        <v/>
      </c>
      <c r="AS247" s="44">
        <f>AS243+AS244-AS245-AS246</f>
        <v/>
      </c>
      <c r="AT247" s="44">
        <f>AT243+AT244-AT245-AT246</f>
        <v/>
      </c>
      <c r="AU247" s="44">
        <f>AU243+AU244-AU245-AU246</f>
        <v/>
      </c>
      <c r="AV247" s="44">
        <f>AV243+AV244-AV245-AV246</f>
        <v/>
      </c>
      <c r="AW247" s="44">
        <f>AW243+AW244-AW245-AW246</f>
        <v/>
      </c>
      <c r="AX247" s="44">
        <f>AX243+AX244-AX245-AX246</f>
        <v/>
      </c>
      <c r="AY247" s="44">
        <f>AY243+AY244-AY245-AY246</f>
        <v/>
      </c>
      <c r="AZ247" s="44">
        <f>AZ243+AZ244-AZ245-AZ246</f>
        <v/>
      </c>
      <c r="BA247" s="44">
        <f>BA243+BA244-BA245-BA246</f>
        <v/>
      </c>
      <c r="BB247" s="44">
        <f>BB243+BB244-BB245-BB246</f>
        <v/>
      </c>
      <c r="BC247" s="44">
        <f>BC243+BC244-BC245-BC246</f>
        <v/>
      </c>
      <c r="BD247" s="44">
        <f>BD243+BD244-BD245-BD246</f>
        <v/>
      </c>
      <c r="BE247" s="44">
        <f>BE243+BE244-BE245-BE246</f>
        <v/>
      </c>
      <c r="BF247" s="44">
        <f>BF243+BF244-BF245-BF246</f>
        <v/>
      </c>
      <c r="BG247" s="44">
        <f>BG243+BG244-BG245-BG246</f>
        <v/>
      </c>
      <c r="BH247" s="44">
        <f>BH243+BH244-BH245-BH246</f>
        <v/>
      </c>
      <c r="BI247" s="44">
        <f>BI243+BI244-BI245-BI246</f>
        <v/>
      </c>
      <c r="BJ247" s="44">
        <f>BJ243+BJ244-BJ245-BJ246</f>
        <v/>
      </c>
    </row>
    <row r="248">
      <c r="A248" s="4" t="inlineStr">
        <is>
          <t>Kenya: Solo: Starter (direct or upgraded): opening</t>
        </is>
      </c>
      <c r="B248" s="17" t="inlineStr">
        <is>
          <t>workspaces</t>
        </is>
      </c>
      <c r="C248" s="41">
        <f>0</f>
        <v/>
      </c>
      <c r="D248" s="41">
        <f>C251</f>
        <v/>
      </c>
      <c r="E248" s="41">
        <f>D251</f>
        <v/>
      </c>
      <c r="F248" s="41">
        <f>E251</f>
        <v/>
      </c>
      <c r="G248" s="41">
        <f>F251</f>
        <v/>
      </c>
      <c r="H248" s="41">
        <f>G251</f>
        <v/>
      </c>
      <c r="I248" s="41">
        <f>H251</f>
        <v/>
      </c>
      <c r="J248" s="41">
        <f>I251</f>
        <v/>
      </c>
      <c r="K248" s="41">
        <f>J251</f>
        <v/>
      </c>
      <c r="L248" s="41">
        <f>K251</f>
        <v/>
      </c>
      <c r="M248" s="41">
        <f>L251</f>
        <v/>
      </c>
      <c r="N248" s="41">
        <f>M251</f>
        <v/>
      </c>
      <c r="O248" s="41">
        <f>N251</f>
        <v/>
      </c>
      <c r="P248" s="41">
        <f>O251</f>
        <v/>
      </c>
      <c r="Q248" s="41">
        <f>P251</f>
        <v/>
      </c>
      <c r="R248" s="41">
        <f>Q251</f>
        <v/>
      </c>
      <c r="S248" s="41">
        <f>R251</f>
        <v/>
      </c>
      <c r="T248" s="41">
        <f>S251</f>
        <v/>
      </c>
      <c r="U248" s="41">
        <f>T251</f>
        <v/>
      </c>
      <c r="V248" s="41">
        <f>U251</f>
        <v/>
      </c>
      <c r="W248" s="41">
        <f>V251</f>
        <v/>
      </c>
      <c r="X248" s="41">
        <f>W251</f>
        <v/>
      </c>
      <c r="Y248" s="41">
        <f>X251</f>
        <v/>
      </c>
      <c r="Z248" s="41">
        <f>Y251</f>
        <v/>
      </c>
      <c r="AA248" s="41">
        <f>Z251</f>
        <v/>
      </c>
      <c r="AB248" s="41">
        <f>AA251</f>
        <v/>
      </c>
      <c r="AC248" s="41">
        <f>AB251</f>
        <v/>
      </c>
      <c r="AD248" s="41">
        <f>AC251</f>
        <v/>
      </c>
      <c r="AE248" s="41">
        <f>AD251</f>
        <v/>
      </c>
      <c r="AF248" s="41">
        <f>AE251</f>
        <v/>
      </c>
      <c r="AG248" s="41">
        <f>AF251</f>
        <v/>
      </c>
      <c r="AH248" s="41">
        <f>AG251</f>
        <v/>
      </c>
      <c r="AI248" s="41">
        <f>AH251</f>
        <v/>
      </c>
      <c r="AJ248" s="41">
        <f>AI251</f>
        <v/>
      </c>
      <c r="AK248" s="41">
        <f>AJ251</f>
        <v/>
      </c>
      <c r="AL248" s="41">
        <f>AK251</f>
        <v/>
      </c>
      <c r="AM248" s="41">
        <f>AL251</f>
        <v/>
      </c>
      <c r="AN248" s="41">
        <f>AM251</f>
        <v/>
      </c>
      <c r="AO248" s="41">
        <f>AN251</f>
        <v/>
      </c>
      <c r="AP248" s="41">
        <f>AO251</f>
        <v/>
      </c>
      <c r="AQ248" s="41">
        <f>AP251</f>
        <v/>
      </c>
      <c r="AR248" s="41">
        <f>AQ251</f>
        <v/>
      </c>
      <c r="AS248" s="41">
        <f>AR251</f>
        <v/>
      </c>
      <c r="AT248" s="41">
        <f>AS251</f>
        <v/>
      </c>
      <c r="AU248" s="41">
        <f>AT251</f>
        <v/>
      </c>
      <c r="AV248" s="41">
        <f>AU251</f>
        <v/>
      </c>
      <c r="AW248" s="41">
        <f>AV251</f>
        <v/>
      </c>
      <c r="AX248" s="41">
        <f>AW251</f>
        <v/>
      </c>
      <c r="AY248" s="41">
        <f>AX251</f>
        <v/>
      </c>
      <c r="AZ248" s="41">
        <f>AY251</f>
        <v/>
      </c>
      <c r="BA248" s="41">
        <f>AZ251</f>
        <v/>
      </c>
      <c r="BB248" s="41">
        <f>BA251</f>
        <v/>
      </c>
      <c r="BC248" s="41">
        <f>BB251</f>
        <v/>
      </c>
      <c r="BD248" s="41">
        <f>BC251</f>
        <v/>
      </c>
      <c r="BE248" s="41">
        <f>BD251</f>
        <v/>
      </c>
      <c r="BF248" s="41">
        <f>BE251</f>
        <v/>
      </c>
      <c r="BG248" s="41">
        <f>BF251</f>
        <v/>
      </c>
      <c r="BH248" s="41">
        <f>BG251</f>
        <v/>
      </c>
      <c r="BI248" s="41">
        <f>BH251</f>
        <v/>
      </c>
      <c r="BJ248" s="41">
        <f>BI251</f>
        <v/>
      </c>
    </row>
    <row r="249">
      <c r="A249" s="4" t="inlineStr">
        <is>
          <t>Kenya: Solo: Starter (direct or upgraded): new</t>
        </is>
      </c>
      <c r="B249" s="17" t="inlineStr">
        <is>
          <t>workspaces</t>
        </is>
      </c>
      <c r="C249" s="41">
        <f>C150*Assumptions!$B$126+C246</f>
        <v/>
      </c>
      <c r="D249" s="41">
        <f>D150*Assumptions!$B$126+D246</f>
        <v/>
      </c>
      <c r="E249" s="41">
        <f>E150*Assumptions!$B$126+E246</f>
        <v/>
      </c>
      <c r="F249" s="41">
        <f>F150*Assumptions!$B$126+F246</f>
        <v/>
      </c>
      <c r="G249" s="41">
        <f>G150*Assumptions!$B$126+G246</f>
        <v/>
      </c>
      <c r="H249" s="41">
        <f>H150*Assumptions!$B$126+H246</f>
        <v/>
      </c>
      <c r="I249" s="41">
        <f>I150*Assumptions!$B$126+I246</f>
        <v/>
      </c>
      <c r="J249" s="41">
        <f>J150*Assumptions!$B$126+J246</f>
        <v/>
      </c>
      <c r="K249" s="41">
        <f>K150*Assumptions!$B$126+K246</f>
        <v/>
      </c>
      <c r="L249" s="41">
        <f>L150*Assumptions!$B$126+L246</f>
        <v/>
      </c>
      <c r="M249" s="41">
        <f>M150*Assumptions!$B$126+M246</f>
        <v/>
      </c>
      <c r="N249" s="41">
        <f>N150*Assumptions!$B$126+N246</f>
        <v/>
      </c>
      <c r="O249" s="41">
        <f>O150*Assumptions!$B$126+O246</f>
        <v/>
      </c>
      <c r="P249" s="41">
        <f>P150*Assumptions!$B$126+P246</f>
        <v/>
      </c>
      <c r="Q249" s="41">
        <f>Q150*Assumptions!$B$126+Q246</f>
        <v/>
      </c>
      <c r="R249" s="41">
        <f>R150*Assumptions!$B$126+R246</f>
        <v/>
      </c>
      <c r="S249" s="41">
        <f>S150*Assumptions!$B$126+S246</f>
        <v/>
      </c>
      <c r="T249" s="41">
        <f>T150*Assumptions!$B$126+T246</f>
        <v/>
      </c>
      <c r="U249" s="41">
        <f>U150*Assumptions!$B$126+U246</f>
        <v/>
      </c>
      <c r="V249" s="41">
        <f>V150*Assumptions!$B$126+V246</f>
        <v/>
      </c>
      <c r="W249" s="41">
        <f>W150*Assumptions!$B$126+W246</f>
        <v/>
      </c>
      <c r="X249" s="41">
        <f>X150*Assumptions!$B$126+X246</f>
        <v/>
      </c>
      <c r="Y249" s="41">
        <f>Y150*Assumptions!$B$126+Y246</f>
        <v/>
      </c>
      <c r="Z249" s="41">
        <f>Z150*Assumptions!$B$126+Z246</f>
        <v/>
      </c>
      <c r="AA249" s="41">
        <f>AA150*Assumptions!$B$126+AA246</f>
        <v/>
      </c>
      <c r="AB249" s="41">
        <f>AB150*Assumptions!$B$126+AB246</f>
        <v/>
      </c>
      <c r="AC249" s="41">
        <f>AC150*Assumptions!$B$126+AC246</f>
        <v/>
      </c>
      <c r="AD249" s="41">
        <f>AD150*Assumptions!$B$126+AD246</f>
        <v/>
      </c>
      <c r="AE249" s="41">
        <f>AE150*Assumptions!$B$126+AE246</f>
        <v/>
      </c>
      <c r="AF249" s="41">
        <f>AF150*Assumptions!$B$126+AF246</f>
        <v/>
      </c>
      <c r="AG249" s="41">
        <f>AG150*Assumptions!$B$126+AG246</f>
        <v/>
      </c>
      <c r="AH249" s="41">
        <f>AH150*Assumptions!$B$126+AH246</f>
        <v/>
      </c>
      <c r="AI249" s="41">
        <f>AI150*Assumptions!$B$126+AI246</f>
        <v/>
      </c>
      <c r="AJ249" s="41">
        <f>AJ150*Assumptions!$B$126+AJ246</f>
        <v/>
      </c>
      <c r="AK249" s="41">
        <f>AK150*Assumptions!$B$126+AK246</f>
        <v/>
      </c>
      <c r="AL249" s="41">
        <f>AL150*Assumptions!$B$126+AL246</f>
        <v/>
      </c>
      <c r="AM249" s="41">
        <f>AM150*Assumptions!$B$126+AM246</f>
        <v/>
      </c>
      <c r="AN249" s="41">
        <f>AN150*Assumptions!$B$126+AN246</f>
        <v/>
      </c>
      <c r="AO249" s="41">
        <f>AO150*Assumptions!$B$126+AO246</f>
        <v/>
      </c>
      <c r="AP249" s="41">
        <f>AP150*Assumptions!$B$126+AP246</f>
        <v/>
      </c>
      <c r="AQ249" s="41">
        <f>AQ150*Assumptions!$B$126+AQ246</f>
        <v/>
      </c>
      <c r="AR249" s="41">
        <f>AR150*Assumptions!$B$126+AR246</f>
        <v/>
      </c>
      <c r="AS249" s="41">
        <f>AS150*Assumptions!$B$126+AS246</f>
        <v/>
      </c>
      <c r="AT249" s="41">
        <f>AT150*Assumptions!$B$126+AT246</f>
        <v/>
      </c>
      <c r="AU249" s="41">
        <f>AU150*Assumptions!$B$126+AU246</f>
        <v/>
      </c>
      <c r="AV249" s="41">
        <f>AV150*Assumptions!$B$126+AV246</f>
        <v/>
      </c>
      <c r="AW249" s="41">
        <f>AW150*Assumptions!$B$126+AW246</f>
        <v/>
      </c>
      <c r="AX249" s="41">
        <f>AX150*Assumptions!$B$126+AX246</f>
        <v/>
      </c>
      <c r="AY249" s="41">
        <f>AY150*Assumptions!$B$126+AY246</f>
        <v/>
      </c>
      <c r="AZ249" s="41">
        <f>AZ150*Assumptions!$B$126+AZ246</f>
        <v/>
      </c>
      <c r="BA249" s="41">
        <f>BA150*Assumptions!$B$126+BA246</f>
        <v/>
      </c>
      <c r="BB249" s="41">
        <f>BB150*Assumptions!$B$126+BB246</f>
        <v/>
      </c>
      <c r="BC249" s="41">
        <f>BC150*Assumptions!$B$126+BC246</f>
        <v/>
      </c>
      <c r="BD249" s="41">
        <f>BD150*Assumptions!$B$126+BD246</f>
        <v/>
      </c>
      <c r="BE249" s="41">
        <f>BE150*Assumptions!$B$126+BE246</f>
        <v/>
      </c>
      <c r="BF249" s="41">
        <f>BF150*Assumptions!$B$126+BF246</f>
        <v/>
      </c>
      <c r="BG249" s="41">
        <f>BG150*Assumptions!$B$126+BG246</f>
        <v/>
      </c>
      <c r="BH249" s="41">
        <f>BH150*Assumptions!$B$126+BH246</f>
        <v/>
      </c>
      <c r="BI249" s="41">
        <f>BI150*Assumptions!$B$126+BI246</f>
        <v/>
      </c>
      <c r="BJ249" s="41">
        <f>BJ150*Assumptions!$B$126+BJ246</f>
        <v/>
      </c>
    </row>
    <row r="250">
      <c r="A250" s="4" t="inlineStr">
        <is>
          <t>Kenya: Solo: Starter (direct or upgraded): churned</t>
        </is>
      </c>
      <c r="B250" s="17" t="inlineStr">
        <is>
          <t>workspaces</t>
        </is>
      </c>
      <c r="C250" s="41">
        <f>C248*Assumptions!$B$139*Assumptions!$B$46*Assumptions!$B$30*Assumptions!$B$74</f>
        <v/>
      </c>
      <c r="D250" s="41">
        <f>D248*Assumptions!$B$139*Assumptions!$B$46*Assumptions!$B$30*Assumptions!$B$74</f>
        <v/>
      </c>
      <c r="E250" s="41">
        <f>E248*Assumptions!$B$139*Assumptions!$B$46*Assumptions!$B$30*Assumptions!$B$74</f>
        <v/>
      </c>
      <c r="F250" s="41">
        <f>F248*Assumptions!$B$139*Assumptions!$B$46*Assumptions!$B$30*Assumptions!$B$74</f>
        <v/>
      </c>
      <c r="G250" s="41">
        <f>G248*Assumptions!$B$139*Assumptions!$B$46*Assumptions!$B$30*Assumptions!$B$74</f>
        <v/>
      </c>
      <c r="H250" s="41">
        <f>H248*Assumptions!$B$139*Assumptions!$B$46*Assumptions!$B$30*Assumptions!$B$74</f>
        <v/>
      </c>
      <c r="I250" s="41">
        <f>I248*Assumptions!$B$139*Assumptions!$B$46*Assumptions!$B$30*Assumptions!$B$74</f>
        <v/>
      </c>
      <c r="J250" s="41">
        <f>J248*Assumptions!$B$139*Assumptions!$B$46*Assumptions!$B$30*Assumptions!$B$74</f>
        <v/>
      </c>
      <c r="K250" s="41">
        <f>K248*Assumptions!$B$139*Assumptions!$B$46*Assumptions!$B$30*Assumptions!$B$74</f>
        <v/>
      </c>
      <c r="L250" s="41">
        <f>L248*Assumptions!$B$139*Assumptions!$B$46*Assumptions!$B$30*Assumptions!$B$74</f>
        <v/>
      </c>
      <c r="M250" s="41">
        <f>M248*Assumptions!$B$139*Assumptions!$B$46*Assumptions!$B$30*Assumptions!$B$74</f>
        <v/>
      </c>
      <c r="N250" s="41">
        <f>N248*Assumptions!$B$139*Assumptions!$B$46*Assumptions!$B$30*Assumptions!$B$74</f>
        <v/>
      </c>
      <c r="O250" s="41">
        <f>O248*Assumptions!$B$139*Assumptions!$B$46*Assumptions!$B$30*Assumptions!$B$74</f>
        <v/>
      </c>
      <c r="P250" s="41">
        <f>P248*Assumptions!$B$139*Assumptions!$B$46*Assumptions!$B$30*Assumptions!$B$74</f>
        <v/>
      </c>
      <c r="Q250" s="41">
        <f>Q248*Assumptions!$B$139*Assumptions!$B$46*Assumptions!$B$30*Assumptions!$B$74</f>
        <v/>
      </c>
      <c r="R250" s="41">
        <f>R248*Assumptions!$B$139*Assumptions!$B$46*Assumptions!$B$30*Assumptions!$B$74</f>
        <v/>
      </c>
      <c r="S250" s="41">
        <f>S248*Assumptions!$B$139*Assumptions!$B$46*Assumptions!$B$30*Assumptions!$B$74</f>
        <v/>
      </c>
      <c r="T250" s="41">
        <f>T248*Assumptions!$B$139*Assumptions!$B$46*Assumptions!$B$30*Assumptions!$B$74</f>
        <v/>
      </c>
      <c r="U250" s="41">
        <f>U248*Assumptions!$B$139*Assumptions!$B$46*Assumptions!$B$30*Assumptions!$B$74</f>
        <v/>
      </c>
      <c r="V250" s="41">
        <f>V248*Assumptions!$B$139*Assumptions!$B$46*Assumptions!$B$30*Assumptions!$B$74</f>
        <v/>
      </c>
      <c r="W250" s="41">
        <f>W248*Assumptions!$B$139*Assumptions!$B$46*Assumptions!$B$30*Assumptions!$B$74</f>
        <v/>
      </c>
      <c r="X250" s="41">
        <f>X248*Assumptions!$B$139*Assumptions!$B$46*Assumptions!$B$30*Assumptions!$B$74</f>
        <v/>
      </c>
      <c r="Y250" s="41">
        <f>Y248*Assumptions!$B$139*Assumptions!$B$46*Assumptions!$B$30*Assumptions!$B$74</f>
        <v/>
      </c>
      <c r="Z250" s="41">
        <f>Z248*Assumptions!$B$139*Assumptions!$B$46*Assumptions!$B$30*Assumptions!$B$74</f>
        <v/>
      </c>
      <c r="AA250" s="41">
        <f>AA248*Assumptions!$B$139*Assumptions!$B$46*Assumptions!$B$30*Assumptions!$B$74</f>
        <v/>
      </c>
      <c r="AB250" s="41">
        <f>AB248*Assumptions!$B$139*Assumptions!$B$46*Assumptions!$B$30*Assumptions!$B$74</f>
        <v/>
      </c>
      <c r="AC250" s="41">
        <f>AC248*Assumptions!$B$139*Assumptions!$B$46*Assumptions!$B$30*Assumptions!$B$74</f>
        <v/>
      </c>
      <c r="AD250" s="41">
        <f>AD248*Assumptions!$B$139*Assumptions!$B$46*Assumptions!$B$30*Assumptions!$B$74</f>
        <v/>
      </c>
      <c r="AE250" s="41">
        <f>AE248*Assumptions!$B$139*Assumptions!$B$46*Assumptions!$B$30*Assumptions!$B$74</f>
        <v/>
      </c>
      <c r="AF250" s="41">
        <f>AF248*Assumptions!$B$139*Assumptions!$B$46*Assumptions!$B$30*Assumptions!$B$74</f>
        <v/>
      </c>
      <c r="AG250" s="41">
        <f>AG248*Assumptions!$B$139*Assumptions!$B$46*Assumptions!$B$30*Assumptions!$B$74</f>
        <v/>
      </c>
      <c r="AH250" s="41">
        <f>AH248*Assumptions!$B$139*Assumptions!$B$46*Assumptions!$B$30*Assumptions!$B$74</f>
        <v/>
      </c>
      <c r="AI250" s="41">
        <f>AI248*Assumptions!$B$139*Assumptions!$B$46*Assumptions!$B$30*Assumptions!$B$74</f>
        <v/>
      </c>
      <c r="AJ250" s="41">
        <f>AJ248*Assumptions!$B$139*Assumptions!$B$46*Assumptions!$B$30*Assumptions!$B$74</f>
        <v/>
      </c>
      <c r="AK250" s="41">
        <f>AK248*Assumptions!$B$139*Assumptions!$B$46*Assumptions!$B$30*Assumptions!$B$74</f>
        <v/>
      </c>
      <c r="AL250" s="41">
        <f>AL248*Assumptions!$B$139*Assumptions!$B$46*Assumptions!$B$30*Assumptions!$B$74</f>
        <v/>
      </c>
      <c r="AM250" s="41">
        <f>AM248*Assumptions!$B$139*Assumptions!$B$46*Assumptions!$B$30*Assumptions!$B$74</f>
        <v/>
      </c>
      <c r="AN250" s="41">
        <f>AN248*Assumptions!$B$139*Assumptions!$B$46*Assumptions!$B$30*Assumptions!$B$74</f>
        <v/>
      </c>
      <c r="AO250" s="41">
        <f>AO248*Assumptions!$B$139*Assumptions!$B$46*Assumptions!$B$30*Assumptions!$B$74</f>
        <v/>
      </c>
      <c r="AP250" s="41">
        <f>AP248*Assumptions!$B$139*Assumptions!$B$46*Assumptions!$B$30*Assumptions!$B$74</f>
        <v/>
      </c>
      <c r="AQ250" s="41">
        <f>AQ248*Assumptions!$B$139*Assumptions!$B$46*Assumptions!$B$30*Assumptions!$B$74</f>
        <v/>
      </c>
      <c r="AR250" s="41">
        <f>AR248*Assumptions!$B$139*Assumptions!$B$46*Assumptions!$B$30*Assumptions!$B$74</f>
        <v/>
      </c>
      <c r="AS250" s="41">
        <f>AS248*Assumptions!$B$139*Assumptions!$B$46*Assumptions!$B$30*Assumptions!$B$74</f>
        <v/>
      </c>
      <c r="AT250" s="41">
        <f>AT248*Assumptions!$B$139*Assumptions!$B$46*Assumptions!$B$30*Assumptions!$B$74</f>
        <v/>
      </c>
      <c r="AU250" s="41">
        <f>AU248*Assumptions!$B$139*Assumptions!$B$46*Assumptions!$B$30*Assumptions!$B$74</f>
        <v/>
      </c>
      <c r="AV250" s="41">
        <f>AV248*Assumptions!$B$139*Assumptions!$B$46*Assumptions!$B$30*Assumptions!$B$74</f>
        <v/>
      </c>
      <c r="AW250" s="41">
        <f>AW248*Assumptions!$B$139*Assumptions!$B$46*Assumptions!$B$30*Assumptions!$B$74</f>
        <v/>
      </c>
      <c r="AX250" s="41">
        <f>AX248*Assumptions!$B$139*Assumptions!$B$46*Assumptions!$B$30*Assumptions!$B$74</f>
        <v/>
      </c>
      <c r="AY250" s="41">
        <f>AY248*Assumptions!$B$139*Assumptions!$B$46*Assumptions!$B$30*Assumptions!$B$74</f>
        <v/>
      </c>
      <c r="AZ250" s="41">
        <f>AZ248*Assumptions!$B$139*Assumptions!$B$46*Assumptions!$B$30*Assumptions!$B$74</f>
        <v/>
      </c>
      <c r="BA250" s="41">
        <f>BA248*Assumptions!$B$139*Assumptions!$B$46*Assumptions!$B$30*Assumptions!$B$74</f>
        <v/>
      </c>
      <c r="BB250" s="41">
        <f>BB248*Assumptions!$B$139*Assumptions!$B$46*Assumptions!$B$30*Assumptions!$B$74</f>
        <v/>
      </c>
      <c r="BC250" s="41">
        <f>BC248*Assumptions!$B$139*Assumptions!$B$46*Assumptions!$B$30*Assumptions!$B$74</f>
        <v/>
      </c>
      <c r="BD250" s="41">
        <f>BD248*Assumptions!$B$139*Assumptions!$B$46*Assumptions!$B$30*Assumptions!$B$74</f>
        <v/>
      </c>
      <c r="BE250" s="41">
        <f>BE248*Assumptions!$B$139*Assumptions!$B$46*Assumptions!$B$30*Assumptions!$B$74</f>
        <v/>
      </c>
      <c r="BF250" s="41">
        <f>BF248*Assumptions!$B$139*Assumptions!$B$46*Assumptions!$B$30*Assumptions!$B$74</f>
        <v/>
      </c>
      <c r="BG250" s="41">
        <f>BG248*Assumptions!$B$139*Assumptions!$B$46*Assumptions!$B$30*Assumptions!$B$74</f>
        <v/>
      </c>
      <c r="BH250" s="41">
        <f>BH248*Assumptions!$B$139*Assumptions!$B$46*Assumptions!$B$30*Assumptions!$B$74</f>
        <v/>
      </c>
      <c r="BI250" s="41">
        <f>BI248*Assumptions!$B$139*Assumptions!$B$46*Assumptions!$B$30*Assumptions!$B$74</f>
        <v/>
      </c>
      <c r="BJ250" s="41">
        <f>BJ248*Assumptions!$B$139*Assumptions!$B$46*Assumptions!$B$30*Assumptions!$B$74</f>
        <v/>
      </c>
    </row>
    <row r="251">
      <c r="A251" s="3" t="inlineStr">
        <is>
          <t>Kenya: Solo: Starter (direct or upgraded): closing</t>
        </is>
      </c>
      <c r="B251" s="17" t="inlineStr">
        <is>
          <t>workspaces</t>
        </is>
      </c>
      <c r="C251" s="44">
        <f>C248+C249-C250</f>
        <v/>
      </c>
      <c r="D251" s="44">
        <f>D248+D249-D250</f>
        <v/>
      </c>
      <c r="E251" s="44">
        <f>E248+E249-E250</f>
        <v/>
      </c>
      <c r="F251" s="44">
        <f>F248+F249-F250</f>
        <v/>
      </c>
      <c r="G251" s="44">
        <f>G248+G249-G250</f>
        <v/>
      </c>
      <c r="H251" s="44">
        <f>H248+H249-H250</f>
        <v/>
      </c>
      <c r="I251" s="44">
        <f>I248+I249-I250</f>
        <v/>
      </c>
      <c r="J251" s="44">
        <f>J248+J249-J250</f>
        <v/>
      </c>
      <c r="K251" s="44">
        <f>K248+K249-K250</f>
        <v/>
      </c>
      <c r="L251" s="44">
        <f>L248+L249-L250</f>
        <v/>
      </c>
      <c r="M251" s="44">
        <f>M248+M249-M250</f>
        <v/>
      </c>
      <c r="N251" s="44">
        <f>N248+N249-N250</f>
        <v/>
      </c>
      <c r="O251" s="44">
        <f>O248+O249-O250</f>
        <v/>
      </c>
      <c r="P251" s="44">
        <f>P248+P249-P250</f>
        <v/>
      </c>
      <c r="Q251" s="44">
        <f>Q248+Q249-Q250</f>
        <v/>
      </c>
      <c r="R251" s="44">
        <f>R248+R249-R250</f>
        <v/>
      </c>
      <c r="S251" s="44">
        <f>S248+S249-S250</f>
        <v/>
      </c>
      <c r="T251" s="44">
        <f>T248+T249-T250</f>
        <v/>
      </c>
      <c r="U251" s="44">
        <f>U248+U249-U250</f>
        <v/>
      </c>
      <c r="V251" s="44">
        <f>V248+V249-V250</f>
        <v/>
      </c>
      <c r="W251" s="44">
        <f>W248+W249-W250</f>
        <v/>
      </c>
      <c r="X251" s="44">
        <f>X248+X249-X250</f>
        <v/>
      </c>
      <c r="Y251" s="44">
        <f>Y248+Y249-Y250</f>
        <v/>
      </c>
      <c r="Z251" s="44">
        <f>Z248+Z249-Z250</f>
        <v/>
      </c>
      <c r="AA251" s="44">
        <f>AA248+AA249-AA250</f>
        <v/>
      </c>
      <c r="AB251" s="44">
        <f>AB248+AB249-AB250</f>
        <v/>
      </c>
      <c r="AC251" s="44">
        <f>AC248+AC249-AC250</f>
        <v/>
      </c>
      <c r="AD251" s="44">
        <f>AD248+AD249-AD250</f>
        <v/>
      </c>
      <c r="AE251" s="44">
        <f>AE248+AE249-AE250</f>
        <v/>
      </c>
      <c r="AF251" s="44">
        <f>AF248+AF249-AF250</f>
        <v/>
      </c>
      <c r="AG251" s="44">
        <f>AG248+AG249-AG250</f>
        <v/>
      </c>
      <c r="AH251" s="44">
        <f>AH248+AH249-AH250</f>
        <v/>
      </c>
      <c r="AI251" s="44">
        <f>AI248+AI249-AI250</f>
        <v/>
      </c>
      <c r="AJ251" s="44">
        <f>AJ248+AJ249-AJ250</f>
        <v/>
      </c>
      <c r="AK251" s="44">
        <f>AK248+AK249-AK250</f>
        <v/>
      </c>
      <c r="AL251" s="44">
        <f>AL248+AL249-AL250</f>
        <v/>
      </c>
      <c r="AM251" s="44">
        <f>AM248+AM249-AM250</f>
        <v/>
      </c>
      <c r="AN251" s="44">
        <f>AN248+AN249-AN250</f>
        <v/>
      </c>
      <c r="AO251" s="44">
        <f>AO248+AO249-AO250</f>
        <v/>
      </c>
      <c r="AP251" s="44">
        <f>AP248+AP249-AP250</f>
        <v/>
      </c>
      <c r="AQ251" s="44">
        <f>AQ248+AQ249-AQ250</f>
        <v/>
      </c>
      <c r="AR251" s="44">
        <f>AR248+AR249-AR250</f>
        <v/>
      </c>
      <c r="AS251" s="44">
        <f>AS248+AS249-AS250</f>
        <v/>
      </c>
      <c r="AT251" s="44">
        <f>AT248+AT249-AT250</f>
        <v/>
      </c>
      <c r="AU251" s="44">
        <f>AU248+AU249-AU250</f>
        <v/>
      </c>
      <c r="AV251" s="44">
        <f>AV248+AV249-AV250</f>
        <v/>
      </c>
      <c r="AW251" s="44">
        <f>AW248+AW249-AW250</f>
        <v/>
      </c>
      <c r="AX251" s="44">
        <f>AX248+AX249-AX250</f>
        <v/>
      </c>
      <c r="AY251" s="44">
        <f>AY248+AY249-AY250</f>
        <v/>
      </c>
      <c r="AZ251" s="44">
        <f>AZ248+AZ249-AZ250</f>
        <v/>
      </c>
      <c r="BA251" s="44">
        <f>BA248+BA249-BA250</f>
        <v/>
      </c>
      <c r="BB251" s="44">
        <f>BB248+BB249-BB250</f>
        <v/>
      </c>
      <c r="BC251" s="44">
        <f>BC248+BC249-BC250</f>
        <v/>
      </c>
      <c r="BD251" s="44">
        <f>BD248+BD249-BD250</f>
        <v/>
      </c>
      <c r="BE251" s="44">
        <f>BE248+BE249-BE250</f>
        <v/>
      </c>
      <c r="BF251" s="44">
        <f>BF248+BF249-BF250</f>
        <v/>
      </c>
      <c r="BG251" s="44">
        <f>BG248+BG249-BG250</f>
        <v/>
      </c>
      <c r="BH251" s="44">
        <f>BH248+BH249-BH250</f>
        <v/>
      </c>
      <c r="BI251" s="44">
        <f>BI248+BI249-BI250</f>
        <v/>
      </c>
      <c r="BJ251" s="44">
        <f>BJ248+BJ249-BJ250</f>
        <v/>
      </c>
    </row>
    <row r="252">
      <c r="A252" s="4" t="inlineStr">
        <is>
          <t>Kenya: SME: Starter: opening</t>
        </is>
      </c>
      <c r="B252" s="17" t="inlineStr">
        <is>
          <t>workspaces</t>
        </is>
      </c>
      <c r="C252" s="41">
        <f>0</f>
        <v/>
      </c>
      <c r="D252" s="41">
        <f>C256</f>
        <v/>
      </c>
      <c r="E252" s="41">
        <f>D256</f>
        <v/>
      </c>
      <c r="F252" s="41">
        <f>E256</f>
        <v/>
      </c>
      <c r="G252" s="41">
        <f>F256</f>
        <v/>
      </c>
      <c r="H252" s="41">
        <f>G256</f>
        <v/>
      </c>
      <c r="I252" s="41">
        <f>H256</f>
        <v/>
      </c>
      <c r="J252" s="41">
        <f>I256</f>
        <v/>
      </c>
      <c r="K252" s="41">
        <f>J256</f>
        <v/>
      </c>
      <c r="L252" s="41">
        <f>K256</f>
        <v/>
      </c>
      <c r="M252" s="41">
        <f>L256</f>
        <v/>
      </c>
      <c r="N252" s="41">
        <f>M256</f>
        <v/>
      </c>
      <c r="O252" s="41">
        <f>N256</f>
        <v/>
      </c>
      <c r="P252" s="41">
        <f>O256</f>
        <v/>
      </c>
      <c r="Q252" s="41">
        <f>P256</f>
        <v/>
      </c>
      <c r="R252" s="41">
        <f>Q256</f>
        <v/>
      </c>
      <c r="S252" s="41">
        <f>R256</f>
        <v/>
      </c>
      <c r="T252" s="41">
        <f>S256</f>
        <v/>
      </c>
      <c r="U252" s="41">
        <f>T256</f>
        <v/>
      </c>
      <c r="V252" s="41">
        <f>U256</f>
        <v/>
      </c>
      <c r="W252" s="41">
        <f>V256</f>
        <v/>
      </c>
      <c r="X252" s="41">
        <f>W256</f>
        <v/>
      </c>
      <c r="Y252" s="41">
        <f>X256</f>
        <v/>
      </c>
      <c r="Z252" s="41">
        <f>Y256</f>
        <v/>
      </c>
      <c r="AA252" s="41">
        <f>Z256</f>
        <v/>
      </c>
      <c r="AB252" s="41">
        <f>AA256</f>
        <v/>
      </c>
      <c r="AC252" s="41">
        <f>AB256</f>
        <v/>
      </c>
      <c r="AD252" s="41">
        <f>AC256</f>
        <v/>
      </c>
      <c r="AE252" s="41">
        <f>AD256</f>
        <v/>
      </c>
      <c r="AF252" s="41">
        <f>AE256</f>
        <v/>
      </c>
      <c r="AG252" s="41">
        <f>AF256</f>
        <v/>
      </c>
      <c r="AH252" s="41">
        <f>AG256</f>
        <v/>
      </c>
      <c r="AI252" s="41">
        <f>AH256</f>
        <v/>
      </c>
      <c r="AJ252" s="41">
        <f>AI256</f>
        <v/>
      </c>
      <c r="AK252" s="41">
        <f>AJ256</f>
        <v/>
      </c>
      <c r="AL252" s="41">
        <f>AK256</f>
        <v/>
      </c>
      <c r="AM252" s="41">
        <f>AL256</f>
        <v/>
      </c>
      <c r="AN252" s="41">
        <f>AM256</f>
        <v/>
      </c>
      <c r="AO252" s="41">
        <f>AN256</f>
        <v/>
      </c>
      <c r="AP252" s="41">
        <f>AO256</f>
        <v/>
      </c>
      <c r="AQ252" s="41">
        <f>AP256</f>
        <v/>
      </c>
      <c r="AR252" s="41">
        <f>AQ256</f>
        <v/>
      </c>
      <c r="AS252" s="41">
        <f>AR256</f>
        <v/>
      </c>
      <c r="AT252" s="41">
        <f>AS256</f>
        <v/>
      </c>
      <c r="AU252" s="41">
        <f>AT256</f>
        <v/>
      </c>
      <c r="AV252" s="41">
        <f>AU256</f>
        <v/>
      </c>
      <c r="AW252" s="41">
        <f>AV256</f>
        <v/>
      </c>
      <c r="AX252" s="41">
        <f>AW256</f>
        <v/>
      </c>
      <c r="AY252" s="41">
        <f>AX256</f>
        <v/>
      </c>
      <c r="AZ252" s="41">
        <f>AY256</f>
        <v/>
      </c>
      <c r="BA252" s="41">
        <f>AZ256</f>
        <v/>
      </c>
      <c r="BB252" s="41">
        <f>BA256</f>
        <v/>
      </c>
      <c r="BC252" s="41">
        <f>BB256</f>
        <v/>
      </c>
      <c r="BD252" s="41">
        <f>BC256</f>
        <v/>
      </c>
      <c r="BE252" s="41">
        <f>BD256</f>
        <v/>
      </c>
      <c r="BF252" s="41">
        <f>BE256</f>
        <v/>
      </c>
      <c r="BG252" s="41">
        <f>BF256</f>
        <v/>
      </c>
      <c r="BH252" s="41">
        <f>BG256</f>
        <v/>
      </c>
      <c r="BI252" s="41">
        <f>BH256</f>
        <v/>
      </c>
      <c r="BJ252" s="41">
        <f>BI256</f>
        <v/>
      </c>
    </row>
    <row r="253">
      <c r="A253" s="4" t="inlineStr">
        <is>
          <t>Kenya: SME: Starter: new</t>
        </is>
      </c>
      <c r="B253" s="17" t="inlineStr">
        <is>
          <t>workspaces</t>
        </is>
      </c>
      <c r="C253" s="41">
        <f>C151*Assumptions!$B$127</f>
        <v/>
      </c>
      <c r="D253" s="41">
        <f>D151*Assumptions!$B$127</f>
        <v/>
      </c>
      <c r="E253" s="41">
        <f>E151*Assumptions!$B$127</f>
        <v/>
      </c>
      <c r="F253" s="41">
        <f>F151*Assumptions!$B$127</f>
        <v/>
      </c>
      <c r="G253" s="41">
        <f>G151*Assumptions!$B$127</f>
        <v/>
      </c>
      <c r="H253" s="41">
        <f>H151*Assumptions!$B$127</f>
        <v/>
      </c>
      <c r="I253" s="41">
        <f>I151*Assumptions!$B$127</f>
        <v/>
      </c>
      <c r="J253" s="41">
        <f>J151*Assumptions!$B$127</f>
        <v/>
      </c>
      <c r="K253" s="41">
        <f>K151*Assumptions!$B$127</f>
        <v/>
      </c>
      <c r="L253" s="41">
        <f>L151*Assumptions!$B$127</f>
        <v/>
      </c>
      <c r="M253" s="41">
        <f>M151*Assumptions!$B$127</f>
        <v/>
      </c>
      <c r="N253" s="41">
        <f>N151*Assumptions!$B$127</f>
        <v/>
      </c>
      <c r="O253" s="41">
        <f>O151*Assumptions!$B$127</f>
        <v/>
      </c>
      <c r="P253" s="41">
        <f>P151*Assumptions!$B$127</f>
        <v/>
      </c>
      <c r="Q253" s="41">
        <f>Q151*Assumptions!$B$127</f>
        <v/>
      </c>
      <c r="R253" s="41">
        <f>R151*Assumptions!$B$127</f>
        <v/>
      </c>
      <c r="S253" s="41">
        <f>S151*Assumptions!$B$127</f>
        <v/>
      </c>
      <c r="T253" s="41">
        <f>T151*Assumptions!$B$127</f>
        <v/>
      </c>
      <c r="U253" s="41">
        <f>U151*Assumptions!$B$127</f>
        <v/>
      </c>
      <c r="V253" s="41">
        <f>V151*Assumptions!$B$127</f>
        <v/>
      </c>
      <c r="W253" s="41">
        <f>W151*Assumptions!$B$127</f>
        <v/>
      </c>
      <c r="X253" s="41">
        <f>X151*Assumptions!$B$127</f>
        <v/>
      </c>
      <c r="Y253" s="41">
        <f>Y151*Assumptions!$B$127</f>
        <v/>
      </c>
      <c r="Z253" s="41">
        <f>Z151*Assumptions!$B$127</f>
        <v/>
      </c>
      <c r="AA253" s="41">
        <f>AA151*Assumptions!$B$127</f>
        <v/>
      </c>
      <c r="AB253" s="41">
        <f>AB151*Assumptions!$B$127</f>
        <v/>
      </c>
      <c r="AC253" s="41">
        <f>AC151*Assumptions!$B$127</f>
        <v/>
      </c>
      <c r="AD253" s="41">
        <f>AD151*Assumptions!$B$127</f>
        <v/>
      </c>
      <c r="AE253" s="41">
        <f>AE151*Assumptions!$B$127</f>
        <v/>
      </c>
      <c r="AF253" s="41">
        <f>AF151*Assumptions!$B$127</f>
        <v/>
      </c>
      <c r="AG253" s="41">
        <f>AG151*Assumptions!$B$127</f>
        <v/>
      </c>
      <c r="AH253" s="41">
        <f>AH151*Assumptions!$B$127</f>
        <v/>
      </c>
      <c r="AI253" s="41">
        <f>AI151*Assumptions!$B$127</f>
        <v/>
      </c>
      <c r="AJ253" s="41">
        <f>AJ151*Assumptions!$B$127</f>
        <v/>
      </c>
      <c r="AK253" s="41">
        <f>AK151*Assumptions!$B$127</f>
        <v/>
      </c>
      <c r="AL253" s="41">
        <f>AL151*Assumptions!$B$127</f>
        <v/>
      </c>
      <c r="AM253" s="41">
        <f>AM151*Assumptions!$B$127</f>
        <v/>
      </c>
      <c r="AN253" s="41">
        <f>AN151*Assumptions!$B$127</f>
        <v/>
      </c>
      <c r="AO253" s="41">
        <f>AO151*Assumptions!$B$127</f>
        <v/>
      </c>
      <c r="AP253" s="41">
        <f>AP151*Assumptions!$B$127</f>
        <v/>
      </c>
      <c r="AQ253" s="41">
        <f>AQ151*Assumptions!$B$127</f>
        <v/>
      </c>
      <c r="AR253" s="41">
        <f>AR151*Assumptions!$B$127</f>
        <v/>
      </c>
      <c r="AS253" s="41">
        <f>AS151*Assumptions!$B$127</f>
        <v/>
      </c>
      <c r="AT253" s="41">
        <f>AT151*Assumptions!$B$127</f>
        <v/>
      </c>
      <c r="AU253" s="41">
        <f>AU151*Assumptions!$B$127</f>
        <v/>
      </c>
      <c r="AV253" s="41">
        <f>AV151*Assumptions!$B$127</f>
        <v/>
      </c>
      <c r="AW253" s="41">
        <f>AW151*Assumptions!$B$127</f>
        <v/>
      </c>
      <c r="AX253" s="41">
        <f>AX151*Assumptions!$B$127</f>
        <v/>
      </c>
      <c r="AY253" s="41">
        <f>AY151*Assumptions!$B$127</f>
        <v/>
      </c>
      <c r="AZ253" s="41">
        <f>AZ151*Assumptions!$B$127</f>
        <v/>
      </c>
      <c r="BA253" s="41">
        <f>BA151*Assumptions!$B$127</f>
        <v/>
      </c>
      <c r="BB253" s="41">
        <f>BB151*Assumptions!$B$127</f>
        <v/>
      </c>
      <c r="BC253" s="41">
        <f>BC151*Assumptions!$B$127</f>
        <v/>
      </c>
      <c r="BD253" s="41">
        <f>BD151*Assumptions!$B$127</f>
        <v/>
      </c>
      <c r="BE253" s="41">
        <f>BE151*Assumptions!$B$127</f>
        <v/>
      </c>
      <c r="BF253" s="41">
        <f>BF151*Assumptions!$B$127</f>
        <v/>
      </c>
      <c r="BG253" s="41">
        <f>BG151*Assumptions!$B$127</f>
        <v/>
      </c>
      <c r="BH253" s="41">
        <f>BH151*Assumptions!$B$127</f>
        <v/>
      </c>
      <c r="BI253" s="41">
        <f>BI151*Assumptions!$B$127</f>
        <v/>
      </c>
      <c r="BJ253" s="41">
        <f>BJ151*Assumptions!$B$127</f>
        <v/>
      </c>
    </row>
    <row r="254">
      <c r="A254" s="4" t="inlineStr">
        <is>
          <t>Kenya: SME: Starter: churned</t>
        </is>
      </c>
      <c r="B254" s="17" t="inlineStr">
        <is>
          <t>workspaces</t>
        </is>
      </c>
      <c r="C254" s="41">
        <f>C252*Assumptions!$B$140*Assumptions!$B$46*Assumptions!$B$30*Assumptions!$B$74</f>
        <v/>
      </c>
      <c r="D254" s="41">
        <f>D252*Assumptions!$B$140*Assumptions!$B$46*Assumptions!$B$30*Assumptions!$B$74</f>
        <v/>
      </c>
      <c r="E254" s="41">
        <f>E252*Assumptions!$B$140*Assumptions!$B$46*Assumptions!$B$30*Assumptions!$B$74</f>
        <v/>
      </c>
      <c r="F254" s="41">
        <f>F252*Assumptions!$B$140*Assumptions!$B$46*Assumptions!$B$30*Assumptions!$B$74</f>
        <v/>
      </c>
      <c r="G254" s="41">
        <f>G252*Assumptions!$B$140*Assumptions!$B$46*Assumptions!$B$30*Assumptions!$B$74</f>
        <v/>
      </c>
      <c r="H254" s="41">
        <f>H252*Assumptions!$B$140*Assumptions!$B$46*Assumptions!$B$30*Assumptions!$B$74</f>
        <v/>
      </c>
      <c r="I254" s="41">
        <f>I252*Assumptions!$B$140*Assumptions!$B$46*Assumptions!$B$30*Assumptions!$B$74</f>
        <v/>
      </c>
      <c r="J254" s="41">
        <f>J252*Assumptions!$B$140*Assumptions!$B$46*Assumptions!$B$30*Assumptions!$B$74</f>
        <v/>
      </c>
      <c r="K254" s="41">
        <f>K252*Assumptions!$B$140*Assumptions!$B$46*Assumptions!$B$30*Assumptions!$B$74</f>
        <v/>
      </c>
      <c r="L254" s="41">
        <f>L252*Assumptions!$B$140*Assumptions!$B$46*Assumptions!$B$30*Assumptions!$B$74</f>
        <v/>
      </c>
      <c r="M254" s="41">
        <f>M252*Assumptions!$B$140*Assumptions!$B$46*Assumptions!$B$30*Assumptions!$B$74</f>
        <v/>
      </c>
      <c r="N254" s="41">
        <f>N252*Assumptions!$B$140*Assumptions!$B$46*Assumptions!$B$30*Assumptions!$B$74</f>
        <v/>
      </c>
      <c r="O254" s="41">
        <f>O252*Assumptions!$B$140*Assumptions!$B$46*Assumptions!$B$30*Assumptions!$B$74</f>
        <v/>
      </c>
      <c r="P254" s="41">
        <f>P252*Assumptions!$B$140*Assumptions!$B$46*Assumptions!$B$30*Assumptions!$B$74</f>
        <v/>
      </c>
      <c r="Q254" s="41">
        <f>Q252*Assumptions!$B$140*Assumptions!$B$46*Assumptions!$B$30*Assumptions!$B$74</f>
        <v/>
      </c>
      <c r="R254" s="41">
        <f>R252*Assumptions!$B$140*Assumptions!$B$46*Assumptions!$B$30*Assumptions!$B$74</f>
        <v/>
      </c>
      <c r="S254" s="41">
        <f>S252*Assumptions!$B$140*Assumptions!$B$46*Assumptions!$B$30*Assumptions!$B$74</f>
        <v/>
      </c>
      <c r="T254" s="41">
        <f>T252*Assumptions!$B$140*Assumptions!$B$46*Assumptions!$B$30*Assumptions!$B$74</f>
        <v/>
      </c>
      <c r="U254" s="41">
        <f>U252*Assumptions!$B$140*Assumptions!$B$46*Assumptions!$B$30*Assumptions!$B$74</f>
        <v/>
      </c>
      <c r="V254" s="41">
        <f>V252*Assumptions!$B$140*Assumptions!$B$46*Assumptions!$B$30*Assumptions!$B$74</f>
        <v/>
      </c>
      <c r="W254" s="41">
        <f>W252*Assumptions!$B$140*Assumptions!$B$46*Assumptions!$B$30*Assumptions!$B$74</f>
        <v/>
      </c>
      <c r="X254" s="41">
        <f>X252*Assumptions!$B$140*Assumptions!$B$46*Assumptions!$B$30*Assumptions!$B$74</f>
        <v/>
      </c>
      <c r="Y254" s="41">
        <f>Y252*Assumptions!$B$140*Assumptions!$B$46*Assumptions!$B$30*Assumptions!$B$74</f>
        <v/>
      </c>
      <c r="Z254" s="41">
        <f>Z252*Assumptions!$B$140*Assumptions!$B$46*Assumptions!$B$30*Assumptions!$B$74</f>
        <v/>
      </c>
      <c r="AA254" s="41">
        <f>AA252*Assumptions!$B$140*Assumptions!$B$46*Assumptions!$B$30*Assumptions!$B$74</f>
        <v/>
      </c>
      <c r="AB254" s="41">
        <f>AB252*Assumptions!$B$140*Assumptions!$B$46*Assumptions!$B$30*Assumptions!$B$74</f>
        <v/>
      </c>
      <c r="AC254" s="41">
        <f>AC252*Assumptions!$B$140*Assumptions!$B$46*Assumptions!$B$30*Assumptions!$B$74</f>
        <v/>
      </c>
      <c r="AD254" s="41">
        <f>AD252*Assumptions!$B$140*Assumptions!$B$46*Assumptions!$B$30*Assumptions!$B$74</f>
        <v/>
      </c>
      <c r="AE254" s="41">
        <f>AE252*Assumptions!$B$140*Assumptions!$B$46*Assumptions!$B$30*Assumptions!$B$74</f>
        <v/>
      </c>
      <c r="AF254" s="41">
        <f>AF252*Assumptions!$B$140*Assumptions!$B$46*Assumptions!$B$30*Assumptions!$B$74</f>
        <v/>
      </c>
      <c r="AG254" s="41">
        <f>AG252*Assumptions!$B$140*Assumptions!$B$46*Assumptions!$B$30*Assumptions!$B$74</f>
        <v/>
      </c>
      <c r="AH254" s="41">
        <f>AH252*Assumptions!$B$140*Assumptions!$B$46*Assumptions!$B$30*Assumptions!$B$74</f>
        <v/>
      </c>
      <c r="AI254" s="41">
        <f>AI252*Assumptions!$B$140*Assumptions!$B$46*Assumptions!$B$30*Assumptions!$B$74</f>
        <v/>
      </c>
      <c r="AJ254" s="41">
        <f>AJ252*Assumptions!$B$140*Assumptions!$B$46*Assumptions!$B$30*Assumptions!$B$74</f>
        <v/>
      </c>
      <c r="AK254" s="41">
        <f>AK252*Assumptions!$B$140*Assumptions!$B$46*Assumptions!$B$30*Assumptions!$B$74</f>
        <v/>
      </c>
      <c r="AL254" s="41">
        <f>AL252*Assumptions!$B$140*Assumptions!$B$46*Assumptions!$B$30*Assumptions!$B$74</f>
        <v/>
      </c>
      <c r="AM254" s="41">
        <f>AM252*Assumptions!$B$140*Assumptions!$B$46*Assumptions!$B$30*Assumptions!$B$74</f>
        <v/>
      </c>
      <c r="AN254" s="41">
        <f>AN252*Assumptions!$B$140*Assumptions!$B$46*Assumptions!$B$30*Assumptions!$B$74</f>
        <v/>
      </c>
      <c r="AO254" s="41">
        <f>AO252*Assumptions!$B$140*Assumptions!$B$46*Assumptions!$B$30*Assumptions!$B$74</f>
        <v/>
      </c>
      <c r="AP254" s="41">
        <f>AP252*Assumptions!$B$140*Assumptions!$B$46*Assumptions!$B$30*Assumptions!$B$74</f>
        <v/>
      </c>
      <c r="AQ254" s="41">
        <f>AQ252*Assumptions!$B$140*Assumptions!$B$46*Assumptions!$B$30*Assumptions!$B$74</f>
        <v/>
      </c>
      <c r="AR254" s="41">
        <f>AR252*Assumptions!$B$140*Assumptions!$B$46*Assumptions!$B$30*Assumptions!$B$74</f>
        <v/>
      </c>
      <c r="AS254" s="41">
        <f>AS252*Assumptions!$B$140*Assumptions!$B$46*Assumptions!$B$30*Assumptions!$B$74</f>
        <v/>
      </c>
      <c r="AT254" s="41">
        <f>AT252*Assumptions!$B$140*Assumptions!$B$46*Assumptions!$B$30*Assumptions!$B$74</f>
        <v/>
      </c>
      <c r="AU254" s="41">
        <f>AU252*Assumptions!$B$140*Assumptions!$B$46*Assumptions!$B$30*Assumptions!$B$74</f>
        <v/>
      </c>
      <c r="AV254" s="41">
        <f>AV252*Assumptions!$B$140*Assumptions!$B$46*Assumptions!$B$30*Assumptions!$B$74</f>
        <v/>
      </c>
      <c r="AW254" s="41">
        <f>AW252*Assumptions!$B$140*Assumptions!$B$46*Assumptions!$B$30*Assumptions!$B$74</f>
        <v/>
      </c>
      <c r="AX254" s="41">
        <f>AX252*Assumptions!$B$140*Assumptions!$B$46*Assumptions!$B$30*Assumptions!$B$74</f>
        <v/>
      </c>
      <c r="AY254" s="41">
        <f>AY252*Assumptions!$B$140*Assumptions!$B$46*Assumptions!$B$30*Assumptions!$B$74</f>
        <v/>
      </c>
      <c r="AZ254" s="41">
        <f>AZ252*Assumptions!$B$140*Assumptions!$B$46*Assumptions!$B$30*Assumptions!$B$74</f>
        <v/>
      </c>
      <c r="BA254" s="41">
        <f>BA252*Assumptions!$B$140*Assumptions!$B$46*Assumptions!$B$30*Assumptions!$B$74</f>
        <v/>
      </c>
      <c r="BB254" s="41">
        <f>BB252*Assumptions!$B$140*Assumptions!$B$46*Assumptions!$B$30*Assumptions!$B$74</f>
        <v/>
      </c>
      <c r="BC254" s="41">
        <f>BC252*Assumptions!$B$140*Assumptions!$B$46*Assumptions!$B$30*Assumptions!$B$74</f>
        <v/>
      </c>
      <c r="BD254" s="41">
        <f>BD252*Assumptions!$B$140*Assumptions!$B$46*Assumptions!$B$30*Assumptions!$B$74</f>
        <v/>
      </c>
      <c r="BE254" s="41">
        <f>BE252*Assumptions!$B$140*Assumptions!$B$46*Assumptions!$B$30*Assumptions!$B$74</f>
        <v/>
      </c>
      <c r="BF254" s="41">
        <f>BF252*Assumptions!$B$140*Assumptions!$B$46*Assumptions!$B$30*Assumptions!$B$74</f>
        <v/>
      </c>
      <c r="BG254" s="41">
        <f>BG252*Assumptions!$B$140*Assumptions!$B$46*Assumptions!$B$30*Assumptions!$B$74</f>
        <v/>
      </c>
      <c r="BH254" s="41">
        <f>BH252*Assumptions!$B$140*Assumptions!$B$46*Assumptions!$B$30*Assumptions!$B$74</f>
        <v/>
      </c>
      <c r="BI254" s="41">
        <f>BI252*Assumptions!$B$140*Assumptions!$B$46*Assumptions!$B$30*Assumptions!$B$74</f>
        <v/>
      </c>
      <c r="BJ254" s="41">
        <f>BJ252*Assumptions!$B$140*Assumptions!$B$46*Assumptions!$B$30*Assumptions!$B$74</f>
        <v/>
      </c>
    </row>
    <row r="255">
      <c r="A255" s="4" t="inlineStr">
        <is>
          <t>Kenya: SME: Starter: upgraded out</t>
        </is>
      </c>
      <c r="B255" s="17" t="inlineStr">
        <is>
          <t>workspaces</t>
        </is>
      </c>
      <c r="C255" s="41">
        <f>C252*Assumptions!$B$132</f>
        <v/>
      </c>
      <c r="D255" s="41">
        <f>D252*Assumptions!$B$132</f>
        <v/>
      </c>
      <c r="E255" s="41">
        <f>E252*Assumptions!$B$132</f>
        <v/>
      </c>
      <c r="F255" s="41">
        <f>F252*Assumptions!$B$132</f>
        <v/>
      </c>
      <c r="G255" s="41">
        <f>G252*Assumptions!$B$132</f>
        <v/>
      </c>
      <c r="H255" s="41">
        <f>H252*Assumptions!$B$132</f>
        <v/>
      </c>
      <c r="I255" s="41">
        <f>I252*Assumptions!$B$132</f>
        <v/>
      </c>
      <c r="J255" s="41">
        <f>J252*Assumptions!$B$132</f>
        <v/>
      </c>
      <c r="K255" s="41">
        <f>K252*Assumptions!$B$132</f>
        <v/>
      </c>
      <c r="L255" s="41">
        <f>L252*Assumptions!$B$132</f>
        <v/>
      </c>
      <c r="M255" s="41">
        <f>M252*Assumptions!$B$132</f>
        <v/>
      </c>
      <c r="N255" s="41">
        <f>N252*Assumptions!$B$132</f>
        <v/>
      </c>
      <c r="O255" s="41">
        <f>O252*Assumptions!$B$132</f>
        <v/>
      </c>
      <c r="P255" s="41">
        <f>P252*Assumptions!$B$132</f>
        <v/>
      </c>
      <c r="Q255" s="41">
        <f>Q252*Assumptions!$B$132</f>
        <v/>
      </c>
      <c r="R255" s="41">
        <f>R252*Assumptions!$B$132</f>
        <v/>
      </c>
      <c r="S255" s="41">
        <f>S252*Assumptions!$B$132</f>
        <v/>
      </c>
      <c r="T255" s="41">
        <f>T252*Assumptions!$B$132</f>
        <v/>
      </c>
      <c r="U255" s="41">
        <f>U252*Assumptions!$B$132</f>
        <v/>
      </c>
      <c r="V255" s="41">
        <f>V252*Assumptions!$B$132</f>
        <v/>
      </c>
      <c r="W255" s="41">
        <f>W252*Assumptions!$B$132</f>
        <v/>
      </c>
      <c r="X255" s="41">
        <f>X252*Assumptions!$B$132</f>
        <v/>
      </c>
      <c r="Y255" s="41">
        <f>Y252*Assumptions!$B$132</f>
        <v/>
      </c>
      <c r="Z255" s="41">
        <f>Z252*Assumptions!$B$132</f>
        <v/>
      </c>
      <c r="AA255" s="41">
        <f>AA252*Assumptions!$B$132</f>
        <v/>
      </c>
      <c r="AB255" s="41">
        <f>AB252*Assumptions!$B$132</f>
        <v/>
      </c>
      <c r="AC255" s="41">
        <f>AC252*Assumptions!$B$132</f>
        <v/>
      </c>
      <c r="AD255" s="41">
        <f>AD252*Assumptions!$B$132</f>
        <v/>
      </c>
      <c r="AE255" s="41">
        <f>AE252*Assumptions!$B$132</f>
        <v/>
      </c>
      <c r="AF255" s="41">
        <f>AF252*Assumptions!$B$132</f>
        <v/>
      </c>
      <c r="AG255" s="41">
        <f>AG252*Assumptions!$B$132</f>
        <v/>
      </c>
      <c r="AH255" s="41">
        <f>AH252*Assumptions!$B$132</f>
        <v/>
      </c>
      <c r="AI255" s="41">
        <f>AI252*Assumptions!$B$132</f>
        <v/>
      </c>
      <c r="AJ255" s="41">
        <f>AJ252*Assumptions!$B$132</f>
        <v/>
      </c>
      <c r="AK255" s="41">
        <f>AK252*Assumptions!$B$132</f>
        <v/>
      </c>
      <c r="AL255" s="41">
        <f>AL252*Assumptions!$B$132</f>
        <v/>
      </c>
      <c r="AM255" s="41">
        <f>AM252*Assumptions!$B$132</f>
        <v/>
      </c>
      <c r="AN255" s="41">
        <f>AN252*Assumptions!$B$132</f>
        <v/>
      </c>
      <c r="AO255" s="41">
        <f>AO252*Assumptions!$B$132</f>
        <v/>
      </c>
      <c r="AP255" s="41">
        <f>AP252*Assumptions!$B$132</f>
        <v/>
      </c>
      <c r="AQ255" s="41">
        <f>AQ252*Assumptions!$B$132</f>
        <v/>
      </c>
      <c r="AR255" s="41">
        <f>AR252*Assumptions!$B$132</f>
        <v/>
      </c>
      <c r="AS255" s="41">
        <f>AS252*Assumptions!$B$132</f>
        <v/>
      </c>
      <c r="AT255" s="41">
        <f>AT252*Assumptions!$B$132</f>
        <v/>
      </c>
      <c r="AU255" s="41">
        <f>AU252*Assumptions!$B$132</f>
        <v/>
      </c>
      <c r="AV255" s="41">
        <f>AV252*Assumptions!$B$132</f>
        <v/>
      </c>
      <c r="AW255" s="41">
        <f>AW252*Assumptions!$B$132</f>
        <v/>
      </c>
      <c r="AX255" s="41">
        <f>AX252*Assumptions!$B$132</f>
        <v/>
      </c>
      <c r="AY255" s="41">
        <f>AY252*Assumptions!$B$132</f>
        <v/>
      </c>
      <c r="AZ255" s="41">
        <f>AZ252*Assumptions!$B$132</f>
        <v/>
      </c>
      <c r="BA255" s="41">
        <f>BA252*Assumptions!$B$132</f>
        <v/>
      </c>
      <c r="BB255" s="41">
        <f>BB252*Assumptions!$B$132</f>
        <v/>
      </c>
      <c r="BC255" s="41">
        <f>BC252*Assumptions!$B$132</f>
        <v/>
      </c>
      <c r="BD255" s="41">
        <f>BD252*Assumptions!$B$132</f>
        <v/>
      </c>
      <c r="BE255" s="41">
        <f>BE252*Assumptions!$B$132</f>
        <v/>
      </c>
      <c r="BF255" s="41">
        <f>BF252*Assumptions!$B$132</f>
        <v/>
      </c>
      <c r="BG255" s="41">
        <f>BG252*Assumptions!$B$132</f>
        <v/>
      </c>
      <c r="BH255" s="41">
        <f>BH252*Assumptions!$B$132</f>
        <v/>
      </c>
      <c r="BI255" s="41">
        <f>BI252*Assumptions!$B$132</f>
        <v/>
      </c>
      <c r="BJ255" s="41">
        <f>BJ252*Assumptions!$B$132</f>
        <v/>
      </c>
    </row>
    <row r="256">
      <c r="A256" s="3" t="inlineStr">
        <is>
          <t>Kenya: SME: Starter: closing</t>
        </is>
      </c>
      <c r="B256" s="17" t="inlineStr">
        <is>
          <t>workspaces</t>
        </is>
      </c>
      <c r="C256" s="44">
        <f>C252+C253-C254-C255</f>
        <v/>
      </c>
      <c r="D256" s="44">
        <f>D252+D253-D254-D255</f>
        <v/>
      </c>
      <c r="E256" s="44">
        <f>E252+E253-E254-E255</f>
        <v/>
      </c>
      <c r="F256" s="44">
        <f>F252+F253-F254-F255</f>
        <v/>
      </c>
      <c r="G256" s="44">
        <f>G252+G253-G254-G255</f>
        <v/>
      </c>
      <c r="H256" s="44">
        <f>H252+H253-H254-H255</f>
        <v/>
      </c>
      <c r="I256" s="44">
        <f>I252+I253-I254-I255</f>
        <v/>
      </c>
      <c r="J256" s="44">
        <f>J252+J253-J254-J255</f>
        <v/>
      </c>
      <c r="K256" s="44">
        <f>K252+K253-K254-K255</f>
        <v/>
      </c>
      <c r="L256" s="44">
        <f>L252+L253-L254-L255</f>
        <v/>
      </c>
      <c r="M256" s="44">
        <f>M252+M253-M254-M255</f>
        <v/>
      </c>
      <c r="N256" s="44">
        <f>N252+N253-N254-N255</f>
        <v/>
      </c>
      <c r="O256" s="44">
        <f>O252+O253-O254-O255</f>
        <v/>
      </c>
      <c r="P256" s="44">
        <f>P252+P253-P254-P255</f>
        <v/>
      </c>
      <c r="Q256" s="44">
        <f>Q252+Q253-Q254-Q255</f>
        <v/>
      </c>
      <c r="R256" s="44">
        <f>R252+R253-R254-R255</f>
        <v/>
      </c>
      <c r="S256" s="44">
        <f>S252+S253-S254-S255</f>
        <v/>
      </c>
      <c r="T256" s="44">
        <f>T252+T253-T254-T255</f>
        <v/>
      </c>
      <c r="U256" s="44">
        <f>U252+U253-U254-U255</f>
        <v/>
      </c>
      <c r="V256" s="44">
        <f>V252+V253-V254-V255</f>
        <v/>
      </c>
      <c r="W256" s="44">
        <f>W252+W253-W254-W255</f>
        <v/>
      </c>
      <c r="X256" s="44">
        <f>X252+X253-X254-X255</f>
        <v/>
      </c>
      <c r="Y256" s="44">
        <f>Y252+Y253-Y254-Y255</f>
        <v/>
      </c>
      <c r="Z256" s="44">
        <f>Z252+Z253-Z254-Z255</f>
        <v/>
      </c>
      <c r="AA256" s="44">
        <f>AA252+AA253-AA254-AA255</f>
        <v/>
      </c>
      <c r="AB256" s="44">
        <f>AB252+AB253-AB254-AB255</f>
        <v/>
      </c>
      <c r="AC256" s="44">
        <f>AC252+AC253-AC254-AC255</f>
        <v/>
      </c>
      <c r="AD256" s="44">
        <f>AD252+AD253-AD254-AD255</f>
        <v/>
      </c>
      <c r="AE256" s="44">
        <f>AE252+AE253-AE254-AE255</f>
        <v/>
      </c>
      <c r="AF256" s="44">
        <f>AF252+AF253-AF254-AF255</f>
        <v/>
      </c>
      <c r="AG256" s="44">
        <f>AG252+AG253-AG254-AG255</f>
        <v/>
      </c>
      <c r="AH256" s="44">
        <f>AH252+AH253-AH254-AH255</f>
        <v/>
      </c>
      <c r="AI256" s="44">
        <f>AI252+AI253-AI254-AI255</f>
        <v/>
      </c>
      <c r="AJ256" s="44">
        <f>AJ252+AJ253-AJ254-AJ255</f>
        <v/>
      </c>
      <c r="AK256" s="44">
        <f>AK252+AK253-AK254-AK255</f>
        <v/>
      </c>
      <c r="AL256" s="44">
        <f>AL252+AL253-AL254-AL255</f>
        <v/>
      </c>
      <c r="AM256" s="44">
        <f>AM252+AM253-AM254-AM255</f>
        <v/>
      </c>
      <c r="AN256" s="44">
        <f>AN252+AN253-AN254-AN255</f>
        <v/>
      </c>
      <c r="AO256" s="44">
        <f>AO252+AO253-AO254-AO255</f>
        <v/>
      </c>
      <c r="AP256" s="44">
        <f>AP252+AP253-AP254-AP255</f>
        <v/>
      </c>
      <c r="AQ256" s="44">
        <f>AQ252+AQ253-AQ254-AQ255</f>
        <v/>
      </c>
      <c r="AR256" s="44">
        <f>AR252+AR253-AR254-AR255</f>
        <v/>
      </c>
      <c r="AS256" s="44">
        <f>AS252+AS253-AS254-AS255</f>
        <v/>
      </c>
      <c r="AT256" s="44">
        <f>AT252+AT253-AT254-AT255</f>
        <v/>
      </c>
      <c r="AU256" s="44">
        <f>AU252+AU253-AU254-AU255</f>
        <v/>
      </c>
      <c r="AV256" s="44">
        <f>AV252+AV253-AV254-AV255</f>
        <v/>
      </c>
      <c r="AW256" s="44">
        <f>AW252+AW253-AW254-AW255</f>
        <v/>
      </c>
      <c r="AX256" s="44">
        <f>AX252+AX253-AX254-AX255</f>
        <v/>
      </c>
      <c r="AY256" s="44">
        <f>AY252+AY253-AY254-AY255</f>
        <v/>
      </c>
      <c r="AZ256" s="44">
        <f>AZ252+AZ253-AZ254-AZ255</f>
        <v/>
      </c>
      <c r="BA256" s="44">
        <f>BA252+BA253-BA254-BA255</f>
        <v/>
      </c>
      <c r="BB256" s="44">
        <f>BB252+BB253-BB254-BB255</f>
        <v/>
      </c>
      <c r="BC256" s="44">
        <f>BC252+BC253-BC254-BC255</f>
        <v/>
      </c>
      <c r="BD256" s="44">
        <f>BD252+BD253-BD254-BD255</f>
        <v/>
      </c>
      <c r="BE256" s="44">
        <f>BE252+BE253-BE254-BE255</f>
        <v/>
      </c>
      <c r="BF256" s="44">
        <f>BF252+BF253-BF254-BF255</f>
        <v/>
      </c>
      <c r="BG256" s="44">
        <f>BG252+BG253-BG254-BG255</f>
        <v/>
      </c>
      <c r="BH256" s="44">
        <f>BH252+BH253-BH254-BH255</f>
        <v/>
      </c>
      <c r="BI256" s="44">
        <f>BI252+BI253-BI254-BI255</f>
        <v/>
      </c>
      <c r="BJ256" s="44">
        <f>BJ252+BJ253-BJ254-BJ255</f>
        <v/>
      </c>
    </row>
    <row r="257">
      <c r="A257" s="4" t="inlineStr">
        <is>
          <t>Kenya: SME: Growth (direct or upgraded): opening</t>
        </is>
      </c>
      <c r="B257" s="17" t="inlineStr">
        <is>
          <t>workspaces</t>
        </is>
      </c>
      <c r="C257" s="41">
        <f>0</f>
        <v/>
      </c>
      <c r="D257" s="41">
        <f>C261</f>
        <v/>
      </c>
      <c r="E257" s="41">
        <f>D261</f>
        <v/>
      </c>
      <c r="F257" s="41">
        <f>E261</f>
        <v/>
      </c>
      <c r="G257" s="41">
        <f>F261</f>
        <v/>
      </c>
      <c r="H257" s="41">
        <f>G261</f>
        <v/>
      </c>
      <c r="I257" s="41">
        <f>H261</f>
        <v/>
      </c>
      <c r="J257" s="41">
        <f>I261</f>
        <v/>
      </c>
      <c r="K257" s="41">
        <f>J261</f>
        <v/>
      </c>
      <c r="L257" s="41">
        <f>K261</f>
        <v/>
      </c>
      <c r="M257" s="41">
        <f>L261</f>
        <v/>
      </c>
      <c r="N257" s="41">
        <f>M261</f>
        <v/>
      </c>
      <c r="O257" s="41">
        <f>N261</f>
        <v/>
      </c>
      <c r="P257" s="41">
        <f>O261</f>
        <v/>
      </c>
      <c r="Q257" s="41">
        <f>P261</f>
        <v/>
      </c>
      <c r="R257" s="41">
        <f>Q261</f>
        <v/>
      </c>
      <c r="S257" s="41">
        <f>R261</f>
        <v/>
      </c>
      <c r="T257" s="41">
        <f>S261</f>
        <v/>
      </c>
      <c r="U257" s="41">
        <f>T261</f>
        <v/>
      </c>
      <c r="V257" s="41">
        <f>U261</f>
        <v/>
      </c>
      <c r="W257" s="41">
        <f>V261</f>
        <v/>
      </c>
      <c r="X257" s="41">
        <f>W261</f>
        <v/>
      </c>
      <c r="Y257" s="41">
        <f>X261</f>
        <v/>
      </c>
      <c r="Z257" s="41">
        <f>Y261</f>
        <v/>
      </c>
      <c r="AA257" s="41">
        <f>Z261</f>
        <v/>
      </c>
      <c r="AB257" s="41">
        <f>AA261</f>
        <v/>
      </c>
      <c r="AC257" s="41">
        <f>AB261</f>
        <v/>
      </c>
      <c r="AD257" s="41">
        <f>AC261</f>
        <v/>
      </c>
      <c r="AE257" s="41">
        <f>AD261</f>
        <v/>
      </c>
      <c r="AF257" s="41">
        <f>AE261</f>
        <v/>
      </c>
      <c r="AG257" s="41">
        <f>AF261</f>
        <v/>
      </c>
      <c r="AH257" s="41">
        <f>AG261</f>
        <v/>
      </c>
      <c r="AI257" s="41">
        <f>AH261</f>
        <v/>
      </c>
      <c r="AJ257" s="41">
        <f>AI261</f>
        <v/>
      </c>
      <c r="AK257" s="41">
        <f>AJ261</f>
        <v/>
      </c>
      <c r="AL257" s="41">
        <f>AK261</f>
        <v/>
      </c>
      <c r="AM257" s="41">
        <f>AL261</f>
        <v/>
      </c>
      <c r="AN257" s="41">
        <f>AM261</f>
        <v/>
      </c>
      <c r="AO257" s="41">
        <f>AN261</f>
        <v/>
      </c>
      <c r="AP257" s="41">
        <f>AO261</f>
        <v/>
      </c>
      <c r="AQ257" s="41">
        <f>AP261</f>
        <v/>
      </c>
      <c r="AR257" s="41">
        <f>AQ261</f>
        <v/>
      </c>
      <c r="AS257" s="41">
        <f>AR261</f>
        <v/>
      </c>
      <c r="AT257" s="41">
        <f>AS261</f>
        <v/>
      </c>
      <c r="AU257" s="41">
        <f>AT261</f>
        <v/>
      </c>
      <c r="AV257" s="41">
        <f>AU261</f>
        <v/>
      </c>
      <c r="AW257" s="41">
        <f>AV261</f>
        <v/>
      </c>
      <c r="AX257" s="41">
        <f>AW261</f>
        <v/>
      </c>
      <c r="AY257" s="41">
        <f>AX261</f>
        <v/>
      </c>
      <c r="AZ257" s="41">
        <f>AY261</f>
        <v/>
      </c>
      <c r="BA257" s="41">
        <f>AZ261</f>
        <v/>
      </c>
      <c r="BB257" s="41">
        <f>BA261</f>
        <v/>
      </c>
      <c r="BC257" s="41">
        <f>BB261</f>
        <v/>
      </c>
      <c r="BD257" s="41">
        <f>BC261</f>
        <v/>
      </c>
      <c r="BE257" s="41">
        <f>BD261</f>
        <v/>
      </c>
      <c r="BF257" s="41">
        <f>BE261</f>
        <v/>
      </c>
      <c r="BG257" s="41">
        <f>BF261</f>
        <v/>
      </c>
      <c r="BH257" s="41">
        <f>BG261</f>
        <v/>
      </c>
      <c r="BI257" s="41">
        <f>BH261</f>
        <v/>
      </c>
      <c r="BJ257" s="41">
        <f>BI261</f>
        <v/>
      </c>
    </row>
    <row r="258">
      <c r="A258" s="4" t="inlineStr">
        <is>
          <t>Kenya: SME: Growth (direct or upgraded): new</t>
        </is>
      </c>
      <c r="B258" s="17" t="inlineStr">
        <is>
          <t>workspaces</t>
        </is>
      </c>
      <c r="C258" s="41">
        <f>C151*Assumptions!$B$128+C255</f>
        <v/>
      </c>
      <c r="D258" s="41">
        <f>D151*Assumptions!$B$128+D255</f>
        <v/>
      </c>
      <c r="E258" s="41">
        <f>E151*Assumptions!$B$128+E255</f>
        <v/>
      </c>
      <c r="F258" s="41">
        <f>F151*Assumptions!$B$128+F255</f>
        <v/>
      </c>
      <c r="G258" s="41">
        <f>G151*Assumptions!$B$128+G255</f>
        <v/>
      </c>
      <c r="H258" s="41">
        <f>H151*Assumptions!$B$128+H255</f>
        <v/>
      </c>
      <c r="I258" s="41">
        <f>I151*Assumptions!$B$128+I255</f>
        <v/>
      </c>
      <c r="J258" s="41">
        <f>J151*Assumptions!$B$128+J255</f>
        <v/>
      </c>
      <c r="K258" s="41">
        <f>K151*Assumptions!$B$128+K255</f>
        <v/>
      </c>
      <c r="L258" s="41">
        <f>L151*Assumptions!$B$128+L255</f>
        <v/>
      </c>
      <c r="M258" s="41">
        <f>M151*Assumptions!$B$128+M255</f>
        <v/>
      </c>
      <c r="N258" s="41">
        <f>N151*Assumptions!$B$128+N255</f>
        <v/>
      </c>
      <c r="O258" s="41">
        <f>O151*Assumptions!$B$128+O255</f>
        <v/>
      </c>
      <c r="P258" s="41">
        <f>P151*Assumptions!$B$128+P255</f>
        <v/>
      </c>
      <c r="Q258" s="41">
        <f>Q151*Assumptions!$B$128+Q255</f>
        <v/>
      </c>
      <c r="R258" s="41">
        <f>R151*Assumptions!$B$128+R255</f>
        <v/>
      </c>
      <c r="S258" s="41">
        <f>S151*Assumptions!$B$128+S255</f>
        <v/>
      </c>
      <c r="T258" s="41">
        <f>T151*Assumptions!$B$128+T255</f>
        <v/>
      </c>
      <c r="U258" s="41">
        <f>U151*Assumptions!$B$128+U255</f>
        <v/>
      </c>
      <c r="V258" s="41">
        <f>V151*Assumptions!$B$128+V255</f>
        <v/>
      </c>
      <c r="W258" s="41">
        <f>W151*Assumptions!$B$128+W255</f>
        <v/>
      </c>
      <c r="X258" s="41">
        <f>X151*Assumptions!$B$128+X255</f>
        <v/>
      </c>
      <c r="Y258" s="41">
        <f>Y151*Assumptions!$B$128+Y255</f>
        <v/>
      </c>
      <c r="Z258" s="41">
        <f>Z151*Assumptions!$B$128+Z255</f>
        <v/>
      </c>
      <c r="AA258" s="41">
        <f>AA151*Assumptions!$B$128+AA255</f>
        <v/>
      </c>
      <c r="AB258" s="41">
        <f>AB151*Assumptions!$B$128+AB255</f>
        <v/>
      </c>
      <c r="AC258" s="41">
        <f>AC151*Assumptions!$B$128+AC255</f>
        <v/>
      </c>
      <c r="AD258" s="41">
        <f>AD151*Assumptions!$B$128+AD255</f>
        <v/>
      </c>
      <c r="AE258" s="41">
        <f>AE151*Assumptions!$B$128+AE255</f>
        <v/>
      </c>
      <c r="AF258" s="41">
        <f>AF151*Assumptions!$B$128+AF255</f>
        <v/>
      </c>
      <c r="AG258" s="41">
        <f>AG151*Assumptions!$B$128+AG255</f>
        <v/>
      </c>
      <c r="AH258" s="41">
        <f>AH151*Assumptions!$B$128+AH255</f>
        <v/>
      </c>
      <c r="AI258" s="41">
        <f>AI151*Assumptions!$B$128+AI255</f>
        <v/>
      </c>
      <c r="AJ258" s="41">
        <f>AJ151*Assumptions!$B$128+AJ255</f>
        <v/>
      </c>
      <c r="AK258" s="41">
        <f>AK151*Assumptions!$B$128+AK255</f>
        <v/>
      </c>
      <c r="AL258" s="41">
        <f>AL151*Assumptions!$B$128+AL255</f>
        <v/>
      </c>
      <c r="AM258" s="41">
        <f>AM151*Assumptions!$B$128+AM255</f>
        <v/>
      </c>
      <c r="AN258" s="41">
        <f>AN151*Assumptions!$B$128+AN255</f>
        <v/>
      </c>
      <c r="AO258" s="41">
        <f>AO151*Assumptions!$B$128+AO255</f>
        <v/>
      </c>
      <c r="AP258" s="41">
        <f>AP151*Assumptions!$B$128+AP255</f>
        <v/>
      </c>
      <c r="AQ258" s="41">
        <f>AQ151*Assumptions!$B$128+AQ255</f>
        <v/>
      </c>
      <c r="AR258" s="41">
        <f>AR151*Assumptions!$B$128+AR255</f>
        <v/>
      </c>
      <c r="AS258" s="41">
        <f>AS151*Assumptions!$B$128+AS255</f>
        <v/>
      </c>
      <c r="AT258" s="41">
        <f>AT151*Assumptions!$B$128+AT255</f>
        <v/>
      </c>
      <c r="AU258" s="41">
        <f>AU151*Assumptions!$B$128+AU255</f>
        <v/>
      </c>
      <c r="AV258" s="41">
        <f>AV151*Assumptions!$B$128+AV255</f>
        <v/>
      </c>
      <c r="AW258" s="41">
        <f>AW151*Assumptions!$B$128+AW255</f>
        <v/>
      </c>
      <c r="AX258" s="41">
        <f>AX151*Assumptions!$B$128+AX255</f>
        <v/>
      </c>
      <c r="AY258" s="41">
        <f>AY151*Assumptions!$B$128+AY255</f>
        <v/>
      </c>
      <c r="AZ258" s="41">
        <f>AZ151*Assumptions!$B$128+AZ255</f>
        <v/>
      </c>
      <c r="BA258" s="41">
        <f>BA151*Assumptions!$B$128+BA255</f>
        <v/>
      </c>
      <c r="BB258" s="41">
        <f>BB151*Assumptions!$B$128+BB255</f>
        <v/>
      </c>
      <c r="BC258" s="41">
        <f>BC151*Assumptions!$B$128+BC255</f>
        <v/>
      </c>
      <c r="BD258" s="41">
        <f>BD151*Assumptions!$B$128+BD255</f>
        <v/>
      </c>
      <c r="BE258" s="41">
        <f>BE151*Assumptions!$B$128+BE255</f>
        <v/>
      </c>
      <c r="BF258" s="41">
        <f>BF151*Assumptions!$B$128+BF255</f>
        <v/>
      </c>
      <c r="BG258" s="41">
        <f>BG151*Assumptions!$B$128+BG255</f>
        <v/>
      </c>
      <c r="BH258" s="41">
        <f>BH151*Assumptions!$B$128+BH255</f>
        <v/>
      </c>
      <c r="BI258" s="41">
        <f>BI151*Assumptions!$B$128+BI255</f>
        <v/>
      </c>
      <c r="BJ258" s="41">
        <f>BJ151*Assumptions!$B$128+BJ255</f>
        <v/>
      </c>
    </row>
    <row r="259">
      <c r="A259" s="4" t="inlineStr">
        <is>
          <t>Kenya: SME: Growth (direct or upgraded): churned</t>
        </is>
      </c>
      <c r="B259" s="17" t="inlineStr">
        <is>
          <t>workspaces</t>
        </is>
      </c>
      <c r="C259" s="41">
        <f>C257*Assumptions!$B$141*Assumptions!$B$46*Assumptions!$B$30*Assumptions!$B$74</f>
        <v/>
      </c>
      <c r="D259" s="41">
        <f>D257*Assumptions!$B$141*Assumptions!$B$46*Assumptions!$B$30*Assumptions!$B$74</f>
        <v/>
      </c>
      <c r="E259" s="41">
        <f>E257*Assumptions!$B$141*Assumptions!$B$46*Assumptions!$B$30*Assumptions!$B$74</f>
        <v/>
      </c>
      <c r="F259" s="41">
        <f>F257*Assumptions!$B$141*Assumptions!$B$46*Assumptions!$B$30*Assumptions!$B$74</f>
        <v/>
      </c>
      <c r="G259" s="41">
        <f>G257*Assumptions!$B$141*Assumptions!$B$46*Assumptions!$B$30*Assumptions!$B$74</f>
        <v/>
      </c>
      <c r="H259" s="41">
        <f>H257*Assumptions!$B$141*Assumptions!$B$46*Assumptions!$B$30*Assumptions!$B$74</f>
        <v/>
      </c>
      <c r="I259" s="41">
        <f>I257*Assumptions!$B$141*Assumptions!$B$46*Assumptions!$B$30*Assumptions!$B$74</f>
        <v/>
      </c>
      <c r="J259" s="41">
        <f>J257*Assumptions!$B$141*Assumptions!$B$46*Assumptions!$B$30*Assumptions!$B$74</f>
        <v/>
      </c>
      <c r="K259" s="41">
        <f>K257*Assumptions!$B$141*Assumptions!$B$46*Assumptions!$B$30*Assumptions!$B$74</f>
        <v/>
      </c>
      <c r="L259" s="41">
        <f>L257*Assumptions!$B$141*Assumptions!$B$46*Assumptions!$B$30*Assumptions!$B$74</f>
        <v/>
      </c>
      <c r="M259" s="41">
        <f>M257*Assumptions!$B$141*Assumptions!$B$46*Assumptions!$B$30*Assumptions!$B$74</f>
        <v/>
      </c>
      <c r="N259" s="41">
        <f>N257*Assumptions!$B$141*Assumptions!$B$46*Assumptions!$B$30*Assumptions!$B$74</f>
        <v/>
      </c>
      <c r="O259" s="41">
        <f>O257*Assumptions!$B$141*Assumptions!$B$46*Assumptions!$B$30*Assumptions!$B$74</f>
        <v/>
      </c>
      <c r="P259" s="41">
        <f>P257*Assumptions!$B$141*Assumptions!$B$46*Assumptions!$B$30*Assumptions!$B$74</f>
        <v/>
      </c>
      <c r="Q259" s="41">
        <f>Q257*Assumptions!$B$141*Assumptions!$B$46*Assumptions!$B$30*Assumptions!$B$74</f>
        <v/>
      </c>
      <c r="R259" s="41">
        <f>R257*Assumptions!$B$141*Assumptions!$B$46*Assumptions!$B$30*Assumptions!$B$74</f>
        <v/>
      </c>
      <c r="S259" s="41">
        <f>S257*Assumptions!$B$141*Assumptions!$B$46*Assumptions!$B$30*Assumptions!$B$74</f>
        <v/>
      </c>
      <c r="T259" s="41">
        <f>T257*Assumptions!$B$141*Assumptions!$B$46*Assumptions!$B$30*Assumptions!$B$74</f>
        <v/>
      </c>
      <c r="U259" s="41">
        <f>U257*Assumptions!$B$141*Assumptions!$B$46*Assumptions!$B$30*Assumptions!$B$74</f>
        <v/>
      </c>
      <c r="V259" s="41">
        <f>V257*Assumptions!$B$141*Assumptions!$B$46*Assumptions!$B$30*Assumptions!$B$74</f>
        <v/>
      </c>
      <c r="W259" s="41">
        <f>W257*Assumptions!$B$141*Assumptions!$B$46*Assumptions!$B$30*Assumptions!$B$74</f>
        <v/>
      </c>
      <c r="X259" s="41">
        <f>X257*Assumptions!$B$141*Assumptions!$B$46*Assumptions!$B$30*Assumptions!$B$74</f>
        <v/>
      </c>
      <c r="Y259" s="41">
        <f>Y257*Assumptions!$B$141*Assumptions!$B$46*Assumptions!$B$30*Assumptions!$B$74</f>
        <v/>
      </c>
      <c r="Z259" s="41">
        <f>Z257*Assumptions!$B$141*Assumptions!$B$46*Assumptions!$B$30*Assumptions!$B$74</f>
        <v/>
      </c>
      <c r="AA259" s="41">
        <f>AA257*Assumptions!$B$141*Assumptions!$B$46*Assumptions!$B$30*Assumptions!$B$74</f>
        <v/>
      </c>
      <c r="AB259" s="41">
        <f>AB257*Assumptions!$B$141*Assumptions!$B$46*Assumptions!$B$30*Assumptions!$B$74</f>
        <v/>
      </c>
      <c r="AC259" s="41">
        <f>AC257*Assumptions!$B$141*Assumptions!$B$46*Assumptions!$B$30*Assumptions!$B$74</f>
        <v/>
      </c>
      <c r="AD259" s="41">
        <f>AD257*Assumptions!$B$141*Assumptions!$B$46*Assumptions!$B$30*Assumptions!$B$74</f>
        <v/>
      </c>
      <c r="AE259" s="41">
        <f>AE257*Assumptions!$B$141*Assumptions!$B$46*Assumptions!$B$30*Assumptions!$B$74</f>
        <v/>
      </c>
      <c r="AF259" s="41">
        <f>AF257*Assumptions!$B$141*Assumptions!$B$46*Assumptions!$B$30*Assumptions!$B$74</f>
        <v/>
      </c>
      <c r="AG259" s="41">
        <f>AG257*Assumptions!$B$141*Assumptions!$B$46*Assumptions!$B$30*Assumptions!$B$74</f>
        <v/>
      </c>
      <c r="AH259" s="41">
        <f>AH257*Assumptions!$B$141*Assumptions!$B$46*Assumptions!$B$30*Assumptions!$B$74</f>
        <v/>
      </c>
      <c r="AI259" s="41">
        <f>AI257*Assumptions!$B$141*Assumptions!$B$46*Assumptions!$B$30*Assumptions!$B$74</f>
        <v/>
      </c>
      <c r="AJ259" s="41">
        <f>AJ257*Assumptions!$B$141*Assumptions!$B$46*Assumptions!$B$30*Assumptions!$B$74</f>
        <v/>
      </c>
      <c r="AK259" s="41">
        <f>AK257*Assumptions!$B$141*Assumptions!$B$46*Assumptions!$B$30*Assumptions!$B$74</f>
        <v/>
      </c>
      <c r="AL259" s="41">
        <f>AL257*Assumptions!$B$141*Assumptions!$B$46*Assumptions!$B$30*Assumptions!$B$74</f>
        <v/>
      </c>
      <c r="AM259" s="41">
        <f>AM257*Assumptions!$B$141*Assumptions!$B$46*Assumptions!$B$30*Assumptions!$B$74</f>
        <v/>
      </c>
      <c r="AN259" s="41">
        <f>AN257*Assumptions!$B$141*Assumptions!$B$46*Assumptions!$B$30*Assumptions!$B$74</f>
        <v/>
      </c>
      <c r="AO259" s="41">
        <f>AO257*Assumptions!$B$141*Assumptions!$B$46*Assumptions!$B$30*Assumptions!$B$74</f>
        <v/>
      </c>
      <c r="AP259" s="41">
        <f>AP257*Assumptions!$B$141*Assumptions!$B$46*Assumptions!$B$30*Assumptions!$B$74</f>
        <v/>
      </c>
      <c r="AQ259" s="41">
        <f>AQ257*Assumptions!$B$141*Assumptions!$B$46*Assumptions!$B$30*Assumptions!$B$74</f>
        <v/>
      </c>
      <c r="AR259" s="41">
        <f>AR257*Assumptions!$B$141*Assumptions!$B$46*Assumptions!$B$30*Assumptions!$B$74</f>
        <v/>
      </c>
      <c r="AS259" s="41">
        <f>AS257*Assumptions!$B$141*Assumptions!$B$46*Assumptions!$B$30*Assumptions!$B$74</f>
        <v/>
      </c>
      <c r="AT259" s="41">
        <f>AT257*Assumptions!$B$141*Assumptions!$B$46*Assumptions!$B$30*Assumptions!$B$74</f>
        <v/>
      </c>
      <c r="AU259" s="41">
        <f>AU257*Assumptions!$B$141*Assumptions!$B$46*Assumptions!$B$30*Assumptions!$B$74</f>
        <v/>
      </c>
      <c r="AV259" s="41">
        <f>AV257*Assumptions!$B$141*Assumptions!$B$46*Assumptions!$B$30*Assumptions!$B$74</f>
        <v/>
      </c>
      <c r="AW259" s="41">
        <f>AW257*Assumptions!$B$141*Assumptions!$B$46*Assumptions!$B$30*Assumptions!$B$74</f>
        <v/>
      </c>
      <c r="AX259" s="41">
        <f>AX257*Assumptions!$B$141*Assumptions!$B$46*Assumptions!$B$30*Assumptions!$B$74</f>
        <v/>
      </c>
      <c r="AY259" s="41">
        <f>AY257*Assumptions!$B$141*Assumptions!$B$46*Assumptions!$B$30*Assumptions!$B$74</f>
        <v/>
      </c>
      <c r="AZ259" s="41">
        <f>AZ257*Assumptions!$B$141*Assumptions!$B$46*Assumptions!$B$30*Assumptions!$B$74</f>
        <v/>
      </c>
      <c r="BA259" s="41">
        <f>BA257*Assumptions!$B$141*Assumptions!$B$46*Assumptions!$B$30*Assumptions!$B$74</f>
        <v/>
      </c>
      <c r="BB259" s="41">
        <f>BB257*Assumptions!$B$141*Assumptions!$B$46*Assumptions!$B$30*Assumptions!$B$74</f>
        <v/>
      </c>
      <c r="BC259" s="41">
        <f>BC257*Assumptions!$B$141*Assumptions!$B$46*Assumptions!$B$30*Assumptions!$B$74</f>
        <v/>
      </c>
      <c r="BD259" s="41">
        <f>BD257*Assumptions!$B$141*Assumptions!$B$46*Assumptions!$B$30*Assumptions!$B$74</f>
        <v/>
      </c>
      <c r="BE259" s="41">
        <f>BE257*Assumptions!$B$141*Assumptions!$B$46*Assumptions!$B$30*Assumptions!$B$74</f>
        <v/>
      </c>
      <c r="BF259" s="41">
        <f>BF257*Assumptions!$B$141*Assumptions!$B$46*Assumptions!$B$30*Assumptions!$B$74</f>
        <v/>
      </c>
      <c r="BG259" s="41">
        <f>BG257*Assumptions!$B$141*Assumptions!$B$46*Assumptions!$B$30*Assumptions!$B$74</f>
        <v/>
      </c>
      <c r="BH259" s="41">
        <f>BH257*Assumptions!$B$141*Assumptions!$B$46*Assumptions!$B$30*Assumptions!$B$74</f>
        <v/>
      </c>
      <c r="BI259" s="41">
        <f>BI257*Assumptions!$B$141*Assumptions!$B$46*Assumptions!$B$30*Assumptions!$B$74</f>
        <v/>
      </c>
      <c r="BJ259" s="41">
        <f>BJ257*Assumptions!$B$141*Assumptions!$B$46*Assumptions!$B$30*Assumptions!$B$74</f>
        <v/>
      </c>
    </row>
    <row r="260">
      <c r="A260" s="4" t="inlineStr">
        <is>
          <t>Kenya: SME: Growth (direct or upgraded): upgraded out</t>
        </is>
      </c>
      <c r="B260" s="17" t="inlineStr">
        <is>
          <t>workspaces</t>
        </is>
      </c>
      <c r="C260" s="41">
        <f>C257*Assumptions!$B$133</f>
        <v/>
      </c>
      <c r="D260" s="41">
        <f>D257*Assumptions!$B$133</f>
        <v/>
      </c>
      <c r="E260" s="41">
        <f>E257*Assumptions!$B$133</f>
        <v/>
      </c>
      <c r="F260" s="41">
        <f>F257*Assumptions!$B$133</f>
        <v/>
      </c>
      <c r="G260" s="41">
        <f>G257*Assumptions!$B$133</f>
        <v/>
      </c>
      <c r="H260" s="41">
        <f>H257*Assumptions!$B$133</f>
        <v/>
      </c>
      <c r="I260" s="41">
        <f>I257*Assumptions!$B$133</f>
        <v/>
      </c>
      <c r="J260" s="41">
        <f>J257*Assumptions!$B$133</f>
        <v/>
      </c>
      <c r="K260" s="41">
        <f>K257*Assumptions!$B$133</f>
        <v/>
      </c>
      <c r="L260" s="41">
        <f>L257*Assumptions!$B$133</f>
        <v/>
      </c>
      <c r="M260" s="41">
        <f>M257*Assumptions!$B$133</f>
        <v/>
      </c>
      <c r="N260" s="41">
        <f>N257*Assumptions!$B$133</f>
        <v/>
      </c>
      <c r="O260" s="41">
        <f>O257*Assumptions!$B$133</f>
        <v/>
      </c>
      <c r="P260" s="41">
        <f>P257*Assumptions!$B$133</f>
        <v/>
      </c>
      <c r="Q260" s="41">
        <f>Q257*Assumptions!$B$133</f>
        <v/>
      </c>
      <c r="R260" s="41">
        <f>R257*Assumptions!$B$133</f>
        <v/>
      </c>
      <c r="S260" s="41">
        <f>S257*Assumptions!$B$133</f>
        <v/>
      </c>
      <c r="T260" s="41">
        <f>T257*Assumptions!$B$133</f>
        <v/>
      </c>
      <c r="U260" s="41">
        <f>U257*Assumptions!$B$133</f>
        <v/>
      </c>
      <c r="V260" s="41">
        <f>V257*Assumptions!$B$133</f>
        <v/>
      </c>
      <c r="W260" s="41">
        <f>W257*Assumptions!$B$133</f>
        <v/>
      </c>
      <c r="X260" s="41">
        <f>X257*Assumptions!$B$133</f>
        <v/>
      </c>
      <c r="Y260" s="41">
        <f>Y257*Assumptions!$B$133</f>
        <v/>
      </c>
      <c r="Z260" s="41">
        <f>Z257*Assumptions!$B$133</f>
        <v/>
      </c>
      <c r="AA260" s="41">
        <f>AA257*Assumptions!$B$133</f>
        <v/>
      </c>
      <c r="AB260" s="41">
        <f>AB257*Assumptions!$B$133</f>
        <v/>
      </c>
      <c r="AC260" s="41">
        <f>AC257*Assumptions!$B$133</f>
        <v/>
      </c>
      <c r="AD260" s="41">
        <f>AD257*Assumptions!$B$133</f>
        <v/>
      </c>
      <c r="AE260" s="41">
        <f>AE257*Assumptions!$B$133</f>
        <v/>
      </c>
      <c r="AF260" s="41">
        <f>AF257*Assumptions!$B$133</f>
        <v/>
      </c>
      <c r="AG260" s="41">
        <f>AG257*Assumptions!$B$133</f>
        <v/>
      </c>
      <c r="AH260" s="41">
        <f>AH257*Assumptions!$B$133</f>
        <v/>
      </c>
      <c r="AI260" s="41">
        <f>AI257*Assumptions!$B$133</f>
        <v/>
      </c>
      <c r="AJ260" s="41">
        <f>AJ257*Assumptions!$B$133</f>
        <v/>
      </c>
      <c r="AK260" s="41">
        <f>AK257*Assumptions!$B$133</f>
        <v/>
      </c>
      <c r="AL260" s="41">
        <f>AL257*Assumptions!$B$133</f>
        <v/>
      </c>
      <c r="AM260" s="41">
        <f>AM257*Assumptions!$B$133</f>
        <v/>
      </c>
      <c r="AN260" s="41">
        <f>AN257*Assumptions!$B$133</f>
        <v/>
      </c>
      <c r="AO260" s="41">
        <f>AO257*Assumptions!$B$133</f>
        <v/>
      </c>
      <c r="AP260" s="41">
        <f>AP257*Assumptions!$B$133</f>
        <v/>
      </c>
      <c r="AQ260" s="41">
        <f>AQ257*Assumptions!$B$133</f>
        <v/>
      </c>
      <c r="AR260" s="41">
        <f>AR257*Assumptions!$B$133</f>
        <v/>
      </c>
      <c r="AS260" s="41">
        <f>AS257*Assumptions!$B$133</f>
        <v/>
      </c>
      <c r="AT260" s="41">
        <f>AT257*Assumptions!$B$133</f>
        <v/>
      </c>
      <c r="AU260" s="41">
        <f>AU257*Assumptions!$B$133</f>
        <v/>
      </c>
      <c r="AV260" s="41">
        <f>AV257*Assumptions!$B$133</f>
        <v/>
      </c>
      <c r="AW260" s="41">
        <f>AW257*Assumptions!$B$133</f>
        <v/>
      </c>
      <c r="AX260" s="41">
        <f>AX257*Assumptions!$B$133</f>
        <v/>
      </c>
      <c r="AY260" s="41">
        <f>AY257*Assumptions!$B$133</f>
        <v/>
      </c>
      <c r="AZ260" s="41">
        <f>AZ257*Assumptions!$B$133</f>
        <v/>
      </c>
      <c r="BA260" s="41">
        <f>BA257*Assumptions!$B$133</f>
        <v/>
      </c>
      <c r="BB260" s="41">
        <f>BB257*Assumptions!$B$133</f>
        <v/>
      </c>
      <c r="BC260" s="41">
        <f>BC257*Assumptions!$B$133</f>
        <v/>
      </c>
      <c r="BD260" s="41">
        <f>BD257*Assumptions!$B$133</f>
        <v/>
      </c>
      <c r="BE260" s="41">
        <f>BE257*Assumptions!$B$133</f>
        <v/>
      </c>
      <c r="BF260" s="41">
        <f>BF257*Assumptions!$B$133</f>
        <v/>
      </c>
      <c r="BG260" s="41">
        <f>BG257*Assumptions!$B$133</f>
        <v/>
      </c>
      <c r="BH260" s="41">
        <f>BH257*Assumptions!$B$133</f>
        <v/>
      </c>
      <c r="BI260" s="41">
        <f>BI257*Assumptions!$B$133</f>
        <v/>
      </c>
      <c r="BJ260" s="41">
        <f>BJ257*Assumptions!$B$133</f>
        <v/>
      </c>
    </row>
    <row r="261">
      <c r="A261" s="3" t="inlineStr">
        <is>
          <t>Kenya: SME: Growth (direct or upgraded): closing</t>
        </is>
      </c>
      <c r="B261" s="17" t="inlineStr">
        <is>
          <t>workspaces</t>
        </is>
      </c>
      <c r="C261" s="44">
        <f>C257+C258-C259-C260</f>
        <v/>
      </c>
      <c r="D261" s="44">
        <f>D257+D258-D259-D260</f>
        <v/>
      </c>
      <c r="E261" s="44">
        <f>E257+E258-E259-E260</f>
        <v/>
      </c>
      <c r="F261" s="44">
        <f>F257+F258-F259-F260</f>
        <v/>
      </c>
      <c r="G261" s="44">
        <f>G257+G258-G259-G260</f>
        <v/>
      </c>
      <c r="H261" s="44">
        <f>H257+H258-H259-H260</f>
        <v/>
      </c>
      <c r="I261" s="44">
        <f>I257+I258-I259-I260</f>
        <v/>
      </c>
      <c r="J261" s="44">
        <f>J257+J258-J259-J260</f>
        <v/>
      </c>
      <c r="K261" s="44">
        <f>K257+K258-K259-K260</f>
        <v/>
      </c>
      <c r="L261" s="44">
        <f>L257+L258-L259-L260</f>
        <v/>
      </c>
      <c r="M261" s="44">
        <f>M257+M258-M259-M260</f>
        <v/>
      </c>
      <c r="N261" s="44">
        <f>N257+N258-N259-N260</f>
        <v/>
      </c>
      <c r="O261" s="44">
        <f>O257+O258-O259-O260</f>
        <v/>
      </c>
      <c r="P261" s="44">
        <f>P257+P258-P259-P260</f>
        <v/>
      </c>
      <c r="Q261" s="44">
        <f>Q257+Q258-Q259-Q260</f>
        <v/>
      </c>
      <c r="R261" s="44">
        <f>R257+R258-R259-R260</f>
        <v/>
      </c>
      <c r="S261" s="44">
        <f>S257+S258-S259-S260</f>
        <v/>
      </c>
      <c r="T261" s="44">
        <f>T257+T258-T259-T260</f>
        <v/>
      </c>
      <c r="U261" s="44">
        <f>U257+U258-U259-U260</f>
        <v/>
      </c>
      <c r="V261" s="44">
        <f>V257+V258-V259-V260</f>
        <v/>
      </c>
      <c r="W261" s="44">
        <f>W257+W258-W259-W260</f>
        <v/>
      </c>
      <c r="X261" s="44">
        <f>X257+X258-X259-X260</f>
        <v/>
      </c>
      <c r="Y261" s="44">
        <f>Y257+Y258-Y259-Y260</f>
        <v/>
      </c>
      <c r="Z261" s="44">
        <f>Z257+Z258-Z259-Z260</f>
        <v/>
      </c>
      <c r="AA261" s="44">
        <f>AA257+AA258-AA259-AA260</f>
        <v/>
      </c>
      <c r="AB261" s="44">
        <f>AB257+AB258-AB259-AB260</f>
        <v/>
      </c>
      <c r="AC261" s="44">
        <f>AC257+AC258-AC259-AC260</f>
        <v/>
      </c>
      <c r="AD261" s="44">
        <f>AD257+AD258-AD259-AD260</f>
        <v/>
      </c>
      <c r="AE261" s="44">
        <f>AE257+AE258-AE259-AE260</f>
        <v/>
      </c>
      <c r="AF261" s="44">
        <f>AF257+AF258-AF259-AF260</f>
        <v/>
      </c>
      <c r="AG261" s="44">
        <f>AG257+AG258-AG259-AG260</f>
        <v/>
      </c>
      <c r="AH261" s="44">
        <f>AH257+AH258-AH259-AH260</f>
        <v/>
      </c>
      <c r="AI261" s="44">
        <f>AI257+AI258-AI259-AI260</f>
        <v/>
      </c>
      <c r="AJ261" s="44">
        <f>AJ257+AJ258-AJ259-AJ260</f>
        <v/>
      </c>
      <c r="AK261" s="44">
        <f>AK257+AK258-AK259-AK260</f>
        <v/>
      </c>
      <c r="AL261" s="44">
        <f>AL257+AL258-AL259-AL260</f>
        <v/>
      </c>
      <c r="AM261" s="44">
        <f>AM257+AM258-AM259-AM260</f>
        <v/>
      </c>
      <c r="AN261" s="44">
        <f>AN257+AN258-AN259-AN260</f>
        <v/>
      </c>
      <c r="AO261" s="44">
        <f>AO257+AO258-AO259-AO260</f>
        <v/>
      </c>
      <c r="AP261" s="44">
        <f>AP257+AP258-AP259-AP260</f>
        <v/>
      </c>
      <c r="AQ261" s="44">
        <f>AQ257+AQ258-AQ259-AQ260</f>
        <v/>
      </c>
      <c r="AR261" s="44">
        <f>AR257+AR258-AR259-AR260</f>
        <v/>
      </c>
      <c r="AS261" s="44">
        <f>AS257+AS258-AS259-AS260</f>
        <v/>
      </c>
      <c r="AT261" s="44">
        <f>AT257+AT258-AT259-AT260</f>
        <v/>
      </c>
      <c r="AU261" s="44">
        <f>AU257+AU258-AU259-AU260</f>
        <v/>
      </c>
      <c r="AV261" s="44">
        <f>AV257+AV258-AV259-AV260</f>
        <v/>
      </c>
      <c r="AW261" s="44">
        <f>AW257+AW258-AW259-AW260</f>
        <v/>
      </c>
      <c r="AX261" s="44">
        <f>AX257+AX258-AX259-AX260</f>
        <v/>
      </c>
      <c r="AY261" s="44">
        <f>AY257+AY258-AY259-AY260</f>
        <v/>
      </c>
      <c r="AZ261" s="44">
        <f>AZ257+AZ258-AZ259-AZ260</f>
        <v/>
      </c>
      <c r="BA261" s="44">
        <f>BA257+BA258-BA259-BA260</f>
        <v/>
      </c>
      <c r="BB261" s="44">
        <f>BB257+BB258-BB259-BB260</f>
        <v/>
      </c>
      <c r="BC261" s="44">
        <f>BC257+BC258-BC259-BC260</f>
        <v/>
      </c>
      <c r="BD261" s="44">
        <f>BD257+BD258-BD259-BD260</f>
        <v/>
      </c>
      <c r="BE261" s="44">
        <f>BE257+BE258-BE259-BE260</f>
        <v/>
      </c>
      <c r="BF261" s="44">
        <f>BF257+BF258-BF259-BF260</f>
        <v/>
      </c>
      <c r="BG261" s="44">
        <f>BG257+BG258-BG259-BG260</f>
        <v/>
      </c>
      <c r="BH261" s="44">
        <f>BH257+BH258-BH259-BH260</f>
        <v/>
      </c>
      <c r="BI261" s="44">
        <f>BI257+BI258-BI259-BI260</f>
        <v/>
      </c>
      <c r="BJ261" s="44">
        <f>BJ257+BJ258-BJ259-BJ260</f>
        <v/>
      </c>
    </row>
    <row r="262">
      <c r="A262" s="4" t="inlineStr">
        <is>
          <t>Kenya: SME: Scale (direct or upgraded): opening</t>
        </is>
      </c>
      <c r="B262" s="17" t="inlineStr">
        <is>
          <t>workspaces</t>
        </is>
      </c>
      <c r="C262" s="41">
        <f>0</f>
        <v/>
      </c>
      <c r="D262" s="41">
        <f>C265</f>
        <v/>
      </c>
      <c r="E262" s="41">
        <f>D265</f>
        <v/>
      </c>
      <c r="F262" s="41">
        <f>E265</f>
        <v/>
      </c>
      <c r="G262" s="41">
        <f>F265</f>
        <v/>
      </c>
      <c r="H262" s="41">
        <f>G265</f>
        <v/>
      </c>
      <c r="I262" s="41">
        <f>H265</f>
        <v/>
      </c>
      <c r="J262" s="41">
        <f>I265</f>
        <v/>
      </c>
      <c r="K262" s="41">
        <f>J265</f>
        <v/>
      </c>
      <c r="L262" s="41">
        <f>K265</f>
        <v/>
      </c>
      <c r="M262" s="41">
        <f>L265</f>
        <v/>
      </c>
      <c r="N262" s="41">
        <f>M265</f>
        <v/>
      </c>
      <c r="O262" s="41">
        <f>N265</f>
        <v/>
      </c>
      <c r="P262" s="41">
        <f>O265</f>
        <v/>
      </c>
      <c r="Q262" s="41">
        <f>P265</f>
        <v/>
      </c>
      <c r="R262" s="41">
        <f>Q265</f>
        <v/>
      </c>
      <c r="S262" s="41">
        <f>R265</f>
        <v/>
      </c>
      <c r="T262" s="41">
        <f>S265</f>
        <v/>
      </c>
      <c r="U262" s="41">
        <f>T265</f>
        <v/>
      </c>
      <c r="V262" s="41">
        <f>U265</f>
        <v/>
      </c>
      <c r="W262" s="41">
        <f>V265</f>
        <v/>
      </c>
      <c r="X262" s="41">
        <f>W265</f>
        <v/>
      </c>
      <c r="Y262" s="41">
        <f>X265</f>
        <v/>
      </c>
      <c r="Z262" s="41">
        <f>Y265</f>
        <v/>
      </c>
      <c r="AA262" s="41">
        <f>Z265</f>
        <v/>
      </c>
      <c r="AB262" s="41">
        <f>AA265</f>
        <v/>
      </c>
      <c r="AC262" s="41">
        <f>AB265</f>
        <v/>
      </c>
      <c r="AD262" s="41">
        <f>AC265</f>
        <v/>
      </c>
      <c r="AE262" s="41">
        <f>AD265</f>
        <v/>
      </c>
      <c r="AF262" s="41">
        <f>AE265</f>
        <v/>
      </c>
      <c r="AG262" s="41">
        <f>AF265</f>
        <v/>
      </c>
      <c r="AH262" s="41">
        <f>AG265</f>
        <v/>
      </c>
      <c r="AI262" s="41">
        <f>AH265</f>
        <v/>
      </c>
      <c r="AJ262" s="41">
        <f>AI265</f>
        <v/>
      </c>
      <c r="AK262" s="41">
        <f>AJ265</f>
        <v/>
      </c>
      <c r="AL262" s="41">
        <f>AK265</f>
        <v/>
      </c>
      <c r="AM262" s="41">
        <f>AL265</f>
        <v/>
      </c>
      <c r="AN262" s="41">
        <f>AM265</f>
        <v/>
      </c>
      <c r="AO262" s="41">
        <f>AN265</f>
        <v/>
      </c>
      <c r="AP262" s="41">
        <f>AO265</f>
        <v/>
      </c>
      <c r="AQ262" s="41">
        <f>AP265</f>
        <v/>
      </c>
      <c r="AR262" s="41">
        <f>AQ265</f>
        <v/>
      </c>
      <c r="AS262" s="41">
        <f>AR265</f>
        <v/>
      </c>
      <c r="AT262" s="41">
        <f>AS265</f>
        <v/>
      </c>
      <c r="AU262" s="41">
        <f>AT265</f>
        <v/>
      </c>
      <c r="AV262" s="41">
        <f>AU265</f>
        <v/>
      </c>
      <c r="AW262" s="41">
        <f>AV265</f>
        <v/>
      </c>
      <c r="AX262" s="41">
        <f>AW265</f>
        <v/>
      </c>
      <c r="AY262" s="41">
        <f>AX265</f>
        <v/>
      </c>
      <c r="AZ262" s="41">
        <f>AY265</f>
        <v/>
      </c>
      <c r="BA262" s="41">
        <f>AZ265</f>
        <v/>
      </c>
      <c r="BB262" s="41">
        <f>BA265</f>
        <v/>
      </c>
      <c r="BC262" s="41">
        <f>BB265</f>
        <v/>
      </c>
      <c r="BD262" s="41">
        <f>BC265</f>
        <v/>
      </c>
      <c r="BE262" s="41">
        <f>BD265</f>
        <v/>
      </c>
      <c r="BF262" s="41">
        <f>BE265</f>
        <v/>
      </c>
      <c r="BG262" s="41">
        <f>BF265</f>
        <v/>
      </c>
      <c r="BH262" s="41">
        <f>BG265</f>
        <v/>
      </c>
      <c r="BI262" s="41">
        <f>BH265</f>
        <v/>
      </c>
      <c r="BJ262" s="41">
        <f>BI265</f>
        <v/>
      </c>
    </row>
    <row r="263">
      <c r="A263" s="4" t="inlineStr">
        <is>
          <t>Kenya: SME: Scale (direct or upgraded): new</t>
        </is>
      </c>
      <c r="B263" s="17" t="inlineStr">
        <is>
          <t>workspaces</t>
        </is>
      </c>
      <c r="C263" s="41">
        <f>C151*Assumptions!$B$129+C260</f>
        <v/>
      </c>
      <c r="D263" s="41">
        <f>D151*Assumptions!$B$129+D260</f>
        <v/>
      </c>
      <c r="E263" s="41">
        <f>E151*Assumptions!$B$129+E260</f>
        <v/>
      </c>
      <c r="F263" s="41">
        <f>F151*Assumptions!$B$129+F260</f>
        <v/>
      </c>
      <c r="G263" s="41">
        <f>G151*Assumptions!$B$129+G260</f>
        <v/>
      </c>
      <c r="H263" s="41">
        <f>H151*Assumptions!$B$129+H260</f>
        <v/>
      </c>
      <c r="I263" s="41">
        <f>I151*Assumptions!$B$129+I260</f>
        <v/>
      </c>
      <c r="J263" s="41">
        <f>J151*Assumptions!$B$129+J260</f>
        <v/>
      </c>
      <c r="K263" s="41">
        <f>K151*Assumptions!$B$129+K260</f>
        <v/>
      </c>
      <c r="L263" s="41">
        <f>L151*Assumptions!$B$129+L260</f>
        <v/>
      </c>
      <c r="M263" s="41">
        <f>M151*Assumptions!$B$129+M260</f>
        <v/>
      </c>
      <c r="N263" s="41">
        <f>N151*Assumptions!$B$129+N260</f>
        <v/>
      </c>
      <c r="O263" s="41">
        <f>O151*Assumptions!$B$129+O260</f>
        <v/>
      </c>
      <c r="P263" s="41">
        <f>P151*Assumptions!$B$129+P260</f>
        <v/>
      </c>
      <c r="Q263" s="41">
        <f>Q151*Assumptions!$B$129+Q260</f>
        <v/>
      </c>
      <c r="R263" s="41">
        <f>R151*Assumptions!$B$129+R260</f>
        <v/>
      </c>
      <c r="S263" s="41">
        <f>S151*Assumptions!$B$129+S260</f>
        <v/>
      </c>
      <c r="T263" s="41">
        <f>T151*Assumptions!$B$129+T260</f>
        <v/>
      </c>
      <c r="U263" s="41">
        <f>U151*Assumptions!$B$129+U260</f>
        <v/>
      </c>
      <c r="V263" s="41">
        <f>V151*Assumptions!$B$129+V260</f>
        <v/>
      </c>
      <c r="W263" s="41">
        <f>W151*Assumptions!$B$129+W260</f>
        <v/>
      </c>
      <c r="X263" s="41">
        <f>X151*Assumptions!$B$129+X260</f>
        <v/>
      </c>
      <c r="Y263" s="41">
        <f>Y151*Assumptions!$B$129+Y260</f>
        <v/>
      </c>
      <c r="Z263" s="41">
        <f>Z151*Assumptions!$B$129+Z260</f>
        <v/>
      </c>
      <c r="AA263" s="41">
        <f>AA151*Assumptions!$B$129+AA260</f>
        <v/>
      </c>
      <c r="AB263" s="41">
        <f>AB151*Assumptions!$B$129+AB260</f>
        <v/>
      </c>
      <c r="AC263" s="41">
        <f>AC151*Assumptions!$B$129+AC260</f>
        <v/>
      </c>
      <c r="AD263" s="41">
        <f>AD151*Assumptions!$B$129+AD260</f>
        <v/>
      </c>
      <c r="AE263" s="41">
        <f>AE151*Assumptions!$B$129+AE260</f>
        <v/>
      </c>
      <c r="AF263" s="41">
        <f>AF151*Assumptions!$B$129+AF260</f>
        <v/>
      </c>
      <c r="AG263" s="41">
        <f>AG151*Assumptions!$B$129+AG260</f>
        <v/>
      </c>
      <c r="AH263" s="41">
        <f>AH151*Assumptions!$B$129+AH260</f>
        <v/>
      </c>
      <c r="AI263" s="41">
        <f>AI151*Assumptions!$B$129+AI260</f>
        <v/>
      </c>
      <c r="AJ263" s="41">
        <f>AJ151*Assumptions!$B$129+AJ260</f>
        <v/>
      </c>
      <c r="AK263" s="41">
        <f>AK151*Assumptions!$B$129+AK260</f>
        <v/>
      </c>
      <c r="AL263" s="41">
        <f>AL151*Assumptions!$B$129+AL260</f>
        <v/>
      </c>
      <c r="AM263" s="41">
        <f>AM151*Assumptions!$B$129+AM260</f>
        <v/>
      </c>
      <c r="AN263" s="41">
        <f>AN151*Assumptions!$B$129+AN260</f>
        <v/>
      </c>
      <c r="AO263" s="41">
        <f>AO151*Assumptions!$B$129+AO260</f>
        <v/>
      </c>
      <c r="AP263" s="41">
        <f>AP151*Assumptions!$B$129+AP260</f>
        <v/>
      </c>
      <c r="AQ263" s="41">
        <f>AQ151*Assumptions!$B$129+AQ260</f>
        <v/>
      </c>
      <c r="AR263" s="41">
        <f>AR151*Assumptions!$B$129+AR260</f>
        <v/>
      </c>
      <c r="AS263" s="41">
        <f>AS151*Assumptions!$B$129+AS260</f>
        <v/>
      </c>
      <c r="AT263" s="41">
        <f>AT151*Assumptions!$B$129+AT260</f>
        <v/>
      </c>
      <c r="AU263" s="41">
        <f>AU151*Assumptions!$B$129+AU260</f>
        <v/>
      </c>
      <c r="AV263" s="41">
        <f>AV151*Assumptions!$B$129+AV260</f>
        <v/>
      </c>
      <c r="AW263" s="41">
        <f>AW151*Assumptions!$B$129+AW260</f>
        <v/>
      </c>
      <c r="AX263" s="41">
        <f>AX151*Assumptions!$B$129+AX260</f>
        <v/>
      </c>
      <c r="AY263" s="41">
        <f>AY151*Assumptions!$B$129+AY260</f>
        <v/>
      </c>
      <c r="AZ263" s="41">
        <f>AZ151*Assumptions!$B$129+AZ260</f>
        <v/>
      </c>
      <c r="BA263" s="41">
        <f>BA151*Assumptions!$B$129+BA260</f>
        <v/>
      </c>
      <c r="BB263" s="41">
        <f>BB151*Assumptions!$B$129+BB260</f>
        <v/>
      </c>
      <c r="BC263" s="41">
        <f>BC151*Assumptions!$B$129+BC260</f>
        <v/>
      </c>
      <c r="BD263" s="41">
        <f>BD151*Assumptions!$B$129+BD260</f>
        <v/>
      </c>
      <c r="BE263" s="41">
        <f>BE151*Assumptions!$B$129+BE260</f>
        <v/>
      </c>
      <c r="BF263" s="41">
        <f>BF151*Assumptions!$B$129+BF260</f>
        <v/>
      </c>
      <c r="BG263" s="41">
        <f>BG151*Assumptions!$B$129+BG260</f>
        <v/>
      </c>
      <c r="BH263" s="41">
        <f>BH151*Assumptions!$B$129+BH260</f>
        <v/>
      </c>
      <c r="BI263" s="41">
        <f>BI151*Assumptions!$B$129+BI260</f>
        <v/>
      </c>
      <c r="BJ263" s="41">
        <f>BJ151*Assumptions!$B$129+BJ260</f>
        <v/>
      </c>
    </row>
    <row r="264">
      <c r="A264" s="4" t="inlineStr">
        <is>
          <t>Kenya: SME: Scale (direct or upgraded): churned</t>
        </is>
      </c>
      <c r="B264" s="17" t="inlineStr">
        <is>
          <t>workspaces</t>
        </is>
      </c>
      <c r="C264" s="41">
        <f>C262*Assumptions!$B$142*Assumptions!$B$46*Assumptions!$B$30*Assumptions!$B$74</f>
        <v/>
      </c>
      <c r="D264" s="41">
        <f>D262*Assumptions!$B$142*Assumptions!$B$46*Assumptions!$B$30*Assumptions!$B$74</f>
        <v/>
      </c>
      <c r="E264" s="41">
        <f>E262*Assumptions!$B$142*Assumptions!$B$46*Assumptions!$B$30*Assumptions!$B$74</f>
        <v/>
      </c>
      <c r="F264" s="41">
        <f>F262*Assumptions!$B$142*Assumptions!$B$46*Assumptions!$B$30*Assumptions!$B$74</f>
        <v/>
      </c>
      <c r="G264" s="41">
        <f>G262*Assumptions!$B$142*Assumptions!$B$46*Assumptions!$B$30*Assumptions!$B$74</f>
        <v/>
      </c>
      <c r="H264" s="41">
        <f>H262*Assumptions!$B$142*Assumptions!$B$46*Assumptions!$B$30*Assumptions!$B$74</f>
        <v/>
      </c>
      <c r="I264" s="41">
        <f>I262*Assumptions!$B$142*Assumptions!$B$46*Assumptions!$B$30*Assumptions!$B$74</f>
        <v/>
      </c>
      <c r="J264" s="41">
        <f>J262*Assumptions!$B$142*Assumptions!$B$46*Assumptions!$B$30*Assumptions!$B$74</f>
        <v/>
      </c>
      <c r="K264" s="41">
        <f>K262*Assumptions!$B$142*Assumptions!$B$46*Assumptions!$B$30*Assumptions!$B$74</f>
        <v/>
      </c>
      <c r="L264" s="41">
        <f>L262*Assumptions!$B$142*Assumptions!$B$46*Assumptions!$B$30*Assumptions!$B$74</f>
        <v/>
      </c>
      <c r="M264" s="41">
        <f>M262*Assumptions!$B$142*Assumptions!$B$46*Assumptions!$B$30*Assumptions!$B$74</f>
        <v/>
      </c>
      <c r="N264" s="41">
        <f>N262*Assumptions!$B$142*Assumptions!$B$46*Assumptions!$B$30*Assumptions!$B$74</f>
        <v/>
      </c>
      <c r="O264" s="41">
        <f>O262*Assumptions!$B$142*Assumptions!$B$46*Assumptions!$B$30*Assumptions!$B$74</f>
        <v/>
      </c>
      <c r="P264" s="41">
        <f>P262*Assumptions!$B$142*Assumptions!$B$46*Assumptions!$B$30*Assumptions!$B$74</f>
        <v/>
      </c>
      <c r="Q264" s="41">
        <f>Q262*Assumptions!$B$142*Assumptions!$B$46*Assumptions!$B$30*Assumptions!$B$74</f>
        <v/>
      </c>
      <c r="R264" s="41">
        <f>R262*Assumptions!$B$142*Assumptions!$B$46*Assumptions!$B$30*Assumptions!$B$74</f>
        <v/>
      </c>
      <c r="S264" s="41">
        <f>S262*Assumptions!$B$142*Assumptions!$B$46*Assumptions!$B$30*Assumptions!$B$74</f>
        <v/>
      </c>
      <c r="T264" s="41">
        <f>T262*Assumptions!$B$142*Assumptions!$B$46*Assumptions!$B$30*Assumptions!$B$74</f>
        <v/>
      </c>
      <c r="U264" s="41">
        <f>U262*Assumptions!$B$142*Assumptions!$B$46*Assumptions!$B$30*Assumptions!$B$74</f>
        <v/>
      </c>
      <c r="V264" s="41">
        <f>V262*Assumptions!$B$142*Assumptions!$B$46*Assumptions!$B$30*Assumptions!$B$74</f>
        <v/>
      </c>
      <c r="W264" s="41">
        <f>W262*Assumptions!$B$142*Assumptions!$B$46*Assumptions!$B$30*Assumptions!$B$74</f>
        <v/>
      </c>
      <c r="X264" s="41">
        <f>X262*Assumptions!$B$142*Assumptions!$B$46*Assumptions!$B$30*Assumptions!$B$74</f>
        <v/>
      </c>
      <c r="Y264" s="41">
        <f>Y262*Assumptions!$B$142*Assumptions!$B$46*Assumptions!$B$30*Assumptions!$B$74</f>
        <v/>
      </c>
      <c r="Z264" s="41">
        <f>Z262*Assumptions!$B$142*Assumptions!$B$46*Assumptions!$B$30*Assumptions!$B$74</f>
        <v/>
      </c>
      <c r="AA264" s="41">
        <f>AA262*Assumptions!$B$142*Assumptions!$B$46*Assumptions!$B$30*Assumptions!$B$74</f>
        <v/>
      </c>
      <c r="AB264" s="41">
        <f>AB262*Assumptions!$B$142*Assumptions!$B$46*Assumptions!$B$30*Assumptions!$B$74</f>
        <v/>
      </c>
      <c r="AC264" s="41">
        <f>AC262*Assumptions!$B$142*Assumptions!$B$46*Assumptions!$B$30*Assumptions!$B$74</f>
        <v/>
      </c>
      <c r="AD264" s="41">
        <f>AD262*Assumptions!$B$142*Assumptions!$B$46*Assumptions!$B$30*Assumptions!$B$74</f>
        <v/>
      </c>
      <c r="AE264" s="41">
        <f>AE262*Assumptions!$B$142*Assumptions!$B$46*Assumptions!$B$30*Assumptions!$B$74</f>
        <v/>
      </c>
      <c r="AF264" s="41">
        <f>AF262*Assumptions!$B$142*Assumptions!$B$46*Assumptions!$B$30*Assumptions!$B$74</f>
        <v/>
      </c>
      <c r="AG264" s="41">
        <f>AG262*Assumptions!$B$142*Assumptions!$B$46*Assumptions!$B$30*Assumptions!$B$74</f>
        <v/>
      </c>
      <c r="AH264" s="41">
        <f>AH262*Assumptions!$B$142*Assumptions!$B$46*Assumptions!$B$30*Assumptions!$B$74</f>
        <v/>
      </c>
      <c r="AI264" s="41">
        <f>AI262*Assumptions!$B$142*Assumptions!$B$46*Assumptions!$B$30*Assumptions!$B$74</f>
        <v/>
      </c>
      <c r="AJ264" s="41">
        <f>AJ262*Assumptions!$B$142*Assumptions!$B$46*Assumptions!$B$30*Assumptions!$B$74</f>
        <v/>
      </c>
      <c r="AK264" s="41">
        <f>AK262*Assumptions!$B$142*Assumptions!$B$46*Assumptions!$B$30*Assumptions!$B$74</f>
        <v/>
      </c>
      <c r="AL264" s="41">
        <f>AL262*Assumptions!$B$142*Assumptions!$B$46*Assumptions!$B$30*Assumptions!$B$74</f>
        <v/>
      </c>
      <c r="AM264" s="41">
        <f>AM262*Assumptions!$B$142*Assumptions!$B$46*Assumptions!$B$30*Assumptions!$B$74</f>
        <v/>
      </c>
      <c r="AN264" s="41">
        <f>AN262*Assumptions!$B$142*Assumptions!$B$46*Assumptions!$B$30*Assumptions!$B$74</f>
        <v/>
      </c>
      <c r="AO264" s="41">
        <f>AO262*Assumptions!$B$142*Assumptions!$B$46*Assumptions!$B$30*Assumptions!$B$74</f>
        <v/>
      </c>
      <c r="AP264" s="41">
        <f>AP262*Assumptions!$B$142*Assumptions!$B$46*Assumptions!$B$30*Assumptions!$B$74</f>
        <v/>
      </c>
      <c r="AQ264" s="41">
        <f>AQ262*Assumptions!$B$142*Assumptions!$B$46*Assumptions!$B$30*Assumptions!$B$74</f>
        <v/>
      </c>
      <c r="AR264" s="41">
        <f>AR262*Assumptions!$B$142*Assumptions!$B$46*Assumptions!$B$30*Assumptions!$B$74</f>
        <v/>
      </c>
      <c r="AS264" s="41">
        <f>AS262*Assumptions!$B$142*Assumptions!$B$46*Assumptions!$B$30*Assumptions!$B$74</f>
        <v/>
      </c>
      <c r="AT264" s="41">
        <f>AT262*Assumptions!$B$142*Assumptions!$B$46*Assumptions!$B$30*Assumptions!$B$74</f>
        <v/>
      </c>
      <c r="AU264" s="41">
        <f>AU262*Assumptions!$B$142*Assumptions!$B$46*Assumptions!$B$30*Assumptions!$B$74</f>
        <v/>
      </c>
      <c r="AV264" s="41">
        <f>AV262*Assumptions!$B$142*Assumptions!$B$46*Assumptions!$B$30*Assumptions!$B$74</f>
        <v/>
      </c>
      <c r="AW264" s="41">
        <f>AW262*Assumptions!$B$142*Assumptions!$B$46*Assumptions!$B$30*Assumptions!$B$74</f>
        <v/>
      </c>
      <c r="AX264" s="41">
        <f>AX262*Assumptions!$B$142*Assumptions!$B$46*Assumptions!$B$30*Assumptions!$B$74</f>
        <v/>
      </c>
      <c r="AY264" s="41">
        <f>AY262*Assumptions!$B$142*Assumptions!$B$46*Assumptions!$B$30*Assumptions!$B$74</f>
        <v/>
      </c>
      <c r="AZ264" s="41">
        <f>AZ262*Assumptions!$B$142*Assumptions!$B$46*Assumptions!$B$30*Assumptions!$B$74</f>
        <v/>
      </c>
      <c r="BA264" s="41">
        <f>BA262*Assumptions!$B$142*Assumptions!$B$46*Assumptions!$B$30*Assumptions!$B$74</f>
        <v/>
      </c>
      <c r="BB264" s="41">
        <f>BB262*Assumptions!$B$142*Assumptions!$B$46*Assumptions!$B$30*Assumptions!$B$74</f>
        <v/>
      </c>
      <c r="BC264" s="41">
        <f>BC262*Assumptions!$B$142*Assumptions!$B$46*Assumptions!$B$30*Assumptions!$B$74</f>
        <v/>
      </c>
      <c r="BD264" s="41">
        <f>BD262*Assumptions!$B$142*Assumptions!$B$46*Assumptions!$B$30*Assumptions!$B$74</f>
        <v/>
      </c>
      <c r="BE264" s="41">
        <f>BE262*Assumptions!$B$142*Assumptions!$B$46*Assumptions!$B$30*Assumptions!$B$74</f>
        <v/>
      </c>
      <c r="BF264" s="41">
        <f>BF262*Assumptions!$B$142*Assumptions!$B$46*Assumptions!$B$30*Assumptions!$B$74</f>
        <v/>
      </c>
      <c r="BG264" s="41">
        <f>BG262*Assumptions!$B$142*Assumptions!$B$46*Assumptions!$B$30*Assumptions!$B$74</f>
        <v/>
      </c>
      <c r="BH264" s="41">
        <f>BH262*Assumptions!$B$142*Assumptions!$B$46*Assumptions!$B$30*Assumptions!$B$74</f>
        <v/>
      </c>
      <c r="BI264" s="41">
        <f>BI262*Assumptions!$B$142*Assumptions!$B$46*Assumptions!$B$30*Assumptions!$B$74</f>
        <v/>
      </c>
      <c r="BJ264" s="41">
        <f>BJ262*Assumptions!$B$142*Assumptions!$B$46*Assumptions!$B$30*Assumptions!$B$74</f>
        <v/>
      </c>
    </row>
    <row r="265">
      <c r="A265" s="3" t="inlineStr">
        <is>
          <t>Kenya: SME: Scale (direct or upgraded): closing</t>
        </is>
      </c>
      <c r="B265" s="17" t="inlineStr">
        <is>
          <t>workspaces</t>
        </is>
      </c>
      <c r="C265" s="44">
        <f>C262+C263-C264</f>
        <v/>
      </c>
      <c r="D265" s="44">
        <f>D262+D263-D264</f>
        <v/>
      </c>
      <c r="E265" s="44">
        <f>E262+E263-E264</f>
        <v/>
      </c>
      <c r="F265" s="44">
        <f>F262+F263-F264</f>
        <v/>
      </c>
      <c r="G265" s="44">
        <f>G262+G263-G264</f>
        <v/>
      </c>
      <c r="H265" s="44">
        <f>H262+H263-H264</f>
        <v/>
      </c>
      <c r="I265" s="44">
        <f>I262+I263-I264</f>
        <v/>
      </c>
      <c r="J265" s="44">
        <f>J262+J263-J264</f>
        <v/>
      </c>
      <c r="K265" s="44">
        <f>K262+K263-K264</f>
        <v/>
      </c>
      <c r="L265" s="44">
        <f>L262+L263-L264</f>
        <v/>
      </c>
      <c r="M265" s="44">
        <f>M262+M263-M264</f>
        <v/>
      </c>
      <c r="N265" s="44">
        <f>N262+N263-N264</f>
        <v/>
      </c>
      <c r="O265" s="44">
        <f>O262+O263-O264</f>
        <v/>
      </c>
      <c r="P265" s="44">
        <f>P262+P263-P264</f>
        <v/>
      </c>
      <c r="Q265" s="44">
        <f>Q262+Q263-Q264</f>
        <v/>
      </c>
      <c r="R265" s="44">
        <f>R262+R263-R264</f>
        <v/>
      </c>
      <c r="S265" s="44">
        <f>S262+S263-S264</f>
        <v/>
      </c>
      <c r="T265" s="44">
        <f>T262+T263-T264</f>
        <v/>
      </c>
      <c r="U265" s="44">
        <f>U262+U263-U264</f>
        <v/>
      </c>
      <c r="V265" s="44">
        <f>V262+V263-V264</f>
        <v/>
      </c>
      <c r="W265" s="44">
        <f>W262+W263-W264</f>
        <v/>
      </c>
      <c r="X265" s="44">
        <f>X262+X263-X264</f>
        <v/>
      </c>
      <c r="Y265" s="44">
        <f>Y262+Y263-Y264</f>
        <v/>
      </c>
      <c r="Z265" s="44">
        <f>Z262+Z263-Z264</f>
        <v/>
      </c>
      <c r="AA265" s="44">
        <f>AA262+AA263-AA264</f>
        <v/>
      </c>
      <c r="AB265" s="44">
        <f>AB262+AB263-AB264</f>
        <v/>
      </c>
      <c r="AC265" s="44">
        <f>AC262+AC263-AC264</f>
        <v/>
      </c>
      <c r="AD265" s="44">
        <f>AD262+AD263-AD264</f>
        <v/>
      </c>
      <c r="AE265" s="44">
        <f>AE262+AE263-AE264</f>
        <v/>
      </c>
      <c r="AF265" s="44">
        <f>AF262+AF263-AF264</f>
        <v/>
      </c>
      <c r="AG265" s="44">
        <f>AG262+AG263-AG264</f>
        <v/>
      </c>
      <c r="AH265" s="44">
        <f>AH262+AH263-AH264</f>
        <v/>
      </c>
      <c r="AI265" s="44">
        <f>AI262+AI263-AI264</f>
        <v/>
      </c>
      <c r="AJ265" s="44">
        <f>AJ262+AJ263-AJ264</f>
        <v/>
      </c>
      <c r="AK265" s="44">
        <f>AK262+AK263-AK264</f>
        <v/>
      </c>
      <c r="AL265" s="44">
        <f>AL262+AL263-AL264</f>
        <v/>
      </c>
      <c r="AM265" s="44">
        <f>AM262+AM263-AM264</f>
        <v/>
      </c>
      <c r="AN265" s="44">
        <f>AN262+AN263-AN264</f>
        <v/>
      </c>
      <c r="AO265" s="44">
        <f>AO262+AO263-AO264</f>
        <v/>
      </c>
      <c r="AP265" s="44">
        <f>AP262+AP263-AP264</f>
        <v/>
      </c>
      <c r="AQ265" s="44">
        <f>AQ262+AQ263-AQ264</f>
        <v/>
      </c>
      <c r="AR265" s="44">
        <f>AR262+AR263-AR264</f>
        <v/>
      </c>
      <c r="AS265" s="44">
        <f>AS262+AS263-AS264</f>
        <v/>
      </c>
      <c r="AT265" s="44">
        <f>AT262+AT263-AT264</f>
        <v/>
      </c>
      <c r="AU265" s="44">
        <f>AU262+AU263-AU264</f>
        <v/>
      </c>
      <c r="AV265" s="44">
        <f>AV262+AV263-AV264</f>
        <v/>
      </c>
      <c r="AW265" s="44">
        <f>AW262+AW263-AW264</f>
        <v/>
      </c>
      <c r="AX265" s="44">
        <f>AX262+AX263-AX264</f>
        <v/>
      </c>
      <c r="AY265" s="44">
        <f>AY262+AY263-AY264</f>
        <v/>
      </c>
      <c r="AZ265" s="44">
        <f>AZ262+AZ263-AZ264</f>
        <v/>
      </c>
      <c r="BA265" s="44">
        <f>BA262+BA263-BA264</f>
        <v/>
      </c>
      <c r="BB265" s="44">
        <f>BB262+BB263-BB264</f>
        <v/>
      </c>
      <c r="BC265" s="44">
        <f>BC262+BC263-BC264</f>
        <v/>
      </c>
      <c r="BD265" s="44">
        <f>BD262+BD263-BD264</f>
        <v/>
      </c>
      <c r="BE265" s="44">
        <f>BE262+BE263-BE264</f>
        <v/>
      </c>
      <c r="BF265" s="44">
        <f>BF262+BF263-BF264</f>
        <v/>
      </c>
      <c r="BG265" s="44">
        <f>BG262+BG263-BG264</f>
        <v/>
      </c>
      <c r="BH265" s="44">
        <f>BH262+BH263-BH264</f>
        <v/>
      </c>
      <c r="BI265" s="44">
        <f>BI262+BI263-BI264</f>
        <v/>
      </c>
      <c r="BJ265" s="44">
        <f>BJ262+BJ263-BJ264</f>
        <v/>
      </c>
    </row>
    <row r="266">
      <c r="A266" s="4" t="inlineStr">
        <is>
          <t>Kenya: Agency / partner: Agency tier: opening</t>
        </is>
      </c>
      <c r="B266" s="17" t="inlineStr">
        <is>
          <t>workspaces</t>
        </is>
      </c>
      <c r="C266" s="41">
        <f>0</f>
        <v/>
      </c>
      <c r="D266" s="41">
        <f>C269</f>
        <v/>
      </c>
      <c r="E266" s="41">
        <f>D269</f>
        <v/>
      </c>
      <c r="F266" s="41">
        <f>E269</f>
        <v/>
      </c>
      <c r="G266" s="41">
        <f>F269</f>
        <v/>
      </c>
      <c r="H266" s="41">
        <f>G269</f>
        <v/>
      </c>
      <c r="I266" s="41">
        <f>H269</f>
        <v/>
      </c>
      <c r="J266" s="41">
        <f>I269</f>
        <v/>
      </c>
      <c r="K266" s="41">
        <f>J269</f>
        <v/>
      </c>
      <c r="L266" s="41">
        <f>K269</f>
        <v/>
      </c>
      <c r="M266" s="41">
        <f>L269</f>
        <v/>
      </c>
      <c r="N266" s="41">
        <f>M269</f>
        <v/>
      </c>
      <c r="O266" s="41">
        <f>N269</f>
        <v/>
      </c>
      <c r="P266" s="41">
        <f>O269</f>
        <v/>
      </c>
      <c r="Q266" s="41">
        <f>P269</f>
        <v/>
      </c>
      <c r="R266" s="41">
        <f>Q269</f>
        <v/>
      </c>
      <c r="S266" s="41">
        <f>R269</f>
        <v/>
      </c>
      <c r="T266" s="41">
        <f>S269</f>
        <v/>
      </c>
      <c r="U266" s="41">
        <f>T269</f>
        <v/>
      </c>
      <c r="V266" s="41">
        <f>U269</f>
        <v/>
      </c>
      <c r="W266" s="41">
        <f>V269</f>
        <v/>
      </c>
      <c r="X266" s="41">
        <f>W269</f>
        <v/>
      </c>
      <c r="Y266" s="41">
        <f>X269</f>
        <v/>
      </c>
      <c r="Z266" s="41">
        <f>Y269</f>
        <v/>
      </c>
      <c r="AA266" s="41">
        <f>Z269</f>
        <v/>
      </c>
      <c r="AB266" s="41">
        <f>AA269</f>
        <v/>
      </c>
      <c r="AC266" s="41">
        <f>AB269</f>
        <v/>
      </c>
      <c r="AD266" s="41">
        <f>AC269</f>
        <v/>
      </c>
      <c r="AE266" s="41">
        <f>AD269</f>
        <v/>
      </c>
      <c r="AF266" s="41">
        <f>AE269</f>
        <v/>
      </c>
      <c r="AG266" s="41">
        <f>AF269</f>
        <v/>
      </c>
      <c r="AH266" s="41">
        <f>AG269</f>
        <v/>
      </c>
      <c r="AI266" s="41">
        <f>AH269</f>
        <v/>
      </c>
      <c r="AJ266" s="41">
        <f>AI269</f>
        <v/>
      </c>
      <c r="AK266" s="41">
        <f>AJ269</f>
        <v/>
      </c>
      <c r="AL266" s="41">
        <f>AK269</f>
        <v/>
      </c>
      <c r="AM266" s="41">
        <f>AL269</f>
        <v/>
      </c>
      <c r="AN266" s="41">
        <f>AM269</f>
        <v/>
      </c>
      <c r="AO266" s="41">
        <f>AN269</f>
        <v/>
      </c>
      <c r="AP266" s="41">
        <f>AO269</f>
        <v/>
      </c>
      <c r="AQ266" s="41">
        <f>AP269</f>
        <v/>
      </c>
      <c r="AR266" s="41">
        <f>AQ269</f>
        <v/>
      </c>
      <c r="AS266" s="41">
        <f>AR269</f>
        <v/>
      </c>
      <c r="AT266" s="41">
        <f>AS269</f>
        <v/>
      </c>
      <c r="AU266" s="41">
        <f>AT269</f>
        <v/>
      </c>
      <c r="AV266" s="41">
        <f>AU269</f>
        <v/>
      </c>
      <c r="AW266" s="41">
        <f>AV269</f>
        <v/>
      </c>
      <c r="AX266" s="41">
        <f>AW269</f>
        <v/>
      </c>
      <c r="AY266" s="41">
        <f>AX269</f>
        <v/>
      </c>
      <c r="AZ266" s="41">
        <f>AY269</f>
        <v/>
      </c>
      <c r="BA266" s="41">
        <f>AZ269</f>
        <v/>
      </c>
      <c r="BB266" s="41">
        <f>BA269</f>
        <v/>
      </c>
      <c r="BC266" s="41">
        <f>BB269</f>
        <v/>
      </c>
      <c r="BD266" s="41">
        <f>BC269</f>
        <v/>
      </c>
      <c r="BE266" s="41">
        <f>BD269</f>
        <v/>
      </c>
      <c r="BF266" s="41">
        <f>BE269</f>
        <v/>
      </c>
      <c r="BG266" s="41">
        <f>BF269</f>
        <v/>
      </c>
      <c r="BH266" s="41">
        <f>BG269</f>
        <v/>
      </c>
      <c r="BI266" s="41">
        <f>BH269</f>
        <v/>
      </c>
      <c r="BJ266" s="41">
        <f>BI269</f>
        <v/>
      </c>
    </row>
    <row r="267">
      <c r="A267" s="4" t="inlineStr">
        <is>
          <t>Kenya: Agency / partner: Agency tier: new</t>
        </is>
      </c>
      <c r="B267" s="17" t="inlineStr">
        <is>
          <t>workspaces</t>
        </is>
      </c>
      <c r="C267" s="41">
        <f>C160</f>
        <v/>
      </c>
      <c r="D267" s="41">
        <f>D160</f>
        <v/>
      </c>
      <c r="E267" s="41">
        <f>E160</f>
        <v/>
      </c>
      <c r="F267" s="41">
        <f>F160</f>
        <v/>
      </c>
      <c r="G267" s="41">
        <f>G160</f>
        <v/>
      </c>
      <c r="H267" s="41">
        <f>H160</f>
        <v/>
      </c>
      <c r="I267" s="41">
        <f>I160</f>
        <v/>
      </c>
      <c r="J267" s="41">
        <f>J160</f>
        <v/>
      </c>
      <c r="K267" s="41">
        <f>K160</f>
        <v/>
      </c>
      <c r="L267" s="41">
        <f>L160</f>
        <v/>
      </c>
      <c r="M267" s="41">
        <f>M160</f>
        <v/>
      </c>
      <c r="N267" s="41">
        <f>N160</f>
        <v/>
      </c>
      <c r="O267" s="41">
        <f>O160</f>
        <v/>
      </c>
      <c r="P267" s="41">
        <f>P160</f>
        <v/>
      </c>
      <c r="Q267" s="41">
        <f>Q160</f>
        <v/>
      </c>
      <c r="R267" s="41">
        <f>R160</f>
        <v/>
      </c>
      <c r="S267" s="41">
        <f>S160</f>
        <v/>
      </c>
      <c r="T267" s="41">
        <f>T160</f>
        <v/>
      </c>
      <c r="U267" s="41">
        <f>U160</f>
        <v/>
      </c>
      <c r="V267" s="41">
        <f>V160</f>
        <v/>
      </c>
      <c r="W267" s="41">
        <f>W160</f>
        <v/>
      </c>
      <c r="X267" s="41">
        <f>X160</f>
        <v/>
      </c>
      <c r="Y267" s="41">
        <f>Y160</f>
        <v/>
      </c>
      <c r="Z267" s="41">
        <f>Z160</f>
        <v/>
      </c>
      <c r="AA267" s="41">
        <f>AA160</f>
        <v/>
      </c>
      <c r="AB267" s="41">
        <f>AB160</f>
        <v/>
      </c>
      <c r="AC267" s="41">
        <f>AC160</f>
        <v/>
      </c>
      <c r="AD267" s="41">
        <f>AD160</f>
        <v/>
      </c>
      <c r="AE267" s="41">
        <f>AE160</f>
        <v/>
      </c>
      <c r="AF267" s="41">
        <f>AF160</f>
        <v/>
      </c>
      <c r="AG267" s="41">
        <f>AG160</f>
        <v/>
      </c>
      <c r="AH267" s="41">
        <f>AH160</f>
        <v/>
      </c>
      <c r="AI267" s="41">
        <f>AI160</f>
        <v/>
      </c>
      <c r="AJ267" s="41">
        <f>AJ160</f>
        <v/>
      </c>
      <c r="AK267" s="41">
        <f>AK160</f>
        <v/>
      </c>
      <c r="AL267" s="41">
        <f>AL160</f>
        <v/>
      </c>
      <c r="AM267" s="41">
        <f>AM160</f>
        <v/>
      </c>
      <c r="AN267" s="41">
        <f>AN160</f>
        <v/>
      </c>
      <c r="AO267" s="41">
        <f>AO160</f>
        <v/>
      </c>
      <c r="AP267" s="41">
        <f>AP160</f>
        <v/>
      </c>
      <c r="AQ267" s="41">
        <f>AQ160</f>
        <v/>
      </c>
      <c r="AR267" s="41">
        <f>AR160</f>
        <v/>
      </c>
      <c r="AS267" s="41">
        <f>AS160</f>
        <v/>
      </c>
      <c r="AT267" s="41">
        <f>AT160</f>
        <v/>
      </c>
      <c r="AU267" s="41">
        <f>AU160</f>
        <v/>
      </c>
      <c r="AV267" s="41">
        <f>AV160</f>
        <v/>
      </c>
      <c r="AW267" s="41">
        <f>AW160</f>
        <v/>
      </c>
      <c r="AX267" s="41">
        <f>AX160</f>
        <v/>
      </c>
      <c r="AY267" s="41">
        <f>AY160</f>
        <v/>
      </c>
      <c r="AZ267" s="41">
        <f>AZ160</f>
        <v/>
      </c>
      <c r="BA267" s="41">
        <f>BA160</f>
        <v/>
      </c>
      <c r="BB267" s="41">
        <f>BB160</f>
        <v/>
      </c>
      <c r="BC267" s="41">
        <f>BC160</f>
        <v/>
      </c>
      <c r="BD267" s="41">
        <f>BD160</f>
        <v/>
      </c>
      <c r="BE267" s="41">
        <f>BE160</f>
        <v/>
      </c>
      <c r="BF267" s="41">
        <f>BF160</f>
        <v/>
      </c>
      <c r="BG267" s="41">
        <f>BG160</f>
        <v/>
      </c>
      <c r="BH267" s="41">
        <f>BH160</f>
        <v/>
      </c>
      <c r="BI267" s="41">
        <f>BI160</f>
        <v/>
      </c>
      <c r="BJ267" s="41">
        <f>BJ160</f>
        <v/>
      </c>
    </row>
    <row r="268">
      <c r="A268" s="4" t="inlineStr">
        <is>
          <t>Kenya: Agency / partner: Agency tier: churned</t>
        </is>
      </c>
      <c r="B268" s="17" t="inlineStr">
        <is>
          <t>workspaces</t>
        </is>
      </c>
      <c r="C268" s="41">
        <f>C266*Assumptions!$B$143*Assumptions!$B$46*Assumptions!$B$30*Assumptions!$B$74</f>
        <v/>
      </c>
      <c r="D268" s="41">
        <f>D266*Assumptions!$B$143*Assumptions!$B$46*Assumptions!$B$30*Assumptions!$B$74</f>
        <v/>
      </c>
      <c r="E268" s="41">
        <f>E266*Assumptions!$B$143*Assumptions!$B$46*Assumptions!$B$30*Assumptions!$B$74</f>
        <v/>
      </c>
      <c r="F268" s="41">
        <f>F266*Assumptions!$B$143*Assumptions!$B$46*Assumptions!$B$30*Assumptions!$B$74</f>
        <v/>
      </c>
      <c r="G268" s="41">
        <f>G266*Assumptions!$B$143*Assumptions!$B$46*Assumptions!$B$30*Assumptions!$B$74</f>
        <v/>
      </c>
      <c r="H268" s="41">
        <f>H266*Assumptions!$B$143*Assumptions!$B$46*Assumptions!$B$30*Assumptions!$B$74</f>
        <v/>
      </c>
      <c r="I268" s="41">
        <f>I266*Assumptions!$B$143*Assumptions!$B$46*Assumptions!$B$30*Assumptions!$B$74</f>
        <v/>
      </c>
      <c r="J268" s="41">
        <f>J266*Assumptions!$B$143*Assumptions!$B$46*Assumptions!$B$30*Assumptions!$B$74</f>
        <v/>
      </c>
      <c r="K268" s="41">
        <f>K266*Assumptions!$B$143*Assumptions!$B$46*Assumptions!$B$30*Assumptions!$B$74</f>
        <v/>
      </c>
      <c r="L268" s="41">
        <f>L266*Assumptions!$B$143*Assumptions!$B$46*Assumptions!$B$30*Assumptions!$B$74</f>
        <v/>
      </c>
      <c r="M268" s="41">
        <f>M266*Assumptions!$B$143*Assumptions!$B$46*Assumptions!$B$30*Assumptions!$B$74</f>
        <v/>
      </c>
      <c r="N268" s="41">
        <f>N266*Assumptions!$B$143*Assumptions!$B$46*Assumptions!$B$30*Assumptions!$B$74</f>
        <v/>
      </c>
      <c r="O268" s="41">
        <f>O266*Assumptions!$B$143*Assumptions!$B$46*Assumptions!$B$30*Assumptions!$B$74</f>
        <v/>
      </c>
      <c r="P268" s="41">
        <f>P266*Assumptions!$B$143*Assumptions!$B$46*Assumptions!$B$30*Assumptions!$B$74</f>
        <v/>
      </c>
      <c r="Q268" s="41">
        <f>Q266*Assumptions!$B$143*Assumptions!$B$46*Assumptions!$B$30*Assumptions!$B$74</f>
        <v/>
      </c>
      <c r="R268" s="41">
        <f>R266*Assumptions!$B$143*Assumptions!$B$46*Assumptions!$B$30*Assumptions!$B$74</f>
        <v/>
      </c>
      <c r="S268" s="41">
        <f>S266*Assumptions!$B$143*Assumptions!$B$46*Assumptions!$B$30*Assumptions!$B$74</f>
        <v/>
      </c>
      <c r="T268" s="41">
        <f>T266*Assumptions!$B$143*Assumptions!$B$46*Assumptions!$B$30*Assumptions!$B$74</f>
        <v/>
      </c>
      <c r="U268" s="41">
        <f>U266*Assumptions!$B$143*Assumptions!$B$46*Assumptions!$B$30*Assumptions!$B$74</f>
        <v/>
      </c>
      <c r="V268" s="41">
        <f>V266*Assumptions!$B$143*Assumptions!$B$46*Assumptions!$B$30*Assumptions!$B$74</f>
        <v/>
      </c>
      <c r="W268" s="41">
        <f>W266*Assumptions!$B$143*Assumptions!$B$46*Assumptions!$B$30*Assumptions!$B$74</f>
        <v/>
      </c>
      <c r="X268" s="41">
        <f>X266*Assumptions!$B$143*Assumptions!$B$46*Assumptions!$B$30*Assumptions!$B$74</f>
        <v/>
      </c>
      <c r="Y268" s="41">
        <f>Y266*Assumptions!$B$143*Assumptions!$B$46*Assumptions!$B$30*Assumptions!$B$74</f>
        <v/>
      </c>
      <c r="Z268" s="41">
        <f>Z266*Assumptions!$B$143*Assumptions!$B$46*Assumptions!$B$30*Assumptions!$B$74</f>
        <v/>
      </c>
      <c r="AA268" s="41">
        <f>AA266*Assumptions!$B$143*Assumptions!$B$46*Assumptions!$B$30*Assumptions!$B$74</f>
        <v/>
      </c>
      <c r="AB268" s="41">
        <f>AB266*Assumptions!$B$143*Assumptions!$B$46*Assumptions!$B$30*Assumptions!$B$74</f>
        <v/>
      </c>
      <c r="AC268" s="41">
        <f>AC266*Assumptions!$B$143*Assumptions!$B$46*Assumptions!$B$30*Assumptions!$B$74</f>
        <v/>
      </c>
      <c r="AD268" s="41">
        <f>AD266*Assumptions!$B$143*Assumptions!$B$46*Assumptions!$B$30*Assumptions!$B$74</f>
        <v/>
      </c>
      <c r="AE268" s="41">
        <f>AE266*Assumptions!$B$143*Assumptions!$B$46*Assumptions!$B$30*Assumptions!$B$74</f>
        <v/>
      </c>
      <c r="AF268" s="41">
        <f>AF266*Assumptions!$B$143*Assumptions!$B$46*Assumptions!$B$30*Assumptions!$B$74</f>
        <v/>
      </c>
      <c r="AG268" s="41">
        <f>AG266*Assumptions!$B$143*Assumptions!$B$46*Assumptions!$B$30*Assumptions!$B$74</f>
        <v/>
      </c>
      <c r="AH268" s="41">
        <f>AH266*Assumptions!$B$143*Assumptions!$B$46*Assumptions!$B$30*Assumptions!$B$74</f>
        <v/>
      </c>
      <c r="AI268" s="41">
        <f>AI266*Assumptions!$B$143*Assumptions!$B$46*Assumptions!$B$30*Assumptions!$B$74</f>
        <v/>
      </c>
      <c r="AJ268" s="41">
        <f>AJ266*Assumptions!$B$143*Assumptions!$B$46*Assumptions!$B$30*Assumptions!$B$74</f>
        <v/>
      </c>
      <c r="AK268" s="41">
        <f>AK266*Assumptions!$B$143*Assumptions!$B$46*Assumptions!$B$30*Assumptions!$B$74</f>
        <v/>
      </c>
      <c r="AL268" s="41">
        <f>AL266*Assumptions!$B$143*Assumptions!$B$46*Assumptions!$B$30*Assumptions!$B$74</f>
        <v/>
      </c>
      <c r="AM268" s="41">
        <f>AM266*Assumptions!$B$143*Assumptions!$B$46*Assumptions!$B$30*Assumptions!$B$74</f>
        <v/>
      </c>
      <c r="AN268" s="41">
        <f>AN266*Assumptions!$B$143*Assumptions!$B$46*Assumptions!$B$30*Assumptions!$B$74</f>
        <v/>
      </c>
      <c r="AO268" s="41">
        <f>AO266*Assumptions!$B$143*Assumptions!$B$46*Assumptions!$B$30*Assumptions!$B$74</f>
        <v/>
      </c>
      <c r="AP268" s="41">
        <f>AP266*Assumptions!$B$143*Assumptions!$B$46*Assumptions!$B$30*Assumptions!$B$74</f>
        <v/>
      </c>
      <c r="AQ268" s="41">
        <f>AQ266*Assumptions!$B$143*Assumptions!$B$46*Assumptions!$B$30*Assumptions!$B$74</f>
        <v/>
      </c>
      <c r="AR268" s="41">
        <f>AR266*Assumptions!$B$143*Assumptions!$B$46*Assumptions!$B$30*Assumptions!$B$74</f>
        <v/>
      </c>
      <c r="AS268" s="41">
        <f>AS266*Assumptions!$B$143*Assumptions!$B$46*Assumptions!$B$30*Assumptions!$B$74</f>
        <v/>
      </c>
      <c r="AT268" s="41">
        <f>AT266*Assumptions!$B$143*Assumptions!$B$46*Assumptions!$B$30*Assumptions!$B$74</f>
        <v/>
      </c>
      <c r="AU268" s="41">
        <f>AU266*Assumptions!$B$143*Assumptions!$B$46*Assumptions!$B$30*Assumptions!$B$74</f>
        <v/>
      </c>
      <c r="AV268" s="41">
        <f>AV266*Assumptions!$B$143*Assumptions!$B$46*Assumptions!$B$30*Assumptions!$B$74</f>
        <v/>
      </c>
      <c r="AW268" s="41">
        <f>AW266*Assumptions!$B$143*Assumptions!$B$46*Assumptions!$B$30*Assumptions!$B$74</f>
        <v/>
      </c>
      <c r="AX268" s="41">
        <f>AX266*Assumptions!$B$143*Assumptions!$B$46*Assumptions!$B$30*Assumptions!$B$74</f>
        <v/>
      </c>
      <c r="AY268" s="41">
        <f>AY266*Assumptions!$B$143*Assumptions!$B$46*Assumptions!$B$30*Assumptions!$B$74</f>
        <v/>
      </c>
      <c r="AZ268" s="41">
        <f>AZ266*Assumptions!$B$143*Assumptions!$B$46*Assumptions!$B$30*Assumptions!$B$74</f>
        <v/>
      </c>
      <c r="BA268" s="41">
        <f>BA266*Assumptions!$B$143*Assumptions!$B$46*Assumptions!$B$30*Assumptions!$B$74</f>
        <v/>
      </c>
      <c r="BB268" s="41">
        <f>BB266*Assumptions!$B$143*Assumptions!$B$46*Assumptions!$B$30*Assumptions!$B$74</f>
        <v/>
      </c>
      <c r="BC268" s="41">
        <f>BC266*Assumptions!$B$143*Assumptions!$B$46*Assumptions!$B$30*Assumptions!$B$74</f>
        <v/>
      </c>
      <c r="BD268" s="41">
        <f>BD266*Assumptions!$B$143*Assumptions!$B$46*Assumptions!$B$30*Assumptions!$B$74</f>
        <v/>
      </c>
      <c r="BE268" s="41">
        <f>BE266*Assumptions!$B$143*Assumptions!$B$46*Assumptions!$B$30*Assumptions!$B$74</f>
        <v/>
      </c>
      <c r="BF268" s="41">
        <f>BF266*Assumptions!$B$143*Assumptions!$B$46*Assumptions!$B$30*Assumptions!$B$74</f>
        <v/>
      </c>
      <c r="BG268" s="41">
        <f>BG266*Assumptions!$B$143*Assumptions!$B$46*Assumptions!$B$30*Assumptions!$B$74</f>
        <v/>
      </c>
      <c r="BH268" s="41">
        <f>BH266*Assumptions!$B$143*Assumptions!$B$46*Assumptions!$B$30*Assumptions!$B$74</f>
        <v/>
      </c>
      <c r="BI268" s="41">
        <f>BI266*Assumptions!$B$143*Assumptions!$B$46*Assumptions!$B$30*Assumptions!$B$74</f>
        <v/>
      </c>
      <c r="BJ268" s="41">
        <f>BJ266*Assumptions!$B$143*Assumptions!$B$46*Assumptions!$B$30*Assumptions!$B$74</f>
        <v/>
      </c>
    </row>
    <row r="269">
      <c r="A269" s="3" t="inlineStr">
        <is>
          <t>Kenya: Agency / partner: Agency tier: closing</t>
        </is>
      </c>
      <c r="B269" s="17" t="inlineStr">
        <is>
          <t>workspaces</t>
        </is>
      </c>
      <c r="C269" s="44">
        <f>C266+C267-C268</f>
        <v/>
      </c>
      <c r="D269" s="44">
        <f>D266+D267-D268</f>
        <v/>
      </c>
      <c r="E269" s="44">
        <f>E266+E267-E268</f>
        <v/>
      </c>
      <c r="F269" s="44">
        <f>F266+F267-F268</f>
        <v/>
      </c>
      <c r="G269" s="44">
        <f>G266+G267-G268</f>
        <v/>
      </c>
      <c r="H269" s="44">
        <f>H266+H267-H268</f>
        <v/>
      </c>
      <c r="I269" s="44">
        <f>I266+I267-I268</f>
        <v/>
      </c>
      <c r="J269" s="44">
        <f>J266+J267-J268</f>
        <v/>
      </c>
      <c r="K269" s="44">
        <f>K266+K267-K268</f>
        <v/>
      </c>
      <c r="L269" s="44">
        <f>L266+L267-L268</f>
        <v/>
      </c>
      <c r="M269" s="44">
        <f>M266+M267-M268</f>
        <v/>
      </c>
      <c r="N269" s="44">
        <f>N266+N267-N268</f>
        <v/>
      </c>
      <c r="O269" s="44">
        <f>O266+O267-O268</f>
        <v/>
      </c>
      <c r="P269" s="44">
        <f>P266+P267-P268</f>
        <v/>
      </c>
      <c r="Q269" s="44">
        <f>Q266+Q267-Q268</f>
        <v/>
      </c>
      <c r="R269" s="44">
        <f>R266+R267-R268</f>
        <v/>
      </c>
      <c r="S269" s="44">
        <f>S266+S267-S268</f>
        <v/>
      </c>
      <c r="T269" s="44">
        <f>T266+T267-T268</f>
        <v/>
      </c>
      <c r="U269" s="44">
        <f>U266+U267-U268</f>
        <v/>
      </c>
      <c r="V269" s="44">
        <f>V266+V267-V268</f>
        <v/>
      </c>
      <c r="W269" s="44">
        <f>W266+W267-W268</f>
        <v/>
      </c>
      <c r="X269" s="44">
        <f>X266+X267-X268</f>
        <v/>
      </c>
      <c r="Y269" s="44">
        <f>Y266+Y267-Y268</f>
        <v/>
      </c>
      <c r="Z269" s="44">
        <f>Z266+Z267-Z268</f>
        <v/>
      </c>
      <c r="AA269" s="44">
        <f>AA266+AA267-AA268</f>
        <v/>
      </c>
      <c r="AB269" s="44">
        <f>AB266+AB267-AB268</f>
        <v/>
      </c>
      <c r="AC269" s="44">
        <f>AC266+AC267-AC268</f>
        <v/>
      </c>
      <c r="AD269" s="44">
        <f>AD266+AD267-AD268</f>
        <v/>
      </c>
      <c r="AE269" s="44">
        <f>AE266+AE267-AE268</f>
        <v/>
      </c>
      <c r="AF269" s="44">
        <f>AF266+AF267-AF268</f>
        <v/>
      </c>
      <c r="AG269" s="44">
        <f>AG266+AG267-AG268</f>
        <v/>
      </c>
      <c r="AH269" s="44">
        <f>AH266+AH267-AH268</f>
        <v/>
      </c>
      <c r="AI269" s="44">
        <f>AI266+AI267-AI268</f>
        <v/>
      </c>
      <c r="AJ269" s="44">
        <f>AJ266+AJ267-AJ268</f>
        <v/>
      </c>
      <c r="AK269" s="44">
        <f>AK266+AK267-AK268</f>
        <v/>
      </c>
      <c r="AL269" s="44">
        <f>AL266+AL267-AL268</f>
        <v/>
      </c>
      <c r="AM269" s="44">
        <f>AM266+AM267-AM268</f>
        <v/>
      </c>
      <c r="AN269" s="44">
        <f>AN266+AN267-AN268</f>
        <v/>
      </c>
      <c r="AO269" s="44">
        <f>AO266+AO267-AO268</f>
        <v/>
      </c>
      <c r="AP269" s="44">
        <f>AP266+AP267-AP268</f>
        <v/>
      </c>
      <c r="AQ269" s="44">
        <f>AQ266+AQ267-AQ268</f>
        <v/>
      </c>
      <c r="AR269" s="44">
        <f>AR266+AR267-AR268</f>
        <v/>
      </c>
      <c r="AS269" s="44">
        <f>AS266+AS267-AS268</f>
        <v/>
      </c>
      <c r="AT269" s="44">
        <f>AT266+AT267-AT268</f>
        <v/>
      </c>
      <c r="AU269" s="44">
        <f>AU266+AU267-AU268</f>
        <v/>
      </c>
      <c r="AV269" s="44">
        <f>AV266+AV267-AV268</f>
        <v/>
      </c>
      <c r="AW269" s="44">
        <f>AW266+AW267-AW268</f>
        <v/>
      </c>
      <c r="AX269" s="44">
        <f>AX266+AX267-AX268</f>
        <v/>
      </c>
      <c r="AY269" s="44">
        <f>AY266+AY267-AY268</f>
        <v/>
      </c>
      <c r="AZ269" s="44">
        <f>AZ266+AZ267-AZ268</f>
        <v/>
      </c>
      <c r="BA269" s="44">
        <f>BA266+BA267-BA268</f>
        <v/>
      </c>
      <c r="BB269" s="44">
        <f>BB266+BB267-BB268</f>
        <v/>
      </c>
      <c r="BC269" s="44">
        <f>BC266+BC267-BC268</f>
        <v/>
      </c>
      <c r="BD269" s="44">
        <f>BD266+BD267-BD268</f>
        <v/>
      </c>
      <c r="BE269" s="44">
        <f>BE266+BE267-BE268</f>
        <v/>
      </c>
      <c r="BF269" s="44">
        <f>BF266+BF267-BF268</f>
        <v/>
      </c>
      <c r="BG269" s="44">
        <f>BG266+BG267-BG268</f>
        <v/>
      </c>
      <c r="BH269" s="44">
        <f>BH266+BH267-BH268</f>
        <v/>
      </c>
      <c r="BI269" s="44">
        <f>BI266+BI267-BI268</f>
        <v/>
      </c>
      <c r="BJ269" s="44">
        <f>BJ266+BJ267-BJ268</f>
        <v/>
      </c>
    </row>
    <row r="270">
      <c r="A270" s="4" t="inlineStr">
        <is>
          <t>Ghana: Solo: Nano: opening</t>
        </is>
      </c>
      <c r="B270" s="17" t="inlineStr">
        <is>
          <t>workspaces</t>
        </is>
      </c>
      <c r="C270" s="41">
        <f>0</f>
        <v/>
      </c>
      <c r="D270" s="41">
        <f>C274</f>
        <v/>
      </c>
      <c r="E270" s="41">
        <f>D274</f>
        <v/>
      </c>
      <c r="F270" s="41">
        <f>E274</f>
        <v/>
      </c>
      <c r="G270" s="41">
        <f>F274</f>
        <v/>
      </c>
      <c r="H270" s="41">
        <f>G274</f>
        <v/>
      </c>
      <c r="I270" s="41">
        <f>H274</f>
        <v/>
      </c>
      <c r="J270" s="41">
        <f>I274</f>
        <v/>
      </c>
      <c r="K270" s="41">
        <f>J274</f>
        <v/>
      </c>
      <c r="L270" s="41">
        <f>K274</f>
        <v/>
      </c>
      <c r="M270" s="41">
        <f>L274</f>
        <v/>
      </c>
      <c r="N270" s="41">
        <f>M274</f>
        <v/>
      </c>
      <c r="O270" s="41">
        <f>N274</f>
        <v/>
      </c>
      <c r="P270" s="41">
        <f>O274</f>
        <v/>
      </c>
      <c r="Q270" s="41">
        <f>P274</f>
        <v/>
      </c>
      <c r="R270" s="41">
        <f>Q274</f>
        <v/>
      </c>
      <c r="S270" s="41">
        <f>R274</f>
        <v/>
      </c>
      <c r="T270" s="41">
        <f>S274</f>
        <v/>
      </c>
      <c r="U270" s="41">
        <f>T274</f>
        <v/>
      </c>
      <c r="V270" s="41">
        <f>U274</f>
        <v/>
      </c>
      <c r="W270" s="41">
        <f>V274</f>
        <v/>
      </c>
      <c r="X270" s="41">
        <f>W274</f>
        <v/>
      </c>
      <c r="Y270" s="41">
        <f>X274</f>
        <v/>
      </c>
      <c r="Z270" s="41">
        <f>Y274</f>
        <v/>
      </c>
      <c r="AA270" s="41">
        <f>Z274</f>
        <v/>
      </c>
      <c r="AB270" s="41">
        <f>AA274</f>
        <v/>
      </c>
      <c r="AC270" s="41">
        <f>AB274</f>
        <v/>
      </c>
      <c r="AD270" s="41">
        <f>AC274</f>
        <v/>
      </c>
      <c r="AE270" s="41">
        <f>AD274</f>
        <v/>
      </c>
      <c r="AF270" s="41">
        <f>AE274</f>
        <v/>
      </c>
      <c r="AG270" s="41">
        <f>AF274</f>
        <v/>
      </c>
      <c r="AH270" s="41">
        <f>AG274</f>
        <v/>
      </c>
      <c r="AI270" s="41">
        <f>AH274</f>
        <v/>
      </c>
      <c r="AJ270" s="41">
        <f>AI274</f>
        <v/>
      </c>
      <c r="AK270" s="41">
        <f>AJ274</f>
        <v/>
      </c>
      <c r="AL270" s="41">
        <f>AK274</f>
        <v/>
      </c>
      <c r="AM270" s="41">
        <f>AL274</f>
        <v/>
      </c>
      <c r="AN270" s="41">
        <f>AM274</f>
        <v/>
      </c>
      <c r="AO270" s="41">
        <f>AN274</f>
        <v/>
      </c>
      <c r="AP270" s="41">
        <f>AO274</f>
        <v/>
      </c>
      <c r="AQ270" s="41">
        <f>AP274</f>
        <v/>
      </c>
      <c r="AR270" s="41">
        <f>AQ274</f>
        <v/>
      </c>
      <c r="AS270" s="41">
        <f>AR274</f>
        <v/>
      </c>
      <c r="AT270" s="41">
        <f>AS274</f>
        <v/>
      </c>
      <c r="AU270" s="41">
        <f>AT274</f>
        <v/>
      </c>
      <c r="AV270" s="41">
        <f>AU274</f>
        <v/>
      </c>
      <c r="AW270" s="41">
        <f>AV274</f>
        <v/>
      </c>
      <c r="AX270" s="41">
        <f>AW274</f>
        <v/>
      </c>
      <c r="AY270" s="41">
        <f>AX274</f>
        <v/>
      </c>
      <c r="AZ270" s="41">
        <f>AY274</f>
        <v/>
      </c>
      <c r="BA270" s="41">
        <f>AZ274</f>
        <v/>
      </c>
      <c r="BB270" s="41">
        <f>BA274</f>
        <v/>
      </c>
      <c r="BC270" s="41">
        <f>BB274</f>
        <v/>
      </c>
      <c r="BD270" s="41">
        <f>BC274</f>
        <v/>
      </c>
      <c r="BE270" s="41">
        <f>BD274</f>
        <v/>
      </c>
      <c r="BF270" s="41">
        <f>BE274</f>
        <v/>
      </c>
      <c r="BG270" s="41">
        <f>BF274</f>
        <v/>
      </c>
      <c r="BH270" s="41">
        <f>BG274</f>
        <v/>
      </c>
      <c r="BI270" s="41">
        <f>BH274</f>
        <v/>
      </c>
      <c r="BJ270" s="41">
        <f>BI274</f>
        <v/>
      </c>
    </row>
    <row r="271">
      <c r="A271" s="4" t="inlineStr">
        <is>
          <t>Ghana: Solo: Nano: new</t>
        </is>
      </c>
      <c r="B271" s="17" t="inlineStr">
        <is>
          <t>workspaces</t>
        </is>
      </c>
      <c r="C271" s="41">
        <f>C152*Assumptions!$B$124</f>
        <v/>
      </c>
      <c r="D271" s="41">
        <f>D152*Assumptions!$B$124</f>
        <v/>
      </c>
      <c r="E271" s="41">
        <f>E152*Assumptions!$B$124</f>
        <v/>
      </c>
      <c r="F271" s="41">
        <f>F152*Assumptions!$B$124</f>
        <v/>
      </c>
      <c r="G271" s="41">
        <f>G152*Assumptions!$B$124</f>
        <v/>
      </c>
      <c r="H271" s="41">
        <f>H152*Assumptions!$B$124</f>
        <v/>
      </c>
      <c r="I271" s="41">
        <f>I152*Assumptions!$B$124</f>
        <v/>
      </c>
      <c r="J271" s="41">
        <f>J152*Assumptions!$B$124</f>
        <v/>
      </c>
      <c r="K271" s="41">
        <f>K152*Assumptions!$B$124</f>
        <v/>
      </c>
      <c r="L271" s="41">
        <f>L152*Assumptions!$B$124</f>
        <v/>
      </c>
      <c r="M271" s="41">
        <f>M152*Assumptions!$B$124</f>
        <v/>
      </c>
      <c r="N271" s="41">
        <f>N152*Assumptions!$B$124</f>
        <v/>
      </c>
      <c r="O271" s="41">
        <f>O152*Assumptions!$B$124</f>
        <v/>
      </c>
      <c r="P271" s="41">
        <f>P152*Assumptions!$B$124</f>
        <v/>
      </c>
      <c r="Q271" s="41">
        <f>Q152*Assumptions!$B$124</f>
        <v/>
      </c>
      <c r="R271" s="41">
        <f>R152*Assumptions!$B$124</f>
        <v/>
      </c>
      <c r="S271" s="41">
        <f>S152*Assumptions!$B$124</f>
        <v/>
      </c>
      <c r="T271" s="41">
        <f>T152*Assumptions!$B$124</f>
        <v/>
      </c>
      <c r="U271" s="41">
        <f>U152*Assumptions!$B$124</f>
        <v/>
      </c>
      <c r="V271" s="41">
        <f>V152*Assumptions!$B$124</f>
        <v/>
      </c>
      <c r="W271" s="41">
        <f>W152*Assumptions!$B$124</f>
        <v/>
      </c>
      <c r="X271" s="41">
        <f>X152*Assumptions!$B$124</f>
        <v/>
      </c>
      <c r="Y271" s="41">
        <f>Y152*Assumptions!$B$124</f>
        <v/>
      </c>
      <c r="Z271" s="41">
        <f>Z152*Assumptions!$B$124</f>
        <v/>
      </c>
      <c r="AA271" s="41">
        <f>AA152*Assumptions!$B$124</f>
        <v/>
      </c>
      <c r="AB271" s="41">
        <f>AB152*Assumptions!$B$124</f>
        <v/>
      </c>
      <c r="AC271" s="41">
        <f>AC152*Assumptions!$B$124</f>
        <v/>
      </c>
      <c r="AD271" s="41">
        <f>AD152*Assumptions!$B$124</f>
        <v/>
      </c>
      <c r="AE271" s="41">
        <f>AE152*Assumptions!$B$124</f>
        <v/>
      </c>
      <c r="AF271" s="41">
        <f>AF152*Assumptions!$B$124</f>
        <v/>
      </c>
      <c r="AG271" s="41">
        <f>AG152*Assumptions!$B$124</f>
        <v/>
      </c>
      <c r="AH271" s="41">
        <f>AH152*Assumptions!$B$124</f>
        <v/>
      </c>
      <c r="AI271" s="41">
        <f>AI152*Assumptions!$B$124</f>
        <v/>
      </c>
      <c r="AJ271" s="41">
        <f>AJ152*Assumptions!$B$124</f>
        <v/>
      </c>
      <c r="AK271" s="41">
        <f>AK152*Assumptions!$B$124</f>
        <v/>
      </c>
      <c r="AL271" s="41">
        <f>AL152*Assumptions!$B$124</f>
        <v/>
      </c>
      <c r="AM271" s="41">
        <f>AM152*Assumptions!$B$124</f>
        <v/>
      </c>
      <c r="AN271" s="41">
        <f>AN152*Assumptions!$B$124</f>
        <v/>
      </c>
      <c r="AO271" s="41">
        <f>AO152*Assumptions!$B$124</f>
        <v/>
      </c>
      <c r="AP271" s="41">
        <f>AP152*Assumptions!$B$124</f>
        <v/>
      </c>
      <c r="AQ271" s="41">
        <f>AQ152*Assumptions!$B$124</f>
        <v/>
      </c>
      <c r="AR271" s="41">
        <f>AR152*Assumptions!$B$124</f>
        <v/>
      </c>
      <c r="AS271" s="41">
        <f>AS152*Assumptions!$B$124</f>
        <v/>
      </c>
      <c r="AT271" s="41">
        <f>AT152*Assumptions!$B$124</f>
        <v/>
      </c>
      <c r="AU271" s="41">
        <f>AU152*Assumptions!$B$124</f>
        <v/>
      </c>
      <c r="AV271" s="41">
        <f>AV152*Assumptions!$B$124</f>
        <v/>
      </c>
      <c r="AW271" s="41">
        <f>AW152*Assumptions!$B$124</f>
        <v/>
      </c>
      <c r="AX271" s="41">
        <f>AX152*Assumptions!$B$124</f>
        <v/>
      </c>
      <c r="AY271" s="41">
        <f>AY152*Assumptions!$B$124</f>
        <v/>
      </c>
      <c r="AZ271" s="41">
        <f>AZ152*Assumptions!$B$124</f>
        <v/>
      </c>
      <c r="BA271" s="41">
        <f>BA152*Assumptions!$B$124</f>
        <v/>
      </c>
      <c r="BB271" s="41">
        <f>BB152*Assumptions!$B$124</f>
        <v/>
      </c>
      <c r="BC271" s="41">
        <f>BC152*Assumptions!$B$124</f>
        <v/>
      </c>
      <c r="BD271" s="41">
        <f>BD152*Assumptions!$B$124</f>
        <v/>
      </c>
      <c r="BE271" s="41">
        <f>BE152*Assumptions!$B$124</f>
        <v/>
      </c>
      <c r="BF271" s="41">
        <f>BF152*Assumptions!$B$124</f>
        <v/>
      </c>
      <c r="BG271" s="41">
        <f>BG152*Assumptions!$B$124</f>
        <v/>
      </c>
      <c r="BH271" s="41">
        <f>BH152*Assumptions!$B$124</f>
        <v/>
      </c>
      <c r="BI271" s="41">
        <f>BI152*Assumptions!$B$124</f>
        <v/>
      </c>
      <c r="BJ271" s="41">
        <f>BJ152*Assumptions!$B$124</f>
        <v/>
      </c>
    </row>
    <row r="272">
      <c r="A272" s="4" t="inlineStr">
        <is>
          <t>Ghana: Solo: Nano: churned</t>
        </is>
      </c>
      <c r="B272" s="17" t="inlineStr">
        <is>
          <t>workspaces</t>
        </is>
      </c>
      <c r="C272" s="41">
        <f>C270*Assumptions!$B$137*Assumptions!$B$46*Assumptions!$B$30*Assumptions!$B$84</f>
        <v/>
      </c>
      <c r="D272" s="41">
        <f>D270*Assumptions!$B$137*Assumptions!$B$46*Assumptions!$B$30*Assumptions!$B$84</f>
        <v/>
      </c>
      <c r="E272" s="41">
        <f>E270*Assumptions!$B$137*Assumptions!$B$46*Assumptions!$B$30*Assumptions!$B$84</f>
        <v/>
      </c>
      <c r="F272" s="41">
        <f>F270*Assumptions!$B$137*Assumptions!$B$46*Assumptions!$B$30*Assumptions!$B$84</f>
        <v/>
      </c>
      <c r="G272" s="41">
        <f>G270*Assumptions!$B$137*Assumptions!$B$46*Assumptions!$B$30*Assumptions!$B$84</f>
        <v/>
      </c>
      <c r="H272" s="41">
        <f>H270*Assumptions!$B$137*Assumptions!$B$46*Assumptions!$B$30*Assumptions!$B$84</f>
        <v/>
      </c>
      <c r="I272" s="41">
        <f>I270*Assumptions!$B$137*Assumptions!$B$46*Assumptions!$B$30*Assumptions!$B$84</f>
        <v/>
      </c>
      <c r="J272" s="41">
        <f>J270*Assumptions!$B$137*Assumptions!$B$46*Assumptions!$B$30*Assumptions!$B$84</f>
        <v/>
      </c>
      <c r="K272" s="41">
        <f>K270*Assumptions!$B$137*Assumptions!$B$46*Assumptions!$B$30*Assumptions!$B$84</f>
        <v/>
      </c>
      <c r="L272" s="41">
        <f>L270*Assumptions!$B$137*Assumptions!$B$46*Assumptions!$B$30*Assumptions!$B$84</f>
        <v/>
      </c>
      <c r="M272" s="41">
        <f>M270*Assumptions!$B$137*Assumptions!$B$46*Assumptions!$B$30*Assumptions!$B$84</f>
        <v/>
      </c>
      <c r="N272" s="41">
        <f>N270*Assumptions!$B$137*Assumptions!$B$46*Assumptions!$B$30*Assumptions!$B$84</f>
        <v/>
      </c>
      <c r="O272" s="41">
        <f>O270*Assumptions!$B$137*Assumptions!$B$46*Assumptions!$B$30*Assumptions!$B$84</f>
        <v/>
      </c>
      <c r="P272" s="41">
        <f>P270*Assumptions!$B$137*Assumptions!$B$46*Assumptions!$B$30*Assumptions!$B$84</f>
        <v/>
      </c>
      <c r="Q272" s="41">
        <f>Q270*Assumptions!$B$137*Assumptions!$B$46*Assumptions!$B$30*Assumptions!$B$84</f>
        <v/>
      </c>
      <c r="R272" s="41">
        <f>R270*Assumptions!$B$137*Assumptions!$B$46*Assumptions!$B$30*Assumptions!$B$84</f>
        <v/>
      </c>
      <c r="S272" s="41">
        <f>S270*Assumptions!$B$137*Assumptions!$B$46*Assumptions!$B$30*Assumptions!$B$84</f>
        <v/>
      </c>
      <c r="T272" s="41">
        <f>T270*Assumptions!$B$137*Assumptions!$B$46*Assumptions!$B$30*Assumptions!$B$84</f>
        <v/>
      </c>
      <c r="U272" s="41">
        <f>U270*Assumptions!$B$137*Assumptions!$B$46*Assumptions!$B$30*Assumptions!$B$84</f>
        <v/>
      </c>
      <c r="V272" s="41">
        <f>V270*Assumptions!$B$137*Assumptions!$B$46*Assumptions!$B$30*Assumptions!$B$84</f>
        <v/>
      </c>
      <c r="W272" s="41">
        <f>W270*Assumptions!$B$137*Assumptions!$B$46*Assumptions!$B$30*Assumptions!$B$84</f>
        <v/>
      </c>
      <c r="X272" s="41">
        <f>X270*Assumptions!$B$137*Assumptions!$B$46*Assumptions!$B$30*Assumptions!$B$84</f>
        <v/>
      </c>
      <c r="Y272" s="41">
        <f>Y270*Assumptions!$B$137*Assumptions!$B$46*Assumptions!$B$30*Assumptions!$B$84</f>
        <v/>
      </c>
      <c r="Z272" s="41">
        <f>Z270*Assumptions!$B$137*Assumptions!$B$46*Assumptions!$B$30*Assumptions!$B$84</f>
        <v/>
      </c>
      <c r="AA272" s="41">
        <f>AA270*Assumptions!$B$137*Assumptions!$B$46*Assumptions!$B$30*Assumptions!$B$84</f>
        <v/>
      </c>
      <c r="AB272" s="41">
        <f>AB270*Assumptions!$B$137*Assumptions!$B$46*Assumptions!$B$30*Assumptions!$B$84</f>
        <v/>
      </c>
      <c r="AC272" s="41">
        <f>AC270*Assumptions!$B$137*Assumptions!$B$46*Assumptions!$B$30*Assumptions!$B$84</f>
        <v/>
      </c>
      <c r="AD272" s="41">
        <f>AD270*Assumptions!$B$137*Assumptions!$B$46*Assumptions!$B$30*Assumptions!$B$84</f>
        <v/>
      </c>
      <c r="AE272" s="41">
        <f>AE270*Assumptions!$B$137*Assumptions!$B$46*Assumptions!$B$30*Assumptions!$B$84</f>
        <v/>
      </c>
      <c r="AF272" s="41">
        <f>AF270*Assumptions!$B$137*Assumptions!$B$46*Assumptions!$B$30*Assumptions!$B$84</f>
        <v/>
      </c>
      <c r="AG272" s="41">
        <f>AG270*Assumptions!$B$137*Assumptions!$B$46*Assumptions!$B$30*Assumptions!$B$84</f>
        <v/>
      </c>
      <c r="AH272" s="41">
        <f>AH270*Assumptions!$B$137*Assumptions!$B$46*Assumptions!$B$30*Assumptions!$B$84</f>
        <v/>
      </c>
      <c r="AI272" s="41">
        <f>AI270*Assumptions!$B$137*Assumptions!$B$46*Assumptions!$B$30*Assumptions!$B$84</f>
        <v/>
      </c>
      <c r="AJ272" s="41">
        <f>AJ270*Assumptions!$B$137*Assumptions!$B$46*Assumptions!$B$30*Assumptions!$B$84</f>
        <v/>
      </c>
      <c r="AK272" s="41">
        <f>AK270*Assumptions!$B$137*Assumptions!$B$46*Assumptions!$B$30*Assumptions!$B$84</f>
        <v/>
      </c>
      <c r="AL272" s="41">
        <f>AL270*Assumptions!$B$137*Assumptions!$B$46*Assumptions!$B$30*Assumptions!$B$84</f>
        <v/>
      </c>
      <c r="AM272" s="41">
        <f>AM270*Assumptions!$B$137*Assumptions!$B$46*Assumptions!$B$30*Assumptions!$B$84</f>
        <v/>
      </c>
      <c r="AN272" s="41">
        <f>AN270*Assumptions!$B$137*Assumptions!$B$46*Assumptions!$B$30*Assumptions!$B$84</f>
        <v/>
      </c>
      <c r="AO272" s="41">
        <f>AO270*Assumptions!$B$137*Assumptions!$B$46*Assumptions!$B$30*Assumptions!$B$84</f>
        <v/>
      </c>
      <c r="AP272" s="41">
        <f>AP270*Assumptions!$B$137*Assumptions!$B$46*Assumptions!$B$30*Assumptions!$B$84</f>
        <v/>
      </c>
      <c r="AQ272" s="41">
        <f>AQ270*Assumptions!$B$137*Assumptions!$B$46*Assumptions!$B$30*Assumptions!$B$84</f>
        <v/>
      </c>
      <c r="AR272" s="41">
        <f>AR270*Assumptions!$B$137*Assumptions!$B$46*Assumptions!$B$30*Assumptions!$B$84</f>
        <v/>
      </c>
      <c r="AS272" s="41">
        <f>AS270*Assumptions!$B$137*Assumptions!$B$46*Assumptions!$B$30*Assumptions!$B$84</f>
        <v/>
      </c>
      <c r="AT272" s="41">
        <f>AT270*Assumptions!$B$137*Assumptions!$B$46*Assumptions!$B$30*Assumptions!$B$84</f>
        <v/>
      </c>
      <c r="AU272" s="41">
        <f>AU270*Assumptions!$B$137*Assumptions!$B$46*Assumptions!$B$30*Assumptions!$B$84</f>
        <v/>
      </c>
      <c r="AV272" s="41">
        <f>AV270*Assumptions!$B$137*Assumptions!$B$46*Assumptions!$B$30*Assumptions!$B$84</f>
        <v/>
      </c>
      <c r="AW272" s="41">
        <f>AW270*Assumptions!$B$137*Assumptions!$B$46*Assumptions!$B$30*Assumptions!$B$84</f>
        <v/>
      </c>
      <c r="AX272" s="41">
        <f>AX270*Assumptions!$B$137*Assumptions!$B$46*Assumptions!$B$30*Assumptions!$B$84</f>
        <v/>
      </c>
      <c r="AY272" s="41">
        <f>AY270*Assumptions!$B$137*Assumptions!$B$46*Assumptions!$B$30*Assumptions!$B$84</f>
        <v/>
      </c>
      <c r="AZ272" s="41">
        <f>AZ270*Assumptions!$B$137*Assumptions!$B$46*Assumptions!$B$30*Assumptions!$B$84</f>
        <v/>
      </c>
      <c r="BA272" s="41">
        <f>BA270*Assumptions!$B$137*Assumptions!$B$46*Assumptions!$B$30*Assumptions!$B$84</f>
        <v/>
      </c>
      <c r="BB272" s="41">
        <f>BB270*Assumptions!$B$137*Assumptions!$B$46*Assumptions!$B$30*Assumptions!$B$84</f>
        <v/>
      </c>
      <c r="BC272" s="41">
        <f>BC270*Assumptions!$B$137*Assumptions!$B$46*Assumptions!$B$30*Assumptions!$B$84</f>
        <v/>
      </c>
      <c r="BD272" s="41">
        <f>BD270*Assumptions!$B$137*Assumptions!$B$46*Assumptions!$B$30*Assumptions!$B$84</f>
        <v/>
      </c>
      <c r="BE272" s="41">
        <f>BE270*Assumptions!$B$137*Assumptions!$B$46*Assumptions!$B$30*Assumptions!$B$84</f>
        <v/>
      </c>
      <c r="BF272" s="41">
        <f>BF270*Assumptions!$B$137*Assumptions!$B$46*Assumptions!$B$30*Assumptions!$B$84</f>
        <v/>
      </c>
      <c r="BG272" s="41">
        <f>BG270*Assumptions!$B$137*Assumptions!$B$46*Assumptions!$B$30*Assumptions!$B$84</f>
        <v/>
      </c>
      <c r="BH272" s="41">
        <f>BH270*Assumptions!$B$137*Assumptions!$B$46*Assumptions!$B$30*Assumptions!$B$84</f>
        <v/>
      </c>
      <c r="BI272" s="41">
        <f>BI270*Assumptions!$B$137*Assumptions!$B$46*Assumptions!$B$30*Assumptions!$B$84</f>
        <v/>
      </c>
      <c r="BJ272" s="41">
        <f>BJ270*Assumptions!$B$137*Assumptions!$B$46*Assumptions!$B$30*Assumptions!$B$84</f>
        <v/>
      </c>
    </row>
    <row r="273">
      <c r="A273" s="4" t="inlineStr">
        <is>
          <t>Ghana: Solo: Nano: upgraded out</t>
        </is>
      </c>
      <c r="B273" s="17" t="inlineStr">
        <is>
          <t>workspaces</t>
        </is>
      </c>
      <c r="C273" s="41">
        <f>C270*Assumptions!$B$130</f>
        <v/>
      </c>
      <c r="D273" s="41">
        <f>D270*Assumptions!$B$130</f>
        <v/>
      </c>
      <c r="E273" s="41">
        <f>E270*Assumptions!$B$130</f>
        <v/>
      </c>
      <c r="F273" s="41">
        <f>F270*Assumptions!$B$130</f>
        <v/>
      </c>
      <c r="G273" s="41">
        <f>G270*Assumptions!$B$130</f>
        <v/>
      </c>
      <c r="H273" s="41">
        <f>H270*Assumptions!$B$130</f>
        <v/>
      </c>
      <c r="I273" s="41">
        <f>I270*Assumptions!$B$130</f>
        <v/>
      </c>
      <c r="J273" s="41">
        <f>J270*Assumptions!$B$130</f>
        <v/>
      </c>
      <c r="K273" s="41">
        <f>K270*Assumptions!$B$130</f>
        <v/>
      </c>
      <c r="L273" s="41">
        <f>L270*Assumptions!$B$130</f>
        <v/>
      </c>
      <c r="M273" s="41">
        <f>M270*Assumptions!$B$130</f>
        <v/>
      </c>
      <c r="N273" s="41">
        <f>N270*Assumptions!$B$130</f>
        <v/>
      </c>
      <c r="O273" s="41">
        <f>O270*Assumptions!$B$130</f>
        <v/>
      </c>
      <c r="P273" s="41">
        <f>P270*Assumptions!$B$130</f>
        <v/>
      </c>
      <c r="Q273" s="41">
        <f>Q270*Assumptions!$B$130</f>
        <v/>
      </c>
      <c r="R273" s="41">
        <f>R270*Assumptions!$B$130</f>
        <v/>
      </c>
      <c r="S273" s="41">
        <f>S270*Assumptions!$B$130</f>
        <v/>
      </c>
      <c r="T273" s="41">
        <f>T270*Assumptions!$B$130</f>
        <v/>
      </c>
      <c r="U273" s="41">
        <f>U270*Assumptions!$B$130</f>
        <v/>
      </c>
      <c r="V273" s="41">
        <f>V270*Assumptions!$B$130</f>
        <v/>
      </c>
      <c r="W273" s="41">
        <f>W270*Assumptions!$B$130</f>
        <v/>
      </c>
      <c r="X273" s="41">
        <f>X270*Assumptions!$B$130</f>
        <v/>
      </c>
      <c r="Y273" s="41">
        <f>Y270*Assumptions!$B$130</f>
        <v/>
      </c>
      <c r="Z273" s="41">
        <f>Z270*Assumptions!$B$130</f>
        <v/>
      </c>
      <c r="AA273" s="41">
        <f>AA270*Assumptions!$B$130</f>
        <v/>
      </c>
      <c r="AB273" s="41">
        <f>AB270*Assumptions!$B$130</f>
        <v/>
      </c>
      <c r="AC273" s="41">
        <f>AC270*Assumptions!$B$130</f>
        <v/>
      </c>
      <c r="AD273" s="41">
        <f>AD270*Assumptions!$B$130</f>
        <v/>
      </c>
      <c r="AE273" s="41">
        <f>AE270*Assumptions!$B$130</f>
        <v/>
      </c>
      <c r="AF273" s="41">
        <f>AF270*Assumptions!$B$130</f>
        <v/>
      </c>
      <c r="AG273" s="41">
        <f>AG270*Assumptions!$B$130</f>
        <v/>
      </c>
      <c r="AH273" s="41">
        <f>AH270*Assumptions!$B$130</f>
        <v/>
      </c>
      <c r="AI273" s="41">
        <f>AI270*Assumptions!$B$130</f>
        <v/>
      </c>
      <c r="AJ273" s="41">
        <f>AJ270*Assumptions!$B$130</f>
        <v/>
      </c>
      <c r="AK273" s="41">
        <f>AK270*Assumptions!$B$130</f>
        <v/>
      </c>
      <c r="AL273" s="41">
        <f>AL270*Assumptions!$B$130</f>
        <v/>
      </c>
      <c r="AM273" s="41">
        <f>AM270*Assumptions!$B$130</f>
        <v/>
      </c>
      <c r="AN273" s="41">
        <f>AN270*Assumptions!$B$130</f>
        <v/>
      </c>
      <c r="AO273" s="41">
        <f>AO270*Assumptions!$B$130</f>
        <v/>
      </c>
      <c r="AP273" s="41">
        <f>AP270*Assumptions!$B$130</f>
        <v/>
      </c>
      <c r="AQ273" s="41">
        <f>AQ270*Assumptions!$B$130</f>
        <v/>
      </c>
      <c r="AR273" s="41">
        <f>AR270*Assumptions!$B$130</f>
        <v/>
      </c>
      <c r="AS273" s="41">
        <f>AS270*Assumptions!$B$130</f>
        <v/>
      </c>
      <c r="AT273" s="41">
        <f>AT270*Assumptions!$B$130</f>
        <v/>
      </c>
      <c r="AU273" s="41">
        <f>AU270*Assumptions!$B$130</f>
        <v/>
      </c>
      <c r="AV273" s="41">
        <f>AV270*Assumptions!$B$130</f>
        <v/>
      </c>
      <c r="AW273" s="41">
        <f>AW270*Assumptions!$B$130</f>
        <v/>
      </c>
      <c r="AX273" s="41">
        <f>AX270*Assumptions!$B$130</f>
        <v/>
      </c>
      <c r="AY273" s="41">
        <f>AY270*Assumptions!$B$130</f>
        <v/>
      </c>
      <c r="AZ273" s="41">
        <f>AZ270*Assumptions!$B$130</f>
        <v/>
      </c>
      <c r="BA273" s="41">
        <f>BA270*Assumptions!$B$130</f>
        <v/>
      </c>
      <c r="BB273" s="41">
        <f>BB270*Assumptions!$B$130</f>
        <v/>
      </c>
      <c r="BC273" s="41">
        <f>BC270*Assumptions!$B$130</f>
        <v/>
      </c>
      <c r="BD273" s="41">
        <f>BD270*Assumptions!$B$130</f>
        <v/>
      </c>
      <c r="BE273" s="41">
        <f>BE270*Assumptions!$B$130</f>
        <v/>
      </c>
      <c r="BF273" s="41">
        <f>BF270*Assumptions!$B$130</f>
        <v/>
      </c>
      <c r="BG273" s="41">
        <f>BG270*Assumptions!$B$130</f>
        <v/>
      </c>
      <c r="BH273" s="41">
        <f>BH270*Assumptions!$B$130</f>
        <v/>
      </c>
      <c r="BI273" s="41">
        <f>BI270*Assumptions!$B$130</f>
        <v/>
      </c>
      <c r="BJ273" s="41">
        <f>BJ270*Assumptions!$B$130</f>
        <v/>
      </c>
    </row>
    <row r="274">
      <c r="A274" s="3" t="inlineStr">
        <is>
          <t>Ghana: Solo: Nano: closing</t>
        </is>
      </c>
      <c r="B274" s="17" t="inlineStr">
        <is>
          <t>workspaces</t>
        </is>
      </c>
      <c r="C274" s="44">
        <f>C270+C271-C272-C273</f>
        <v/>
      </c>
      <c r="D274" s="44">
        <f>D270+D271-D272-D273</f>
        <v/>
      </c>
      <c r="E274" s="44">
        <f>E270+E271-E272-E273</f>
        <v/>
      </c>
      <c r="F274" s="44">
        <f>F270+F271-F272-F273</f>
        <v/>
      </c>
      <c r="G274" s="44">
        <f>G270+G271-G272-G273</f>
        <v/>
      </c>
      <c r="H274" s="44">
        <f>H270+H271-H272-H273</f>
        <v/>
      </c>
      <c r="I274" s="44">
        <f>I270+I271-I272-I273</f>
        <v/>
      </c>
      <c r="J274" s="44">
        <f>J270+J271-J272-J273</f>
        <v/>
      </c>
      <c r="K274" s="44">
        <f>K270+K271-K272-K273</f>
        <v/>
      </c>
      <c r="L274" s="44">
        <f>L270+L271-L272-L273</f>
        <v/>
      </c>
      <c r="M274" s="44">
        <f>M270+M271-M272-M273</f>
        <v/>
      </c>
      <c r="N274" s="44">
        <f>N270+N271-N272-N273</f>
        <v/>
      </c>
      <c r="O274" s="44">
        <f>O270+O271-O272-O273</f>
        <v/>
      </c>
      <c r="P274" s="44">
        <f>P270+P271-P272-P273</f>
        <v/>
      </c>
      <c r="Q274" s="44">
        <f>Q270+Q271-Q272-Q273</f>
        <v/>
      </c>
      <c r="R274" s="44">
        <f>R270+R271-R272-R273</f>
        <v/>
      </c>
      <c r="S274" s="44">
        <f>S270+S271-S272-S273</f>
        <v/>
      </c>
      <c r="T274" s="44">
        <f>T270+T271-T272-T273</f>
        <v/>
      </c>
      <c r="U274" s="44">
        <f>U270+U271-U272-U273</f>
        <v/>
      </c>
      <c r="V274" s="44">
        <f>V270+V271-V272-V273</f>
        <v/>
      </c>
      <c r="W274" s="44">
        <f>W270+W271-W272-W273</f>
        <v/>
      </c>
      <c r="X274" s="44">
        <f>X270+X271-X272-X273</f>
        <v/>
      </c>
      <c r="Y274" s="44">
        <f>Y270+Y271-Y272-Y273</f>
        <v/>
      </c>
      <c r="Z274" s="44">
        <f>Z270+Z271-Z272-Z273</f>
        <v/>
      </c>
      <c r="AA274" s="44">
        <f>AA270+AA271-AA272-AA273</f>
        <v/>
      </c>
      <c r="AB274" s="44">
        <f>AB270+AB271-AB272-AB273</f>
        <v/>
      </c>
      <c r="AC274" s="44">
        <f>AC270+AC271-AC272-AC273</f>
        <v/>
      </c>
      <c r="AD274" s="44">
        <f>AD270+AD271-AD272-AD273</f>
        <v/>
      </c>
      <c r="AE274" s="44">
        <f>AE270+AE271-AE272-AE273</f>
        <v/>
      </c>
      <c r="AF274" s="44">
        <f>AF270+AF271-AF272-AF273</f>
        <v/>
      </c>
      <c r="AG274" s="44">
        <f>AG270+AG271-AG272-AG273</f>
        <v/>
      </c>
      <c r="AH274" s="44">
        <f>AH270+AH271-AH272-AH273</f>
        <v/>
      </c>
      <c r="AI274" s="44">
        <f>AI270+AI271-AI272-AI273</f>
        <v/>
      </c>
      <c r="AJ274" s="44">
        <f>AJ270+AJ271-AJ272-AJ273</f>
        <v/>
      </c>
      <c r="AK274" s="44">
        <f>AK270+AK271-AK272-AK273</f>
        <v/>
      </c>
      <c r="AL274" s="44">
        <f>AL270+AL271-AL272-AL273</f>
        <v/>
      </c>
      <c r="AM274" s="44">
        <f>AM270+AM271-AM272-AM273</f>
        <v/>
      </c>
      <c r="AN274" s="44">
        <f>AN270+AN271-AN272-AN273</f>
        <v/>
      </c>
      <c r="AO274" s="44">
        <f>AO270+AO271-AO272-AO273</f>
        <v/>
      </c>
      <c r="AP274" s="44">
        <f>AP270+AP271-AP272-AP273</f>
        <v/>
      </c>
      <c r="AQ274" s="44">
        <f>AQ270+AQ271-AQ272-AQ273</f>
        <v/>
      </c>
      <c r="AR274" s="44">
        <f>AR270+AR271-AR272-AR273</f>
        <v/>
      </c>
      <c r="AS274" s="44">
        <f>AS270+AS271-AS272-AS273</f>
        <v/>
      </c>
      <c r="AT274" s="44">
        <f>AT270+AT271-AT272-AT273</f>
        <v/>
      </c>
      <c r="AU274" s="44">
        <f>AU270+AU271-AU272-AU273</f>
        <v/>
      </c>
      <c r="AV274" s="44">
        <f>AV270+AV271-AV272-AV273</f>
        <v/>
      </c>
      <c r="AW274" s="44">
        <f>AW270+AW271-AW272-AW273</f>
        <v/>
      </c>
      <c r="AX274" s="44">
        <f>AX270+AX271-AX272-AX273</f>
        <v/>
      </c>
      <c r="AY274" s="44">
        <f>AY270+AY271-AY272-AY273</f>
        <v/>
      </c>
      <c r="AZ274" s="44">
        <f>AZ270+AZ271-AZ272-AZ273</f>
        <v/>
      </c>
      <c r="BA274" s="44">
        <f>BA270+BA271-BA272-BA273</f>
        <v/>
      </c>
      <c r="BB274" s="44">
        <f>BB270+BB271-BB272-BB273</f>
        <v/>
      </c>
      <c r="BC274" s="44">
        <f>BC270+BC271-BC272-BC273</f>
        <v/>
      </c>
      <c r="BD274" s="44">
        <f>BD270+BD271-BD272-BD273</f>
        <v/>
      </c>
      <c r="BE274" s="44">
        <f>BE270+BE271-BE272-BE273</f>
        <v/>
      </c>
      <c r="BF274" s="44">
        <f>BF270+BF271-BF272-BF273</f>
        <v/>
      </c>
      <c r="BG274" s="44">
        <f>BG270+BG271-BG272-BG273</f>
        <v/>
      </c>
      <c r="BH274" s="44">
        <f>BH270+BH271-BH272-BH273</f>
        <v/>
      </c>
      <c r="BI274" s="44">
        <f>BI270+BI271-BI272-BI273</f>
        <v/>
      </c>
      <c r="BJ274" s="44">
        <f>BJ270+BJ271-BJ272-BJ273</f>
        <v/>
      </c>
    </row>
    <row r="275">
      <c r="A275" s="4" t="inlineStr">
        <is>
          <t>Ghana: Solo: Micro (direct or upgraded): opening</t>
        </is>
      </c>
      <c r="B275" s="17" t="inlineStr">
        <is>
          <t>workspaces</t>
        </is>
      </c>
      <c r="C275" s="41">
        <f>0</f>
        <v/>
      </c>
      <c r="D275" s="41">
        <f>C279</f>
        <v/>
      </c>
      <c r="E275" s="41">
        <f>D279</f>
        <v/>
      </c>
      <c r="F275" s="41">
        <f>E279</f>
        <v/>
      </c>
      <c r="G275" s="41">
        <f>F279</f>
        <v/>
      </c>
      <c r="H275" s="41">
        <f>G279</f>
        <v/>
      </c>
      <c r="I275" s="41">
        <f>H279</f>
        <v/>
      </c>
      <c r="J275" s="41">
        <f>I279</f>
        <v/>
      </c>
      <c r="K275" s="41">
        <f>J279</f>
        <v/>
      </c>
      <c r="L275" s="41">
        <f>K279</f>
        <v/>
      </c>
      <c r="M275" s="41">
        <f>L279</f>
        <v/>
      </c>
      <c r="N275" s="41">
        <f>M279</f>
        <v/>
      </c>
      <c r="O275" s="41">
        <f>N279</f>
        <v/>
      </c>
      <c r="P275" s="41">
        <f>O279</f>
        <v/>
      </c>
      <c r="Q275" s="41">
        <f>P279</f>
        <v/>
      </c>
      <c r="R275" s="41">
        <f>Q279</f>
        <v/>
      </c>
      <c r="S275" s="41">
        <f>R279</f>
        <v/>
      </c>
      <c r="T275" s="41">
        <f>S279</f>
        <v/>
      </c>
      <c r="U275" s="41">
        <f>T279</f>
        <v/>
      </c>
      <c r="V275" s="41">
        <f>U279</f>
        <v/>
      </c>
      <c r="W275" s="41">
        <f>V279</f>
        <v/>
      </c>
      <c r="X275" s="41">
        <f>W279</f>
        <v/>
      </c>
      <c r="Y275" s="41">
        <f>X279</f>
        <v/>
      </c>
      <c r="Z275" s="41">
        <f>Y279</f>
        <v/>
      </c>
      <c r="AA275" s="41">
        <f>Z279</f>
        <v/>
      </c>
      <c r="AB275" s="41">
        <f>AA279</f>
        <v/>
      </c>
      <c r="AC275" s="41">
        <f>AB279</f>
        <v/>
      </c>
      <c r="AD275" s="41">
        <f>AC279</f>
        <v/>
      </c>
      <c r="AE275" s="41">
        <f>AD279</f>
        <v/>
      </c>
      <c r="AF275" s="41">
        <f>AE279</f>
        <v/>
      </c>
      <c r="AG275" s="41">
        <f>AF279</f>
        <v/>
      </c>
      <c r="AH275" s="41">
        <f>AG279</f>
        <v/>
      </c>
      <c r="AI275" s="41">
        <f>AH279</f>
        <v/>
      </c>
      <c r="AJ275" s="41">
        <f>AI279</f>
        <v/>
      </c>
      <c r="AK275" s="41">
        <f>AJ279</f>
        <v/>
      </c>
      <c r="AL275" s="41">
        <f>AK279</f>
        <v/>
      </c>
      <c r="AM275" s="41">
        <f>AL279</f>
        <v/>
      </c>
      <c r="AN275" s="41">
        <f>AM279</f>
        <v/>
      </c>
      <c r="AO275" s="41">
        <f>AN279</f>
        <v/>
      </c>
      <c r="AP275" s="41">
        <f>AO279</f>
        <v/>
      </c>
      <c r="AQ275" s="41">
        <f>AP279</f>
        <v/>
      </c>
      <c r="AR275" s="41">
        <f>AQ279</f>
        <v/>
      </c>
      <c r="AS275" s="41">
        <f>AR279</f>
        <v/>
      </c>
      <c r="AT275" s="41">
        <f>AS279</f>
        <v/>
      </c>
      <c r="AU275" s="41">
        <f>AT279</f>
        <v/>
      </c>
      <c r="AV275" s="41">
        <f>AU279</f>
        <v/>
      </c>
      <c r="AW275" s="41">
        <f>AV279</f>
        <v/>
      </c>
      <c r="AX275" s="41">
        <f>AW279</f>
        <v/>
      </c>
      <c r="AY275" s="41">
        <f>AX279</f>
        <v/>
      </c>
      <c r="AZ275" s="41">
        <f>AY279</f>
        <v/>
      </c>
      <c r="BA275" s="41">
        <f>AZ279</f>
        <v/>
      </c>
      <c r="BB275" s="41">
        <f>BA279</f>
        <v/>
      </c>
      <c r="BC275" s="41">
        <f>BB279</f>
        <v/>
      </c>
      <c r="BD275" s="41">
        <f>BC279</f>
        <v/>
      </c>
      <c r="BE275" s="41">
        <f>BD279</f>
        <v/>
      </c>
      <c r="BF275" s="41">
        <f>BE279</f>
        <v/>
      </c>
      <c r="BG275" s="41">
        <f>BF279</f>
        <v/>
      </c>
      <c r="BH275" s="41">
        <f>BG279</f>
        <v/>
      </c>
      <c r="BI275" s="41">
        <f>BH279</f>
        <v/>
      </c>
      <c r="BJ275" s="41">
        <f>BI279</f>
        <v/>
      </c>
    </row>
    <row r="276">
      <c r="A276" s="4" t="inlineStr">
        <is>
          <t>Ghana: Solo: Micro (direct or upgraded): new</t>
        </is>
      </c>
      <c r="B276" s="17" t="inlineStr">
        <is>
          <t>workspaces</t>
        </is>
      </c>
      <c r="C276" s="41">
        <f>C152*Assumptions!$B$125+C273</f>
        <v/>
      </c>
      <c r="D276" s="41">
        <f>D152*Assumptions!$B$125+D273</f>
        <v/>
      </c>
      <c r="E276" s="41">
        <f>E152*Assumptions!$B$125+E273</f>
        <v/>
      </c>
      <c r="F276" s="41">
        <f>F152*Assumptions!$B$125+F273</f>
        <v/>
      </c>
      <c r="G276" s="41">
        <f>G152*Assumptions!$B$125+G273</f>
        <v/>
      </c>
      <c r="H276" s="41">
        <f>H152*Assumptions!$B$125+H273</f>
        <v/>
      </c>
      <c r="I276" s="41">
        <f>I152*Assumptions!$B$125+I273</f>
        <v/>
      </c>
      <c r="J276" s="41">
        <f>J152*Assumptions!$B$125+J273</f>
        <v/>
      </c>
      <c r="K276" s="41">
        <f>K152*Assumptions!$B$125+K273</f>
        <v/>
      </c>
      <c r="L276" s="41">
        <f>L152*Assumptions!$B$125+L273</f>
        <v/>
      </c>
      <c r="M276" s="41">
        <f>M152*Assumptions!$B$125+M273</f>
        <v/>
      </c>
      <c r="N276" s="41">
        <f>N152*Assumptions!$B$125+N273</f>
        <v/>
      </c>
      <c r="O276" s="41">
        <f>O152*Assumptions!$B$125+O273</f>
        <v/>
      </c>
      <c r="P276" s="41">
        <f>P152*Assumptions!$B$125+P273</f>
        <v/>
      </c>
      <c r="Q276" s="41">
        <f>Q152*Assumptions!$B$125+Q273</f>
        <v/>
      </c>
      <c r="R276" s="41">
        <f>R152*Assumptions!$B$125+R273</f>
        <v/>
      </c>
      <c r="S276" s="41">
        <f>S152*Assumptions!$B$125+S273</f>
        <v/>
      </c>
      <c r="T276" s="41">
        <f>T152*Assumptions!$B$125+T273</f>
        <v/>
      </c>
      <c r="U276" s="41">
        <f>U152*Assumptions!$B$125+U273</f>
        <v/>
      </c>
      <c r="V276" s="41">
        <f>V152*Assumptions!$B$125+V273</f>
        <v/>
      </c>
      <c r="W276" s="41">
        <f>W152*Assumptions!$B$125+W273</f>
        <v/>
      </c>
      <c r="X276" s="41">
        <f>X152*Assumptions!$B$125+X273</f>
        <v/>
      </c>
      <c r="Y276" s="41">
        <f>Y152*Assumptions!$B$125+Y273</f>
        <v/>
      </c>
      <c r="Z276" s="41">
        <f>Z152*Assumptions!$B$125+Z273</f>
        <v/>
      </c>
      <c r="AA276" s="41">
        <f>AA152*Assumptions!$B$125+AA273</f>
        <v/>
      </c>
      <c r="AB276" s="41">
        <f>AB152*Assumptions!$B$125+AB273</f>
        <v/>
      </c>
      <c r="AC276" s="41">
        <f>AC152*Assumptions!$B$125+AC273</f>
        <v/>
      </c>
      <c r="AD276" s="41">
        <f>AD152*Assumptions!$B$125+AD273</f>
        <v/>
      </c>
      <c r="AE276" s="41">
        <f>AE152*Assumptions!$B$125+AE273</f>
        <v/>
      </c>
      <c r="AF276" s="41">
        <f>AF152*Assumptions!$B$125+AF273</f>
        <v/>
      </c>
      <c r="AG276" s="41">
        <f>AG152*Assumptions!$B$125+AG273</f>
        <v/>
      </c>
      <c r="AH276" s="41">
        <f>AH152*Assumptions!$B$125+AH273</f>
        <v/>
      </c>
      <c r="AI276" s="41">
        <f>AI152*Assumptions!$B$125+AI273</f>
        <v/>
      </c>
      <c r="AJ276" s="41">
        <f>AJ152*Assumptions!$B$125+AJ273</f>
        <v/>
      </c>
      <c r="AK276" s="41">
        <f>AK152*Assumptions!$B$125+AK273</f>
        <v/>
      </c>
      <c r="AL276" s="41">
        <f>AL152*Assumptions!$B$125+AL273</f>
        <v/>
      </c>
      <c r="AM276" s="41">
        <f>AM152*Assumptions!$B$125+AM273</f>
        <v/>
      </c>
      <c r="AN276" s="41">
        <f>AN152*Assumptions!$B$125+AN273</f>
        <v/>
      </c>
      <c r="AO276" s="41">
        <f>AO152*Assumptions!$B$125+AO273</f>
        <v/>
      </c>
      <c r="AP276" s="41">
        <f>AP152*Assumptions!$B$125+AP273</f>
        <v/>
      </c>
      <c r="AQ276" s="41">
        <f>AQ152*Assumptions!$B$125+AQ273</f>
        <v/>
      </c>
      <c r="AR276" s="41">
        <f>AR152*Assumptions!$B$125+AR273</f>
        <v/>
      </c>
      <c r="AS276" s="41">
        <f>AS152*Assumptions!$B$125+AS273</f>
        <v/>
      </c>
      <c r="AT276" s="41">
        <f>AT152*Assumptions!$B$125+AT273</f>
        <v/>
      </c>
      <c r="AU276" s="41">
        <f>AU152*Assumptions!$B$125+AU273</f>
        <v/>
      </c>
      <c r="AV276" s="41">
        <f>AV152*Assumptions!$B$125+AV273</f>
        <v/>
      </c>
      <c r="AW276" s="41">
        <f>AW152*Assumptions!$B$125+AW273</f>
        <v/>
      </c>
      <c r="AX276" s="41">
        <f>AX152*Assumptions!$B$125+AX273</f>
        <v/>
      </c>
      <c r="AY276" s="41">
        <f>AY152*Assumptions!$B$125+AY273</f>
        <v/>
      </c>
      <c r="AZ276" s="41">
        <f>AZ152*Assumptions!$B$125+AZ273</f>
        <v/>
      </c>
      <c r="BA276" s="41">
        <f>BA152*Assumptions!$B$125+BA273</f>
        <v/>
      </c>
      <c r="BB276" s="41">
        <f>BB152*Assumptions!$B$125+BB273</f>
        <v/>
      </c>
      <c r="BC276" s="41">
        <f>BC152*Assumptions!$B$125+BC273</f>
        <v/>
      </c>
      <c r="BD276" s="41">
        <f>BD152*Assumptions!$B$125+BD273</f>
        <v/>
      </c>
      <c r="BE276" s="41">
        <f>BE152*Assumptions!$B$125+BE273</f>
        <v/>
      </c>
      <c r="BF276" s="41">
        <f>BF152*Assumptions!$B$125+BF273</f>
        <v/>
      </c>
      <c r="BG276" s="41">
        <f>BG152*Assumptions!$B$125+BG273</f>
        <v/>
      </c>
      <c r="BH276" s="41">
        <f>BH152*Assumptions!$B$125+BH273</f>
        <v/>
      </c>
      <c r="BI276" s="41">
        <f>BI152*Assumptions!$B$125+BI273</f>
        <v/>
      </c>
      <c r="BJ276" s="41">
        <f>BJ152*Assumptions!$B$125+BJ273</f>
        <v/>
      </c>
    </row>
    <row r="277">
      <c r="A277" s="4" t="inlineStr">
        <is>
          <t>Ghana: Solo: Micro (direct or upgraded): churned</t>
        </is>
      </c>
      <c r="B277" s="17" t="inlineStr">
        <is>
          <t>workspaces</t>
        </is>
      </c>
      <c r="C277" s="41">
        <f>C275*Assumptions!$B$138*Assumptions!$B$46*Assumptions!$B$30*Assumptions!$B$84</f>
        <v/>
      </c>
      <c r="D277" s="41">
        <f>D275*Assumptions!$B$138*Assumptions!$B$46*Assumptions!$B$30*Assumptions!$B$84</f>
        <v/>
      </c>
      <c r="E277" s="41">
        <f>E275*Assumptions!$B$138*Assumptions!$B$46*Assumptions!$B$30*Assumptions!$B$84</f>
        <v/>
      </c>
      <c r="F277" s="41">
        <f>F275*Assumptions!$B$138*Assumptions!$B$46*Assumptions!$B$30*Assumptions!$B$84</f>
        <v/>
      </c>
      <c r="G277" s="41">
        <f>G275*Assumptions!$B$138*Assumptions!$B$46*Assumptions!$B$30*Assumptions!$B$84</f>
        <v/>
      </c>
      <c r="H277" s="41">
        <f>H275*Assumptions!$B$138*Assumptions!$B$46*Assumptions!$B$30*Assumptions!$B$84</f>
        <v/>
      </c>
      <c r="I277" s="41">
        <f>I275*Assumptions!$B$138*Assumptions!$B$46*Assumptions!$B$30*Assumptions!$B$84</f>
        <v/>
      </c>
      <c r="J277" s="41">
        <f>J275*Assumptions!$B$138*Assumptions!$B$46*Assumptions!$B$30*Assumptions!$B$84</f>
        <v/>
      </c>
      <c r="K277" s="41">
        <f>K275*Assumptions!$B$138*Assumptions!$B$46*Assumptions!$B$30*Assumptions!$B$84</f>
        <v/>
      </c>
      <c r="L277" s="41">
        <f>L275*Assumptions!$B$138*Assumptions!$B$46*Assumptions!$B$30*Assumptions!$B$84</f>
        <v/>
      </c>
      <c r="M277" s="41">
        <f>M275*Assumptions!$B$138*Assumptions!$B$46*Assumptions!$B$30*Assumptions!$B$84</f>
        <v/>
      </c>
      <c r="N277" s="41">
        <f>N275*Assumptions!$B$138*Assumptions!$B$46*Assumptions!$B$30*Assumptions!$B$84</f>
        <v/>
      </c>
      <c r="O277" s="41">
        <f>O275*Assumptions!$B$138*Assumptions!$B$46*Assumptions!$B$30*Assumptions!$B$84</f>
        <v/>
      </c>
      <c r="P277" s="41">
        <f>P275*Assumptions!$B$138*Assumptions!$B$46*Assumptions!$B$30*Assumptions!$B$84</f>
        <v/>
      </c>
      <c r="Q277" s="41">
        <f>Q275*Assumptions!$B$138*Assumptions!$B$46*Assumptions!$B$30*Assumptions!$B$84</f>
        <v/>
      </c>
      <c r="R277" s="41">
        <f>R275*Assumptions!$B$138*Assumptions!$B$46*Assumptions!$B$30*Assumptions!$B$84</f>
        <v/>
      </c>
      <c r="S277" s="41">
        <f>S275*Assumptions!$B$138*Assumptions!$B$46*Assumptions!$B$30*Assumptions!$B$84</f>
        <v/>
      </c>
      <c r="T277" s="41">
        <f>T275*Assumptions!$B$138*Assumptions!$B$46*Assumptions!$B$30*Assumptions!$B$84</f>
        <v/>
      </c>
      <c r="U277" s="41">
        <f>U275*Assumptions!$B$138*Assumptions!$B$46*Assumptions!$B$30*Assumptions!$B$84</f>
        <v/>
      </c>
      <c r="V277" s="41">
        <f>V275*Assumptions!$B$138*Assumptions!$B$46*Assumptions!$B$30*Assumptions!$B$84</f>
        <v/>
      </c>
      <c r="W277" s="41">
        <f>W275*Assumptions!$B$138*Assumptions!$B$46*Assumptions!$B$30*Assumptions!$B$84</f>
        <v/>
      </c>
      <c r="X277" s="41">
        <f>X275*Assumptions!$B$138*Assumptions!$B$46*Assumptions!$B$30*Assumptions!$B$84</f>
        <v/>
      </c>
      <c r="Y277" s="41">
        <f>Y275*Assumptions!$B$138*Assumptions!$B$46*Assumptions!$B$30*Assumptions!$B$84</f>
        <v/>
      </c>
      <c r="Z277" s="41">
        <f>Z275*Assumptions!$B$138*Assumptions!$B$46*Assumptions!$B$30*Assumptions!$B$84</f>
        <v/>
      </c>
      <c r="AA277" s="41">
        <f>AA275*Assumptions!$B$138*Assumptions!$B$46*Assumptions!$B$30*Assumptions!$B$84</f>
        <v/>
      </c>
      <c r="AB277" s="41">
        <f>AB275*Assumptions!$B$138*Assumptions!$B$46*Assumptions!$B$30*Assumptions!$B$84</f>
        <v/>
      </c>
      <c r="AC277" s="41">
        <f>AC275*Assumptions!$B$138*Assumptions!$B$46*Assumptions!$B$30*Assumptions!$B$84</f>
        <v/>
      </c>
      <c r="AD277" s="41">
        <f>AD275*Assumptions!$B$138*Assumptions!$B$46*Assumptions!$B$30*Assumptions!$B$84</f>
        <v/>
      </c>
      <c r="AE277" s="41">
        <f>AE275*Assumptions!$B$138*Assumptions!$B$46*Assumptions!$B$30*Assumptions!$B$84</f>
        <v/>
      </c>
      <c r="AF277" s="41">
        <f>AF275*Assumptions!$B$138*Assumptions!$B$46*Assumptions!$B$30*Assumptions!$B$84</f>
        <v/>
      </c>
      <c r="AG277" s="41">
        <f>AG275*Assumptions!$B$138*Assumptions!$B$46*Assumptions!$B$30*Assumptions!$B$84</f>
        <v/>
      </c>
      <c r="AH277" s="41">
        <f>AH275*Assumptions!$B$138*Assumptions!$B$46*Assumptions!$B$30*Assumptions!$B$84</f>
        <v/>
      </c>
      <c r="AI277" s="41">
        <f>AI275*Assumptions!$B$138*Assumptions!$B$46*Assumptions!$B$30*Assumptions!$B$84</f>
        <v/>
      </c>
      <c r="AJ277" s="41">
        <f>AJ275*Assumptions!$B$138*Assumptions!$B$46*Assumptions!$B$30*Assumptions!$B$84</f>
        <v/>
      </c>
      <c r="AK277" s="41">
        <f>AK275*Assumptions!$B$138*Assumptions!$B$46*Assumptions!$B$30*Assumptions!$B$84</f>
        <v/>
      </c>
      <c r="AL277" s="41">
        <f>AL275*Assumptions!$B$138*Assumptions!$B$46*Assumptions!$B$30*Assumptions!$B$84</f>
        <v/>
      </c>
      <c r="AM277" s="41">
        <f>AM275*Assumptions!$B$138*Assumptions!$B$46*Assumptions!$B$30*Assumptions!$B$84</f>
        <v/>
      </c>
      <c r="AN277" s="41">
        <f>AN275*Assumptions!$B$138*Assumptions!$B$46*Assumptions!$B$30*Assumptions!$B$84</f>
        <v/>
      </c>
      <c r="AO277" s="41">
        <f>AO275*Assumptions!$B$138*Assumptions!$B$46*Assumptions!$B$30*Assumptions!$B$84</f>
        <v/>
      </c>
      <c r="AP277" s="41">
        <f>AP275*Assumptions!$B$138*Assumptions!$B$46*Assumptions!$B$30*Assumptions!$B$84</f>
        <v/>
      </c>
      <c r="AQ277" s="41">
        <f>AQ275*Assumptions!$B$138*Assumptions!$B$46*Assumptions!$B$30*Assumptions!$B$84</f>
        <v/>
      </c>
      <c r="AR277" s="41">
        <f>AR275*Assumptions!$B$138*Assumptions!$B$46*Assumptions!$B$30*Assumptions!$B$84</f>
        <v/>
      </c>
      <c r="AS277" s="41">
        <f>AS275*Assumptions!$B$138*Assumptions!$B$46*Assumptions!$B$30*Assumptions!$B$84</f>
        <v/>
      </c>
      <c r="AT277" s="41">
        <f>AT275*Assumptions!$B$138*Assumptions!$B$46*Assumptions!$B$30*Assumptions!$B$84</f>
        <v/>
      </c>
      <c r="AU277" s="41">
        <f>AU275*Assumptions!$B$138*Assumptions!$B$46*Assumptions!$B$30*Assumptions!$B$84</f>
        <v/>
      </c>
      <c r="AV277" s="41">
        <f>AV275*Assumptions!$B$138*Assumptions!$B$46*Assumptions!$B$30*Assumptions!$B$84</f>
        <v/>
      </c>
      <c r="AW277" s="41">
        <f>AW275*Assumptions!$B$138*Assumptions!$B$46*Assumptions!$B$30*Assumptions!$B$84</f>
        <v/>
      </c>
      <c r="AX277" s="41">
        <f>AX275*Assumptions!$B$138*Assumptions!$B$46*Assumptions!$B$30*Assumptions!$B$84</f>
        <v/>
      </c>
      <c r="AY277" s="41">
        <f>AY275*Assumptions!$B$138*Assumptions!$B$46*Assumptions!$B$30*Assumptions!$B$84</f>
        <v/>
      </c>
      <c r="AZ277" s="41">
        <f>AZ275*Assumptions!$B$138*Assumptions!$B$46*Assumptions!$B$30*Assumptions!$B$84</f>
        <v/>
      </c>
      <c r="BA277" s="41">
        <f>BA275*Assumptions!$B$138*Assumptions!$B$46*Assumptions!$B$30*Assumptions!$B$84</f>
        <v/>
      </c>
      <c r="BB277" s="41">
        <f>BB275*Assumptions!$B$138*Assumptions!$B$46*Assumptions!$B$30*Assumptions!$B$84</f>
        <v/>
      </c>
      <c r="BC277" s="41">
        <f>BC275*Assumptions!$B$138*Assumptions!$B$46*Assumptions!$B$30*Assumptions!$B$84</f>
        <v/>
      </c>
      <c r="BD277" s="41">
        <f>BD275*Assumptions!$B$138*Assumptions!$B$46*Assumptions!$B$30*Assumptions!$B$84</f>
        <v/>
      </c>
      <c r="BE277" s="41">
        <f>BE275*Assumptions!$B$138*Assumptions!$B$46*Assumptions!$B$30*Assumptions!$B$84</f>
        <v/>
      </c>
      <c r="BF277" s="41">
        <f>BF275*Assumptions!$B$138*Assumptions!$B$46*Assumptions!$B$30*Assumptions!$B$84</f>
        <v/>
      </c>
      <c r="BG277" s="41">
        <f>BG275*Assumptions!$B$138*Assumptions!$B$46*Assumptions!$B$30*Assumptions!$B$84</f>
        <v/>
      </c>
      <c r="BH277" s="41">
        <f>BH275*Assumptions!$B$138*Assumptions!$B$46*Assumptions!$B$30*Assumptions!$B$84</f>
        <v/>
      </c>
      <c r="BI277" s="41">
        <f>BI275*Assumptions!$B$138*Assumptions!$B$46*Assumptions!$B$30*Assumptions!$B$84</f>
        <v/>
      </c>
      <c r="BJ277" s="41">
        <f>BJ275*Assumptions!$B$138*Assumptions!$B$46*Assumptions!$B$30*Assumptions!$B$84</f>
        <v/>
      </c>
    </row>
    <row r="278">
      <c r="A278" s="4" t="inlineStr">
        <is>
          <t>Ghana: Solo: Micro (direct or upgraded): upgraded out</t>
        </is>
      </c>
      <c r="B278" s="17" t="inlineStr">
        <is>
          <t>workspaces</t>
        </is>
      </c>
      <c r="C278" s="41">
        <f>C275*Assumptions!$B$131</f>
        <v/>
      </c>
      <c r="D278" s="41">
        <f>D275*Assumptions!$B$131</f>
        <v/>
      </c>
      <c r="E278" s="41">
        <f>E275*Assumptions!$B$131</f>
        <v/>
      </c>
      <c r="F278" s="41">
        <f>F275*Assumptions!$B$131</f>
        <v/>
      </c>
      <c r="G278" s="41">
        <f>G275*Assumptions!$B$131</f>
        <v/>
      </c>
      <c r="H278" s="41">
        <f>H275*Assumptions!$B$131</f>
        <v/>
      </c>
      <c r="I278" s="41">
        <f>I275*Assumptions!$B$131</f>
        <v/>
      </c>
      <c r="J278" s="41">
        <f>J275*Assumptions!$B$131</f>
        <v/>
      </c>
      <c r="K278" s="41">
        <f>K275*Assumptions!$B$131</f>
        <v/>
      </c>
      <c r="L278" s="41">
        <f>L275*Assumptions!$B$131</f>
        <v/>
      </c>
      <c r="M278" s="41">
        <f>M275*Assumptions!$B$131</f>
        <v/>
      </c>
      <c r="N278" s="41">
        <f>N275*Assumptions!$B$131</f>
        <v/>
      </c>
      <c r="O278" s="41">
        <f>O275*Assumptions!$B$131</f>
        <v/>
      </c>
      <c r="P278" s="41">
        <f>P275*Assumptions!$B$131</f>
        <v/>
      </c>
      <c r="Q278" s="41">
        <f>Q275*Assumptions!$B$131</f>
        <v/>
      </c>
      <c r="R278" s="41">
        <f>R275*Assumptions!$B$131</f>
        <v/>
      </c>
      <c r="S278" s="41">
        <f>S275*Assumptions!$B$131</f>
        <v/>
      </c>
      <c r="T278" s="41">
        <f>T275*Assumptions!$B$131</f>
        <v/>
      </c>
      <c r="U278" s="41">
        <f>U275*Assumptions!$B$131</f>
        <v/>
      </c>
      <c r="V278" s="41">
        <f>V275*Assumptions!$B$131</f>
        <v/>
      </c>
      <c r="W278" s="41">
        <f>W275*Assumptions!$B$131</f>
        <v/>
      </c>
      <c r="X278" s="41">
        <f>X275*Assumptions!$B$131</f>
        <v/>
      </c>
      <c r="Y278" s="41">
        <f>Y275*Assumptions!$B$131</f>
        <v/>
      </c>
      <c r="Z278" s="41">
        <f>Z275*Assumptions!$B$131</f>
        <v/>
      </c>
      <c r="AA278" s="41">
        <f>AA275*Assumptions!$B$131</f>
        <v/>
      </c>
      <c r="AB278" s="41">
        <f>AB275*Assumptions!$B$131</f>
        <v/>
      </c>
      <c r="AC278" s="41">
        <f>AC275*Assumptions!$B$131</f>
        <v/>
      </c>
      <c r="AD278" s="41">
        <f>AD275*Assumptions!$B$131</f>
        <v/>
      </c>
      <c r="AE278" s="41">
        <f>AE275*Assumptions!$B$131</f>
        <v/>
      </c>
      <c r="AF278" s="41">
        <f>AF275*Assumptions!$B$131</f>
        <v/>
      </c>
      <c r="AG278" s="41">
        <f>AG275*Assumptions!$B$131</f>
        <v/>
      </c>
      <c r="AH278" s="41">
        <f>AH275*Assumptions!$B$131</f>
        <v/>
      </c>
      <c r="AI278" s="41">
        <f>AI275*Assumptions!$B$131</f>
        <v/>
      </c>
      <c r="AJ278" s="41">
        <f>AJ275*Assumptions!$B$131</f>
        <v/>
      </c>
      <c r="AK278" s="41">
        <f>AK275*Assumptions!$B$131</f>
        <v/>
      </c>
      <c r="AL278" s="41">
        <f>AL275*Assumptions!$B$131</f>
        <v/>
      </c>
      <c r="AM278" s="41">
        <f>AM275*Assumptions!$B$131</f>
        <v/>
      </c>
      <c r="AN278" s="41">
        <f>AN275*Assumptions!$B$131</f>
        <v/>
      </c>
      <c r="AO278" s="41">
        <f>AO275*Assumptions!$B$131</f>
        <v/>
      </c>
      <c r="AP278" s="41">
        <f>AP275*Assumptions!$B$131</f>
        <v/>
      </c>
      <c r="AQ278" s="41">
        <f>AQ275*Assumptions!$B$131</f>
        <v/>
      </c>
      <c r="AR278" s="41">
        <f>AR275*Assumptions!$B$131</f>
        <v/>
      </c>
      <c r="AS278" s="41">
        <f>AS275*Assumptions!$B$131</f>
        <v/>
      </c>
      <c r="AT278" s="41">
        <f>AT275*Assumptions!$B$131</f>
        <v/>
      </c>
      <c r="AU278" s="41">
        <f>AU275*Assumptions!$B$131</f>
        <v/>
      </c>
      <c r="AV278" s="41">
        <f>AV275*Assumptions!$B$131</f>
        <v/>
      </c>
      <c r="AW278" s="41">
        <f>AW275*Assumptions!$B$131</f>
        <v/>
      </c>
      <c r="AX278" s="41">
        <f>AX275*Assumptions!$B$131</f>
        <v/>
      </c>
      <c r="AY278" s="41">
        <f>AY275*Assumptions!$B$131</f>
        <v/>
      </c>
      <c r="AZ278" s="41">
        <f>AZ275*Assumptions!$B$131</f>
        <v/>
      </c>
      <c r="BA278" s="41">
        <f>BA275*Assumptions!$B$131</f>
        <v/>
      </c>
      <c r="BB278" s="41">
        <f>BB275*Assumptions!$B$131</f>
        <v/>
      </c>
      <c r="BC278" s="41">
        <f>BC275*Assumptions!$B$131</f>
        <v/>
      </c>
      <c r="BD278" s="41">
        <f>BD275*Assumptions!$B$131</f>
        <v/>
      </c>
      <c r="BE278" s="41">
        <f>BE275*Assumptions!$B$131</f>
        <v/>
      </c>
      <c r="BF278" s="41">
        <f>BF275*Assumptions!$B$131</f>
        <v/>
      </c>
      <c r="BG278" s="41">
        <f>BG275*Assumptions!$B$131</f>
        <v/>
      </c>
      <c r="BH278" s="41">
        <f>BH275*Assumptions!$B$131</f>
        <v/>
      </c>
      <c r="BI278" s="41">
        <f>BI275*Assumptions!$B$131</f>
        <v/>
      </c>
      <c r="BJ278" s="41">
        <f>BJ275*Assumptions!$B$131</f>
        <v/>
      </c>
    </row>
    <row r="279">
      <c r="A279" s="3" t="inlineStr">
        <is>
          <t>Ghana: Solo: Micro (direct or upgraded): closing</t>
        </is>
      </c>
      <c r="B279" s="17" t="inlineStr">
        <is>
          <t>workspaces</t>
        </is>
      </c>
      <c r="C279" s="44">
        <f>C275+C276-C277-C278</f>
        <v/>
      </c>
      <c r="D279" s="44">
        <f>D275+D276-D277-D278</f>
        <v/>
      </c>
      <c r="E279" s="44">
        <f>E275+E276-E277-E278</f>
        <v/>
      </c>
      <c r="F279" s="44">
        <f>F275+F276-F277-F278</f>
        <v/>
      </c>
      <c r="G279" s="44">
        <f>G275+G276-G277-G278</f>
        <v/>
      </c>
      <c r="H279" s="44">
        <f>H275+H276-H277-H278</f>
        <v/>
      </c>
      <c r="I279" s="44">
        <f>I275+I276-I277-I278</f>
        <v/>
      </c>
      <c r="J279" s="44">
        <f>J275+J276-J277-J278</f>
        <v/>
      </c>
      <c r="K279" s="44">
        <f>K275+K276-K277-K278</f>
        <v/>
      </c>
      <c r="L279" s="44">
        <f>L275+L276-L277-L278</f>
        <v/>
      </c>
      <c r="M279" s="44">
        <f>M275+M276-M277-M278</f>
        <v/>
      </c>
      <c r="N279" s="44">
        <f>N275+N276-N277-N278</f>
        <v/>
      </c>
      <c r="O279" s="44">
        <f>O275+O276-O277-O278</f>
        <v/>
      </c>
      <c r="P279" s="44">
        <f>P275+P276-P277-P278</f>
        <v/>
      </c>
      <c r="Q279" s="44">
        <f>Q275+Q276-Q277-Q278</f>
        <v/>
      </c>
      <c r="R279" s="44">
        <f>R275+R276-R277-R278</f>
        <v/>
      </c>
      <c r="S279" s="44">
        <f>S275+S276-S277-S278</f>
        <v/>
      </c>
      <c r="T279" s="44">
        <f>T275+T276-T277-T278</f>
        <v/>
      </c>
      <c r="U279" s="44">
        <f>U275+U276-U277-U278</f>
        <v/>
      </c>
      <c r="V279" s="44">
        <f>V275+V276-V277-V278</f>
        <v/>
      </c>
      <c r="W279" s="44">
        <f>W275+W276-W277-W278</f>
        <v/>
      </c>
      <c r="X279" s="44">
        <f>X275+X276-X277-X278</f>
        <v/>
      </c>
      <c r="Y279" s="44">
        <f>Y275+Y276-Y277-Y278</f>
        <v/>
      </c>
      <c r="Z279" s="44">
        <f>Z275+Z276-Z277-Z278</f>
        <v/>
      </c>
      <c r="AA279" s="44">
        <f>AA275+AA276-AA277-AA278</f>
        <v/>
      </c>
      <c r="AB279" s="44">
        <f>AB275+AB276-AB277-AB278</f>
        <v/>
      </c>
      <c r="AC279" s="44">
        <f>AC275+AC276-AC277-AC278</f>
        <v/>
      </c>
      <c r="AD279" s="44">
        <f>AD275+AD276-AD277-AD278</f>
        <v/>
      </c>
      <c r="AE279" s="44">
        <f>AE275+AE276-AE277-AE278</f>
        <v/>
      </c>
      <c r="AF279" s="44">
        <f>AF275+AF276-AF277-AF278</f>
        <v/>
      </c>
      <c r="AG279" s="44">
        <f>AG275+AG276-AG277-AG278</f>
        <v/>
      </c>
      <c r="AH279" s="44">
        <f>AH275+AH276-AH277-AH278</f>
        <v/>
      </c>
      <c r="AI279" s="44">
        <f>AI275+AI276-AI277-AI278</f>
        <v/>
      </c>
      <c r="AJ279" s="44">
        <f>AJ275+AJ276-AJ277-AJ278</f>
        <v/>
      </c>
      <c r="AK279" s="44">
        <f>AK275+AK276-AK277-AK278</f>
        <v/>
      </c>
      <c r="AL279" s="44">
        <f>AL275+AL276-AL277-AL278</f>
        <v/>
      </c>
      <c r="AM279" s="44">
        <f>AM275+AM276-AM277-AM278</f>
        <v/>
      </c>
      <c r="AN279" s="44">
        <f>AN275+AN276-AN277-AN278</f>
        <v/>
      </c>
      <c r="AO279" s="44">
        <f>AO275+AO276-AO277-AO278</f>
        <v/>
      </c>
      <c r="AP279" s="44">
        <f>AP275+AP276-AP277-AP278</f>
        <v/>
      </c>
      <c r="AQ279" s="44">
        <f>AQ275+AQ276-AQ277-AQ278</f>
        <v/>
      </c>
      <c r="AR279" s="44">
        <f>AR275+AR276-AR277-AR278</f>
        <v/>
      </c>
      <c r="AS279" s="44">
        <f>AS275+AS276-AS277-AS278</f>
        <v/>
      </c>
      <c r="AT279" s="44">
        <f>AT275+AT276-AT277-AT278</f>
        <v/>
      </c>
      <c r="AU279" s="44">
        <f>AU275+AU276-AU277-AU278</f>
        <v/>
      </c>
      <c r="AV279" s="44">
        <f>AV275+AV276-AV277-AV278</f>
        <v/>
      </c>
      <c r="AW279" s="44">
        <f>AW275+AW276-AW277-AW278</f>
        <v/>
      </c>
      <c r="AX279" s="44">
        <f>AX275+AX276-AX277-AX278</f>
        <v/>
      </c>
      <c r="AY279" s="44">
        <f>AY275+AY276-AY277-AY278</f>
        <v/>
      </c>
      <c r="AZ279" s="44">
        <f>AZ275+AZ276-AZ277-AZ278</f>
        <v/>
      </c>
      <c r="BA279" s="44">
        <f>BA275+BA276-BA277-BA278</f>
        <v/>
      </c>
      <c r="BB279" s="44">
        <f>BB275+BB276-BB277-BB278</f>
        <v/>
      </c>
      <c r="BC279" s="44">
        <f>BC275+BC276-BC277-BC278</f>
        <v/>
      </c>
      <c r="BD279" s="44">
        <f>BD275+BD276-BD277-BD278</f>
        <v/>
      </c>
      <c r="BE279" s="44">
        <f>BE275+BE276-BE277-BE278</f>
        <v/>
      </c>
      <c r="BF279" s="44">
        <f>BF275+BF276-BF277-BF278</f>
        <v/>
      </c>
      <c r="BG279" s="44">
        <f>BG275+BG276-BG277-BG278</f>
        <v/>
      </c>
      <c r="BH279" s="44">
        <f>BH275+BH276-BH277-BH278</f>
        <v/>
      </c>
      <c r="BI279" s="44">
        <f>BI275+BI276-BI277-BI278</f>
        <v/>
      </c>
      <c r="BJ279" s="44">
        <f>BJ275+BJ276-BJ277-BJ278</f>
        <v/>
      </c>
    </row>
    <row r="280">
      <c r="A280" s="4" t="inlineStr">
        <is>
          <t>Ghana: Solo: Starter (direct or upgraded): opening</t>
        </is>
      </c>
      <c r="B280" s="17" t="inlineStr">
        <is>
          <t>workspaces</t>
        </is>
      </c>
      <c r="C280" s="41">
        <f>0</f>
        <v/>
      </c>
      <c r="D280" s="41">
        <f>C283</f>
        <v/>
      </c>
      <c r="E280" s="41">
        <f>D283</f>
        <v/>
      </c>
      <c r="F280" s="41">
        <f>E283</f>
        <v/>
      </c>
      <c r="G280" s="41">
        <f>F283</f>
        <v/>
      </c>
      <c r="H280" s="41">
        <f>G283</f>
        <v/>
      </c>
      <c r="I280" s="41">
        <f>H283</f>
        <v/>
      </c>
      <c r="J280" s="41">
        <f>I283</f>
        <v/>
      </c>
      <c r="K280" s="41">
        <f>J283</f>
        <v/>
      </c>
      <c r="L280" s="41">
        <f>K283</f>
        <v/>
      </c>
      <c r="M280" s="41">
        <f>L283</f>
        <v/>
      </c>
      <c r="N280" s="41">
        <f>M283</f>
        <v/>
      </c>
      <c r="O280" s="41">
        <f>N283</f>
        <v/>
      </c>
      <c r="P280" s="41">
        <f>O283</f>
        <v/>
      </c>
      <c r="Q280" s="41">
        <f>P283</f>
        <v/>
      </c>
      <c r="R280" s="41">
        <f>Q283</f>
        <v/>
      </c>
      <c r="S280" s="41">
        <f>R283</f>
        <v/>
      </c>
      <c r="T280" s="41">
        <f>S283</f>
        <v/>
      </c>
      <c r="U280" s="41">
        <f>T283</f>
        <v/>
      </c>
      <c r="V280" s="41">
        <f>U283</f>
        <v/>
      </c>
      <c r="W280" s="41">
        <f>V283</f>
        <v/>
      </c>
      <c r="X280" s="41">
        <f>W283</f>
        <v/>
      </c>
      <c r="Y280" s="41">
        <f>X283</f>
        <v/>
      </c>
      <c r="Z280" s="41">
        <f>Y283</f>
        <v/>
      </c>
      <c r="AA280" s="41">
        <f>Z283</f>
        <v/>
      </c>
      <c r="AB280" s="41">
        <f>AA283</f>
        <v/>
      </c>
      <c r="AC280" s="41">
        <f>AB283</f>
        <v/>
      </c>
      <c r="AD280" s="41">
        <f>AC283</f>
        <v/>
      </c>
      <c r="AE280" s="41">
        <f>AD283</f>
        <v/>
      </c>
      <c r="AF280" s="41">
        <f>AE283</f>
        <v/>
      </c>
      <c r="AG280" s="41">
        <f>AF283</f>
        <v/>
      </c>
      <c r="AH280" s="41">
        <f>AG283</f>
        <v/>
      </c>
      <c r="AI280" s="41">
        <f>AH283</f>
        <v/>
      </c>
      <c r="AJ280" s="41">
        <f>AI283</f>
        <v/>
      </c>
      <c r="AK280" s="41">
        <f>AJ283</f>
        <v/>
      </c>
      <c r="AL280" s="41">
        <f>AK283</f>
        <v/>
      </c>
      <c r="AM280" s="41">
        <f>AL283</f>
        <v/>
      </c>
      <c r="AN280" s="41">
        <f>AM283</f>
        <v/>
      </c>
      <c r="AO280" s="41">
        <f>AN283</f>
        <v/>
      </c>
      <c r="AP280" s="41">
        <f>AO283</f>
        <v/>
      </c>
      <c r="AQ280" s="41">
        <f>AP283</f>
        <v/>
      </c>
      <c r="AR280" s="41">
        <f>AQ283</f>
        <v/>
      </c>
      <c r="AS280" s="41">
        <f>AR283</f>
        <v/>
      </c>
      <c r="AT280" s="41">
        <f>AS283</f>
        <v/>
      </c>
      <c r="AU280" s="41">
        <f>AT283</f>
        <v/>
      </c>
      <c r="AV280" s="41">
        <f>AU283</f>
        <v/>
      </c>
      <c r="AW280" s="41">
        <f>AV283</f>
        <v/>
      </c>
      <c r="AX280" s="41">
        <f>AW283</f>
        <v/>
      </c>
      <c r="AY280" s="41">
        <f>AX283</f>
        <v/>
      </c>
      <c r="AZ280" s="41">
        <f>AY283</f>
        <v/>
      </c>
      <c r="BA280" s="41">
        <f>AZ283</f>
        <v/>
      </c>
      <c r="BB280" s="41">
        <f>BA283</f>
        <v/>
      </c>
      <c r="BC280" s="41">
        <f>BB283</f>
        <v/>
      </c>
      <c r="BD280" s="41">
        <f>BC283</f>
        <v/>
      </c>
      <c r="BE280" s="41">
        <f>BD283</f>
        <v/>
      </c>
      <c r="BF280" s="41">
        <f>BE283</f>
        <v/>
      </c>
      <c r="BG280" s="41">
        <f>BF283</f>
        <v/>
      </c>
      <c r="BH280" s="41">
        <f>BG283</f>
        <v/>
      </c>
      <c r="BI280" s="41">
        <f>BH283</f>
        <v/>
      </c>
      <c r="BJ280" s="41">
        <f>BI283</f>
        <v/>
      </c>
    </row>
    <row r="281">
      <c r="A281" s="4" t="inlineStr">
        <is>
          <t>Ghana: Solo: Starter (direct or upgraded): new</t>
        </is>
      </c>
      <c r="B281" s="17" t="inlineStr">
        <is>
          <t>workspaces</t>
        </is>
      </c>
      <c r="C281" s="41">
        <f>C152*Assumptions!$B$126+C278</f>
        <v/>
      </c>
      <c r="D281" s="41">
        <f>D152*Assumptions!$B$126+D278</f>
        <v/>
      </c>
      <c r="E281" s="41">
        <f>E152*Assumptions!$B$126+E278</f>
        <v/>
      </c>
      <c r="F281" s="41">
        <f>F152*Assumptions!$B$126+F278</f>
        <v/>
      </c>
      <c r="G281" s="41">
        <f>G152*Assumptions!$B$126+G278</f>
        <v/>
      </c>
      <c r="H281" s="41">
        <f>H152*Assumptions!$B$126+H278</f>
        <v/>
      </c>
      <c r="I281" s="41">
        <f>I152*Assumptions!$B$126+I278</f>
        <v/>
      </c>
      <c r="J281" s="41">
        <f>J152*Assumptions!$B$126+J278</f>
        <v/>
      </c>
      <c r="K281" s="41">
        <f>K152*Assumptions!$B$126+K278</f>
        <v/>
      </c>
      <c r="L281" s="41">
        <f>L152*Assumptions!$B$126+L278</f>
        <v/>
      </c>
      <c r="M281" s="41">
        <f>M152*Assumptions!$B$126+M278</f>
        <v/>
      </c>
      <c r="N281" s="41">
        <f>N152*Assumptions!$B$126+N278</f>
        <v/>
      </c>
      <c r="O281" s="41">
        <f>O152*Assumptions!$B$126+O278</f>
        <v/>
      </c>
      <c r="P281" s="41">
        <f>P152*Assumptions!$B$126+P278</f>
        <v/>
      </c>
      <c r="Q281" s="41">
        <f>Q152*Assumptions!$B$126+Q278</f>
        <v/>
      </c>
      <c r="R281" s="41">
        <f>R152*Assumptions!$B$126+R278</f>
        <v/>
      </c>
      <c r="S281" s="41">
        <f>S152*Assumptions!$B$126+S278</f>
        <v/>
      </c>
      <c r="T281" s="41">
        <f>T152*Assumptions!$B$126+T278</f>
        <v/>
      </c>
      <c r="U281" s="41">
        <f>U152*Assumptions!$B$126+U278</f>
        <v/>
      </c>
      <c r="V281" s="41">
        <f>V152*Assumptions!$B$126+V278</f>
        <v/>
      </c>
      <c r="W281" s="41">
        <f>W152*Assumptions!$B$126+W278</f>
        <v/>
      </c>
      <c r="X281" s="41">
        <f>X152*Assumptions!$B$126+X278</f>
        <v/>
      </c>
      <c r="Y281" s="41">
        <f>Y152*Assumptions!$B$126+Y278</f>
        <v/>
      </c>
      <c r="Z281" s="41">
        <f>Z152*Assumptions!$B$126+Z278</f>
        <v/>
      </c>
      <c r="AA281" s="41">
        <f>AA152*Assumptions!$B$126+AA278</f>
        <v/>
      </c>
      <c r="AB281" s="41">
        <f>AB152*Assumptions!$B$126+AB278</f>
        <v/>
      </c>
      <c r="AC281" s="41">
        <f>AC152*Assumptions!$B$126+AC278</f>
        <v/>
      </c>
      <c r="AD281" s="41">
        <f>AD152*Assumptions!$B$126+AD278</f>
        <v/>
      </c>
      <c r="AE281" s="41">
        <f>AE152*Assumptions!$B$126+AE278</f>
        <v/>
      </c>
      <c r="AF281" s="41">
        <f>AF152*Assumptions!$B$126+AF278</f>
        <v/>
      </c>
      <c r="AG281" s="41">
        <f>AG152*Assumptions!$B$126+AG278</f>
        <v/>
      </c>
      <c r="AH281" s="41">
        <f>AH152*Assumptions!$B$126+AH278</f>
        <v/>
      </c>
      <c r="AI281" s="41">
        <f>AI152*Assumptions!$B$126+AI278</f>
        <v/>
      </c>
      <c r="AJ281" s="41">
        <f>AJ152*Assumptions!$B$126+AJ278</f>
        <v/>
      </c>
      <c r="AK281" s="41">
        <f>AK152*Assumptions!$B$126+AK278</f>
        <v/>
      </c>
      <c r="AL281" s="41">
        <f>AL152*Assumptions!$B$126+AL278</f>
        <v/>
      </c>
      <c r="AM281" s="41">
        <f>AM152*Assumptions!$B$126+AM278</f>
        <v/>
      </c>
      <c r="AN281" s="41">
        <f>AN152*Assumptions!$B$126+AN278</f>
        <v/>
      </c>
      <c r="AO281" s="41">
        <f>AO152*Assumptions!$B$126+AO278</f>
        <v/>
      </c>
      <c r="AP281" s="41">
        <f>AP152*Assumptions!$B$126+AP278</f>
        <v/>
      </c>
      <c r="AQ281" s="41">
        <f>AQ152*Assumptions!$B$126+AQ278</f>
        <v/>
      </c>
      <c r="AR281" s="41">
        <f>AR152*Assumptions!$B$126+AR278</f>
        <v/>
      </c>
      <c r="AS281" s="41">
        <f>AS152*Assumptions!$B$126+AS278</f>
        <v/>
      </c>
      <c r="AT281" s="41">
        <f>AT152*Assumptions!$B$126+AT278</f>
        <v/>
      </c>
      <c r="AU281" s="41">
        <f>AU152*Assumptions!$B$126+AU278</f>
        <v/>
      </c>
      <c r="AV281" s="41">
        <f>AV152*Assumptions!$B$126+AV278</f>
        <v/>
      </c>
      <c r="AW281" s="41">
        <f>AW152*Assumptions!$B$126+AW278</f>
        <v/>
      </c>
      <c r="AX281" s="41">
        <f>AX152*Assumptions!$B$126+AX278</f>
        <v/>
      </c>
      <c r="AY281" s="41">
        <f>AY152*Assumptions!$B$126+AY278</f>
        <v/>
      </c>
      <c r="AZ281" s="41">
        <f>AZ152*Assumptions!$B$126+AZ278</f>
        <v/>
      </c>
      <c r="BA281" s="41">
        <f>BA152*Assumptions!$B$126+BA278</f>
        <v/>
      </c>
      <c r="BB281" s="41">
        <f>BB152*Assumptions!$B$126+BB278</f>
        <v/>
      </c>
      <c r="BC281" s="41">
        <f>BC152*Assumptions!$B$126+BC278</f>
        <v/>
      </c>
      <c r="BD281" s="41">
        <f>BD152*Assumptions!$B$126+BD278</f>
        <v/>
      </c>
      <c r="BE281" s="41">
        <f>BE152*Assumptions!$B$126+BE278</f>
        <v/>
      </c>
      <c r="BF281" s="41">
        <f>BF152*Assumptions!$B$126+BF278</f>
        <v/>
      </c>
      <c r="BG281" s="41">
        <f>BG152*Assumptions!$B$126+BG278</f>
        <v/>
      </c>
      <c r="BH281" s="41">
        <f>BH152*Assumptions!$B$126+BH278</f>
        <v/>
      </c>
      <c r="BI281" s="41">
        <f>BI152*Assumptions!$B$126+BI278</f>
        <v/>
      </c>
      <c r="BJ281" s="41">
        <f>BJ152*Assumptions!$B$126+BJ278</f>
        <v/>
      </c>
    </row>
    <row r="282">
      <c r="A282" s="4" t="inlineStr">
        <is>
          <t>Ghana: Solo: Starter (direct or upgraded): churned</t>
        </is>
      </c>
      <c r="B282" s="17" t="inlineStr">
        <is>
          <t>workspaces</t>
        </is>
      </c>
      <c r="C282" s="41">
        <f>C280*Assumptions!$B$139*Assumptions!$B$46*Assumptions!$B$30*Assumptions!$B$84</f>
        <v/>
      </c>
      <c r="D282" s="41">
        <f>D280*Assumptions!$B$139*Assumptions!$B$46*Assumptions!$B$30*Assumptions!$B$84</f>
        <v/>
      </c>
      <c r="E282" s="41">
        <f>E280*Assumptions!$B$139*Assumptions!$B$46*Assumptions!$B$30*Assumptions!$B$84</f>
        <v/>
      </c>
      <c r="F282" s="41">
        <f>F280*Assumptions!$B$139*Assumptions!$B$46*Assumptions!$B$30*Assumptions!$B$84</f>
        <v/>
      </c>
      <c r="G282" s="41">
        <f>G280*Assumptions!$B$139*Assumptions!$B$46*Assumptions!$B$30*Assumptions!$B$84</f>
        <v/>
      </c>
      <c r="H282" s="41">
        <f>H280*Assumptions!$B$139*Assumptions!$B$46*Assumptions!$B$30*Assumptions!$B$84</f>
        <v/>
      </c>
      <c r="I282" s="41">
        <f>I280*Assumptions!$B$139*Assumptions!$B$46*Assumptions!$B$30*Assumptions!$B$84</f>
        <v/>
      </c>
      <c r="J282" s="41">
        <f>J280*Assumptions!$B$139*Assumptions!$B$46*Assumptions!$B$30*Assumptions!$B$84</f>
        <v/>
      </c>
      <c r="K282" s="41">
        <f>K280*Assumptions!$B$139*Assumptions!$B$46*Assumptions!$B$30*Assumptions!$B$84</f>
        <v/>
      </c>
      <c r="L282" s="41">
        <f>L280*Assumptions!$B$139*Assumptions!$B$46*Assumptions!$B$30*Assumptions!$B$84</f>
        <v/>
      </c>
      <c r="M282" s="41">
        <f>M280*Assumptions!$B$139*Assumptions!$B$46*Assumptions!$B$30*Assumptions!$B$84</f>
        <v/>
      </c>
      <c r="N282" s="41">
        <f>N280*Assumptions!$B$139*Assumptions!$B$46*Assumptions!$B$30*Assumptions!$B$84</f>
        <v/>
      </c>
      <c r="O282" s="41">
        <f>O280*Assumptions!$B$139*Assumptions!$B$46*Assumptions!$B$30*Assumptions!$B$84</f>
        <v/>
      </c>
      <c r="P282" s="41">
        <f>P280*Assumptions!$B$139*Assumptions!$B$46*Assumptions!$B$30*Assumptions!$B$84</f>
        <v/>
      </c>
      <c r="Q282" s="41">
        <f>Q280*Assumptions!$B$139*Assumptions!$B$46*Assumptions!$B$30*Assumptions!$B$84</f>
        <v/>
      </c>
      <c r="R282" s="41">
        <f>R280*Assumptions!$B$139*Assumptions!$B$46*Assumptions!$B$30*Assumptions!$B$84</f>
        <v/>
      </c>
      <c r="S282" s="41">
        <f>S280*Assumptions!$B$139*Assumptions!$B$46*Assumptions!$B$30*Assumptions!$B$84</f>
        <v/>
      </c>
      <c r="T282" s="41">
        <f>T280*Assumptions!$B$139*Assumptions!$B$46*Assumptions!$B$30*Assumptions!$B$84</f>
        <v/>
      </c>
      <c r="U282" s="41">
        <f>U280*Assumptions!$B$139*Assumptions!$B$46*Assumptions!$B$30*Assumptions!$B$84</f>
        <v/>
      </c>
      <c r="V282" s="41">
        <f>V280*Assumptions!$B$139*Assumptions!$B$46*Assumptions!$B$30*Assumptions!$B$84</f>
        <v/>
      </c>
      <c r="W282" s="41">
        <f>W280*Assumptions!$B$139*Assumptions!$B$46*Assumptions!$B$30*Assumptions!$B$84</f>
        <v/>
      </c>
      <c r="X282" s="41">
        <f>X280*Assumptions!$B$139*Assumptions!$B$46*Assumptions!$B$30*Assumptions!$B$84</f>
        <v/>
      </c>
      <c r="Y282" s="41">
        <f>Y280*Assumptions!$B$139*Assumptions!$B$46*Assumptions!$B$30*Assumptions!$B$84</f>
        <v/>
      </c>
      <c r="Z282" s="41">
        <f>Z280*Assumptions!$B$139*Assumptions!$B$46*Assumptions!$B$30*Assumptions!$B$84</f>
        <v/>
      </c>
      <c r="AA282" s="41">
        <f>AA280*Assumptions!$B$139*Assumptions!$B$46*Assumptions!$B$30*Assumptions!$B$84</f>
        <v/>
      </c>
      <c r="AB282" s="41">
        <f>AB280*Assumptions!$B$139*Assumptions!$B$46*Assumptions!$B$30*Assumptions!$B$84</f>
        <v/>
      </c>
      <c r="AC282" s="41">
        <f>AC280*Assumptions!$B$139*Assumptions!$B$46*Assumptions!$B$30*Assumptions!$B$84</f>
        <v/>
      </c>
      <c r="AD282" s="41">
        <f>AD280*Assumptions!$B$139*Assumptions!$B$46*Assumptions!$B$30*Assumptions!$B$84</f>
        <v/>
      </c>
      <c r="AE282" s="41">
        <f>AE280*Assumptions!$B$139*Assumptions!$B$46*Assumptions!$B$30*Assumptions!$B$84</f>
        <v/>
      </c>
      <c r="AF282" s="41">
        <f>AF280*Assumptions!$B$139*Assumptions!$B$46*Assumptions!$B$30*Assumptions!$B$84</f>
        <v/>
      </c>
      <c r="AG282" s="41">
        <f>AG280*Assumptions!$B$139*Assumptions!$B$46*Assumptions!$B$30*Assumptions!$B$84</f>
        <v/>
      </c>
      <c r="AH282" s="41">
        <f>AH280*Assumptions!$B$139*Assumptions!$B$46*Assumptions!$B$30*Assumptions!$B$84</f>
        <v/>
      </c>
      <c r="AI282" s="41">
        <f>AI280*Assumptions!$B$139*Assumptions!$B$46*Assumptions!$B$30*Assumptions!$B$84</f>
        <v/>
      </c>
      <c r="AJ282" s="41">
        <f>AJ280*Assumptions!$B$139*Assumptions!$B$46*Assumptions!$B$30*Assumptions!$B$84</f>
        <v/>
      </c>
      <c r="AK282" s="41">
        <f>AK280*Assumptions!$B$139*Assumptions!$B$46*Assumptions!$B$30*Assumptions!$B$84</f>
        <v/>
      </c>
      <c r="AL282" s="41">
        <f>AL280*Assumptions!$B$139*Assumptions!$B$46*Assumptions!$B$30*Assumptions!$B$84</f>
        <v/>
      </c>
      <c r="AM282" s="41">
        <f>AM280*Assumptions!$B$139*Assumptions!$B$46*Assumptions!$B$30*Assumptions!$B$84</f>
        <v/>
      </c>
      <c r="AN282" s="41">
        <f>AN280*Assumptions!$B$139*Assumptions!$B$46*Assumptions!$B$30*Assumptions!$B$84</f>
        <v/>
      </c>
      <c r="AO282" s="41">
        <f>AO280*Assumptions!$B$139*Assumptions!$B$46*Assumptions!$B$30*Assumptions!$B$84</f>
        <v/>
      </c>
      <c r="AP282" s="41">
        <f>AP280*Assumptions!$B$139*Assumptions!$B$46*Assumptions!$B$30*Assumptions!$B$84</f>
        <v/>
      </c>
      <c r="AQ282" s="41">
        <f>AQ280*Assumptions!$B$139*Assumptions!$B$46*Assumptions!$B$30*Assumptions!$B$84</f>
        <v/>
      </c>
      <c r="AR282" s="41">
        <f>AR280*Assumptions!$B$139*Assumptions!$B$46*Assumptions!$B$30*Assumptions!$B$84</f>
        <v/>
      </c>
      <c r="AS282" s="41">
        <f>AS280*Assumptions!$B$139*Assumptions!$B$46*Assumptions!$B$30*Assumptions!$B$84</f>
        <v/>
      </c>
      <c r="AT282" s="41">
        <f>AT280*Assumptions!$B$139*Assumptions!$B$46*Assumptions!$B$30*Assumptions!$B$84</f>
        <v/>
      </c>
      <c r="AU282" s="41">
        <f>AU280*Assumptions!$B$139*Assumptions!$B$46*Assumptions!$B$30*Assumptions!$B$84</f>
        <v/>
      </c>
      <c r="AV282" s="41">
        <f>AV280*Assumptions!$B$139*Assumptions!$B$46*Assumptions!$B$30*Assumptions!$B$84</f>
        <v/>
      </c>
      <c r="AW282" s="41">
        <f>AW280*Assumptions!$B$139*Assumptions!$B$46*Assumptions!$B$30*Assumptions!$B$84</f>
        <v/>
      </c>
      <c r="AX282" s="41">
        <f>AX280*Assumptions!$B$139*Assumptions!$B$46*Assumptions!$B$30*Assumptions!$B$84</f>
        <v/>
      </c>
      <c r="AY282" s="41">
        <f>AY280*Assumptions!$B$139*Assumptions!$B$46*Assumptions!$B$30*Assumptions!$B$84</f>
        <v/>
      </c>
      <c r="AZ282" s="41">
        <f>AZ280*Assumptions!$B$139*Assumptions!$B$46*Assumptions!$B$30*Assumptions!$B$84</f>
        <v/>
      </c>
      <c r="BA282" s="41">
        <f>BA280*Assumptions!$B$139*Assumptions!$B$46*Assumptions!$B$30*Assumptions!$B$84</f>
        <v/>
      </c>
      <c r="BB282" s="41">
        <f>BB280*Assumptions!$B$139*Assumptions!$B$46*Assumptions!$B$30*Assumptions!$B$84</f>
        <v/>
      </c>
      <c r="BC282" s="41">
        <f>BC280*Assumptions!$B$139*Assumptions!$B$46*Assumptions!$B$30*Assumptions!$B$84</f>
        <v/>
      </c>
      <c r="BD282" s="41">
        <f>BD280*Assumptions!$B$139*Assumptions!$B$46*Assumptions!$B$30*Assumptions!$B$84</f>
        <v/>
      </c>
      <c r="BE282" s="41">
        <f>BE280*Assumptions!$B$139*Assumptions!$B$46*Assumptions!$B$30*Assumptions!$B$84</f>
        <v/>
      </c>
      <c r="BF282" s="41">
        <f>BF280*Assumptions!$B$139*Assumptions!$B$46*Assumptions!$B$30*Assumptions!$B$84</f>
        <v/>
      </c>
      <c r="BG282" s="41">
        <f>BG280*Assumptions!$B$139*Assumptions!$B$46*Assumptions!$B$30*Assumptions!$B$84</f>
        <v/>
      </c>
      <c r="BH282" s="41">
        <f>BH280*Assumptions!$B$139*Assumptions!$B$46*Assumptions!$B$30*Assumptions!$B$84</f>
        <v/>
      </c>
      <c r="BI282" s="41">
        <f>BI280*Assumptions!$B$139*Assumptions!$B$46*Assumptions!$B$30*Assumptions!$B$84</f>
        <v/>
      </c>
      <c r="BJ282" s="41">
        <f>BJ280*Assumptions!$B$139*Assumptions!$B$46*Assumptions!$B$30*Assumptions!$B$84</f>
        <v/>
      </c>
    </row>
    <row r="283">
      <c r="A283" s="3" t="inlineStr">
        <is>
          <t>Ghana: Solo: Starter (direct or upgraded): closing</t>
        </is>
      </c>
      <c r="B283" s="17" t="inlineStr">
        <is>
          <t>workspaces</t>
        </is>
      </c>
      <c r="C283" s="44">
        <f>C280+C281-C282</f>
        <v/>
      </c>
      <c r="D283" s="44">
        <f>D280+D281-D282</f>
        <v/>
      </c>
      <c r="E283" s="44">
        <f>E280+E281-E282</f>
        <v/>
      </c>
      <c r="F283" s="44">
        <f>F280+F281-F282</f>
        <v/>
      </c>
      <c r="G283" s="44">
        <f>G280+G281-G282</f>
        <v/>
      </c>
      <c r="H283" s="44">
        <f>H280+H281-H282</f>
        <v/>
      </c>
      <c r="I283" s="44">
        <f>I280+I281-I282</f>
        <v/>
      </c>
      <c r="J283" s="44">
        <f>J280+J281-J282</f>
        <v/>
      </c>
      <c r="K283" s="44">
        <f>K280+K281-K282</f>
        <v/>
      </c>
      <c r="L283" s="44">
        <f>L280+L281-L282</f>
        <v/>
      </c>
      <c r="M283" s="44">
        <f>M280+M281-M282</f>
        <v/>
      </c>
      <c r="N283" s="44">
        <f>N280+N281-N282</f>
        <v/>
      </c>
      <c r="O283" s="44">
        <f>O280+O281-O282</f>
        <v/>
      </c>
      <c r="P283" s="44">
        <f>P280+P281-P282</f>
        <v/>
      </c>
      <c r="Q283" s="44">
        <f>Q280+Q281-Q282</f>
        <v/>
      </c>
      <c r="R283" s="44">
        <f>R280+R281-R282</f>
        <v/>
      </c>
      <c r="S283" s="44">
        <f>S280+S281-S282</f>
        <v/>
      </c>
      <c r="T283" s="44">
        <f>T280+T281-T282</f>
        <v/>
      </c>
      <c r="U283" s="44">
        <f>U280+U281-U282</f>
        <v/>
      </c>
      <c r="V283" s="44">
        <f>V280+V281-V282</f>
        <v/>
      </c>
      <c r="W283" s="44">
        <f>W280+W281-W282</f>
        <v/>
      </c>
      <c r="X283" s="44">
        <f>X280+X281-X282</f>
        <v/>
      </c>
      <c r="Y283" s="44">
        <f>Y280+Y281-Y282</f>
        <v/>
      </c>
      <c r="Z283" s="44">
        <f>Z280+Z281-Z282</f>
        <v/>
      </c>
      <c r="AA283" s="44">
        <f>AA280+AA281-AA282</f>
        <v/>
      </c>
      <c r="AB283" s="44">
        <f>AB280+AB281-AB282</f>
        <v/>
      </c>
      <c r="AC283" s="44">
        <f>AC280+AC281-AC282</f>
        <v/>
      </c>
      <c r="AD283" s="44">
        <f>AD280+AD281-AD282</f>
        <v/>
      </c>
      <c r="AE283" s="44">
        <f>AE280+AE281-AE282</f>
        <v/>
      </c>
      <c r="AF283" s="44">
        <f>AF280+AF281-AF282</f>
        <v/>
      </c>
      <c r="AG283" s="44">
        <f>AG280+AG281-AG282</f>
        <v/>
      </c>
      <c r="AH283" s="44">
        <f>AH280+AH281-AH282</f>
        <v/>
      </c>
      <c r="AI283" s="44">
        <f>AI280+AI281-AI282</f>
        <v/>
      </c>
      <c r="AJ283" s="44">
        <f>AJ280+AJ281-AJ282</f>
        <v/>
      </c>
      <c r="AK283" s="44">
        <f>AK280+AK281-AK282</f>
        <v/>
      </c>
      <c r="AL283" s="44">
        <f>AL280+AL281-AL282</f>
        <v/>
      </c>
      <c r="AM283" s="44">
        <f>AM280+AM281-AM282</f>
        <v/>
      </c>
      <c r="AN283" s="44">
        <f>AN280+AN281-AN282</f>
        <v/>
      </c>
      <c r="AO283" s="44">
        <f>AO280+AO281-AO282</f>
        <v/>
      </c>
      <c r="AP283" s="44">
        <f>AP280+AP281-AP282</f>
        <v/>
      </c>
      <c r="AQ283" s="44">
        <f>AQ280+AQ281-AQ282</f>
        <v/>
      </c>
      <c r="AR283" s="44">
        <f>AR280+AR281-AR282</f>
        <v/>
      </c>
      <c r="AS283" s="44">
        <f>AS280+AS281-AS282</f>
        <v/>
      </c>
      <c r="AT283" s="44">
        <f>AT280+AT281-AT282</f>
        <v/>
      </c>
      <c r="AU283" s="44">
        <f>AU280+AU281-AU282</f>
        <v/>
      </c>
      <c r="AV283" s="44">
        <f>AV280+AV281-AV282</f>
        <v/>
      </c>
      <c r="AW283" s="44">
        <f>AW280+AW281-AW282</f>
        <v/>
      </c>
      <c r="AX283" s="44">
        <f>AX280+AX281-AX282</f>
        <v/>
      </c>
      <c r="AY283" s="44">
        <f>AY280+AY281-AY282</f>
        <v/>
      </c>
      <c r="AZ283" s="44">
        <f>AZ280+AZ281-AZ282</f>
        <v/>
      </c>
      <c r="BA283" s="44">
        <f>BA280+BA281-BA282</f>
        <v/>
      </c>
      <c r="BB283" s="44">
        <f>BB280+BB281-BB282</f>
        <v/>
      </c>
      <c r="BC283" s="44">
        <f>BC280+BC281-BC282</f>
        <v/>
      </c>
      <c r="BD283" s="44">
        <f>BD280+BD281-BD282</f>
        <v/>
      </c>
      <c r="BE283" s="44">
        <f>BE280+BE281-BE282</f>
        <v/>
      </c>
      <c r="BF283" s="44">
        <f>BF280+BF281-BF282</f>
        <v/>
      </c>
      <c r="BG283" s="44">
        <f>BG280+BG281-BG282</f>
        <v/>
      </c>
      <c r="BH283" s="44">
        <f>BH280+BH281-BH282</f>
        <v/>
      </c>
      <c r="BI283" s="44">
        <f>BI280+BI281-BI282</f>
        <v/>
      </c>
      <c r="BJ283" s="44">
        <f>BJ280+BJ281-BJ282</f>
        <v/>
      </c>
    </row>
    <row r="284">
      <c r="A284" s="4" t="inlineStr">
        <is>
          <t>Ghana: SME: Starter: opening</t>
        </is>
      </c>
      <c r="B284" s="17" t="inlineStr">
        <is>
          <t>workspaces</t>
        </is>
      </c>
      <c r="C284" s="41">
        <f>0</f>
        <v/>
      </c>
      <c r="D284" s="41">
        <f>C288</f>
        <v/>
      </c>
      <c r="E284" s="41">
        <f>D288</f>
        <v/>
      </c>
      <c r="F284" s="41">
        <f>E288</f>
        <v/>
      </c>
      <c r="G284" s="41">
        <f>F288</f>
        <v/>
      </c>
      <c r="H284" s="41">
        <f>G288</f>
        <v/>
      </c>
      <c r="I284" s="41">
        <f>H288</f>
        <v/>
      </c>
      <c r="J284" s="41">
        <f>I288</f>
        <v/>
      </c>
      <c r="K284" s="41">
        <f>J288</f>
        <v/>
      </c>
      <c r="L284" s="41">
        <f>K288</f>
        <v/>
      </c>
      <c r="M284" s="41">
        <f>L288</f>
        <v/>
      </c>
      <c r="N284" s="41">
        <f>M288</f>
        <v/>
      </c>
      <c r="O284" s="41">
        <f>N288</f>
        <v/>
      </c>
      <c r="P284" s="41">
        <f>O288</f>
        <v/>
      </c>
      <c r="Q284" s="41">
        <f>P288</f>
        <v/>
      </c>
      <c r="R284" s="41">
        <f>Q288</f>
        <v/>
      </c>
      <c r="S284" s="41">
        <f>R288</f>
        <v/>
      </c>
      <c r="T284" s="41">
        <f>S288</f>
        <v/>
      </c>
      <c r="U284" s="41">
        <f>T288</f>
        <v/>
      </c>
      <c r="V284" s="41">
        <f>U288</f>
        <v/>
      </c>
      <c r="W284" s="41">
        <f>V288</f>
        <v/>
      </c>
      <c r="X284" s="41">
        <f>W288</f>
        <v/>
      </c>
      <c r="Y284" s="41">
        <f>X288</f>
        <v/>
      </c>
      <c r="Z284" s="41">
        <f>Y288</f>
        <v/>
      </c>
      <c r="AA284" s="41">
        <f>Z288</f>
        <v/>
      </c>
      <c r="AB284" s="41">
        <f>AA288</f>
        <v/>
      </c>
      <c r="AC284" s="41">
        <f>AB288</f>
        <v/>
      </c>
      <c r="AD284" s="41">
        <f>AC288</f>
        <v/>
      </c>
      <c r="AE284" s="41">
        <f>AD288</f>
        <v/>
      </c>
      <c r="AF284" s="41">
        <f>AE288</f>
        <v/>
      </c>
      <c r="AG284" s="41">
        <f>AF288</f>
        <v/>
      </c>
      <c r="AH284" s="41">
        <f>AG288</f>
        <v/>
      </c>
      <c r="AI284" s="41">
        <f>AH288</f>
        <v/>
      </c>
      <c r="AJ284" s="41">
        <f>AI288</f>
        <v/>
      </c>
      <c r="AK284" s="41">
        <f>AJ288</f>
        <v/>
      </c>
      <c r="AL284" s="41">
        <f>AK288</f>
        <v/>
      </c>
      <c r="AM284" s="41">
        <f>AL288</f>
        <v/>
      </c>
      <c r="AN284" s="41">
        <f>AM288</f>
        <v/>
      </c>
      <c r="AO284" s="41">
        <f>AN288</f>
        <v/>
      </c>
      <c r="AP284" s="41">
        <f>AO288</f>
        <v/>
      </c>
      <c r="AQ284" s="41">
        <f>AP288</f>
        <v/>
      </c>
      <c r="AR284" s="41">
        <f>AQ288</f>
        <v/>
      </c>
      <c r="AS284" s="41">
        <f>AR288</f>
        <v/>
      </c>
      <c r="AT284" s="41">
        <f>AS288</f>
        <v/>
      </c>
      <c r="AU284" s="41">
        <f>AT288</f>
        <v/>
      </c>
      <c r="AV284" s="41">
        <f>AU288</f>
        <v/>
      </c>
      <c r="AW284" s="41">
        <f>AV288</f>
        <v/>
      </c>
      <c r="AX284" s="41">
        <f>AW288</f>
        <v/>
      </c>
      <c r="AY284" s="41">
        <f>AX288</f>
        <v/>
      </c>
      <c r="AZ284" s="41">
        <f>AY288</f>
        <v/>
      </c>
      <c r="BA284" s="41">
        <f>AZ288</f>
        <v/>
      </c>
      <c r="BB284" s="41">
        <f>BA288</f>
        <v/>
      </c>
      <c r="BC284" s="41">
        <f>BB288</f>
        <v/>
      </c>
      <c r="BD284" s="41">
        <f>BC288</f>
        <v/>
      </c>
      <c r="BE284" s="41">
        <f>BD288</f>
        <v/>
      </c>
      <c r="BF284" s="41">
        <f>BE288</f>
        <v/>
      </c>
      <c r="BG284" s="41">
        <f>BF288</f>
        <v/>
      </c>
      <c r="BH284" s="41">
        <f>BG288</f>
        <v/>
      </c>
      <c r="BI284" s="41">
        <f>BH288</f>
        <v/>
      </c>
      <c r="BJ284" s="41">
        <f>BI288</f>
        <v/>
      </c>
    </row>
    <row r="285">
      <c r="A285" s="4" t="inlineStr">
        <is>
          <t>Ghana: SME: Starter: new</t>
        </is>
      </c>
      <c r="B285" s="17" t="inlineStr">
        <is>
          <t>workspaces</t>
        </is>
      </c>
      <c r="C285" s="41">
        <f>C153*Assumptions!$B$127</f>
        <v/>
      </c>
      <c r="D285" s="41">
        <f>D153*Assumptions!$B$127</f>
        <v/>
      </c>
      <c r="E285" s="41">
        <f>E153*Assumptions!$B$127</f>
        <v/>
      </c>
      <c r="F285" s="41">
        <f>F153*Assumptions!$B$127</f>
        <v/>
      </c>
      <c r="G285" s="41">
        <f>G153*Assumptions!$B$127</f>
        <v/>
      </c>
      <c r="H285" s="41">
        <f>H153*Assumptions!$B$127</f>
        <v/>
      </c>
      <c r="I285" s="41">
        <f>I153*Assumptions!$B$127</f>
        <v/>
      </c>
      <c r="J285" s="41">
        <f>J153*Assumptions!$B$127</f>
        <v/>
      </c>
      <c r="K285" s="41">
        <f>K153*Assumptions!$B$127</f>
        <v/>
      </c>
      <c r="L285" s="41">
        <f>L153*Assumptions!$B$127</f>
        <v/>
      </c>
      <c r="M285" s="41">
        <f>M153*Assumptions!$B$127</f>
        <v/>
      </c>
      <c r="N285" s="41">
        <f>N153*Assumptions!$B$127</f>
        <v/>
      </c>
      <c r="O285" s="41">
        <f>O153*Assumptions!$B$127</f>
        <v/>
      </c>
      <c r="P285" s="41">
        <f>P153*Assumptions!$B$127</f>
        <v/>
      </c>
      <c r="Q285" s="41">
        <f>Q153*Assumptions!$B$127</f>
        <v/>
      </c>
      <c r="R285" s="41">
        <f>R153*Assumptions!$B$127</f>
        <v/>
      </c>
      <c r="S285" s="41">
        <f>S153*Assumptions!$B$127</f>
        <v/>
      </c>
      <c r="T285" s="41">
        <f>T153*Assumptions!$B$127</f>
        <v/>
      </c>
      <c r="U285" s="41">
        <f>U153*Assumptions!$B$127</f>
        <v/>
      </c>
      <c r="V285" s="41">
        <f>V153*Assumptions!$B$127</f>
        <v/>
      </c>
      <c r="W285" s="41">
        <f>W153*Assumptions!$B$127</f>
        <v/>
      </c>
      <c r="X285" s="41">
        <f>X153*Assumptions!$B$127</f>
        <v/>
      </c>
      <c r="Y285" s="41">
        <f>Y153*Assumptions!$B$127</f>
        <v/>
      </c>
      <c r="Z285" s="41">
        <f>Z153*Assumptions!$B$127</f>
        <v/>
      </c>
      <c r="AA285" s="41">
        <f>AA153*Assumptions!$B$127</f>
        <v/>
      </c>
      <c r="AB285" s="41">
        <f>AB153*Assumptions!$B$127</f>
        <v/>
      </c>
      <c r="AC285" s="41">
        <f>AC153*Assumptions!$B$127</f>
        <v/>
      </c>
      <c r="AD285" s="41">
        <f>AD153*Assumptions!$B$127</f>
        <v/>
      </c>
      <c r="AE285" s="41">
        <f>AE153*Assumptions!$B$127</f>
        <v/>
      </c>
      <c r="AF285" s="41">
        <f>AF153*Assumptions!$B$127</f>
        <v/>
      </c>
      <c r="AG285" s="41">
        <f>AG153*Assumptions!$B$127</f>
        <v/>
      </c>
      <c r="AH285" s="41">
        <f>AH153*Assumptions!$B$127</f>
        <v/>
      </c>
      <c r="AI285" s="41">
        <f>AI153*Assumptions!$B$127</f>
        <v/>
      </c>
      <c r="AJ285" s="41">
        <f>AJ153*Assumptions!$B$127</f>
        <v/>
      </c>
      <c r="AK285" s="41">
        <f>AK153*Assumptions!$B$127</f>
        <v/>
      </c>
      <c r="AL285" s="41">
        <f>AL153*Assumptions!$B$127</f>
        <v/>
      </c>
      <c r="AM285" s="41">
        <f>AM153*Assumptions!$B$127</f>
        <v/>
      </c>
      <c r="AN285" s="41">
        <f>AN153*Assumptions!$B$127</f>
        <v/>
      </c>
      <c r="AO285" s="41">
        <f>AO153*Assumptions!$B$127</f>
        <v/>
      </c>
      <c r="AP285" s="41">
        <f>AP153*Assumptions!$B$127</f>
        <v/>
      </c>
      <c r="AQ285" s="41">
        <f>AQ153*Assumptions!$B$127</f>
        <v/>
      </c>
      <c r="AR285" s="41">
        <f>AR153*Assumptions!$B$127</f>
        <v/>
      </c>
      <c r="AS285" s="41">
        <f>AS153*Assumptions!$B$127</f>
        <v/>
      </c>
      <c r="AT285" s="41">
        <f>AT153*Assumptions!$B$127</f>
        <v/>
      </c>
      <c r="AU285" s="41">
        <f>AU153*Assumptions!$B$127</f>
        <v/>
      </c>
      <c r="AV285" s="41">
        <f>AV153*Assumptions!$B$127</f>
        <v/>
      </c>
      <c r="AW285" s="41">
        <f>AW153*Assumptions!$B$127</f>
        <v/>
      </c>
      <c r="AX285" s="41">
        <f>AX153*Assumptions!$B$127</f>
        <v/>
      </c>
      <c r="AY285" s="41">
        <f>AY153*Assumptions!$B$127</f>
        <v/>
      </c>
      <c r="AZ285" s="41">
        <f>AZ153*Assumptions!$B$127</f>
        <v/>
      </c>
      <c r="BA285" s="41">
        <f>BA153*Assumptions!$B$127</f>
        <v/>
      </c>
      <c r="BB285" s="41">
        <f>BB153*Assumptions!$B$127</f>
        <v/>
      </c>
      <c r="BC285" s="41">
        <f>BC153*Assumptions!$B$127</f>
        <v/>
      </c>
      <c r="BD285" s="41">
        <f>BD153*Assumptions!$B$127</f>
        <v/>
      </c>
      <c r="BE285" s="41">
        <f>BE153*Assumptions!$B$127</f>
        <v/>
      </c>
      <c r="BF285" s="41">
        <f>BF153*Assumptions!$B$127</f>
        <v/>
      </c>
      <c r="BG285" s="41">
        <f>BG153*Assumptions!$B$127</f>
        <v/>
      </c>
      <c r="BH285" s="41">
        <f>BH153*Assumptions!$B$127</f>
        <v/>
      </c>
      <c r="BI285" s="41">
        <f>BI153*Assumptions!$B$127</f>
        <v/>
      </c>
      <c r="BJ285" s="41">
        <f>BJ153*Assumptions!$B$127</f>
        <v/>
      </c>
    </row>
    <row r="286">
      <c r="A286" s="4" t="inlineStr">
        <is>
          <t>Ghana: SME: Starter: churned</t>
        </is>
      </c>
      <c r="B286" s="17" t="inlineStr">
        <is>
          <t>workspaces</t>
        </is>
      </c>
      <c r="C286" s="41">
        <f>C284*Assumptions!$B$140*Assumptions!$B$46*Assumptions!$B$30*Assumptions!$B$84</f>
        <v/>
      </c>
      <c r="D286" s="41">
        <f>D284*Assumptions!$B$140*Assumptions!$B$46*Assumptions!$B$30*Assumptions!$B$84</f>
        <v/>
      </c>
      <c r="E286" s="41">
        <f>E284*Assumptions!$B$140*Assumptions!$B$46*Assumptions!$B$30*Assumptions!$B$84</f>
        <v/>
      </c>
      <c r="F286" s="41">
        <f>F284*Assumptions!$B$140*Assumptions!$B$46*Assumptions!$B$30*Assumptions!$B$84</f>
        <v/>
      </c>
      <c r="G286" s="41">
        <f>G284*Assumptions!$B$140*Assumptions!$B$46*Assumptions!$B$30*Assumptions!$B$84</f>
        <v/>
      </c>
      <c r="H286" s="41">
        <f>H284*Assumptions!$B$140*Assumptions!$B$46*Assumptions!$B$30*Assumptions!$B$84</f>
        <v/>
      </c>
      <c r="I286" s="41">
        <f>I284*Assumptions!$B$140*Assumptions!$B$46*Assumptions!$B$30*Assumptions!$B$84</f>
        <v/>
      </c>
      <c r="J286" s="41">
        <f>J284*Assumptions!$B$140*Assumptions!$B$46*Assumptions!$B$30*Assumptions!$B$84</f>
        <v/>
      </c>
      <c r="K286" s="41">
        <f>K284*Assumptions!$B$140*Assumptions!$B$46*Assumptions!$B$30*Assumptions!$B$84</f>
        <v/>
      </c>
      <c r="L286" s="41">
        <f>L284*Assumptions!$B$140*Assumptions!$B$46*Assumptions!$B$30*Assumptions!$B$84</f>
        <v/>
      </c>
      <c r="M286" s="41">
        <f>M284*Assumptions!$B$140*Assumptions!$B$46*Assumptions!$B$30*Assumptions!$B$84</f>
        <v/>
      </c>
      <c r="N286" s="41">
        <f>N284*Assumptions!$B$140*Assumptions!$B$46*Assumptions!$B$30*Assumptions!$B$84</f>
        <v/>
      </c>
      <c r="O286" s="41">
        <f>O284*Assumptions!$B$140*Assumptions!$B$46*Assumptions!$B$30*Assumptions!$B$84</f>
        <v/>
      </c>
      <c r="P286" s="41">
        <f>P284*Assumptions!$B$140*Assumptions!$B$46*Assumptions!$B$30*Assumptions!$B$84</f>
        <v/>
      </c>
      <c r="Q286" s="41">
        <f>Q284*Assumptions!$B$140*Assumptions!$B$46*Assumptions!$B$30*Assumptions!$B$84</f>
        <v/>
      </c>
      <c r="R286" s="41">
        <f>R284*Assumptions!$B$140*Assumptions!$B$46*Assumptions!$B$30*Assumptions!$B$84</f>
        <v/>
      </c>
      <c r="S286" s="41">
        <f>S284*Assumptions!$B$140*Assumptions!$B$46*Assumptions!$B$30*Assumptions!$B$84</f>
        <v/>
      </c>
      <c r="T286" s="41">
        <f>T284*Assumptions!$B$140*Assumptions!$B$46*Assumptions!$B$30*Assumptions!$B$84</f>
        <v/>
      </c>
      <c r="U286" s="41">
        <f>U284*Assumptions!$B$140*Assumptions!$B$46*Assumptions!$B$30*Assumptions!$B$84</f>
        <v/>
      </c>
      <c r="V286" s="41">
        <f>V284*Assumptions!$B$140*Assumptions!$B$46*Assumptions!$B$30*Assumptions!$B$84</f>
        <v/>
      </c>
      <c r="W286" s="41">
        <f>W284*Assumptions!$B$140*Assumptions!$B$46*Assumptions!$B$30*Assumptions!$B$84</f>
        <v/>
      </c>
      <c r="X286" s="41">
        <f>X284*Assumptions!$B$140*Assumptions!$B$46*Assumptions!$B$30*Assumptions!$B$84</f>
        <v/>
      </c>
      <c r="Y286" s="41">
        <f>Y284*Assumptions!$B$140*Assumptions!$B$46*Assumptions!$B$30*Assumptions!$B$84</f>
        <v/>
      </c>
      <c r="Z286" s="41">
        <f>Z284*Assumptions!$B$140*Assumptions!$B$46*Assumptions!$B$30*Assumptions!$B$84</f>
        <v/>
      </c>
      <c r="AA286" s="41">
        <f>AA284*Assumptions!$B$140*Assumptions!$B$46*Assumptions!$B$30*Assumptions!$B$84</f>
        <v/>
      </c>
      <c r="AB286" s="41">
        <f>AB284*Assumptions!$B$140*Assumptions!$B$46*Assumptions!$B$30*Assumptions!$B$84</f>
        <v/>
      </c>
      <c r="AC286" s="41">
        <f>AC284*Assumptions!$B$140*Assumptions!$B$46*Assumptions!$B$30*Assumptions!$B$84</f>
        <v/>
      </c>
      <c r="AD286" s="41">
        <f>AD284*Assumptions!$B$140*Assumptions!$B$46*Assumptions!$B$30*Assumptions!$B$84</f>
        <v/>
      </c>
      <c r="AE286" s="41">
        <f>AE284*Assumptions!$B$140*Assumptions!$B$46*Assumptions!$B$30*Assumptions!$B$84</f>
        <v/>
      </c>
      <c r="AF286" s="41">
        <f>AF284*Assumptions!$B$140*Assumptions!$B$46*Assumptions!$B$30*Assumptions!$B$84</f>
        <v/>
      </c>
      <c r="AG286" s="41">
        <f>AG284*Assumptions!$B$140*Assumptions!$B$46*Assumptions!$B$30*Assumptions!$B$84</f>
        <v/>
      </c>
      <c r="AH286" s="41">
        <f>AH284*Assumptions!$B$140*Assumptions!$B$46*Assumptions!$B$30*Assumptions!$B$84</f>
        <v/>
      </c>
      <c r="AI286" s="41">
        <f>AI284*Assumptions!$B$140*Assumptions!$B$46*Assumptions!$B$30*Assumptions!$B$84</f>
        <v/>
      </c>
      <c r="AJ286" s="41">
        <f>AJ284*Assumptions!$B$140*Assumptions!$B$46*Assumptions!$B$30*Assumptions!$B$84</f>
        <v/>
      </c>
      <c r="AK286" s="41">
        <f>AK284*Assumptions!$B$140*Assumptions!$B$46*Assumptions!$B$30*Assumptions!$B$84</f>
        <v/>
      </c>
      <c r="AL286" s="41">
        <f>AL284*Assumptions!$B$140*Assumptions!$B$46*Assumptions!$B$30*Assumptions!$B$84</f>
        <v/>
      </c>
      <c r="AM286" s="41">
        <f>AM284*Assumptions!$B$140*Assumptions!$B$46*Assumptions!$B$30*Assumptions!$B$84</f>
        <v/>
      </c>
      <c r="AN286" s="41">
        <f>AN284*Assumptions!$B$140*Assumptions!$B$46*Assumptions!$B$30*Assumptions!$B$84</f>
        <v/>
      </c>
      <c r="AO286" s="41">
        <f>AO284*Assumptions!$B$140*Assumptions!$B$46*Assumptions!$B$30*Assumptions!$B$84</f>
        <v/>
      </c>
      <c r="AP286" s="41">
        <f>AP284*Assumptions!$B$140*Assumptions!$B$46*Assumptions!$B$30*Assumptions!$B$84</f>
        <v/>
      </c>
      <c r="AQ286" s="41">
        <f>AQ284*Assumptions!$B$140*Assumptions!$B$46*Assumptions!$B$30*Assumptions!$B$84</f>
        <v/>
      </c>
      <c r="AR286" s="41">
        <f>AR284*Assumptions!$B$140*Assumptions!$B$46*Assumptions!$B$30*Assumptions!$B$84</f>
        <v/>
      </c>
      <c r="AS286" s="41">
        <f>AS284*Assumptions!$B$140*Assumptions!$B$46*Assumptions!$B$30*Assumptions!$B$84</f>
        <v/>
      </c>
      <c r="AT286" s="41">
        <f>AT284*Assumptions!$B$140*Assumptions!$B$46*Assumptions!$B$30*Assumptions!$B$84</f>
        <v/>
      </c>
      <c r="AU286" s="41">
        <f>AU284*Assumptions!$B$140*Assumptions!$B$46*Assumptions!$B$30*Assumptions!$B$84</f>
        <v/>
      </c>
      <c r="AV286" s="41">
        <f>AV284*Assumptions!$B$140*Assumptions!$B$46*Assumptions!$B$30*Assumptions!$B$84</f>
        <v/>
      </c>
      <c r="AW286" s="41">
        <f>AW284*Assumptions!$B$140*Assumptions!$B$46*Assumptions!$B$30*Assumptions!$B$84</f>
        <v/>
      </c>
      <c r="AX286" s="41">
        <f>AX284*Assumptions!$B$140*Assumptions!$B$46*Assumptions!$B$30*Assumptions!$B$84</f>
        <v/>
      </c>
      <c r="AY286" s="41">
        <f>AY284*Assumptions!$B$140*Assumptions!$B$46*Assumptions!$B$30*Assumptions!$B$84</f>
        <v/>
      </c>
      <c r="AZ286" s="41">
        <f>AZ284*Assumptions!$B$140*Assumptions!$B$46*Assumptions!$B$30*Assumptions!$B$84</f>
        <v/>
      </c>
      <c r="BA286" s="41">
        <f>BA284*Assumptions!$B$140*Assumptions!$B$46*Assumptions!$B$30*Assumptions!$B$84</f>
        <v/>
      </c>
      <c r="BB286" s="41">
        <f>BB284*Assumptions!$B$140*Assumptions!$B$46*Assumptions!$B$30*Assumptions!$B$84</f>
        <v/>
      </c>
      <c r="BC286" s="41">
        <f>BC284*Assumptions!$B$140*Assumptions!$B$46*Assumptions!$B$30*Assumptions!$B$84</f>
        <v/>
      </c>
      <c r="BD286" s="41">
        <f>BD284*Assumptions!$B$140*Assumptions!$B$46*Assumptions!$B$30*Assumptions!$B$84</f>
        <v/>
      </c>
      <c r="BE286" s="41">
        <f>BE284*Assumptions!$B$140*Assumptions!$B$46*Assumptions!$B$30*Assumptions!$B$84</f>
        <v/>
      </c>
      <c r="BF286" s="41">
        <f>BF284*Assumptions!$B$140*Assumptions!$B$46*Assumptions!$B$30*Assumptions!$B$84</f>
        <v/>
      </c>
      <c r="BG286" s="41">
        <f>BG284*Assumptions!$B$140*Assumptions!$B$46*Assumptions!$B$30*Assumptions!$B$84</f>
        <v/>
      </c>
      <c r="BH286" s="41">
        <f>BH284*Assumptions!$B$140*Assumptions!$B$46*Assumptions!$B$30*Assumptions!$B$84</f>
        <v/>
      </c>
      <c r="BI286" s="41">
        <f>BI284*Assumptions!$B$140*Assumptions!$B$46*Assumptions!$B$30*Assumptions!$B$84</f>
        <v/>
      </c>
      <c r="BJ286" s="41">
        <f>BJ284*Assumptions!$B$140*Assumptions!$B$46*Assumptions!$B$30*Assumptions!$B$84</f>
        <v/>
      </c>
    </row>
    <row r="287">
      <c r="A287" s="4" t="inlineStr">
        <is>
          <t>Ghana: SME: Starter: upgraded out</t>
        </is>
      </c>
      <c r="B287" s="17" t="inlineStr">
        <is>
          <t>workspaces</t>
        </is>
      </c>
      <c r="C287" s="41">
        <f>C284*Assumptions!$B$132</f>
        <v/>
      </c>
      <c r="D287" s="41">
        <f>D284*Assumptions!$B$132</f>
        <v/>
      </c>
      <c r="E287" s="41">
        <f>E284*Assumptions!$B$132</f>
        <v/>
      </c>
      <c r="F287" s="41">
        <f>F284*Assumptions!$B$132</f>
        <v/>
      </c>
      <c r="G287" s="41">
        <f>G284*Assumptions!$B$132</f>
        <v/>
      </c>
      <c r="H287" s="41">
        <f>H284*Assumptions!$B$132</f>
        <v/>
      </c>
      <c r="I287" s="41">
        <f>I284*Assumptions!$B$132</f>
        <v/>
      </c>
      <c r="J287" s="41">
        <f>J284*Assumptions!$B$132</f>
        <v/>
      </c>
      <c r="K287" s="41">
        <f>K284*Assumptions!$B$132</f>
        <v/>
      </c>
      <c r="L287" s="41">
        <f>L284*Assumptions!$B$132</f>
        <v/>
      </c>
      <c r="M287" s="41">
        <f>M284*Assumptions!$B$132</f>
        <v/>
      </c>
      <c r="N287" s="41">
        <f>N284*Assumptions!$B$132</f>
        <v/>
      </c>
      <c r="O287" s="41">
        <f>O284*Assumptions!$B$132</f>
        <v/>
      </c>
      <c r="P287" s="41">
        <f>P284*Assumptions!$B$132</f>
        <v/>
      </c>
      <c r="Q287" s="41">
        <f>Q284*Assumptions!$B$132</f>
        <v/>
      </c>
      <c r="R287" s="41">
        <f>R284*Assumptions!$B$132</f>
        <v/>
      </c>
      <c r="S287" s="41">
        <f>S284*Assumptions!$B$132</f>
        <v/>
      </c>
      <c r="T287" s="41">
        <f>T284*Assumptions!$B$132</f>
        <v/>
      </c>
      <c r="U287" s="41">
        <f>U284*Assumptions!$B$132</f>
        <v/>
      </c>
      <c r="V287" s="41">
        <f>V284*Assumptions!$B$132</f>
        <v/>
      </c>
      <c r="W287" s="41">
        <f>W284*Assumptions!$B$132</f>
        <v/>
      </c>
      <c r="X287" s="41">
        <f>X284*Assumptions!$B$132</f>
        <v/>
      </c>
      <c r="Y287" s="41">
        <f>Y284*Assumptions!$B$132</f>
        <v/>
      </c>
      <c r="Z287" s="41">
        <f>Z284*Assumptions!$B$132</f>
        <v/>
      </c>
      <c r="AA287" s="41">
        <f>AA284*Assumptions!$B$132</f>
        <v/>
      </c>
      <c r="AB287" s="41">
        <f>AB284*Assumptions!$B$132</f>
        <v/>
      </c>
      <c r="AC287" s="41">
        <f>AC284*Assumptions!$B$132</f>
        <v/>
      </c>
      <c r="AD287" s="41">
        <f>AD284*Assumptions!$B$132</f>
        <v/>
      </c>
      <c r="AE287" s="41">
        <f>AE284*Assumptions!$B$132</f>
        <v/>
      </c>
      <c r="AF287" s="41">
        <f>AF284*Assumptions!$B$132</f>
        <v/>
      </c>
      <c r="AG287" s="41">
        <f>AG284*Assumptions!$B$132</f>
        <v/>
      </c>
      <c r="AH287" s="41">
        <f>AH284*Assumptions!$B$132</f>
        <v/>
      </c>
      <c r="AI287" s="41">
        <f>AI284*Assumptions!$B$132</f>
        <v/>
      </c>
      <c r="AJ287" s="41">
        <f>AJ284*Assumptions!$B$132</f>
        <v/>
      </c>
      <c r="AK287" s="41">
        <f>AK284*Assumptions!$B$132</f>
        <v/>
      </c>
      <c r="AL287" s="41">
        <f>AL284*Assumptions!$B$132</f>
        <v/>
      </c>
      <c r="AM287" s="41">
        <f>AM284*Assumptions!$B$132</f>
        <v/>
      </c>
      <c r="AN287" s="41">
        <f>AN284*Assumptions!$B$132</f>
        <v/>
      </c>
      <c r="AO287" s="41">
        <f>AO284*Assumptions!$B$132</f>
        <v/>
      </c>
      <c r="AP287" s="41">
        <f>AP284*Assumptions!$B$132</f>
        <v/>
      </c>
      <c r="AQ287" s="41">
        <f>AQ284*Assumptions!$B$132</f>
        <v/>
      </c>
      <c r="AR287" s="41">
        <f>AR284*Assumptions!$B$132</f>
        <v/>
      </c>
      <c r="AS287" s="41">
        <f>AS284*Assumptions!$B$132</f>
        <v/>
      </c>
      <c r="AT287" s="41">
        <f>AT284*Assumptions!$B$132</f>
        <v/>
      </c>
      <c r="AU287" s="41">
        <f>AU284*Assumptions!$B$132</f>
        <v/>
      </c>
      <c r="AV287" s="41">
        <f>AV284*Assumptions!$B$132</f>
        <v/>
      </c>
      <c r="AW287" s="41">
        <f>AW284*Assumptions!$B$132</f>
        <v/>
      </c>
      <c r="AX287" s="41">
        <f>AX284*Assumptions!$B$132</f>
        <v/>
      </c>
      <c r="AY287" s="41">
        <f>AY284*Assumptions!$B$132</f>
        <v/>
      </c>
      <c r="AZ287" s="41">
        <f>AZ284*Assumptions!$B$132</f>
        <v/>
      </c>
      <c r="BA287" s="41">
        <f>BA284*Assumptions!$B$132</f>
        <v/>
      </c>
      <c r="BB287" s="41">
        <f>BB284*Assumptions!$B$132</f>
        <v/>
      </c>
      <c r="BC287" s="41">
        <f>BC284*Assumptions!$B$132</f>
        <v/>
      </c>
      <c r="BD287" s="41">
        <f>BD284*Assumptions!$B$132</f>
        <v/>
      </c>
      <c r="BE287" s="41">
        <f>BE284*Assumptions!$B$132</f>
        <v/>
      </c>
      <c r="BF287" s="41">
        <f>BF284*Assumptions!$B$132</f>
        <v/>
      </c>
      <c r="BG287" s="41">
        <f>BG284*Assumptions!$B$132</f>
        <v/>
      </c>
      <c r="BH287" s="41">
        <f>BH284*Assumptions!$B$132</f>
        <v/>
      </c>
      <c r="BI287" s="41">
        <f>BI284*Assumptions!$B$132</f>
        <v/>
      </c>
      <c r="BJ287" s="41">
        <f>BJ284*Assumptions!$B$132</f>
        <v/>
      </c>
    </row>
    <row r="288">
      <c r="A288" s="3" t="inlineStr">
        <is>
          <t>Ghana: SME: Starter: closing</t>
        </is>
      </c>
      <c r="B288" s="17" t="inlineStr">
        <is>
          <t>workspaces</t>
        </is>
      </c>
      <c r="C288" s="44">
        <f>C284+C285-C286-C287</f>
        <v/>
      </c>
      <c r="D288" s="44">
        <f>D284+D285-D286-D287</f>
        <v/>
      </c>
      <c r="E288" s="44">
        <f>E284+E285-E286-E287</f>
        <v/>
      </c>
      <c r="F288" s="44">
        <f>F284+F285-F286-F287</f>
        <v/>
      </c>
      <c r="G288" s="44">
        <f>G284+G285-G286-G287</f>
        <v/>
      </c>
      <c r="H288" s="44">
        <f>H284+H285-H286-H287</f>
        <v/>
      </c>
      <c r="I288" s="44">
        <f>I284+I285-I286-I287</f>
        <v/>
      </c>
      <c r="J288" s="44">
        <f>J284+J285-J286-J287</f>
        <v/>
      </c>
      <c r="K288" s="44">
        <f>K284+K285-K286-K287</f>
        <v/>
      </c>
      <c r="L288" s="44">
        <f>L284+L285-L286-L287</f>
        <v/>
      </c>
      <c r="M288" s="44">
        <f>M284+M285-M286-M287</f>
        <v/>
      </c>
      <c r="N288" s="44">
        <f>N284+N285-N286-N287</f>
        <v/>
      </c>
      <c r="O288" s="44">
        <f>O284+O285-O286-O287</f>
        <v/>
      </c>
      <c r="P288" s="44">
        <f>P284+P285-P286-P287</f>
        <v/>
      </c>
      <c r="Q288" s="44">
        <f>Q284+Q285-Q286-Q287</f>
        <v/>
      </c>
      <c r="R288" s="44">
        <f>R284+R285-R286-R287</f>
        <v/>
      </c>
      <c r="S288" s="44">
        <f>S284+S285-S286-S287</f>
        <v/>
      </c>
      <c r="T288" s="44">
        <f>T284+T285-T286-T287</f>
        <v/>
      </c>
      <c r="U288" s="44">
        <f>U284+U285-U286-U287</f>
        <v/>
      </c>
      <c r="V288" s="44">
        <f>V284+V285-V286-V287</f>
        <v/>
      </c>
      <c r="W288" s="44">
        <f>W284+W285-W286-W287</f>
        <v/>
      </c>
      <c r="X288" s="44">
        <f>X284+X285-X286-X287</f>
        <v/>
      </c>
      <c r="Y288" s="44">
        <f>Y284+Y285-Y286-Y287</f>
        <v/>
      </c>
      <c r="Z288" s="44">
        <f>Z284+Z285-Z286-Z287</f>
        <v/>
      </c>
      <c r="AA288" s="44">
        <f>AA284+AA285-AA286-AA287</f>
        <v/>
      </c>
      <c r="AB288" s="44">
        <f>AB284+AB285-AB286-AB287</f>
        <v/>
      </c>
      <c r="AC288" s="44">
        <f>AC284+AC285-AC286-AC287</f>
        <v/>
      </c>
      <c r="AD288" s="44">
        <f>AD284+AD285-AD286-AD287</f>
        <v/>
      </c>
      <c r="AE288" s="44">
        <f>AE284+AE285-AE286-AE287</f>
        <v/>
      </c>
      <c r="AF288" s="44">
        <f>AF284+AF285-AF286-AF287</f>
        <v/>
      </c>
      <c r="AG288" s="44">
        <f>AG284+AG285-AG286-AG287</f>
        <v/>
      </c>
      <c r="AH288" s="44">
        <f>AH284+AH285-AH286-AH287</f>
        <v/>
      </c>
      <c r="AI288" s="44">
        <f>AI284+AI285-AI286-AI287</f>
        <v/>
      </c>
      <c r="AJ288" s="44">
        <f>AJ284+AJ285-AJ286-AJ287</f>
        <v/>
      </c>
      <c r="AK288" s="44">
        <f>AK284+AK285-AK286-AK287</f>
        <v/>
      </c>
      <c r="AL288" s="44">
        <f>AL284+AL285-AL286-AL287</f>
        <v/>
      </c>
      <c r="AM288" s="44">
        <f>AM284+AM285-AM286-AM287</f>
        <v/>
      </c>
      <c r="AN288" s="44">
        <f>AN284+AN285-AN286-AN287</f>
        <v/>
      </c>
      <c r="AO288" s="44">
        <f>AO284+AO285-AO286-AO287</f>
        <v/>
      </c>
      <c r="AP288" s="44">
        <f>AP284+AP285-AP286-AP287</f>
        <v/>
      </c>
      <c r="AQ288" s="44">
        <f>AQ284+AQ285-AQ286-AQ287</f>
        <v/>
      </c>
      <c r="AR288" s="44">
        <f>AR284+AR285-AR286-AR287</f>
        <v/>
      </c>
      <c r="AS288" s="44">
        <f>AS284+AS285-AS286-AS287</f>
        <v/>
      </c>
      <c r="AT288" s="44">
        <f>AT284+AT285-AT286-AT287</f>
        <v/>
      </c>
      <c r="AU288" s="44">
        <f>AU284+AU285-AU286-AU287</f>
        <v/>
      </c>
      <c r="AV288" s="44">
        <f>AV284+AV285-AV286-AV287</f>
        <v/>
      </c>
      <c r="AW288" s="44">
        <f>AW284+AW285-AW286-AW287</f>
        <v/>
      </c>
      <c r="AX288" s="44">
        <f>AX284+AX285-AX286-AX287</f>
        <v/>
      </c>
      <c r="AY288" s="44">
        <f>AY284+AY285-AY286-AY287</f>
        <v/>
      </c>
      <c r="AZ288" s="44">
        <f>AZ284+AZ285-AZ286-AZ287</f>
        <v/>
      </c>
      <c r="BA288" s="44">
        <f>BA284+BA285-BA286-BA287</f>
        <v/>
      </c>
      <c r="BB288" s="44">
        <f>BB284+BB285-BB286-BB287</f>
        <v/>
      </c>
      <c r="BC288" s="44">
        <f>BC284+BC285-BC286-BC287</f>
        <v/>
      </c>
      <c r="BD288" s="44">
        <f>BD284+BD285-BD286-BD287</f>
        <v/>
      </c>
      <c r="BE288" s="44">
        <f>BE284+BE285-BE286-BE287</f>
        <v/>
      </c>
      <c r="BF288" s="44">
        <f>BF284+BF285-BF286-BF287</f>
        <v/>
      </c>
      <c r="BG288" s="44">
        <f>BG284+BG285-BG286-BG287</f>
        <v/>
      </c>
      <c r="BH288" s="44">
        <f>BH284+BH285-BH286-BH287</f>
        <v/>
      </c>
      <c r="BI288" s="44">
        <f>BI284+BI285-BI286-BI287</f>
        <v/>
      </c>
      <c r="BJ288" s="44">
        <f>BJ284+BJ285-BJ286-BJ287</f>
        <v/>
      </c>
    </row>
    <row r="289">
      <c r="A289" s="4" t="inlineStr">
        <is>
          <t>Ghana: SME: Growth (direct or upgraded): opening</t>
        </is>
      </c>
      <c r="B289" s="17" t="inlineStr">
        <is>
          <t>workspaces</t>
        </is>
      </c>
      <c r="C289" s="41">
        <f>0</f>
        <v/>
      </c>
      <c r="D289" s="41">
        <f>C293</f>
        <v/>
      </c>
      <c r="E289" s="41">
        <f>D293</f>
        <v/>
      </c>
      <c r="F289" s="41">
        <f>E293</f>
        <v/>
      </c>
      <c r="G289" s="41">
        <f>F293</f>
        <v/>
      </c>
      <c r="H289" s="41">
        <f>G293</f>
        <v/>
      </c>
      <c r="I289" s="41">
        <f>H293</f>
        <v/>
      </c>
      <c r="J289" s="41">
        <f>I293</f>
        <v/>
      </c>
      <c r="K289" s="41">
        <f>J293</f>
        <v/>
      </c>
      <c r="L289" s="41">
        <f>K293</f>
        <v/>
      </c>
      <c r="M289" s="41">
        <f>L293</f>
        <v/>
      </c>
      <c r="N289" s="41">
        <f>M293</f>
        <v/>
      </c>
      <c r="O289" s="41">
        <f>N293</f>
        <v/>
      </c>
      <c r="P289" s="41">
        <f>O293</f>
        <v/>
      </c>
      <c r="Q289" s="41">
        <f>P293</f>
        <v/>
      </c>
      <c r="R289" s="41">
        <f>Q293</f>
        <v/>
      </c>
      <c r="S289" s="41">
        <f>R293</f>
        <v/>
      </c>
      <c r="T289" s="41">
        <f>S293</f>
        <v/>
      </c>
      <c r="U289" s="41">
        <f>T293</f>
        <v/>
      </c>
      <c r="V289" s="41">
        <f>U293</f>
        <v/>
      </c>
      <c r="W289" s="41">
        <f>V293</f>
        <v/>
      </c>
      <c r="X289" s="41">
        <f>W293</f>
        <v/>
      </c>
      <c r="Y289" s="41">
        <f>X293</f>
        <v/>
      </c>
      <c r="Z289" s="41">
        <f>Y293</f>
        <v/>
      </c>
      <c r="AA289" s="41">
        <f>Z293</f>
        <v/>
      </c>
      <c r="AB289" s="41">
        <f>AA293</f>
        <v/>
      </c>
      <c r="AC289" s="41">
        <f>AB293</f>
        <v/>
      </c>
      <c r="AD289" s="41">
        <f>AC293</f>
        <v/>
      </c>
      <c r="AE289" s="41">
        <f>AD293</f>
        <v/>
      </c>
      <c r="AF289" s="41">
        <f>AE293</f>
        <v/>
      </c>
      <c r="AG289" s="41">
        <f>AF293</f>
        <v/>
      </c>
      <c r="AH289" s="41">
        <f>AG293</f>
        <v/>
      </c>
      <c r="AI289" s="41">
        <f>AH293</f>
        <v/>
      </c>
      <c r="AJ289" s="41">
        <f>AI293</f>
        <v/>
      </c>
      <c r="AK289" s="41">
        <f>AJ293</f>
        <v/>
      </c>
      <c r="AL289" s="41">
        <f>AK293</f>
        <v/>
      </c>
      <c r="AM289" s="41">
        <f>AL293</f>
        <v/>
      </c>
      <c r="AN289" s="41">
        <f>AM293</f>
        <v/>
      </c>
      <c r="AO289" s="41">
        <f>AN293</f>
        <v/>
      </c>
      <c r="AP289" s="41">
        <f>AO293</f>
        <v/>
      </c>
      <c r="AQ289" s="41">
        <f>AP293</f>
        <v/>
      </c>
      <c r="AR289" s="41">
        <f>AQ293</f>
        <v/>
      </c>
      <c r="AS289" s="41">
        <f>AR293</f>
        <v/>
      </c>
      <c r="AT289" s="41">
        <f>AS293</f>
        <v/>
      </c>
      <c r="AU289" s="41">
        <f>AT293</f>
        <v/>
      </c>
      <c r="AV289" s="41">
        <f>AU293</f>
        <v/>
      </c>
      <c r="AW289" s="41">
        <f>AV293</f>
        <v/>
      </c>
      <c r="AX289" s="41">
        <f>AW293</f>
        <v/>
      </c>
      <c r="AY289" s="41">
        <f>AX293</f>
        <v/>
      </c>
      <c r="AZ289" s="41">
        <f>AY293</f>
        <v/>
      </c>
      <c r="BA289" s="41">
        <f>AZ293</f>
        <v/>
      </c>
      <c r="BB289" s="41">
        <f>BA293</f>
        <v/>
      </c>
      <c r="BC289" s="41">
        <f>BB293</f>
        <v/>
      </c>
      <c r="BD289" s="41">
        <f>BC293</f>
        <v/>
      </c>
      <c r="BE289" s="41">
        <f>BD293</f>
        <v/>
      </c>
      <c r="BF289" s="41">
        <f>BE293</f>
        <v/>
      </c>
      <c r="BG289" s="41">
        <f>BF293</f>
        <v/>
      </c>
      <c r="BH289" s="41">
        <f>BG293</f>
        <v/>
      </c>
      <c r="BI289" s="41">
        <f>BH293</f>
        <v/>
      </c>
      <c r="BJ289" s="41">
        <f>BI293</f>
        <v/>
      </c>
    </row>
    <row r="290">
      <c r="A290" s="4" t="inlineStr">
        <is>
          <t>Ghana: SME: Growth (direct or upgraded): new</t>
        </is>
      </c>
      <c r="B290" s="17" t="inlineStr">
        <is>
          <t>workspaces</t>
        </is>
      </c>
      <c r="C290" s="41">
        <f>C153*Assumptions!$B$128+C287</f>
        <v/>
      </c>
      <c r="D290" s="41">
        <f>D153*Assumptions!$B$128+D287</f>
        <v/>
      </c>
      <c r="E290" s="41">
        <f>E153*Assumptions!$B$128+E287</f>
        <v/>
      </c>
      <c r="F290" s="41">
        <f>F153*Assumptions!$B$128+F287</f>
        <v/>
      </c>
      <c r="G290" s="41">
        <f>G153*Assumptions!$B$128+G287</f>
        <v/>
      </c>
      <c r="H290" s="41">
        <f>H153*Assumptions!$B$128+H287</f>
        <v/>
      </c>
      <c r="I290" s="41">
        <f>I153*Assumptions!$B$128+I287</f>
        <v/>
      </c>
      <c r="J290" s="41">
        <f>J153*Assumptions!$B$128+J287</f>
        <v/>
      </c>
      <c r="K290" s="41">
        <f>K153*Assumptions!$B$128+K287</f>
        <v/>
      </c>
      <c r="L290" s="41">
        <f>L153*Assumptions!$B$128+L287</f>
        <v/>
      </c>
      <c r="M290" s="41">
        <f>M153*Assumptions!$B$128+M287</f>
        <v/>
      </c>
      <c r="N290" s="41">
        <f>N153*Assumptions!$B$128+N287</f>
        <v/>
      </c>
      <c r="O290" s="41">
        <f>O153*Assumptions!$B$128+O287</f>
        <v/>
      </c>
      <c r="P290" s="41">
        <f>P153*Assumptions!$B$128+P287</f>
        <v/>
      </c>
      <c r="Q290" s="41">
        <f>Q153*Assumptions!$B$128+Q287</f>
        <v/>
      </c>
      <c r="R290" s="41">
        <f>R153*Assumptions!$B$128+R287</f>
        <v/>
      </c>
      <c r="S290" s="41">
        <f>S153*Assumptions!$B$128+S287</f>
        <v/>
      </c>
      <c r="T290" s="41">
        <f>T153*Assumptions!$B$128+T287</f>
        <v/>
      </c>
      <c r="U290" s="41">
        <f>U153*Assumptions!$B$128+U287</f>
        <v/>
      </c>
      <c r="V290" s="41">
        <f>V153*Assumptions!$B$128+V287</f>
        <v/>
      </c>
      <c r="W290" s="41">
        <f>W153*Assumptions!$B$128+W287</f>
        <v/>
      </c>
      <c r="X290" s="41">
        <f>X153*Assumptions!$B$128+X287</f>
        <v/>
      </c>
      <c r="Y290" s="41">
        <f>Y153*Assumptions!$B$128+Y287</f>
        <v/>
      </c>
      <c r="Z290" s="41">
        <f>Z153*Assumptions!$B$128+Z287</f>
        <v/>
      </c>
      <c r="AA290" s="41">
        <f>AA153*Assumptions!$B$128+AA287</f>
        <v/>
      </c>
      <c r="AB290" s="41">
        <f>AB153*Assumptions!$B$128+AB287</f>
        <v/>
      </c>
      <c r="AC290" s="41">
        <f>AC153*Assumptions!$B$128+AC287</f>
        <v/>
      </c>
      <c r="AD290" s="41">
        <f>AD153*Assumptions!$B$128+AD287</f>
        <v/>
      </c>
      <c r="AE290" s="41">
        <f>AE153*Assumptions!$B$128+AE287</f>
        <v/>
      </c>
      <c r="AF290" s="41">
        <f>AF153*Assumptions!$B$128+AF287</f>
        <v/>
      </c>
      <c r="AG290" s="41">
        <f>AG153*Assumptions!$B$128+AG287</f>
        <v/>
      </c>
      <c r="AH290" s="41">
        <f>AH153*Assumptions!$B$128+AH287</f>
        <v/>
      </c>
      <c r="AI290" s="41">
        <f>AI153*Assumptions!$B$128+AI287</f>
        <v/>
      </c>
      <c r="AJ290" s="41">
        <f>AJ153*Assumptions!$B$128+AJ287</f>
        <v/>
      </c>
      <c r="AK290" s="41">
        <f>AK153*Assumptions!$B$128+AK287</f>
        <v/>
      </c>
      <c r="AL290" s="41">
        <f>AL153*Assumptions!$B$128+AL287</f>
        <v/>
      </c>
      <c r="AM290" s="41">
        <f>AM153*Assumptions!$B$128+AM287</f>
        <v/>
      </c>
      <c r="AN290" s="41">
        <f>AN153*Assumptions!$B$128+AN287</f>
        <v/>
      </c>
      <c r="AO290" s="41">
        <f>AO153*Assumptions!$B$128+AO287</f>
        <v/>
      </c>
      <c r="AP290" s="41">
        <f>AP153*Assumptions!$B$128+AP287</f>
        <v/>
      </c>
      <c r="AQ290" s="41">
        <f>AQ153*Assumptions!$B$128+AQ287</f>
        <v/>
      </c>
      <c r="AR290" s="41">
        <f>AR153*Assumptions!$B$128+AR287</f>
        <v/>
      </c>
      <c r="AS290" s="41">
        <f>AS153*Assumptions!$B$128+AS287</f>
        <v/>
      </c>
      <c r="AT290" s="41">
        <f>AT153*Assumptions!$B$128+AT287</f>
        <v/>
      </c>
      <c r="AU290" s="41">
        <f>AU153*Assumptions!$B$128+AU287</f>
        <v/>
      </c>
      <c r="AV290" s="41">
        <f>AV153*Assumptions!$B$128+AV287</f>
        <v/>
      </c>
      <c r="AW290" s="41">
        <f>AW153*Assumptions!$B$128+AW287</f>
        <v/>
      </c>
      <c r="AX290" s="41">
        <f>AX153*Assumptions!$B$128+AX287</f>
        <v/>
      </c>
      <c r="AY290" s="41">
        <f>AY153*Assumptions!$B$128+AY287</f>
        <v/>
      </c>
      <c r="AZ290" s="41">
        <f>AZ153*Assumptions!$B$128+AZ287</f>
        <v/>
      </c>
      <c r="BA290" s="41">
        <f>BA153*Assumptions!$B$128+BA287</f>
        <v/>
      </c>
      <c r="BB290" s="41">
        <f>BB153*Assumptions!$B$128+BB287</f>
        <v/>
      </c>
      <c r="BC290" s="41">
        <f>BC153*Assumptions!$B$128+BC287</f>
        <v/>
      </c>
      <c r="BD290" s="41">
        <f>BD153*Assumptions!$B$128+BD287</f>
        <v/>
      </c>
      <c r="BE290" s="41">
        <f>BE153*Assumptions!$B$128+BE287</f>
        <v/>
      </c>
      <c r="BF290" s="41">
        <f>BF153*Assumptions!$B$128+BF287</f>
        <v/>
      </c>
      <c r="BG290" s="41">
        <f>BG153*Assumptions!$B$128+BG287</f>
        <v/>
      </c>
      <c r="BH290" s="41">
        <f>BH153*Assumptions!$B$128+BH287</f>
        <v/>
      </c>
      <c r="BI290" s="41">
        <f>BI153*Assumptions!$B$128+BI287</f>
        <v/>
      </c>
      <c r="BJ290" s="41">
        <f>BJ153*Assumptions!$B$128+BJ287</f>
        <v/>
      </c>
    </row>
    <row r="291">
      <c r="A291" s="4" t="inlineStr">
        <is>
          <t>Ghana: SME: Growth (direct or upgraded): churned</t>
        </is>
      </c>
      <c r="B291" s="17" t="inlineStr">
        <is>
          <t>workspaces</t>
        </is>
      </c>
      <c r="C291" s="41">
        <f>C289*Assumptions!$B$141*Assumptions!$B$46*Assumptions!$B$30*Assumptions!$B$84</f>
        <v/>
      </c>
      <c r="D291" s="41">
        <f>D289*Assumptions!$B$141*Assumptions!$B$46*Assumptions!$B$30*Assumptions!$B$84</f>
        <v/>
      </c>
      <c r="E291" s="41">
        <f>E289*Assumptions!$B$141*Assumptions!$B$46*Assumptions!$B$30*Assumptions!$B$84</f>
        <v/>
      </c>
      <c r="F291" s="41">
        <f>F289*Assumptions!$B$141*Assumptions!$B$46*Assumptions!$B$30*Assumptions!$B$84</f>
        <v/>
      </c>
      <c r="G291" s="41">
        <f>G289*Assumptions!$B$141*Assumptions!$B$46*Assumptions!$B$30*Assumptions!$B$84</f>
        <v/>
      </c>
      <c r="H291" s="41">
        <f>H289*Assumptions!$B$141*Assumptions!$B$46*Assumptions!$B$30*Assumptions!$B$84</f>
        <v/>
      </c>
      <c r="I291" s="41">
        <f>I289*Assumptions!$B$141*Assumptions!$B$46*Assumptions!$B$30*Assumptions!$B$84</f>
        <v/>
      </c>
      <c r="J291" s="41">
        <f>J289*Assumptions!$B$141*Assumptions!$B$46*Assumptions!$B$30*Assumptions!$B$84</f>
        <v/>
      </c>
      <c r="K291" s="41">
        <f>K289*Assumptions!$B$141*Assumptions!$B$46*Assumptions!$B$30*Assumptions!$B$84</f>
        <v/>
      </c>
      <c r="L291" s="41">
        <f>L289*Assumptions!$B$141*Assumptions!$B$46*Assumptions!$B$30*Assumptions!$B$84</f>
        <v/>
      </c>
      <c r="M291" s="41">
        <f>M289*Assumptions!$B$141*Assumptions!$B$46*Assumptions!$B$30*Assumptions!$B$84</f>
        <v/>
      </c>
      <c r="N291" s="41">
        <f>N289*Assumptions!$B$141*Assumptions!$B$46*Assumptions!$B$30*Assumptions!$B$84</f>
        <v/>
      </c>
      <c r="O291" s="41">
        <f>O289*Assumptions!$B$141*Assumptions!$B$46*Assumptions!$B$30*Assumptions!$B$84</f>
        <v/>
      </c>
      <c r="P291" s="41">
        <f>P289*Assumptions!$B$141*Assumptions!$B$46*Assumptions!$B$30*Assumptions!$B$84</f>
        <v/>
      </c>
      <c r="Q291" s="41">
        <f>Q289*Assumptions!$B$141*Assumptions!$B$46*Assumptions!$B$30*Assumptions!$B$84</f>
        <v/>
      </c>
      <c r="R291" s="41">
        <f>R289*Assumptions!$B$141*Assumptions!$B$46*Assumptions!$B$30*Assumptions!$B$84</f>
        <v/>
      </c>
      <c r="S291" s="41">
        <f>S289*Assumptions!$B$141*Assumptions!$B$46*Assumptions!$B$30*Assumptions!$B$84</f>
        <v/>
      </c>
      <c r="T291" s="41">
        <f>T289*Assumptions!$B$141*Assumptions!$B$46*Assumptions!$B$30*Assumptions!$B$84</f>
        <v/>
      </c>
      <c r="U291" s="41">
        <f>U289*Assumptions!$B$141*Assumptions!$B$46*Assumptions!$B$30*Assumptions!$B$84</f>
        <v/>
      </c>
      <c r="V291" s="41">
        <f>V289*Assumptions!$B$141*Assumptions!$B$46*Assumptions!$B$30*Assumptions!$B$84</f>
        <v/>
      </c>
      <c r="W291" s="41">
        <f>W289*Assumptions!$B$141*Assumptions!$B$46*Assumptions!$B$30*Assumptions!$B$84</f>
        <v/>
      </c>
      <c r="X291" s="41">
        <f>X289*Assumptions!$B$141*Assumptions!$B$46*Assumptions!$B$30*Assumptions!$B$84</f>
        <v/>
      </c>
      <c r="Y291" s="41">
        <f>Y289*Assumptions!$B$141*Assumptions!$B$46*Assumptions!$B$30*Assumptions!$B$84</f>
        <v/>
      </c>
      <c r="Z291" s="41">
        <f>Z289*Assumptions!$B$141*Assumptions!$B$46*Assumptions!$B$30*Assumptions!$B$84</f>
        <v/>
      </c>
      <c r="AA291" s="41">
        <f>AA289*Assumptions!$B$141*Assumptions!$B$46*Assumptions!$B$30*Assumptions!$B$84</f>
        <v/>
      </c>
      <c r="AB291" s="41">
        <f>AB289*Assumptions!$B$141*Assumptions!$B$46*Assumptions!$B$30*Assumptions!$B$84</f>
        <v/>
      </c>
      <c r="AC291" s="41">
        <f>AC289*Assumptions!$B$141*Assumptions!$B$46*Assumptions!$B$30*Assumptions!$B$84</f>
        <v/>
      </c>
      <c r="AD291" s="41">
        <f>AD289*Assumptions!$B$141*Assumptions!$B$46*Assumptions!$B$30*Assumptions!$B$84</f>
        <v/>
      </c>
      <c r="AE291" s="41">
        <f>AE289*Assumptions!$B$141*Assumptions!$B$46*Assumptions!$B$30*Assumptions!$B$84</f>
        <v/>
      </c>
      <c r="AF291" s="41">
        <f>AF289*Assumptions!$B$141*Assumptions!$B$46*Assumptions!$B$30*Assumptions!$B$84</f>
        <v/>
      </c>
      <c r="AG291" s="41">
        <f>AG289*Assumptions!$B$141*Assumptions!$B$46*Assumptions!$B$30*Assumptions!$B$84</f>
        <v/>
      </c>
      <c r="AH291" s="41">
        <f>AH289*Assumptions!$B$141*Assumptions!$B$46*Assumptions!$B$30*Assumptions!$B$84</f>
        <v/>
      </c>
      <c r="AI291" s="41">
        <f>AI289*Assumptions!$B$141*Assumptions!$B$46*Assumptions!$B$30*Assumptions!$B$84</f>
        <v/>
      </c>
      <c r="AJ291" s="41">
        <f>AJ289*Assumptions!$B$141*Assumptions!$B$46*Assumptions!$B$30*Assumptions!$B$84</f>
        <v/>
      </c>
      <c r="AK291" s="41">
        <f>AK289*Assumptions!$B$141*Assumptions!$B$46*Assumptions!$B$30*Assumptions!$B$84</f>
        <v/>
      </c>
      <c r="AL291" s="41">
        <f>AL289*Assumptions!$B$141*Assumptions!$B$46*Assumptions!$B$30*Assumptions!$B$84</f>
        <v/>
      </c>
      <c r="AM291" s="41">
        <f>AM289*Assumptions!$B$141*Assumptions!$B$46*Assumptions!$B$30*Assumptions!$B$84</f>
        <v/>
      </c>
      <c r="AN291" s="41">
        <f>AN289*Assumptions!$B$141*Assumptions!$B$46*Assumptions!$B$30*Assumptions!$B$84</f>
        <v/>
      </c>
      <c r="AO291" s="41">
        <f>AO289*Assumptions!$B$141*Assumptions!$B$46*Assumptions!$B$30*Assumptions!$B$84</f>
        <v/>
      </c>
      <c r="AP291" s="41">
        <f>AP289*Assumptions!$B$141*Assumptions!$B$46*Assumptions!$B$30*Assumptions!$B$84</f>
        <v/>
      </c>
      <c r="AQ291" s="41">
        <f>AQ289*Assumptions!$B$141*Assumptions!$B$46*Assumptions!$B$30*Assumptions!$B$84</f>
        <v/>
      </c>
      <c r="AR291" s="41">
        <f>AR289*Assumptions!$B$141*Assumptions!$B$46*Assumptions!$B$30*Assumptions!$B$84</f>
        <v/>
      </c>
      <c r="AS291" s="41">
        <f>AS289*Assumptions!$B$141*Assumptions!$B$46*Assumptions!$B$30*Assumptions!$B$84</f>
        <v/>
      </c>
      <c r="AT291" s="41">
        <f>AT289*Assumptions!$B$141*Assumptions!$B$46*Assumptions!$B$30*Assumptions!$B$84</f>
        <v/>
      </c>
      <c r="AU291" s="41">
        <f>AU289*Assumptions!$B$141*Assumptions!$B$46*Assumptions!$B$30*Assumptions!$B$84</f>
        <v/>
      </c>
      <c r="AV291" s="41">
        <f>AV289*Assumptions!$B$141*Assumptions!$B$46*Assumptions!$B$30*Assumptions!$B$84</f>
        <v/>
      </c>
      <c r="AW291" s="41">
        <f>AW289*Assumptions!$B$141*Assumptions!$B$46*Assumptions!$B$30*Assumptions!$B$84</f>
        <v/>
      </c>
      <c r="AX291" s="41">
        <f>AX289*Assumptions!$B$141*Assumptions!$B$46*Assumptions!$B$30*Assumptions!$B$84</f>
        <v/>
      </c>
      <c r="AY291" s="41">
        <f>AY289*Assumptions!$B$141*Assumptions!$B$46*Assumptions!$B$30*Assumptions!$B$84</f>
        <v/>
      </c>
      <c r="AZ291" s="41">
        <f>AZ289*Assumptions!$B$141*Assumptions!$B$46*Assumptions!$B$30*Assumptions!$B$84</f>
        <v/>
      </c>
      <c r="BA291" s="41">
        <f>BA289*Assumptions!$B$141*Assumptions!$B$46*Assumptions!$B$30*Assumptions!$B$84</f>
        <v/>
      </c>
      <c r="BB291" s="41">
        <f>BB289*Assumptions!$B$141*Assumptions!$B$46*Assumptions!$B$30*Assumptions!$B$84</f>
        <v/>
      </c>
      <c r="BC291" s="41">
        <f>BC289*Assumptions!$B$141*Assumptions!$B$46*Assumptions!$B$30*Assumptions!$B$84</f>
        <v/>
      </c>
      <c r="BD291" s="41">
        <f>BD289*Assumptions!$B$141*Assumptions!$B$46*Assumptions!$B$30*Assumptions!$B$84</f>
        <v/>
      </c>
      <c r="BE291" s="41">
        <f>BE289*Assumptions!$B$141*Assumptions!$B$46*Assumptions!$B$30*Assumptions!$B$84</f>
        <v/>
      </c>
      <c r="BF291" s="41">
        <f>BF289*Assumptions!$B$141*Assumptions!$B$46*Assumptions!$B$30*Assumptions!$B$84</f>
        <v/>
      </c>
      <c r="BG291" s="41">
        <f>BG289*Assumptions!$B$141*Assumptions!$B$46*Assumptions!$B$30*Assumptions!$B$84</f>
        <v/>
      </c>
      <c r="BH291" s="41">
        <f>BH289*Assumptions!$B$141*Assumptions!$B$46*Assumptions!$B$30*Assumptions!$B$84</f>
        <v/>
      </c>
      <c r="BI291" s="41">
        <f>BI289*Assumptions!$B$141*Assumptions!$B$46*Assumptions!$B$30*Assumptions!$B$84</f>
        <v/>
      </c>
      <c r="BJ291" s="41">
        <f>BJ289*Assumptions!$B$141*Assumptions!$B$46*Assumptions!$B$30*Assumptions!$B$84</f>
        <v/>
      </c>
    </row>
    <row r="292">
      <c r="A292" s="4" t="inlineStr">
        <is>
          <t>Ghana: SME: Growth (direct or upgraded): upgraded out</t>
        </is>
      </c>
      <c r="B292" s="17" t="inlineStr">
        <is>
          <t>workspaces</t>
        </is>
      </c>
      <c r="C292" s="41">
        <f>C289*Assumptions!$B$133</f>
        <v/>
      </c>
      <c r="D292" s="41">
        <f>D289*Assumptions!$B$133</f>
        <v/>
      </c>
      <c r="E292" s="41">
        <f>E289*Assumptions!$B$133</f>
        <v/>
      </c>
      <c r="F292" s="41">
        <f>F289*Assumptions!$B$133</f>
        <v/>
      </c>
      <c r="G292" s="41">
        <f>G289*Assumptions!$B$133</f>
        <v/>
      </c>
      <c r="H292" s="41">
        <f>H289*Assumptions!$B$133</f>
        <v/>
      </c>
      <c r="I292" s="41">
        <f>I289*Assumptions!$B$133</f>
        <v/>
      </c>
      <c r="J292" s="41">
        <f>J289*Assumptions!$B$133</f>
        <v/>
      </c>
      <c r="K292" s="41">
        <f>K289*Assumptions!$B$133</f>
        <v/>
      </c>
      <c r="L292" s="41">
        <f>L289*Assumptions!$B$133</f>
        <v/>
      </c>
      <c r="M292" s="41">
        <f>M289*Assumptions!$B$133</f>
        <v/>
      </c>
      <c r="N292" s="41">
        <f>N289*Assumptions!$B$133</f>
        <v/>
      </c>
      <c r="O292" s="41">
        <f>O289*Assumptions!$B$133</f>
        <v/>
      </c>
      <c r="P292" s="41">
        <f>P289*Assumptions!$B$133</f>
        <v/>
      </c>
      <c r="Q292" s="41">
        <f>Q289*Assumptions!$B$133</f>
        <v/>
      </c>
      <c r="R292" s="41">
        <f>R289*Assumptions!$B$133</f>
        <v/>
      </c>
      <c r="S292" s="41">
        <f>S289*Assumptions!$B$133</f>
        <v/>
      </c>
      <c r="T292" s="41">
        <f>T289*Assumptions!$B$133</f>
        <v/>
      </c>
      <c r="U292" s="41">
        <f>U289*Assumptions!$B$133</f>
        <v/>
      </c>
      <c r="V292" s="41">
        <f>V289*Assumptions!$B$133</f>
        <v/>
      </c>
      <c r="W292" s="41">
        <f>W289*Assumptions!$B$133</f>
        <v/>
      </c>
      <c r="X292" s="41">
        <f>X289*Assumptions!$B$133</f>
        <v/>
      </c>
      <c r="Y292" s="41">
        <f>Y289*Assumptions!$B$133</f>
        <v/>
      </c>
      <c r="Z292" s="41">
        <f>Z289*Assumptions!$B$133</f>
        <v/>
      </c>
      <c r="AA292" s="41">
        <f>AA289*Assumptions!$B$133</f>
        <v/>
      </c>
      <c r="AB292" s="41">
        <f>AB289*Assumptions!$B$133</f>
        <v/>
      </c>
      <c r="AC292" s="41">
        <f>AC289*Assumptions!$B$133</f>
        <v/>
      </c>
      <c r="AD292" s="41">
        <f>AD289*Assumptions!$B$133</f>
        <v/>
      </c>
      <c r="AE292" s="41">
        <f>AE289*Assumptions!$B$133</f>
        <v/>
      </c>
      <c r="AF292" s="41">
        <f>AF289*Assumptions!$B$133</f>
        <v/>
      </c>
      <c r="AG292" s="41">
        <f>AG289*Assumptions!$B$133</f>
        <v/>
      </c>
      <c r="AH292" s="41">
        <f>AH289*Assumptions!$B$133</f>
        <v/>
      </c>
      <c r="AI292" s="41">
        <f>AI289*Assumptions!$B$133</f>
        <v/>
      </c>
      <c r="AJ292" s="41">
        <f>AJ289*Assumptions!$B$133</f>
        <v/>
      </c>
      <c r="AK292" s="41">
        <f>AK289*Assumptions!$B$133</f>
        <v/>
      </c>
      <c r="AL292" s="41">
        <f>AL289*Assumptions!$B$133</f>
        <v/>
      </c>
      <c r="AM292" s="41">
        <f>AM289*Assumptions!$B$133</f>
        <v/>
      </c>
      <c r="AN292" s="41">
        <f>AN289*Assumptions!$B$133</f>
        <v/>
      </c>
      <c r="AO292" s="41">
        <f>AO289*Assumptions!$B$133</f>
        <v/>
      </c>
      <c r="AP292" s="41">
        <f>AP289*Assumptions!$B$133</f>
        <v/>
      </c>
      <c r="AQ292" s="41">
        <f>AQ289*Assumptions!$B$133</f>
        <v/>
      </c>
      <c r="AR292" s="41">
        <f>AR289*Assumptions!$B$133</f>
        <v/>
      </c>
      <c r="AS292" s="41">
        <f>AS289*Assumptions!$B$133</f>
        <v/>
      </c>
      <c r="AT292" s="41">
        <f>AT289*Assumptions!$B$133</f>
        <v/>
      </c>
      <c r="AU292" s="41">
        <f>AU289*Assumptions!$B$133</f>
        <v/>
      </c>
      <c r="AV292" s="41">
        <f>AV289*Assumptions!$B$133</f>
        <v/>
      </c>
      <c r="AW292" s="41">
        <f>AW289*Assumptions!$B$133</f>
        <v/>
      </c>
      <c r="AX292" s="41">
        <f>AX289*Assumptions!$B$133</f>
        <v/>
      </c>
      <c r="AY292" s="41">
        <f>AY289*Assumptions!$B$133</f>
        <v/>
      </c>
      <c r="AZ292" s="41">
        <f>AZ289*Assumptions!$B$133</f>
        <v/>
      </c>
      <c r="BA292" s="41">
        <f>BA289*Assumptions!$B$133</f>
        <v/>
      </c>
      <c r="BB292" s="41">
        <f>BB289*Assumptions!$B$133</f>
        <v/>
      </c>
      <c r="BC292" s="41">
        <f>BC289*Assumptions!$B$133</f>
        <v/>
      </c>
      <c r="BD292" s="41">
        <f>BD289*Assumptions!$B$133</f>
        <v/>
      </c>
      <c r="BE292" s="41">
        <f>BE289*Assumptions!$B$133</f>
        <v/>
      </c>
      <c r="BF292" s="41">
        <f>BF289*Assumptions!$B$133</f>
        <v/>
      </c>
      <c r="BG292" s="41">
        <f>BG289*Assumptions!$B$133</f>
        <v/>
      </c>
      <c r="BH292" s="41">
        <f>BH289*Assumptions!$B$133</f>
        <v/>
      </c>
      <c r="BI292" s="41">
        <f>BI289*Assumptions!$B$133</f>
        <v/>
      </c>
      <c r="BJ292" s="41">
        <f>BJ289*Assumptions!$B$133</f>
        <v/>
      </c>
    </row>
    <row r="293">
      <c r="A293" s="3" t="inlineStr">
        <is>
          <t>Ghana: SME: Growth (direct or upgraded): closing</t>
        </is>
      </c>
      <c r="B293" s="17" t="inlineStr">
        <is>
          <t>workspaces</t>
        </is>
      </c>
      <c r="C293" s="44">
        <f>C289+C290-C291-C292</f>
        <v/>
      </c>
      <c r="D293" s="44">
        <f>D289+D290-D291-D292</f>
        <v/>
      </c>
      <c r="E293" s="44">
        <f>E289+E290-E291-E292</f>
        <v/>
      </c>
      <c r="F293" s="44">
        <f>F289+F290-F291-F292</f>
        <v/>
      </c>
      <c r="G293" s="44">
        <f>G289+G290-G291-G292</f>
        <v/>
      </c>
      <c r="H293" s="44">
        <f>H289+H290-H291-H292</f>
        <v/>
      </c>
      <c r="I293" s="44">
        <f>I289+I290-I291-I292</f>
        <v/>
      </c>
      <c r="J293" s="44">
        <f>J289+J290-J291-J292</f>
        <v/>
      </c>
      <c r="K293" s="44">
        <f>K289+K290-K291-K292</f>
        <v/>
      </c>
      <c r="L293" s="44">
        <f>L289+L290-L291-L292</f>
        <v/>
      </c>
      <c r="M293" s="44">
        <f>M289+M290-M291-M292</f>
        <v/>
      </c>
      <c r="N293" s="44">
        <f>N289+N290-N291-N292</f>
        <v/>
      </c>
      <c r="O293" s="44">
        <f>O289+O290-O291-O292</f>
        <v/>
      </c>
      <c r="P293" s="44">
        <f>P289+P290-P291-P292</f>
        <v/>
      </c>
      <c r="Q293" s="44">
        <f>Q289+Q290-Q291-Q292</f>
        <v/>
      </c>
      <c r="R293" s="44">
        <f>R289+R290-R291-R292</f>
        <v/>
      </c>
      <c r="S293" s="44">
        <f>S289+S290-S291-S292</f>
        <v/>
      </c>
      <c r="T293" s="44">
        <f>T289+T290-T291-T292</f>
        <v/>
      </c>
      <c r="U293" s="44">
        <f>U289+U290-U291-U292</f>
        <v/>
      </c>
      <c r="V293" s="44">
        <f>V289+V290-V291-V292</f>
        <v/>
      </c>
      <c r="W293" s="44">
        <f>W289+W290-W291-W292</f>
        <v/>
      </c>
      <c r="X293" s="44">
        <f>X289+X290-X291-X292</f>
        <v/>
      </c>
      <c r="Y293" s="44">
        <f>Y289+Y290-Y291-Y292</f>
        <v/>
      </c>
      <c r="Z293" s="44">
        <f>Z289+Z290-Z291-Z292</f>
        <v/>
      </c>
      <c r="AA293" s="44">
        <f>AA289+AA290-AA291-AA292</f>
        <v/>
      </c>
      <c r="AB293" s="44">
        <f>AB289+AB290-AB291-AB292</f>
        <v/>
      </c>
      <c r="AC293" s="44">
        <f>AC289+AC290-AC291-AC292</f>
        <v/>
      </c>
      <c r="AD293" s="44">
        <f>AD289+AD290-AD291-AD292</f>
        <v/>
      </c>
      <c r="AE293" s="44">
        <f>AE289+AE290-AE291-AE292</f>
        <v/>
      </c>
      <c r="AF293" s="44">
        <f>AF289+AF290-AF291-AF292</f>
        <v/>
      </c>
      <c r="AG293" s="44">
        <f>AG289+AG290-AG291-AG292</f>
        <v/>
      </c>
      <c r="AH293" s="44">
        <f>AH289+AH290-AH291-AH292</f>
        <v/>
      </c>
      <c r="AI293" s="44">
        <f>AI289+AI290-AI291-AI292</f>
        <v/>
      </c>
      <c r="AJ293" s="44">
        <f>AJ289+AJ290-AJ291-AJ292</f>
        <v/>
      </c>
      <c r="AK293" s="44">
        <f>AK289+AK290-AK291-AK292</f>
        <v/>
      </c>
      <c r="AL293" s="44">
        <f>AL289+AL290-AL291-AL292</f>
        <v/>
      </c>
      <c r="AM293" s="44">
        <f>AM289+AM290-AM291-AM292</f>
        <v/>
      </c>
      <c r="AN293" s="44">
        <f>AN289+AN290-AN291-AN292</f>
        <v/>
      </c>
      <c r="AO293" s="44">
        <f>AO289+AO290-AO291-AO292</f>
        <v/>
      </c>
      <c r="AP293" s="44">
        <f>AP289+AP290-AP291-AP292</f>
        <v/>
      </c>
      <c r="AQ293" s="44">
        <f>AQ289+AQ290-AQ291-AQ292</f>
        <v/>
      </c>
      <c r="AR293" s="44">
        <f>AR289+AR290-AR291-AR292</f>
        <v/>
      </c>
      <c r="AS293" s="44">
        <f>AS289+AS290-AS291-AS292</f>
        <v/>
      </c>
      <c r="AT293" s="44">
        <f>AT289+AT290-AT291-AT292</f>
        <v/>
      </c>
      <c r="AU293" s="44">
        <f>AU289+AU290-AU291-AU292</f>
        <v/>
      </c>
      <c r="AV293" s="44">
        <f>AV289+AV290-AV291-AV292</f>
        <v/>
      </c>
      <c r="AW293" s="44">
        <f>AW289+AW290-AW291-AW292</f>
        <v/>
      </c>
      <c r="AX293" s="44">
        <f>AX289+AX290-AX291-AX292</f>
        <v/>
      </c>
      <c r="AY293" s="44">
        <f>AY289+AY290-AY291-AY292</f>
        <v/>
      </c>
      <c r="AZ293" s="44">
        <f>AZ289+AZ290-AZ291-AZ292</f>
        <v/>
      </c>
      <c r="BA293" s="44">
        <f>BA289+BA290-BA291-BA292</f>
        <v/>
      </c>
      <c r="BB293" s="44">
        <f>BB289+BB290-BB291-BB292</f>
        <v/>
      </c>
      <c r="BC293" s="44">
        <f>BC289+BC290-BC291-BC292</f>
        <v/>
      </c>
      <c r="BD293" s="44">
        <f>BD289+BD290-BD291-BD292</f>
        <v/>
      </c>
      <c r="BE293" s="44">
        <f>BE289+BE290-BE291-BE292</f>
        <v/>
      </c>
      <c r="BF293" s="44">
        <f>BF289+BF290-BF291-BF292</f>
        <v/>
      </c>
      <c r="BG293" s="44">
        <f>BG289+BG290-BG291-BG292</f>
        <v/>
      </c>
      <c r="BH293" s="44">
        <f>BH289+BH290-BH291-BH292</f>
        <v/>
      </c>
      <c r="BI293" s="44">
        <f>BI289+BI290-BI291-BI292</f>
        <v/>
      </c>
      <c r="BJ293" s="44">
        <f>BJ289+BJ290-BJ291-BJ292</f>
        <v/>
      </c>
    </row>
    <row r="294">
      <c r="A294" s="4" t="inlineStr">
        <is>
          <t>Ghana: SME: Scale (direct or upgraded): opening</t>
        </is>
      </c>
      <c r="B294" s="17" t="inlineStr">
        <is>
          <t>workspaces</t>
        </is>
      </c>
      <c r="C294" s="41">
        <f>0</f>
        <v/>
      </c>
      <c r="D294" s="41">
        <f>C297</f>
        <v/>
      </c>
      <c r="E294" s="41">
        <f>D297</f>
        <v/>
      </c>
      <c r="F294" s="41">
        <f>E297</f>
        <v/>
      </c>
      <c r="G294" s="41">
        <f>F297</f>
        <v/>
      </c>
      <c r="H294" s="41">
        <f>G297</f>
        <v/>
      </c>
      <c r="I294" s="41">
        <f>H297</f>
        <v/>
      </c>
      <c r="J294" s="41">
        <f>I297</f>
        <v/>
      </c>
      <c r="K294" s="41">
        <f>J297</f>
        <v/>
      </c>
      <c r="L294" s="41">
        <f>K297</f>
        <v/>
      </c>
      <c r="M294" s="41">
        <f>L297</f>
        <v/>
      </c>
      <c r="N294" s="41">
        <f>M297</f>
        <v/>
      </c>
      <c r="O294" s="41">
        <f>N297</f>
        <v/>
      </c>
      <c r="P294" s="41">
        <f>O297</f>
        <v/>
      </c>
      <c r="Q294" s="41">
        <f>P297</f>
        <v/>
      </c>
      <c r="R294" s="41">
        <f>Q297</f>
        <v/>
      </c>
      <c r="S294" s="41">
        <f>R297</f>
        <v/>
      </c>
      <c r="T294" s="41">
        <f>S297</f>
        <v/>
      </c>
      <c r="U294" s="41">
        <f>T297</f>
        <v/>
      </c>
      <c r="V294" s="41">
        <f>U297</f>
        <v/>
      </c>
      <c r="W294" s="41">
        <f>V297</f>
        <v/>
      </c>
      <c r="X294" s="41">
        <f>W297</f>
        <v/>
      </c>
      <c r="Y294" s="41">
        <f>X297</f>
        <v/>
      </c>
      <c r="Z294" s="41">
        <f>Y297</f>
        <v/>
      </c>
      <c r="AA294" s="41">
        <f>Z297</f>
        <v/>
      </c>
      <c r="AB294" s="41">
        <f>AA297</f>
        <v/>
      </c>
      <c r="AC294" s="41">
        <f>AB297</f>
        <v/>
      </c>
      <c r="AD294" s="41">
        <f>AC297</f>
        <v/>
      </c>
      <c r="AE294" s="41">
        <f>AD297</f>
        <v/>
      </c>
      <c r="AF294" s="41">
        <f>AE297</f>
        <v/>
      </c>
      <c r="AG294" s="41">
        <f>AF297</f>
        <v/>
      </c>
      <c r="AH294" s="41">
        <f>AG297</f>
        <v/>
      </c>
      <c r="AI294" s="41">
        <f>AH297</f>
        <v/>
      </c>
      <c r="AJ294" s="41">
        <f>AI297</f>
        <v/>
      </c>
      <c r="AK294" s="41">
        <f>AJ297</f>
        <v/>
      </c>
      <c r="AL294" s="41">
        <f>AK297</f>
        <v/>
      </c>
      <c r="AM294" s="41">
        <f>AL297</f>
        <v/>
      </c>
      <c r="AN294" s="41">
        <f>AM297</f>
        <v/>
      </c>
      <c r="AO294" s="41">
        <f>AN297</f>
        <v/>
      </c>
      <c r="AP294" s="41">
        <f>AO297</f>
        <v/>
      </c>
      <c r="AQ294" s="41">
        <f>AP297</f>
        <v/>
      </c>
      <c r="AR294" s="41">
        <f>AQ297</f>
        <v/>
      </c>
      <c r="AS294" s="41">
        <f>AR297</f>
        <v/>
      </c>
      <c r="AT294" s="41">
        <f>AS297</f>
        <v/>
      </c>
      <c r="AU294" s="41">
        <f>AT297</f>
        <v/>
      </c>
      <c r="AV294" s="41">
        <f>AU297</f>
        <v/>
      </c>
      <c r="AW294" s="41">
        <f>AV297</f>
        <v/>
      </c>
      <c r="AX294" s="41">
        <f>AW297</f>
        <v/>
      </c>
      <c r="AY294" s="41">
        <f>AX297</f>
        <v/>
      </c>
      <c r="AZ294" s="41">
        <f>AY297</f>
        <v/>
      </c>
      <c r="BA294" s="41">
        <f>AZ297</f>
        <v/>
      </c>
      <c r="BB294" s="41">
        <f>BA297</f>
        <v/>
      </c>
      <c r="BC294" s="41">
        <f>BB297</f>
        <v/>
      </c>
      <c r="BD294" s="41">
        <f>BC297</f>
        <v/>
      </c>
      <c r="BE294" s="41">
        <f>BD297</f>
        <v/>
      </c>
      <c r="BF294" s="41">
        <f>BE297</f>
        <v/>
      </c>
      <c r="BG294" s="41">
        <f>BF297</f>
        <v/>
      </c>
      <c r="BH294" s="41">
        <f>BG297</f>
        <v/>
      </c>
      <c r="BI294" s="41">
        <f>BH297</f>
        <v/>
      </c>
      <c r="BJ294" s="41">
        <f>BI297</f>
        <v/>
      </c>
    </row>
    <row r="295">
      <c r="A295" s="4" t="inlineStr">
        <is>
          <t>Ghana: SME: Scale (direct or upgraded): new</t>
        </is>
      </c>
      <c r="B295" s="17" t="inlineStr">
        <is>
          <t>workspaces</t>
        </is>
      </c>
      <c r="C295" s="41">
        <f>C153*Assumptions!$B$129+C292</f>
        <v/>
      </c>
      <c r="D295" s="41">
        <f>D153*Assumptions!$B$129+D292</f>
        <v/>
      </c>
      <c r="E295" s="41">
        <f>E153*Assumptions!$B$129+E292</f>
        <v/>
      </c>
      <c r="F295" s="41">
        <f>F153*Assumptions!$B$129+F292</f>
        <v/>
      </c>
      <c r="G295" s="41">
        <f>G153*Assumptions!$B$129+G292</f>
        <v/>
      </c>
      <c r="H295" s="41">
        <f>H153*Assumptions!$B$129+H292</f>
        <v/>
      </c>
      <c r="I295" s="41">
        <f>I153*Assumptions!$B$129+I292</f>
        <v/>
      </c>
      <c r="J295" s="41">
        <f>J153*Assumptions!$B$129+J292</f>
        <v/>
      </c>
      <c r="K295" s="41">
        <f>K153*Assumptions!$B$129+K292</f>
        <v/>
      </c>
      <c r="L295" s="41">
        <f>L153*Assumptions!$B$129+L292</f>
        <v/>
      </c>
      <c r="M295" s="41">
        <f>M153*Assumptions!$B$129+M292</f>
        <v/>
      </c>
      <c r="N295" s="41">
        <f>N153*Assumptions!$B$129+N292</f>
        <v/>
      </c>
      <c r="O295" s="41">
        <f>O153*Assumptions!$B$129+O292</f>
        <v/>
      </c>
      <c r="P295" s="41">
        <f>P153*Assumptions!$B$129+P292</f>
        <v/>
      </c>
      <c r="Q295" s="41">
        <f>Q153*Assumptions!$B$129+Q292</f>
        <v/>
      </c>
      <c r="R295" s="41">
        <f>R153*Assumptions!$B$129+R292</f>
        <v/>
      </c>
      <c r="S295" s="41">
        <f>S153*Assumptions!$B$129+S292</f>
        <v/>
      </c>
      <c r="T295" s="41">
        <f>T153*Assumptions!$B$129+T292</f>
        <v/>
      </c>
      <c r="U295" s="41">
        <f>U153*Assumptions!$B$129+U292</f>
        <v/>
      </c>
      <c r="V295" s="41">
        <f>V153*Assumptions!$B$129+V292</f>
        <v/>
      </c>
      <c r="W295" s="41">
        <f>W153*Assumptions!$B$129+W292</f>
        <v/>
      </c>
      <c r="X295" s="41">
        <f>X153*Assumptions!$B$129+X292</f>
        <v/>
      </c>
      <c r="Y295" s="41">
        <f>Y153*Assumptions!$B$129+Y292</f>
        <v/>
      </c>
      <c r="Z295" s="41">
        <f>Z153*Assumptions!$B$129+Z292</f>
        <v/>
      </c>
      <c r="AA295" s="41">
        <f>AA153*Assumptions!$B$129+AA292</f>
        <v/>
      </c>
      <c r="AB295" s="41">
        <f>AB153*Assumptions!$B$129+AB292</f>
        <v/>
      </c>
      <c r="AC295" s="41">
        <f>AC153*Assumptions!$B$129+AC292</f>
        <v/>
      </c>
      <c r="AD295" s="41">
        <f>AD153*Assumptions!$B$129+AD292</f>
        <v/>
      </c>
      <c r="AE295" s="41">
        <f>AE153*Assumptions!$B$129+AE292</f>
        <v/>
      </c>
      <c r="AF295" s="41">
        <f>AF153*Assumptions!$B$129+AF292</f>
        <v/>
      </c>
      <c r="AG295" s="41">
        <f>AG153*Assumptions!$B$129+AG292</f>
        <v/>
      </c>
      <c r="AH295" s="41">
        <f>AH153*Assumptions!$B$129+AH292</f>
        <v/>
      </c>
      <c r="AI295" s="41">
        <f>AI153*Assumptions!$B$129+AI292</f>
        <v/>
      </c>
      <c r="AJ295" s="41">
        <f>AJ153*Assumptions!$B$129+AJ292</f>
        <v/>
      </c>
      <c r="AK295" s="41">
        <f>AK153*Assumptions!$B$129+AK292</f>
        <v/>
      </c>
      <c r="AL295" s="41">
        <f>AL153*Assumptions!$B$129+AL292</f>
        <v/>
      </c>
      <c r="AM295" s="41">
        <f>AM153*Assumptions!$B$129+AM292</f>
        <v/>
      </c>
      <c r="AN295" s="41">
        <f>AN153*Assumptions!$B$129+AN292</f>
        <v/>
      </c>
      <c r="AO295" s="41">
        <f>AO153*Assumptions!$B$129+AO292</f>
        <v/>
      </c>
      <c r="AP295" s="41">
        <f>AP153*Assumptions!$B$129+AP292</f>
        <v/>
      </c>
      <c r="AQ295" s="41">
        <f>AQ153*Assumptions!$B$129+AQ292</f>
        <v/>
      </c>
      <c r="AR295" s="41">
        <f>AR153*Assumptions!$B$129+AR292</f>
        <v/>
      </c>
      <c r="AS295" s="41">
        <f>AS153*Assumptions!$B$129+AS292</f>
        <v/>
      </c>
      <c r="AT295" s="41">
        <f>AT153*Assumptions!$B$129+AT292</f>
        <v/>
      </c>
      <c r="AU295" s="41">
        <f>AU153*Assumptions!$B$129+AU292</f>
        <v/>
      </c>
      <c r="AV295" s="41">
        <f>AV153*Assumptions!$B$129+AV292</f>
        <v/>
      </c>
      <c r="AW295" s="41">
        <f>AW153*Assumptions!$B$129+AW292</f>
        <v/>
      </c>
      <c r="AX295" s="41">
        <f>AX153*Assumptions!$B$129+AX292</f>
        <v/>
      </c>
      <c r="AY295" s="41">
        <f>AY153*Assumptions!$B$129+AY292</f>
        <v/>
      </c>
      <c r="AZ295" s="41">
        <f>AZ153*Assumptions!$B$129+AZ292</f>
        <v/>
      </c>
      <c r="BA295" s="41">
        <f>BA153*Assumptions!$B$129+BA292</f>
        <v/>
      </c>
      <c r="BB295" s="41">
        <f>BB153*Assumptions!$B$129+BB292</f>
        <v/>
      </c>
      <c r="BC295" s="41">
        <f>BC153*Assumptions!$B$129+BC292</f>
        <v/>
      </c>
      <c r="BD295" s="41">
        <f>BD153*Assumptions!$B$129+BD292</f>
        <v/>
      </c>
      <c r="BE295" s="41">
        <f>BE153*Assumptions!$B$129+BE292</f>
        <v/>
      </c>
      <c r="BF295" s="41">
        <f>BF153*Assumptions!$B$129+BF292</f>
        <v/>
      </c>
      <c r="BG295" s="41">
        <f>BG153*Assumptions!$B$129+BG292</f>
        <v/>
      </c>
      <c r="BH295" s="41">
        <f>BH153*Assumptions!$B$129+BH292</f>
        <v/>
      </c>
      <c r="BI295" s="41">
        <f>BI153*Assumptions!$B$129+BI292</f>
        <v/>
      </c>
      <c r="BJ295" s="41">
        <f>BJ153*Assumptions!$B$129+BJ292</f>
        <v/>
      </c>
    </row>
    <row r="296">
      <c r="A296" s="4" t="inlineStr">
        <is>
          <t>Ghana: SME: Scale (direct or upgraded): churned</t>
        </is>
      </c>
      <c r="B296" s="17" t="inlineStr">
        <is>
          <t>workspaces</t>
        </is>
      </c>
      <c r="C296" s="41">
        <f>C294*Assumptions!$B$142*Assumptions!$B$46*Assumptions!$B$30*Assumptions!$B$84</f>
        <v/>
      </c>
      <c r="D296" s="41">
        <f>D294*Assumptions!$B$142*Assumptions!$B$46*Assumptions!$B$30*Assumptions!$B$84</f>
        <v/>
      </c>
      <c r="E296" s="41">
        <f>E294*Assumptions!$B$142*Assumptions!$B$46*Assumptions!$B$30*Assumptions!$B$84</f>
        <v/>
      </c>
      <c r="F296" s="41">
        <f>F294*Assumptions!$B$142*Assumptions!$B$46*Assumptions!$B$30*Assumptions!$B$84</f>
        <v/>
      </c>
      <c r="G296" s="41">
        <f>G294*Assumptions!$B$142*Assumptions!$B$46*Assumptions!$B$30*Assumptions!$B$84</f>
        <v/>
      </c>
      <c r="H296" s="41">
        <f>H294*Assumptions!$B$142*Assumptions!$B$46*Assumptions!$B$30*Assumptions!$B$84</f>
        <v/>
      </c>
      <c r="I296" s="41">
        <f>I294*Assumptions!$B$142*Assumptions!$B$46*Assumptions!$B$30*Assumptions!$B$84</f>
        <v/>
      </c>
      <c r="J296" s="41">
        <f>J294*Assumptions!$B$142*Assumptions!$B$46*Assumptions!$B$30*Assumptions!$B$84</f>
        <v/>
      </c>
      <c r="K296" s="41">
        <f>K294*Assumptions!$B$142*Assumptions!$B$46*Assumptions!$B$30*Assumptions!$B$84</f>
        <v/>
      </c>
      <c r="L296" s="41">
        <f>L294*Assumptions!$B$142*Assumptions!$B$46*Assumptions!$B$30*Assumptions!$B$84</f>
        <v/>
      </c>
      <c r="M296" s="41">
        <f>M294*Assumptions!$B$142*Assumptions!$B$46*Assumptions!$B$30*Assumptions!$B$84</f>
        <v/>
      </c>
      <c r="N296" s="41">
        <f>N294*Assumptions!$B$142*Assumptions!$B$46*Assumptions!$B$30*Assumptions!$B$84</f>
        <v/>
      </c>
      <c r="O296" s="41">
        <f>O294*Assumptions!$B$142*Assumptions!$B$46*Assumptions!$B$30*Assumptions!$B$84</f>
        <v/>
      </c>
      <c r="P296" s="41">
        <f>P294*Assumptions!$B$142*Assumptions!$B$46*Assumptions!$B$30*Assumptions!$B$84</f>
        <v/>
      </c>
      <c r="Q296" s="41">
        <f>Q294*Assumptions!$B$142*Assumptions!$B$46*Assumptions!$B$30*Assumptions!$B$84</f>
        <v/>
      </c>
      <c r="R296" s="41">
        <f>R294*Assumptions!$B$142*Assumptions!$B$46*Assumptions!$B$30*Assumptions!$B$84</f>
        <v/>
      </c>
      <c r="S296" s="41">
        <f>S294*Assumptions!$B$142*Assumptions!$B$46*Assumptions!$B$30*Assumptions!$B$84</f>
        <v/>
      </c>
      <c r="T296" s="41">
        <f>T294*Assumptions!$B$142*Assumptions!$B$46*Assumptions!$B$30*Assumptions!$B$84</f>
        <v/>
      </c>
      <c r="U296" s="41">
        <f>U294*Assumptions!$B$142*Assumptions!$B$46*Assumptions!$B$30*Assumptions!$B$84</f>
        <v/>
      </c>
      <c r="V296" s="41">
        <f>V294*Assumptions!$B$142*Assumptions!$B$46*Assumptions!$B$30*Assumptions!$B$84</f>
        <v/>
      </c>
      <c r="W296" s="41">
        <f>W294*Assumptions!$B$142*Assumptions!$B$46*Assumptions!$B$30*Assumptions!$B$84</f>
        <v/>
      </c>
      <c r="X296" s="41">
        <f>X294*Assumptions!$B$142*Assumptions!$B$46*Assumptions!$B$30*Assumptions!$B$84</f>
        <v/>
      </c>
      <c r="Y296" s="41">
        <f>Y294*Assumptions!$B$142*Assumptions!$B$46*Assumptions!$B$30*Assumptions!$B$84</f>
        <v/>
      </c>
      <c r="Z296" s="41">
        <f>Z294*Assumptions!$B$142*Assumptions!$B$46*Assumptions!$B$30*Assumptions!$B$84</f>
        <v/>
      </c>
      <c r="AA296" s="41">
        <f>AA294*Assumptions!$B$142*Assumptions!$B$46*Assumptions!$B$30*Assumptions!$B$84</f>
        <v/>
      </c>
      <c r="AB296" s="41">
        <f>AB294*Assumptions!$B$142*Assumptions!$B$46*Assumptions!$B$30*Assumptions!$B$84</f>
        <v/>
      </c>
      <c r="AC296" s="41">
        <f>AC294*Assumptions!$B$142*Assumptions!$B$46*Assumptions!$B$30*Assumptions!$B$84</f>
        <v/>
      </c>
      <c r="AD296" s="41">
        <f>AD294*Assumptions!$B$142*Assumptions!$B$46*Assumptions!$B$30*Assumptions!$B$84</f>
        <v/>
      </c>
      <c r="AE296" s="41">
        <f>AE294*Assumptions!$B$142*Assumptions!$B$46*Assumptions!$B$30*Assumptions!$B$84</f>
        <v/>
      </c>
      <c r="AF296" s="41">
        <f>AF294*Assumptions!$B$142*Assumptions!$B$46*Assumptions!$B$30*Assumptions!$B$84</f>
        <v/>
      </c>
      <c r="AG296" s="41">
        <f>AG294*Assumptions!$B$142*Assumptions!$B$46*Assumptions!$B$30*Assumptions!$B$84</f>
        <v/>
      </c>
      <c r="AH296" s="41">
        <f>AH294*Assumptions!$B$142*Assumptions!$B$46*Assumptions!$B$30*Assumptions!$B$84</f>
        <v/>
      </c>
      <c r="AI296" s="41">
        <f>AI294*Assumptions!$B$142*Assumptions!$B$46*Assumptions!$B$30*Assumptions!$B$84</f>
        <v/>
      </c>
      <c r="AJ296" s="41">
        <f>AJ294*Assumptions!$B$142*Assumptions!$B$46*Assumptions!$B$30*Assumptions!$B$84</f>
        <v/>
      </c>
      <c r="AK296" s="41">
        <f>AK294*Assumptions!$B$142*Assumptions!$B$46*Assumptions!$B$30*Assumptions!$B$84</f>
        <v/>
      </c>
      <c r="AL296" s="41">
        <f>AL294*Assumptions!$B$142*Assumptions!$B$46*Assumptions!$B$30*Assumptions!$B$84</f>
        <v/>
      </c>
      <c r="AM296" s="41">
        <f>AM294*Assumptions!$B$142*Assumptions!$B$46*Assumptions!$B$30*Assumptions!$B$84</f>
        <v/>
      </c>
      <c r="AN296" s="41">
        <f>AN294*Assumptions!$B$142*Assumptions!$B$46*Assumptions!$B$30*Assumptions!$B$84</f>
        <v/>
      </c>
      <c r="AO296" s="41">
        <f>AO294*Assumptions!$B$142*Assumptions!$B$46*Assumptions!$B$30*Assumptions!$B$84</f>
        <v/>
      </c>
      <c r="AP296" s="41">
        <f>AP294*Assumptions!$B$142*Assumptions!$B$46*Assumptions!$B$30*Assumptions!$B$84</f>
        <v/>
      </c>
      <c r="AQ296" s="41">
        <f>AQ294*Assumptions!$B$142*Assumptions!$B$46*Assumptions!$B$30*Assumptions!$B$84</f>
        <v/>
      </c>
      <c r="AR296" s="41">
        <f>AR294*Assumptions!$B$142*Assumptions!$B$46*Assumptions!$B$30*Assumptions!$B$84</f>
        <v/>
      </c>
      <c r="AS296" s="41">
        <f>AS294*Assumptions!$B$142*Assumptions!$B$46*Assumptions!$B$30*Assumptions!$B$84</f>
        <v/>
      </c>
      <c r="AT296" s="41">
        <f>AT294*Assumptions!$B$142*Assumptions!$B$46*Assumptions!$B$30*Assumptions!$B$84</f>
        <v/>
      </c>
      <c r="AU296" s="41">
        <f>AU294*Assumptions!$B$142*Assumptions!$B$46*Assumptions!$B$30*Assumptions!$B$84</f>
        <v/>
      </c>
      <c r="AV296" s="41">
        <f>AV294*Assumptions!$B$142*Assumptions!$B$46*Assumptions!$B$30*Assumptions!$B$84</f>
        <v/>
      </c>
      <c r="AW296" s="41">
        <f>AW294*Assumptions!$B$142*Assumptions!$B$46*Assumptions!$B$30*Assumptions!$B$84</f>
        <v/>
      </c>
      <c r="AX296" s="41">
        <f>AX294*Assumptions!$B$142*Assumptions!$B$46*Assumptions!$B$30*Assumptions!$B$84</f>
        <v/>
      </c>
      <c r="AY296" s="41">
        <f>AY294*Assumptions!$B$142*Assumptions!$B$46*Assumptions!$B$30*Assumptions!$B$84</f>
        <v/>
      </c>
      <c r="AZ296" s="41">
        <f>AZ294*Assumptions!$B$142*Assumptions!$B$46*Assumptions!$B$30*Assumptions!$B$84</f>
        <v/>
      </c>
      <c r="BA296" s="41">
        <f>BA294*Assumptions!$B$142*Assumptions!$B$46*Assumptions!$B$30*Assumptions!$B$84</f>
        <v/>
      </c>
      <c r="BB296" s="41">
        <f>BB294*Assumptions!$B$142*Assumptions!$B$46*Assumptions!$B$30*Assumptions!$B$84</f>
        <v/>
      </c>
      <c r="BC296" s="41">
        <f>BC294*Assumptions!$B$142*Assumptions!$B$46*Assumptions!$B$30*Assumptions!$B$84</f>
        <v/>
      </c>
      <c r="BD296" s="41">
        <f>BD294*Assumptions!$B$142*Assumptions!$B$46*Assumptions!$B$30*Assumptions!$B$84</f>
        <v/>
      </c>
      <c r="BE296" s="41">
        <f>BE294*Assumptions!$B$142*Assumptions!$B$46*Assumptions!$B$30*Assumptions!$B$84</f>
        <v/>
      </c>
      <c r="BF296" s="41">
        <f>BF294*Assumptions!$B$142*Assumptions!$B$46*Assumptions!$B$30*Assumptions!$B$84</f>
        <v/>
      </c>
      <c r="BG296" s="41">
        <f>BG294*Assumptions!$B$142*Assumptions!$B$46*Assumptions!$B$30*Assumptions!$B$84</f>
        <v/>
      </c>
      <c r="BH296" s="41">
        <f>BH294*Assumptions!$B$142*Assumptions!$B$46*Assumptions!$B$30*Assumptions!$B$84</f>
        <v/>
      </c>
      <c r="BI296" s="41">
        <f>BI294*Assumptions!$B$142*Assumptions!$B$46*Assumptions!$B$30*Assumptions!$B$84</f>
        <v/>
      </c>
      <c r="BJ296" s="41">
        <f>BJ294*Assumptions!$B$142*Assumptions!$B$46*Assumptions!$B$30*Assumptions!$B$84</f>
        <v/>
      </c>
    </row>
    <row r="297">
      <c r="A297" s="3" t="inlineStr">
        <is>
          <t>Ghana: SME: Scale (direct or upgraded): closing</t>
        </is>
      </c>
      <c r="B297" s="17" t="inlineStr">
        <is>
          <t>workspaces</t>
        </is>
      </c>
      <c r="C297" s="44">
        <f>C294+C295-C296</f>
        <v/>
      </c>
      <c r="D297" s="44">
        <f>D294+D295-D296</f>
        <v/>
      </c>
      <c r="E297" s="44">
        <f>E294+E295-E296</f>
        <v/>
      </c>
      <c r="F297" s="44">
        <f>F294+F295-F296</f>
        <v/>
      </c>
      <c r="G297" s="44">
        <f>G294+G295-G296</f>
        <v/>
      </c>
      <c r="H297" s="44">
        <f>H294+H295-H296</f>
        <v/>
      </c>
      <c r="I297" s="44">
        <f>I294+I295-I296</f>
        <v/>
      </c>
      <c r="J297" s="44">
        <f>J294+J295-J296</f>
        <v/>
      </c>
      <c r="K297" s="44">
        <f>K294+K295-K296</f>
        <v/>
      </c>
      <c r="L297" s="44">
        <f>L294+L295-L296</f>
        <v/>
      </c>
      <c r="M297" s="44">
        <f>M294+M295-M296</f>
        <v/>
      </c>
      <c r="N297" s="44">
        <f>N294+N295-N296</f>
        <v/>
      </c>
      <c r="O297" s="44">
        <f>O294+O295-O296</f>
        <v/>
      </c>
      <c r="P297" s="44">
        <f>P294+P295-P296</f>
        <v/>
      </c>
      <c r="Q297" s="44">
        <f>Q294+Q295-Q296</f>
        <v/>
      </c>
      <c r="R297" s="44">
        <f>R294+R295-R296</f>
        <v/>
      </c>
      <c r="S297" s="44">
        <f>S294+S295-S296</f>
        <v/>
      </c>
      <c r="T297" s="44">
        <f>T294+T295-T296</f>
        <v/>
      </c>
      <c r="U297" s="44">
        <f>U294+U295-U296</f>
        <v/>
      </c>
      <c r="V297" s="44">
        <f>V294+V295-V296</f>
        <v/>
      </c>
      <c r="W297" s="44">
        <f>W294+W295-W296</f>
        <v/>
      </c>
      <c r="X297" s="44">
        <f>X294+X295-X296</f>
        <v/>
      </c>
      <c r="Y297" s="44">
        <f>Y294+Y295-Y296</f>
        <v/>
      </c>
      <c r="Z297" s="44">
        <f>Z294+Z295-Z296</f>
        <v/>
      </c>
      <c r="AA297" s="44">
        <f>AA294+AA295-AA296</f>
        <v/>
      </c>
      <c r="AB297" s="44">
        <f>AB294+AB295-AB296</f>
        <v/>
      </c>
      <c r="AC297" s="44">
        <f>AC294+AC295-AC296</f>
        <v/>
      </c>
      <c r="AD297" s="44">
        <f>AD294+AD295-AD296</f>
        <v/>
      </c>
      <c r="AE297" s="44">
        <f>AE294+AE295-AE296</f>
        <v/>
      </c>
      <c r="AF297" s="44">
        <f>AF294+AF295-AF296</f>
        <v/>
      </c>
      <c r="AG297" s="44">
        <f>AG294+AG295-AG296</f>
        <v/>
      </c>
      <c r="AH297" s="44">
        <f>AH294+AH295-AH296</f>
        <v/>
      </c>
      <c r="AI297" s="44">
        <f>AI294+AI295-AI296</f>
        <v/>
      </c>
      <c r="AJ297" s="44">
        <f>AJ294+AJ295-AJ296</f>
        <v/>
      </c>
      <c r="AK297" s="44">
        <f>AK294+AK295-AK296</f>
        <v/>
      </c>
      <c r="AL297" s="44">
        <f>AL294+AL295-AL296</f>
        <v/>
      </c>
      <c r="AM297" s="44">
        <f>AM294+AM295-AM296</f>
        <v/>
      </c>
      <c r="AN297" s="44">
        <f>AN294+AN295-AN296</f>
        <v/>
      </c>
      <c r="AO297" s="44">
        <f>AO294+AO295-AO296</f>
        <v/>
      </c>
      <c r="AP297" s="44">
        <f>AP294+AP295-AP296</f>
        <v/>
      </c>
      <c r="AQ297" s="44">
        <f>AQ294+AQ295-AQ296</f>
        <v/>
      </c>
      <c r="AR297" s="44">
        <f>AR294+AR295-AR296</f>
        <v/>
      </c>
      <c r="AS297" s="44">
        <f>AS294+AS295-AS296</f>
        <v/>
      </c>
      <c r="AT297" s="44">
        <f>AT294+AT295-AT296</f>
        <v/>
      </c>
      <c r="AU297" s="44">
        <f>AU294+AU295-AU296</f>
        <v/>
      </c>
      <c r="AV297" s="44">
        <f>AV294+AV295-AV296</f>
        <v/>
      </c>
      <c r="AW297" s="44">
        <f>AW294+AW295-AW296</f>
        <v/>
      </c>
      <c r="AX297" s="44">
        <f>AX294+AX295-AX296</f>
        <v/>
      </c>
      <c r="AY297" s="44">
        <f>AY294+AY295-AY296</f>
        <v/>
      </c>
      <c r="AZ297" s="44">
        <f>AZ294+AZ295-AZ296</f>
        <v/>
      </c>
      <c r="BA297" s="44">
        <f>BA294+BA295-BA296</f>
        <v/>
      </c>
      <c r="BB297" s="44">
        <f>BB294+BB295-BB296</f>
        <v/>
      </c>
      <c r="BC297" s="44">
        <f>BC294+BC295-BC296</f>
        <v/>
      </c>
      <c r="BD297" s="44">
        <f>BD294+BD295-BD296</f>
        <v/>
      </c>
      <c r="BE297" s="44">
        <f>BE294+BE295-BE296</f>
        <v/>
      </c>
      <c r="BF297" s="44">
        <f>BF294+BF295-BF296</f>
        <v/>
      </c>
      <c r="BG297" s="44">
        <f>BG294+BG295-BG296</f>
        <v/>
      </c>
      <c r="BH297" s="44">
        <f>BH294+BH295-BH296</f>
        <v/>
      </c>
      <c r="BI297" s="44">
        <f>BI294+BI295-BI296</f>
        <v/>
      </c>
      <c r="BJ297" s="44">
        <f>BJ294+BJ295-BJ296</f>
        <v/>
      </c>
    </row>
    <row r="298">
      <c r="A298" s="4" t="inlineStr">
        <is>
          <t>Ghana: Agency / partner: Agency tier: opening</t>
        </is>
      </c>
      <c r="B298" s="17" t="inlineStr">
        <is>
          <t>workspaces</t>
        </is>
      </c>
      <c r="C298" s="41">
        <f>0</f>
        <v/>
      </c>
      <c r="D298" s="41">
        <f>C301</f>
        <v/>
      </c>
      <c r="E298" s="41">
        <f>D301</f>
        <v/>
      </c>
      <c r="F298" s="41">
        <f>E301</f>
        <v/>
      </c>
      <c r="G298" s="41">
        <f>F301</f>
        <v/>
      </c>
      <c r="H298" s="41">
        <f>G301</f>
        <v/>
      </c>
      <c r="I298" s="41">
        <f>H301</f>
        <v/>
      </c>
      <c r="J298" s="41">
        <f>I301</f>
        <v/>
      </c>
      <c r="K298" s="41">
        <f>J301</f>
        <v/>
      </c>
      <c r="L298" s="41">
        <f>K301</f>
        <v/>
      </c>
      <c r="M298" s="41">
        <f>L301</f>
        <v/>
      </c>
      <c r="N298" s="41">
        <f>M301</f>
        <v/>
      </c>
      <c r="O298" s="41">
        <f>N301</f>
        <v/>
      </c>
      <c r="P298" s="41">
        <f>O301</f>
        <v/>
      </c>
      <c r="Q298" s="41">
        <f>P301</f>
        <v/>
      </c>
      <c r="R298" s="41">
        <f>Q301</f>
        <v/>
      </c>
      <c r="S298" s="41">
        <f>R301</f>
        <v/>
      </c>
      <c r="T298" s="41">
        <f>S301</f>
        <v/>
      </c>
      <c r="U298" s="41">
        <f>T301</f>
        <v/>
      </c>
      <c r="V298" s="41">
        <f>U301</f>
        <v/>
      </c>
      <c r="W298" s="41">
        <f>V301</f>
        <v/>
      </c>
      <c r="X298" s="41">
        <f>W301</f>
        <v/>
      </c>
      <c r="Y298" s="41">
        <f>X301</f>
        <v/>
      </c>
      <c r="Z298" s="41">
        <f>Y301</f>
        <v/>
      </c>
      <c r="AA298" s="41">
        <f>Z301</f>
        <v/>
      </c>
      <c r="AB298" s="41">
        <f>AA301</f>
        <v/>
      </c>
      <c r="AC298" s="41">
        <f>AB301</f>
        <v/>
      </c>
      <c r="AD298" s="41">
        <f>AC301</f>
        <v/>
      </c>
      <c r="AE298" s="41">
        <f>AD301</f>
        <v/>
      </c>
      <c r="AF298" s="41">
        <f>AE301</f>
        <v/>
      </c>
      <c r="AG298" s="41">
        <f>AF301</f>
        <v/>
      </c>
      <c r="AH298" s="41">
        <f>AG301</f>
        <v/>
      </c>
      <c r="AI298" s="41">
        <f>AH301</f>
        <v/>
      </c>
      <c r="AJ298" s="41">
        <f>AI301</f>
        <v/>
      </c>
      <c r="AK298" s="41">
        <f>AJ301</f>
        <v/>
      </c>
      <c r="AL298" s="41">
        <f>AK301</f>
        <v/>
      </c>
      <c r="AM298" s="41">
        <f>AL301</f>
        <v/>
      </c>
      <c r="AN298" s="41">
        <f>AM301</f>
        <v/>
      </c>
      <c r="AO298" s="41">
        <f>AN301</f>
        <v/>
      </c>
      <c r="AP298" s="41">
        <f>AO301</f>
        <v/>
      </c>
      <c r="AQ298" s="41">
        <f>AP301</f>
        <v/>
      </c>
      <c r="AR298" s="41">
        <f>AQ301</f>
        <v/>
      </c>
      <c r="AS298" s="41">
        <f>AR301</f>
        <v/>
      </c>
      <c r="AT298" s="41">
        <f>AS301</f>
        <v/>
      </c>
      <c r="AU298" s="41">
        <f>AT301</f>
        <v/>
      </c>
      <c r="AV298" s="41">
        <f>AU301</f>
        <v/>
      </c>
      <c r="AW298" s="41">
        <f>AV301</f>
        <v/>
      </c>
      <c r="AX298" s="41">
        <f>AW301</f>
        <v/>
      </c>
      <c r="AY298" s="41">
        <f>AX301</f>
        <v/>
      </c>
      <c r="AZ298" s="41">
        <f>AY301</f>
        <v/>
      </c>
      <c r="BA298" s="41">
        <f>AZ301</f>
        <v/>
      </c>
      <c r="BB298" s="41">
        <f>BA301</f>
        <v/>
      </c>
      <c r="BC298" s="41">
        <f>BB301</f>
        <v/>
      </c>
      <c r="BD298" s="41">
        <f>BC301</f>
        <v/>
      </c>
      <c r="BE298" s="41">
        <f>BD301</f>
        <v/>
      </c>
      <c r="BF298" s="41">
        <f>BE301</f>
        <v/>
      </c>
      <c r="BG298" s="41">
        <f>BF301</f>
        <v/>
      </c>
      <c r="BH298" s="41">
        <f>BG301</f>
        <v/>
      </c>
      <c r="BI298" s="41">
        <f>BH301</f>
        <v/>
      </c>
      <c r="BJ298" s="41">
        <f>BI301</f>
        <v/>
      </c>
    </row>
    <row r="299">
      <c r="A299" s="4" t="inlineStr">
        <is>
          <t>Ghana: Agency / partner: Agency tier: new</t>
        </is>
      </c>
      <c r="B299" s="17" t="inlineStr">
        <is>
          <t>workspaces</t>
        </is>
      </c>
      <c r="C299" s="41">
        <f>C161</f>
        <v/>
      </c>
      <c r="D299" s="41">
        <f>D161</f>
        <v/>
      </c>
      <c r="E299" s="41">
        <f>E161</f>
        <v/>
      </c>
      <c r="F299" s="41">
        <f>F161</f>
        <v/>
      </c>
      <c r="G299" s="41">
        <f>G161</f>
        <v/>
      </c>
      <c r="H299" s="41">
        <f>H161</f>
        <v/>
      </c>
      <c r="I299" s="41">
        <f>I161</f>
        <v/>
      </c>
      <c r="J299" s="41">
        <f>J161</f>
        <v/>
      </c>
      <c r="K299" s="41">
        <f>K161</f>
        <v/>
      </c>
      <c r="L299" s="41">
        <f>L161</f>
        <v/>
      </c>
      <c r="M299" s="41">
        <f>M161</f>
        <v/>
      </c>
      <c r="N299" s="41">
        <f>N161</f>
        <v/>
      </c>
      <c r="O299" s="41">
        <f>O161</f>
        <v/>
      </c>
      <c r="P299" s="41">
        <f>P161</f>
        <v/>
      </c>
      <c r="Q299" s="41">
        <f>Q161</f>
        <v/>
      </c>
      <c r="R299" s="41">
        <f>R161</f>
        <v/>
      </c>
      <c r="S299" s="41">
        <f>S161</f>
        <v/>
      </c>
      <c r="T299" s="41">
        <f>T161</f>
        <v/>
      </c>
      <c r="U299" s="41">
        <f>U161</f>
        <v/>
      </c>
      <c r="V299" s="41">
        <f>V161</f>
        <v/>
      </c>
      <c r="W299" s="41">
        <f>W161</f>
        <v/>
      </c>
      <c r="X299" s="41">
        <f>X161</f>
        <v/>
      </c>
      <c r="Y299" s="41">
        <f>Y161</f>
        <v/>
      </c>
      <c r="Z299" s="41">
        <f>Z161</f>
        <v/>
      </c>
      <c r="AA299" s="41">
        <f>AA161</f>
        <v/>
      </c>
      <c r="AB299" s="41">
        <f>AB161</f>
        <v/>
      </c>
      <c r="AC299" s="41">
        <f>AC161</f>
        <v/>
      </c>
      <c r="AD299" s="41">
        <f>AD161</f>
        <v/>
      </c>
      <c r="AE299" s="41">
        <f>AE161</f>
        <v/>
      </c>
      <c r="AF299" s="41">
        <f>AF161</f>
        <v/>
      </c>
      <c r="AG299" s="41">
        <f>AG161</f>
        <v/>
      </c>
      <c r="AH299" s="41">
        <f>AH161</f>
        <v/>
      </c>
      <c r="AI299" s="41">
        <f>AI161</f>
        <v/>
      </c>
      <c r="AJ299" s="41">
        <f>AJ161</f>
        <v/>
      </c>
      <c r="AK299" s="41">
        <f>AK161</f>
        <v/>
      </c>
      <c r="AL299" s="41">
        <f>AL161</f>
        <v/>
      </c>
      <c r="AM299" s="41">
        <f>AM161</f>
        <v/>
      </c>
      <c r="AN299" s="41">
        <f>AN161</f>
        <v/>
      </c>
      <c r="AO299" s="41">
        <f>AO161</f>
        <v/>
      </c>
      <c r="AP299" s="41">
        <f>AP161</f>
        <v/>
      </c>
      <c r="AQ299" s="41">
        <f>AQ161</f>
        <v/>
      </c>
      <c r="AR299" s="41">
        <f>AR161</f>
        <v/>
      </c>
      <c r="AS299" s="41">
        <f>AS161</f>
        <v/>
      </c>
      <c r="AT299" s="41">
        <f>AT161</f>
        <v/>
      </c>
      <c r="AU299" s="41">
        <f>AU161</f>
        <v/>
      </c>
      <c r="AV299" s="41">
        <f>AV161</f>
        <v/>
      </c>
      <c r="AW299" s="41">
        <f>AW161</f>
        <v/>
      </c>
      <c r="AX299" s="41">
        <f>AX161</f>
        <v/>
      </c>
      <c r="AY299" s="41">
        <f>AY161</f>
        <v/>
      </c>
      <c r="AZ299" s="41">
        <f>AZ161</f>
        <v/>
      </c>
      <c r="BA299" s="41">
        <f>BA161</f>
        <v/>
      </c>
      <c r="BB299" s="41">
        <f>BB161</f>
        <v/>
      </c>
      <c r="BC299" s="41">
        <f>BC161</f>
        <v/>
      </c>
      <c r="BD299" s="41">
        <f>BD161</f>
        <v/>
      </c>
      <c r="BE299" s="41">
        <f>BE161</f>
        <v/>
      </c>
      <c r="BF299" s="41">
        <f>BF161</f>
        <v/>
      </c>
      <c r="BG299" s="41">
        <f>BG161</f>
        <v/>
      </c>
      <c r="BH299" s="41">
        <f>BH161</f>
        <v/>
      </c>
      <c r="BI299" s="41">
        <f>BI161</f>
        <v/>
      </c>
      <c r="BJ299" s="41">
        <f>BJ161</f>
        <v/>
      </c>
    </row>
    <row r="300">
      <c r="A300" s="4" t="inlineStr">
        <is>
          <t>Ghana: Agency / partner: Agency tier: churned</t>
        </is>
      </c>
      <c r="B300" s="17" t="inlineStr">
        <is>
          <t>workspaces</t>
        </is>
      </c>
      <c r="C300" s="41">
        <f>C298*Assumptions!$B$143*Assumptions!$B$46*Assumptions!$B$30*Assumptions!$B$84</f>
        <v/>
      </c>
      <c r="D300" s="41">
        <f>D298*Assumptions!$B$143*Assumptions!$B$46*Assumptions!$B$30*Assumptions!$B$84</f>
        <v/>
      </c>
      <c r="E300" s="41">
        <f>E298*Assumptions!$B$143*Assumptions!$B$46*Assumptions!$B$30*Assumptions!$B$84</f>
        <v/>
      </c>
      <c r="F300" s="41">
        <f>F298*Assumptions!$B$143*Assumptions!$B$46*Assumptions!$B$30*Assumptions!$B$84</f>
        <v/>
      </c>
      <c r="G300" s="41">
        <f>G298*Assumptions!$B$143*Assumptions!$B$46*Assumptions!$B$30*Assumptions!$B$84</f>
        <v/>
      </c>
      <c r="H300" s="41">
        <f>H298*Assumptions!$B$143*Assumptions!$B$46*Assumptions!$B$30*Assumptions!$B$84</f>
        <v/>
      </c>
      <c r="I300" s="41">
        <f>I298*Assumptions!$B$143*Assumptions!$B$46*Assumptions!$B$30*Assumptions!$B$84</f>
        <v/>
      </c>
      <c r="J300" s="41">
        <f>J298*Assumptions!$B$143*Assumptions!$B$46*Assumptions!$B$30*Assumptions!$B$84</f>
        <v/>
      </c>
      <c r="K300" s="41">
        <f>K298*Assumptions!$B$143*Assumptions!$B$46*Assumptions!$B$30*Assumptions!$B$84</f>
        <v/>
      </c>
      <c r="L300" s="41">
        <f>L298*Assumptions!$B$143*Assumptions!$B$46*Assumptions!$B$30*Assumptions!$B$84</f>
        <v/>
      </c>
      <c r="M300" s="41">
        <f>M298*Assumptions!$B$143*Assumptions!$B$46*Assumptions!$B$30*Assumptions!$B$84</f>
        <v/>
      </c>
      <c r="N300" s="41">
        <f>N298*Assumptions!$B$143*Assumptions!$B$46*Assumptions!$B$30*Assumptions!$B$84</f>
        <v/>
      </c>
      <c r="O300" s="41">
        <f>O298*Assumptions!$B$143*Assumptions!$B$46*Assumptions!$B$30*Assumptions!$B$84</f>
        <v/>
      </c>
      <c r="P300" s="41">
        <f>P298*Assumptions!$B$143*Assumptions!$B$46*Assumptions!$B$30*Assumptions!$B$84</f>
        <v/>
      </c>
      <c r="Q300" s="41">
        <f>Q298*Assumptions!$B$143*Assumptions!$B$46*Assumptions!$B$30*Assumptions!$B$84</f>
        <v/>
      </c>
      <c r="R300" s="41">
        <f>R298*Assumptions!$B$143*Assumptions!$B$46*Assumptions!$B$30*Assumptions!$B$84</f>
        <v/>
      </c>
      <c r="S300" s="41">
        <f>S298*Assumptions!$B$143*Assumptions!$B$46*Assumptions!$B$30*Assumptions!$B$84</f>
        <v/>
      </c>
      <c r="T300" s="41">
        <f>T298*Assumptions!$B$143*Assumptions!$B$46*Assumptions!$B$30*Assumptions!$B$84</f>
        <v/>
      </c>
      <c r="U300" s="41">
        <f>U298*Assumptions!$B$143*Assumptions!$B$46*Assumptions!$B$30*Assumptions!$B$84</f>
        <v/>
      </c>
      <c r="V300" s="41">
        <f>V298*Assumptions!$B$143*Assumptions!$B$46*Assumptions!$B$30*Assumptions!$B$84</f>
        <v/>
      </c>
      <c r="W300" s="41">
        <f>W298*Assumptions!$B$143*Assumptions!$B$46*Assumptions!$B$30*Assumptions!$B$84</f>
        <v/>
      </c>
      <c r="X300" s="41">
        <f>X298*Assumptions!$B$143*Assumptions!$B$46*Assumptions!$B$30*Assumptions!$B$84</f>
        <v/>
      </c>
      <c r="Y300" s="41">
        <f>Y298*Assumptions!$B$143*Assumptions!$B$46*Assumptions!$B$30*Assumptions!$B$84</f>
        <v/>
      </c>
      <c r="Z300" s="41">
        <f>Z298*Assumptions!$B$143*Assumptions!$B$46*Assumptions!$B$30*Assumptions!$B$84</f>
        <v/>
      </c>
      <c r="AA300" s="41">
        <f>AA298*Assumptions!$B$143*Assumptions!$B$46*Assumptions!$B$30*Assumptions!$B$84</f>
        <v/>
      </c>
      <c r="AB300" s="41">
        <f>AB298*Assumptions!$B$143*Assumptions!$B$46*Assumptions!$B$30*Assumptions!$B$84</f>
        <v/>
      </c>
      <c r="AC300" s="41">
        <f>AC298*Assumptions!$B$143*Assumptions!$B$46*Assumptions!$B$30*Assumptions!$B$84</f>
        <v/>
      </c>
      <c r="AD300" s="41">
        <f>AD298*Assumptions!$B$143*Assumptions!$B$46*Assumptions!$B$30*Assumptions!$B$84</f>
        <v/>
      </c>
      <c r="AE300" s="41">
        <f>AE298*Assumptions!$B$143*Assumptions!$B$46*Assumptions!$B$30*Assumptions!$B$84</f>
        <v/>
      </c>
      <c r="AF300" s="41">
        <f>AF298*Assumptions!$B$143*Assumptions!$B$46*Assumptions!$B$30*Assumptions!$B$84</f>
        <v/>
      </c>
      <c r="AG300" s="41">
        <f>AG298*Assumptions!$B$143*Assumptions!$B$46*Assumptions!$B$30*Assumptions!$B$84</f>
        <v/>
      </c>
      <c r="AH300" s="41">
        <f>AH298*Assumptions!$B$143*Assumptions!$B$46*Assumptions!$B$30*Assumptions!$B$84</f>
        <v/>
      </c>
      <c r="AI300" s="41">
        <f>AI298*Assumptions!$B$143*Assumptions!$B$46*Assumptions!$B$30*Assumptions!$B$84</f>
        <v/>
      </c>
      <c r="AJ300" s="41">
        <f>AJ298*Assumptions!$B$143*Assumptions!$B$46*Assumptions!$B$30*Assumptions!$B$84</f>
        <v/>
      </c>
      <c r="AK300" s="41">
        <f>AK298*Assumptions!$B$143*Assumptions!$B$46*Assumptions!$B$30*Assumptions!$B$84</f>
        <v/>
      </c>
      <c r="AL300" s="41">
        <f>AL298*Assumptions!$B$143*Assumptions!$B$46*Assumptions!$B$30*Assumptions!$B$84</f>
        <v/>
      </c>
      <c r="AM300" s="41">
        <f>AM298*Assumptions!$B$143*Assumptions!$B$46*Assumptions!$B$30*Assumptions!$B$84</f>
        <v/>
      </c>
      <c r="AN300" s="41">
        <f>AN298*Assumptions!$B$143*Assumptions!$B$46*Assumptions!$B$30*Assumptions!$B$84</f>
        <v/>
      </c>
      <c r="AO300" s="41">
        <f>AO298*Assumptions!$B$143*Assumptions!$B$46*Assumptions!$B$30*Assumptions!$B$84</f>
        <v/>
      </c>
      <c r="AP300" s="41">
        <f>AP298*Assumptions!$B$143*Assumptions!$B$46*Assumptions!$B$30*Assumptions!$B$84</f>
        <v/>
      </c>
      <c r="AQ300" s="41">
        <f>AQ298*Assumptions!$B$143*Assumptions!$B$46*Assumptions!$B$30*Assumptions!$B$84</f>
        <v/>
      </c>
      <c r="AR300" s="41">
        <f>AR298*Assumptions!$B$143*Assumptions!$B$46*Assumptions!$B$30*Assumptions!$B$84</f>
        <v/>
      </c>
      <c r="AS300" s="41">
        <f>AS298*Assumptions!$B$143*Assumptions!$B$46*Assumptions!$B$30*Assumptions!$B$84</f>
        <v/>
      </c>
      <c r="AT300" s="41">
        <f>AT298*Assumptions!$B$143*Assumptions!$B$46*Assumptions!$B$30*Assumptions!$B$84</f>
        <v/>
      </c>
      <c r="AU300" s="41">
        <f>AU298*Assumptions!$B$143*Assumptions!$B$46*Assumptions!$B$30*Assumptions!$B$84</f>
        <v/>
      </c>
      <c r="AV300" s="41">
        <f>AV298*Assumptions!$B$143*Assumptions!$B$46*Assumptions!$B$30*Assumptions!$B$84</f>
        <v/>
      </c>
      <c r="AW300" s="41">
        <f>AW298*Assumptions!$B$143*Assumptions!$B$46*Assumptions!$B$30*Assumptions!$B$84</f>
        <v/>
      </c>
      <c r="AX300" s="41">
        <f>AX298*Assumptions!$B$143*Assumptions!$B$46*Assumptions!$B$30*Assumptions!$B$84</f>
        <v/>
      </c>
      <c r="AY300" s="41">
        <f>AY298*Assumptions!$B$143*Assumptions!$B$46*Assumptions!$B$30*Assumptions!$B$84</f>
        <v/>
      </c>
      <c r="AZ300" s="41">
        <f>AZ298*Assumptions!$B$143*Assumptions!$B$46*Assumptions!$B$30*Assumptions!$B$84</f>
        <v/>
      </c>
      <c r="BA300" s="41">
        <f>BA298*Assumptions!$B$143*Assumptions!$B$46*Assumptions!$B$30*Assumptions!$B$84</f>
        <v/>
      </c>
      <c r="BB300" s="41">
        <f>BB298*Assumptions!$B$143*Assumptions!$B$46*Assumptions!$B$30*Assumptions!$B$84</f>
        <v/>
      </c>
      <c r="BC300" s="41">
        <f>BC298*Assumptions!$B$143*Assumptions!$B$46*Assumptions!$B$30*Assumptions!$B$84</f>
        <v/>
      </c>
      <c r="BD300" s="41">
        <f>BD298*Assumptions!$B$143*Assumptions!$B$46*Assumptions!$B$30*Assumptions!$B$84</f>
        <v/>
      </c>
      <c r="BE300" s="41">
        <f>BE298*Assumptions!$B$143*Assumptions!$B$46*Assumptions!$B$30*Assumptions!$B$84</f>
        <v/>
      </c>
      <c r="BF300" s="41">
        <f>BF298*Assumptions!$B$143*Assumptions!$B$46*Assumptions!$B$30*Assumptions!$B$84</f>
        <v/>
      </c>
      <c r="BG300" s="41">
        <f>BG298*Assumptions!$B$143*Assumptions!$B$46*Assumptions!$B$30*Assumptions!$B$84</f>
        <v/>
      </c>
      <c r="BH300" s="41">
        <f>BH298*Assumptions!$B$143*Assumptions!$B$46*Assumptions!$B$30*Assumptions!$B$84</f>
        <v/>
      </c>
      <c r="BI300" s="41">
        <f>BI298*Assumptions!$B$143*Assumptions!$B$46*Assumptions!$B$30*Assumptions!$B$84</f>
        <v/>
      </c>
      <c r="BJ300" s="41">
        <f>BJ298*Assumptions!$B$143*Assumptions!$B$46*Assumptions!$B$30*Assumptions!$B$84</f>
        <v/>
      </c>
    </row>
    <row r="301">
      <c r="A301" s="3" t="inlineStr">
        <is>
          <t>Ghana: Agency / partner: Agency tier: closing</t>
        </is>
      </c>
      <c r="B301" s="17" t="inlineStr">
        <is>
          <t>workspaces</t>
        </is>
      </c>
      <c r="C301" s="44">
        <f>C298+C299-C300</f>
        <v/>
      </c>
      <c r="D301" s="44">
        <f>D298+D299-D300</f>
        <v/>
      </c>
      <c r="E301" s="44">
        <f>E298+E299-E300</f>
        <v/>
      </c>
      <c r="F301" s="44">
        <f>F298+F299-F300</f>
        <v/>
      </c>
      <c r="G301" s="44">
        <f>G298+G299-G300</f>
        <v/>
      </c>
      <c r="H301" s="44">
        <f>H298+H299-H300</f>
        <v/>
      </c>
      <c r="I301" s="44">
        <f>I298+I299-I300</f>
        <v/>
      </c>
      <c r="J301" s="44">
        <f>J298+J299-J300</f>
        <v/>
      </c>
      <c r="K301" s="44">
        <f>K298+K299-K300</f>
        <v/>
      </c>
      <c r="L301" s="44">
        <f>L298+L299-L300</f>
        <v/>
      </c>
      <c r="M301" s="44">
        <f>M298+M299-M300</f>
        <v/>
      </c>
      <c r="N301" s="44">
        <f>N298+N299-N300</f>
        <v/>
      </c>
      <c r="O301" s="44">
        <f>O298+O299-O300</f>
        <v/>
      </c>
      <c r="P301" s="44">
        <f>P298+P299-P300</f>
        <v/>
      </c>
      <c r="Q301" s="44">
        <f>Q298+Q299-Q300</f>
        <v/>
      </c>
      <c r="R301" s="44">
        <f>R298+R299-R300</f>
        <v/>
      </c>
      <c r="S301" s="44">
        <f>S298+S299-S300</f>
        <v/>
      </c>
      <c r="T301" s="44">
        <f>T298+T299-T300</f>
        <v/>
      </c>
      <c r="U301" s="44">
        <f>U298+U299-U300</f>
        <v/>
      </c>
      <c r="V301" s="44">
        <f>V298+V299-V300</f>
        <v/>
      </c>
      <c r="W301" s="44">
        <f>W298+W299-W300</f>
        <v/>
      </c>
      <c r="X301" s="44">
        <f>X298+X299-X300</f>
        <v/>
      </c>
      <c r="Y301" s="44">
        <f>Y298+Y299-Y300</f>
        <v/>
      </c>
      <c r="Z301" s="44">
        <f>Z298+Z299-Z300</f>
        <v/>
      </c>
      <c r="AA301" s="44">
        <f>AA298+AA299-AA300</f>
        <v/>
      </c>
      <c r="AB301" s="44">
        <f>AB298+AB299-AB300</f>
        <v/>
      </c>
      <c r="AC301" s="44">
        <f>AC298+AC299-AC300</f>
        <v/>
      </c>
      <c r="AD301" s="44">
        <f>AD298+AD299-AD300</f>
        <v/>
      </c>
      <c r="AE301" s="44">
        <f>AE298+AE299-AE300</f>
        <v/>
      </c>
      <c r="AF301" s="44">
        <f>AF298+AF299-AF300</f>
        <v/>
      </c>
      <c r="AG301" s="44">
        <f>AG298+AG299-AG300</f>
        <v/>
      </c>
      <c r="AH301" s="44">
        <f>AH298+AH299-AH300</f>
        <v/>
      </c>
      <c r="AI301" s="44">
        <f>AI298+AI299-AI300</f>
        <v/>
      </c>
      <c r="AJ301" s="44">
        <f>AJ298+AJ299-AJ300</f>
        <v/>
      </c>
      <c r="AK301" s="44">
        <f>AK298+AK299-AK300</f>
        <v/>
      </c>
      <c r="AL301" s="44">
        <f>AL298+AL299-AL300</f>
        <v/>
      </c>
      <c r="AM301" s="44">
        <f>AM298+AM299-AM300</f>
        <v/>
      </c>
      <c r="AN301" s="44">
        <f>AN298+AN299-AN300</f>
        <v/>
      </c>
      <c r="AO301" s="44">
        <f>AO298+AO299-AO300</f>
        <v/>
      </c>
      <c r="AP301" s="44">
        <f>AP298+AP299-AP300</f>
        <v/>
      </c>
      <c r="AQ301" s="44">
        <f>AQ298+AQ299-AQ300</f>
        <v/>
      </c>
      <c r="AR301" s="44">
        <f>AR298+AR299-AR300</f>
        <v/>
      </c>
      <c r="AS301" s="44">
        <f>AS298+AS299-AS300</f>
        <v/>
      </c>
      <c r="AT301" s="44">
        <f>AT298+AT299-AT300</f>
        <v/>
      </c>
      <c r="AU301" s="44">
        <f>AU298+AU299-AU300</f>
        <v/>
      </c>
      <c r="AV301" s="44">
        <f>AV298+AV299-AV300</f>
        <v/>
      </c>
      <c r="AW301" s="44">
        <f>AW298+AW299-AW300</f>
        <v/>
      </c>
      <c r="AX301" s="44">
        <f>AX298+AX299-AX300</f>
        <v/>
      </c>
      <c r="AY301" s="44">
        <f>AY298+AY299-AY300</f>
        <v/>
      </c>
      <c r="AZ301" s="44">
        <f>AZ298+AZ299-AZ300</f>
        <v/>
      </c>
      <c r="BA301" s="44">
        <f>BA298+BA299-BA300</f>
        <v/>
      </c>
      <c r="BB301" s="44">
        <f>BB298+BB299-BB300</f>
        <v/>
      </c>
      <c r="BC301" s="44">
        <f>BC298+BC299-BC300</f>
        <v/>
      </c>
      <c r="BD301" s="44">
        <f>BD298+BD299-BD300</f>
        <v/>
      </c>
      <c r="BE301" s="44">
        <f>BE298+BE299-BE300</f>
        <v/>
      </c>
      <c r="BF301" s="44">
        <f>BF298+BF299-BF300</f>
        <v/>
      </c>
      <c r="BG301" s="44">
        <f>BG298+BG299-BG300</f>
        <v/>
      </c>
      <c r="BH301" s="44">
        <f>BH298+BH299-BH300</f>
        <v/>
      </c>
      <c r="BI301" s="44">
        <f>BI298+BI299-BI300</f>
        <v/>
      </c>
      <c r="BJ301" s="44">
        <f>BJ298+BJ299-BJ300</f>
        <v/>
      </c>
    </row>
    <row r="302">
      <c r="A302" s="4" t="inlineStr">
        <is>
          <t>Rest of Africa (USD): Solo: Nano: opening</t>
        </is>
      </c>
      <c r="B302" s="17" t="inlineStr">
        <is>
          <t>workspaces</t>
        </is>
      </c>
      <c r="C302" s="41">
        <f>0</f>
        <v/>
      </c>
      <c r="D302" s="41">
        <f>C306</f>
        <v/>
      </c>
      <c r="E302" s="41">
        <f>D306</f>
        <v/>
      </c>
      <c r="F302" s="41">
        <f>E306</f>
        <v/>
      </c>
      <c r="G302" s="41">
        <f>F306</f>
        <v/>
      </c>
      <c r="H302" s="41">
        <f>G306</f>
        <v/>
      </c>
      <c r="I302" s="41">
        <f>H306</f>
        <v/>
      </c>
      <c r="J302" s="41">
        <f>I306</f>
        <v/>
      </c>
      <c r="K302" s="41">
        <f>J306</f>
        <v/>
      </c>
      <c r="L302" s="41">
        <f>K306</f>
        <v/>
      </c>
      <c r="M302" s="41">
        <f>L306</f>
        <v/>
      </c>
      <c r="N302" s="41">
        <f>M306</f>
        <v/>
      </c>
      <c r="O302" s="41">
        <f>N306</f>
        <v/>
      </c>
      <c r="P302" s="41">
        <f>O306</f>
        <v/>
      </c>
      <c r="Q302" s="41">
        <f>P306</f>
        <v/>
      </c>
      <c r="R302" s="41">
        <f>Q306</f>
        <v/>
      </c>
      <c r="S302" s="41">
        <f>R306</f>
        <v/>
      </c>
      <c r="T302" s="41">
        <f>S306</f>
        <v/>
      </c>
      <c r="U302" s="41">
        <f>T306</f>
        <v/>
      </c>
      <c r="V302" s="41">
        <f>U306</f>
        <v/>
      </c>
      <c r="W302" s="41">
        <f>V306</f>
        <v/>
      </c>
      <c r="X302" s="41">
        <f>W306</f>
        <v/>
      </c>
      <c r="Y302" s="41">
        <f>X306</f>
        <v/>
      </c>
      <c r="Z302" s="41">
        <f>Y306</f>
        <v/>
      </c>
      <c r="AA302" s="41">
        <f>Z306</f>
        <v/>
      </c>
      <c r="AB302" s="41">
        <f>AA306</f>
        <v/>
      </c>
      <c r="AC302" s="41">
        <f>AB306</f>
        <v/>
      </c>
      <c r="AD302" s="41">
        <f>AC306</f>
        <v/>
      </c>
      <c r="AE302" s="41">
        <f>AD306</f>
        <v/>
      </c>
      <c r="AF302" s="41">
        <f>AE306</f>
        <v/>
      </c>
      <c r="AG302" s="41">
        <f>AF306</f>
        <v/>
      </c>
      <c r="AH302" s="41">
        <f>AG306</f>
        <v/>
      </c>
      <c r="AI302" s="41">
        <f>AH306</f>
        <v/>
      </c>
      <c r="AJ302" s="41">
        <f>AI306</f>
        <v/>
      </c>
      <c r="AK302" s="41">
        <f>AJ306</f>
        <v/>
      </c>
      <c r="AL302" s="41">
        <f>AK306</f>
        <v/>
      </c>
      <c r="AM302" s="41">
        <f>AL306</f>
        <v/>
      </c>
      <c r="AN302" s="41">
        <f>AM306</f>
        <v/>
      </c>
      <c r="AO302" s="41">
        <f>AN306</f>
        <v/>
      </c>
      <c r="AP302" s="41">
        <f>AO306</f>
        <v/>
      </c>
      <c r="AQ302" s="41">
        <f>AP306</f>
        <v/>
      </c>
      <c r="AR302" s="41">
        <f>AQ306</f>
        <v/>
      </c>
      <c r="AS302" s="41">
        <f>AR306</f>
        <v/>
      </c>
      <c r="AT302" s="41">
        <f>AS306</f>
        <v/>
      </c>
      <c r="AU302" s="41">
        <f>AT306</f>
        <v/>
      </c>
      <c r="AV302" s="41">
        <f>AU306</f>
        <v/>
      </c>
      <c r="AW302" s="41">
        <f>AV306</f>
        <v/>
      </c>
      <c r="AX302" s="41">
        <f>AW306</f>
        <v/>
      </c>
      <c r="AY302" s="41">
        <f>AX306</f>
        <v/>
      </c>
      <c r="AZ302" s="41">
        <f>AY306</f>
        <v/>
      </c>
      <c r="BA302" s="41">
        <f>AZ306</f>
        <v/>
      </c>
      <c r="BB302" s="41">
        <f>BA306</f>
        <v/>
      </c>
      <c r="BC302" s="41">
        <f>BB306</f>
        <v/>
      </c>
      <c r="BD302" s="41">
        <f>BC306</f>
        <v/>
      </c>
      <c r="BE302" s="41">
        <f>BD306</f>
        <v/>
      </c>
      <c r="BF302" s="41">
        <f>BE306</f>
        <v/>
      </c>
      <c r="BG302" s="41">
        <f>BF306</f>
        <v/>
      </c>
      <c r="BH302" s="41">
        <f>BG306</f>
        <v/>
      </c>
      <c r="BI302" s="41">
        <f>BH306</f>
        <v/>
      </c>
      <c r="BJ302" s="41">
        <f>BI306</f>
        <v/>
      </c>
    </row>
    <row r="303">
      <c r="A303" s="4" t="inlineStr">
        <is>
          <t>Rest of Africa (USD): Solo: Nano: new</t>
        </is>
      </c>
      <c r="B303" s="17" t="inlineStr">
        <is>
          <t>workspaces</t>
        </is>
      </c>
      <c r="C303" s="41">
        <f>C154*Assumptions!$B$124</f>
        <v/>
      </c>
      <c r="D303" s="41">
        <f>D154*Assumptions!$B$124</f>
        <v/>
      </c>
      <c r="E303" s="41">
        <f>E154*Assumptions!$B$124</f>
        <v/>
      </c>
      <c r="F303" s="41">
        <f>F154*Assumptions!$B$124</f>
        <v/>
      </c>
      <c r="G303" s="41">
        <f>G154*Assumptions!$B$124</f>
        <v/>
      </c>
      <c r="H303" s="41">
        <f>H154*Assumptions!$B$124</f>
        <v/>
      </c>
      <c r="I303" s="41">
        <f>I154*Assumptions!$B$124</f>
        <v/>
      </c>
      <c r="J303" s="41">
        <f>J154*Assumptions!$B$124</f>
        <v/>
      </c>
      <c r="K303" s="41">
        <f>K154*Assumptions!$B$124</f>
        <v/>
      </c>
      <c r="L303" s="41">
        <f>L154*Assumptions!$B$124</f>
        <v/>
      </c>
      <c r="M303" s="41">
        <f>M154*Assumptions!$B$124</f>
        <v/>
      </c>
      <c r="N303" s="41">
        <f>N154*Assumptions!$B$124</f>
        <v/>
      </c>
      <c r="O303" s="41">
        <f>O154*Assumptions!$B$124</f>
        <v/>
      </c>
      <c r="P303" s="41">
        <f>P154*Assumptions!$B$124</f>
        <v/>
      </c>
      <c r="Q303" s="41">
        <f>Q154*Assumptions!$B$124</f>
        <v/>
      </c>
      <c r="R303" s="41">
        <f>R154*Assumptions!$B$124</f>
        <v/>
      </c>
      <c r="S303" s="41">
        <f>S154*Assumptions!$B$124</f>
        <v/>
      </c>
      <c r="T303" s="41">
        <f>T154*Assumptions!$B$124</f>
        <v/>
      </c>
      <c r="U303" s="41">
        <f>U154*Assumptions!$B$124</f>
        <v/>
      </c>
      <c r="V303" s="41">
        <f>V154*Assumptions!$B$124</f>
        <v/>
      </c>
      <c r="W303" s="41">
        <f>W154*Assumptions!$B$124</f>
        <v/>
      </c>
      <c r="X303" s="41">
        <f>X154*Assumptions!$B$124</f>
        <v/>
      </c>
      <c r="Y303" s="41">
        <f>Y154*Assumptions!$B$124</f>
        <v/>
      </c>
      <c r="Z303" s="41">
        <f>Z154*Assumptions!$B$124</f>
        <v/>
      </c>
      <c r="AA303" s="41">
        <f>AA154*Assumptions!$B$124</f>
        <v/>
      </c>
      <c r="AB303" s="41">
        <f>AB154*Assumptions!$B$124</f>
        <v/>
      </c>
      <c r="AC303" s="41">
        <f>AC154*Assumptions!$B$124</f>
        <v/>
      </c>
      <c r="AD303" s="41">
        <f>AD154*Assumptions!$B$124</f>
        <v/>
      </c>
      <c r="AE303" s="41">
        <f>AE154*Assumptions!$B$124</f>
        <v/>
      </c>
      <c r="AF303" s="41">
        <f>AF154*Assumptions!$B$124</f>
        <v/>
      </c>
      <c r="AG303" s="41">
        <f>AG154*Assumptions!$B$124</f>
        <v/>
      </c>
      <c r="AH303" s="41">
        <f>AH154*Assumptions!$B$124</f>
        <v/>
      </c>
      <c r="AI303" s="41">
        <f>AI154*Assumptions!$B$124</f>
        <v/>
      </c>
      <c r="AJ303" s="41">
        <f>AJ154*Assumptions!$B$124</f>
        <v/>
      </c>
      <c r="AK303" s="41">
        <f>AK154*Assumptions!$B$124</f>
        <v/>
      </c>
      <c r="AL303" s="41">
        <f>AL154*Assumptions!$B$124</f>
        <v/>
      </c>
      <c r="AM303" s="41">
        <f>AM154*Assumptions!$B$124</f>
        <v/>
      </c>
      <c r="AN303" s="41">
        <f>AN154*Assumptions!$B$124</f>
        <v/>
      </c>
      <c r="AO303" s="41">
        <f>AO154*Assumptions!$B$124</f>
        <v/>
      </c>
      <c r="AP303" s="41">
        <f>AP154*Assumptions!$B$124</f>
        <v/>
      </c>
      <c r="AQ303" s="41">
        <f>AQ154*Assumptions!$B$124</f>
        <v/>
      </c>
      <c r="AR303" s="41">
        <f>AR154*Assumptions!$B$124</f>
        <v/>
      </c>
      <c r="AS303" s="41">
        <f>AS154*Assumptions!$B$124</f>
        <v/>
      </c>
      <c r="AT303" s="41">
        <f>AT154*Assumptions!$B$124</f>
        <v/>
      </c>
      <c r="AU303" s="41">
        <f>AU154*Assumptions!$B$124</f>
        <v/>
      </c>
      <c r="AV303" s="41">
        <f>AV154*Assumptions!$B$124</f>
        <v/>
      </c>
      <c r="AW303" s="41">
        <f>AW154*Assumptions!$B$124</f>
        <v/>
      </c>
      <c r="AX303" s="41">
        <f>AX154*Assumptions!$B$124</f>
        <v/>
      </c>
      <c r="AY303" s="41">
        <f>AY154*Assumptions!$B$124</f>
        <v/>
      </c>
      <c r="AZ303" s="41">
        <f>AZ154*Assumptions!$B$124</f>
        <v/>
      </c>
      <c r="BA303" s="41">
        <f>BA154*Assumptions!$B$124</f>
        <v/>
      </c>
      <c r="BB303" s="41">
        <f>BB154*Assumptions!$B$124</f>
        <v/>
      </c>
      <c r="BC303" s="41">
        <f>BC154*Assumptions!$B$124</f>
        <v/>
      </c>
      <c r="BD303" s="41">
        <f>BD154*Assumptions!$B$124</f>
        <v/>
      </c>
      <c r="BE303" s="41">
        <f>BE154*Assumptions!$B$124</f>
        <v/>
      </c>
      <c r="BF303" s="41">
        <f>BF154*Assumptions!$B$124</f>
        <v/>
      </c>
      <c r="BG303" s="41">
        <f>BG154*Assumptions!$B$124</f>
        <v/>
      </c>
      <c r="BH303" s="41">
        <f>BH154*Assumptions!$B$124</f>
        <v/>
      </c>
      <c r="BI303" s="41">
        <f>BI154*Assumptions!$B$124</f>
        <v/>
      </c>
      <c r="BJ303" s="41">
        <f>BJ154*Assumptions!$B$124</f>
        <v/>
      </c>
    </row>
    <row r="304">
      <c r="A304" s="4" t="inlineStr">
        <is>
          <t>Rest of Africa (USD): Solo: Nano: churned</t>
        </is>
      </c>
      <c r="B304" s="17" t="inlineStr">
        <is>
          <t>workspaces</t>
        </is>
      </c>
      <c r="C304" s="41">
        <f>C302*Assumptions!$B$137*Assumptions!$B$46*Assumptions!$B$30*Assumptions!$B$94</f>
        <v/>
      </c>
      <c r="D304" s="41">
        <f>D302*Assumptions!$B$137*Assumptions!$B$46*Assumptions!$B$30*Assumptions!$B$94</f>
        <v/>
      </c>
      <c r="E304" s="41">
        <f>E302*Assumptions!$B$137*Assumptions!$B$46*Assumptions!$B$30*Assumptions!$B$94</f>
        <v/>
      </c>
      <c r="F304" s="41">
        <f>F302*Assumptions!$B$137*Assumptions!$B$46*Assumptions!$B$30*Assumptions!$B$94</f>
        <v/>
      </c>
      <c r="G304" s="41">
        <f>G302*Assumptions!$B$137*Assumptions!$B$46*Assumptions!$B$30*Assumptions!$B$94</f>
        <v/>
      </c>
      <c r="H304" s="41">
        <f>H302*Assumptions!$B$137*Assumptions!$B$46*Assumptions!$B$30*Assumptions!$B$94</f>
        <v/>
      </c>
      <c r="I304" s="41">
        <f>I302*Assumptions!$B$137*Assumptions!$B$46*Assumptions!$B$30*Assumptions!$B$94</f>
        <v/>
      </c>
      <c r="J304" s="41">
        <f>J302*Assumptions!$B$137*Assumptions!$B$46*Assumptions!$B$30*Assumptions!$B$94</f>
        <v/>
      </c>
      <c r="K304" s="41">
        <f>K302*Assumptions!$B$137*Assumptions!$B$46*Assumptions!$B$30*Assumptions!$B$94</f>
        <v/>
      </c>
      <c r="L304" s="41">
        <f>L302*Assumptions!$B$137*Assumptions!$B$46*Assumptions!$B$30*Assumptions!$B$94</f>
        <v/>
      </c>
      <c r="M304" s="41">
        <f>M302*Assumptions!$B$137*Assumptions!$B$46*Assumptions!$B$30*Assumptions!$B$94</f>
        <v/>
      </c>
      <c r="N304" s="41">
        <f>N302*Assumptions!$B$137*Assumptions!$B$46*Assumptions!$B$30*Assumptions!$B$94</f>
        <v/>
      </c>
      <c r="O304" s="41">
        <f>O302*Assumptions!$B$137*Assumptions!$B$46*Assumptions!$B$30*Assumptions!$B$94</f>
        <v/>
      </c>
      <c r="P304" s="41">
        <f>P302*Assumptions!$B$137*Assumptions!$B$46*Assumptions!$B$30*Assumptions!$B$94</f>
        <v/>
      </c>
      <c r="Q304" s="41">
        <f>Q302*Assumptions!$B$137*Assumptions!$B$46*Assumptions!$B$30*Assumptions!$B$94</f>
        <v/>
      </c>
      <c r="R304" s="41">
        <f>R302*Assumptions!$B$137*Assumptions!$B$46*Assumptions!$B$30*Assumptions!$B$94</f>
        <v/>
      </c>
      <c r="S304" s="41">
        <f>S302*Assumptions!$B$137*Assumptions!$B$46*Assumptions!$B$30*Assumptions!$B$94</f>
        <v/>
      </c>
      <c r="T304" s="41">
        <f>T302*Assumptions!$B$137*Assumptions!$B$46*Assumptions!$B$30*Assumptions!$B$94</f>
        <v/>
      </c>
      <c r="U304" s="41">
        <f>U302*Assumptions!$B$137*Assumptions!$B$46*Assumptions!$B$30*Assumptions!$B$94</f>
        <v/>
      </c>
      <c r="V304" s="41">
        <f>V302*Assumptions!$B$137*Assumptions!$B$46*Assumptions!$B$30*Assumptions!$B$94</f>
        <v/>
      </c>
      <c r="W304" s="41">
        <f>W302*Assumptions!$B$137*Assumptions!$B$46*Assumptions!$B$30*Assumptions!$B$94</f>
        <v/>
      </c>
      <c r="X304" s="41">
        <f>X302*Assumptions!$B$137*Assumptions!$B$46*Assumptions!$B$30*Assumptions!$B$94</f>
        <v/>
      </c>
      <c r="Y304" s="41">
        <f>Y302*Assumptions!$B$137*Assumptions!$B$46*Assumptions!$B$30*Assumptions!$B$94</f>
        <v/>
      </c>
      <c r="Z304" s="41">
        <f>Z302*Assumptions!$B$137*Assumptions!$B$46*Assumptions!$B$30*Assumptions!$B$94</f>
        <v/>
      </c>
      <c r="AA304" s="41">
        <f>AA302*Assumptions!$B$137*Assumptions!$B$46*Assumptions!$B$30*Assumptions!$B$94</f>
        <v/>
      </c>
      <c r="AB304" s="41">
        <f>AB302*Assumptions!$B$137*Assumptions!$B$46*Assumptions!$B$30*Assumptions!$B$94</f>
        <v/>
      </c>
      <c r="AC304" s="41">
        <f>AC302*Assumptions!$B$137*Assumptions!$B$46*Assumptions!$B$30*Assumptions!$B$94</f>
        <v/>
      </c>
      <c r="AD304" s="41">
        <f>AD302*Assumptions!$B$137*Assumptions!$B$46*Assumptions!$B$30*Assumptions!$B$94</f>
        <v/>
      </c>
      <c r="AE304" s="41">
        <f>AE302*Assumptions!$B$137*Assumptions!$B$46*Assumptions!$B$30*Assumptions!$B$94</f>
        <v/>
      </c>
      <c r="AF304" s="41">
        <f>AF302*Assumptions!$B$137*Assumptions!$B$46*Assumptions!$B$30*Assumptions!$B$94</f>
        <v/>
      </c>
      <c r="AG304" s="41">
        <f>AG302*Assumptions!$B$137*Assumptions!$B$46*Assumptions!$B$30*Assumptions!$B$94</f>
        <v/>
      </c>
      <c r="AH304" s="41">
        <f>AH302*Assumptions!$B$137*Assumptions!$B$46*Assumptions!$B$30*Assumptions!$B$94</f>
        <v/>
      </c>
      <c r="AI304" s="41">
        <f>AI302*Assumptions!$B$137*Assumptions!$B$46*Assumptions!$B$30*Assumptions!$B$94</f>
        <v/>
      </c>
      <c r="AJ304" s="41">
        <f>AJ302*Assumptions!$B$137*Assumptions!$B$46*Assumptions!$B$30*Assumptions!$B$94</f>
        <v/>
      </c>
      <c r="AK304" s="41">
        <f>AK302*Assumptions!$B$137*Assumptions!$B$46*Assumptions!$B$30*Assumptions!$B$94</f>
        <v/>
      </c>
      <c r="AL304" s="41">
        <f>AL302*Assumptions!$B$137*Assumptions!$B$46*Assumptions!$B$30*Assumptions!$B$94</f>
        <v/>
      </c>
      <c r="AM304" s="41">
        <f>AM302*Assumptions!$B$137*Assumptions!$B$46*Assumptions!$B$30*Assumptions!$B$94</f>
        <v/>
      </c>
      <c r="AN304" s="41">
        <f>AN302*Assumptions!$B$137*Assumptions!$B$46*Assumptions!$B$30*Assumptions!$B$94</f>
        <v/>
      </c>
      <c r="AO304" s="41">
        <f>AO302*Assumptions!$B$137*Assumptions!$B$46*Assumptions!$B$30*Assumptions!$B$94</f>
        <v/>
      </c>
      <c r="AP304" s="41">
        <f>AP302*Assumptions!$B$137*Assumptions!$B$46*Assumptions!$B$30*Assumptions!$B$94</f>
        <v/>
      </c>
      <c r="AQ304" s="41">
        <f>AQ302*Assumptions!$B$137*Assumptions!$B$46*Assumptions!$B$30*Assumptions!$B$94</f>
        <v/>
      </c>
      <c r="AR304" s="41">
        <f>AR302*Assumptions!$B$137*Assumptions!$B$46*Assumptions!$B$30*Assumptions!$B$94</f>
        <v/>
      </c>
      <c r="AS304" s="41">
        <f>AS302*Assumptions!$B$137*Assumptions!$B$46*Assumptions!$B$30*Assumptions!$B$94</f>
        <v/>
      </c>
      <c r="AT304" s="41">
        <f>AT302*Assumptions!$B$137*Assumptions!$B$46*Assumptions!$B$30*Assumptions!$B$94</f>
        <v/>
      </c>
      <c r="AU304" s="41">
        <f>AU302*Assumptions!$B$137*Assumptions!$B$46*Assumptions!$B$30*Assumptions!$B$94</f>
        <v/>
      </c>
      <c r="AV304" s="41">
        <f>AV302*Assumptions!$B$137*Assumptions!$B$46*Assumptions!$B$30*Assumptions!$B$94</f>
        <v/>
      </c>
      <c r="AW304" s="41">
        <f>AW302*Assumptions!$B$137*Assumptions!$B$46*Assumptions!$B$30*Assumptions!$B$94</f>
        <v/>
      </c>
      <c r="AX304" s="41">
        <f>AX302*Assumptions!$B$137*Assumptions!$B$46*Assumptions!$B$30*Assumptions!$B$94</f>
        <v/>
      </c>
      <c r="AY304" s="41">
        <f>AY302*Assumptions!$B$137*Assumptions!$B$46*Assumptions!$B$30*Assumptions!$B$94</f>
        <v/>
      </c>
      <c r="AZ304" s="41">
        <f>AZ302*Assumptions!$B$137*Assumptions!$B$46*Assumptions!$B$30*Assumptions!$B$94</f>
        <v/>
      </c>
      <c r="BA304" s="41">
        <f>BA302*Assumptions!$B$137*Assumptions!$B$46*Assumptions!$B$30*Assumptions!$B$94</f>
        <v/>
      </c>
      <c r="BB304" s="41">
        <f>BB302*Assumptions!$B$137*Assumptions!$B$46*Assumptions!$B$30*Assumptions!$B$94</f>
        <v/>
      </c>
      <c r="BC304" s="41">
        <f>BC302*Assumptions!$B$137*Assumptions!$B$46*Assumptions!$B$30*Assumptions!$B$94</f>
        <v/>
      </c>
      <c r="BD304" s="41">
        <f>BD302*Assumptions!$B$137*Assumptions!$B$46*Assumptions!$B$30*Assumptions!$B$94</f>
        <v/>
      </c>
      <c r="BE304" s="41">
        <f>BE302*Assumptions!$B$137*Assumptions!$B$46*Assumptions!$B$30*Assumptions!$B$94</f>
        <v/>
      </c>
      <c r="BF304" s="41">
        <f>BF302*Assumptions!$B$137*Assumptions!$B$46*Assumptions!$B$30*Assumptions!$B$94</f>
        <v/>
      </c>
      <c r="BG304" s="41">
        <f>BG302*Assumptions!$B$137*Assumptions!$B$46*Assumptions!$B$30*Assumptions!$B$94</f>
        <v/>
      </c>
      <c r="BH304" s="41">
        <f>BH302*Assumptions!$B$137*Assumptions!$B$46*Assumptions!$B$30*Assumptions!$B$94</f>
        <v/>
      </c>
      <c r="BI304" s="41">
        <f>BI302*Assumptions!$B$137*Assumptions!$B$46*Assumptions!$B$30*Assumptions!$B$94</f>
        <v/>
      </c>
      <c r="BJ304" s="41">
        <f>BJ302*Assumptions!$B$137*Assumptions!$B$46*Assumptions!$B$30*Assumptions!$B$94</f>
        <v/>
      </c>
    </row>
    <row r="305">
      <c r="A305" s="4" t="inlineStr">
        <is>
          <t>Rest of Africa (USD): Solo: Nano: upgraded out</t>
        </is>
      </c>
      <c r="B305" s="17" t="inlineStr">
        <is>
          <t>workspaces</t>
        </is>
      </c>
      <c r="C305" s="41">
        <f>C302*Assumptions!$B$130</f>
        <v/>
      </c>
      <c r="D305" s="41">
        <f>D302*Assumptions!$B$130</f>
        <v/>
      </c>
      <c r="E305" s="41">
        <f>E302*Assumptions!$B$130</f>
        <v/>
      </c>
      <c r="F305" s="41">
        <f>F302*Assumptions!$B$130</f>
        <v/>
      </c>
      <c r="G305" s="41">
        <f>G302*Assumptions!$B$130</f>
        <v/>
      </c>
      <c r="H305" s="41">
        <f>H302*Assumptions!$B$130</f>
        <v/>
      </c>
      <c r="I305" s="41">
        <f>I302*Assumptions!$B$130</f>
        <v/>
      </c>
      <c r="J305" s="41">
        <f>J302*Assumptions!$B$130</f>
        <v/>
      </c>
      <c r="K305" s="41">
        <f>K302*Assumptions!$B$130</f>
        <v/>
      </c>
      <c r="L305" s="41">
        <f>L302*Assumptions!$B$130</f>
        <v/>
      </c>
      <c r="M305" s="41">
        <f>M302*Assumptions!$B$130</f>
        <v/>
      </c>
      <c r="N305" s="41">
        <f>N302*Assumptions!$B$130</f>
        <v/>
      </c>
      <c r="O305" s="41">
        <f>O302*Assumptions!$B$130</f>
        <v/>
      </c>
      <c r="P305" s="41">
        <f>P302*Assumptions!$B$130</f>
        <v/>
      </c>
      <c r="Q305" s="41">
        <f>Q302*Assumptions!$B$130</f>
        <v/>
      </c>
      <c r="R305" s="41">
        <f>R302*Assumptions!$B$130</f>
        <v/>
      </c>
      <c r="S305" s="41">
        <f>S302*Assumptions!$B$130</f>
        <v/>
      </c>
      <c r="T305" s="41">
        <f>T302*Assumptions!$B$130</f>
        <v/>
      </c>
      <c r="U305" s="41">
        <f>U302*Assumptions!$B$130</f>
        <v/>
      </c>
      <c r="V305" s="41">
        <f>V302*Assumptions!$B$130</f>
        <v/>
      </c>
      <c r="W305" s="41">
        <f>W302*Assumptions!$B$130</f>
        <v/>
      </c>
      <c r="X305" s="41">
        <f>X302*Assumptions!$B$130</f>
        <v/>
      </c>
      <c r="Y305" s="41">
        <f>Y302*Assumptions!$B$130</f>
        <v/>
      </c>
      <c r="Z305" s="41">
        <f>Z302*Assumptions!$B$130</f>
        <v/>
      </c>
      <c r="AA305" s="41">
        <f>AA302*Assumptions!$B$130</f>
        <v/>
      </c>
      <c r="AB305" s="41">
        <f>AB302*Assumptions!$B$130</f>
        <v/>
      </c>
      <c r="AC305" s="41">
        <f>AC302*Assumptions!$B$130</f>
        <v/>
      </c>
      <c r="AD305" s="41">
        <f>AD302*Assumptions!$B$130</f>
        <v/>
      </c>
      <c r="AE305" s="41">
        <f>AE302*Assumptions!$B$130</f>
        <v/>
      </c>
      <c r="AF305" s="41">
        <f>AF302*Assumptions!$B$130</f>
        <v/>
      </c>
      <c r="AG305" s="41">
        <f>AG302*Assumptions!$B$130</f>
        <v/>
      </c>
      <c r="AH305" s="41">
        <f>AH302*Assumptions!$B$130</f>
        <v/>
      </c>
      <c r="AI305" s="41">
        <f>AI302*Assumptions!$B$130</f>
        <v/>
      </c>
      <c r="AJ305" s="41">
        <f>AJ302*Assumptions!$B$130</f>
        <v/>
      </c>
      <c r="AK305" s="41">
        <f>AK302*Assumptions!$B$130</f>
        <v/>
      </c>
      <c r="AL305" s="41">
        <f>AL302*Assumptions!$B$130</f>
        <v/>
      </c>
      <c r="AM305" s="41">
        <f>AM302*Assumptions!$B$130</f>
        <v/>
      </c>
      <c r="AN305" s="41">
        <f>AN302*Assumptions!$B$130</f>
        <v/>
      </c>
      <c r="AO305" s="41">
        <f>AO302*Assumptions!$B$130</f>
        <v/>
      </c>
      <c r="AP305" s="41">
        <f>AP302*Assumptions!$B$130</f>
        <v/>
      </c>
      <c r="AQ305" s="41">
        <f>AQ302*Assumptions!$B$130</f>
        <v/>
      </c>
      <c r="AR305" s="41">
        <f>AR302*Assumptions!$B$130</f>
        <v/>
      </c>
      <c r="AS305" s="41">
        <f>AS302*Assumptions!$B$130</f>
        <v/>
      </c>
      <c r="AT305" s="41">
        <f>AT302*Assumptions!$B$130</f>
        <v/>
      </c>
      <c r="AU305" s="41">
        <f>AU302*Assumptions!$B$130</f>
        <v/>
      </c>
      <c r="AV305" s="41">
        <f>AV302*Assumptions!$B$130</f>
        <v/>
      </c>
      <c r="AW305" s="41">
        <f>AW302*Assumptions!$B$130</f>
        <v/>
      </c>
      <c r="AX305" s="41">
        <f>AX302*Assumptions!$B$130</f>
        <v/>
      </c>
      <c r="AY305" s="41">
        <f>AY302*Assumptions!$B$130</f>
        <v/>
      </c>
      <c r="AZ305" s="41">
        <f>AZ302*Assumptions!$B$130</f>
        <v/>
      </c>
      <c r="BA305" s="41">
        <f>BA302*Assumptions!$B$130</f>
        <v/>
      </c>
      <c r="BB305" s="41">
        <f>BB302*Assumptions!$B$130</f>
        <v/>
      </c>
      <c r="BC305" s="41">
        <f>BC302*Assumptions!$B$130</f>
        <v/>
      </c>
      <c r="BD305" s="41">
        <f>BD302*Assumptions!$B$130</f>
        <v/>
      </c>
      <c r="BE305" s="41">
        <f>BE302*Assumptions!$B$130</f>
        <v/>
      </c>
      <c r="BF305" s="41">
        <f>BF302*Assumptions!$B$130</f>
        <v/>
      </c>
      <c r="BG305" s="41">
        <f>BG302*Assumptions!$B$130</f>
        <v/>
      </c>
      <c r="BH305" s="41">
        <f>BH302*Assumptions!$B$130</f>
        <v/>
      </c>
      <c r="BI305" s="41">
        <f>BI302*Assumptions!$B$130</f>
        <v/>
      </c>
      <c r="BJ305" s="41">
        <f>BJ302*Assumptions!$B$130</f>
        <v/>
      </c>
    </row>
    <row r="306">
      <c r="A306" s="3" t="inlineStr">
        <is>
          <t>Rest of Africa (USD): Solo: Nano: closing</t>
        </is>
      </c>
      <c r="B306" s="17" t="inlineStr">
        <is>
          <t>workspaces</t>
        </is>
      </c>
      <c r="C306" s="44">
        <f>C302+C303-C304-C305</f>
        <v/>
      </c>
      <c r="D306" s="44">
        <f>D302+D303-D304-D305</f>
        <v/>
      </c>
      <c r="E306" s="44">
        <f>E302+E303-E304-E305</f>
        <v/>
      </c>
      <c r="F306" s="44">
        <f>F302+F303-F304-F305</f>
        <v/>
      </c>
      <c r="G306" s="44">
        <f>G302+G303-G304-G305</f>
        <v/>
      </c>
      <c r="H306" s="44">
        <f>H302+H303-H304-H305</f>
        <v/>
      </c>
      <c r="I306" s="44">
        <f>I302+I303-I304-I305</f>
        <v/>
      </c>
      <c r="J306" s="44">
        <f>J302+J303-J304-J305</f>
        <v/>
      </c>
      <c r="K306" s="44">
        <f>K302+K303-K304-K305</f>
        <v/>
      </c>
      <c r="L306" s="44">
        <f>L302+L303-L304-L305</f>
        <v/>
      </c>
      <c r="M306" s="44">
        <f>M302+M303-M304-M305</f>
        <v/>
      </c>
      <c r="N306" s="44">
        <f>N302+N303-N304-N305</f>
        <v/>
      </c>
      <c r="O306" s="44">
        <f>O302+O303-O304-O305</f>
        <v/>
      </c>
      <c r="P306" s="44">
        <f>P302+P303-P304-P305</f>
        <v/>
      </c>
      <c r="Q306" s="44">
        <f>Q302+Q303-Q304-Q305</f>
        <v/>
      </c>
      <c r="R306" s="44">
        <f>R302+R303-R304-R305</f>
        <v/>
      </c>
      <c r="S306" s="44">
        <f>S302+S303-S304-S305</f>
        <v/>
      </c>
      <c r="T306" s="44">
        <f>T302+T303-T304-T305</f>
        <v/>
      </c>
      <c r="U306" s="44">
        <f>U302+U303-U304-U305</f>
        <v/>
      </c>
      <c r="V306" s="44">
        <f>V302+V303-V304-V305</f>
        <v/>
      </c>
      <c r="W306" s="44">
        <f>W302+W303-W304-W305</f>
        <v/>
      </c>
      <c r="X306" s="44">
        <f>X302+X303-X304-X305</f>
        <v/>
      </c>
      <c r="Y306" s="44">
        <f>Y302+Y303-Y304-Y305</f>
        <v/>
      </c>
      <c r="Z306" s="44">
        <f>Z302+Z303-Z304-Z305</f>
        <v/>
      </c>
      <c r="AA306" s="44">
        <f>AA302+AA303-AA304-AA305</f>
        <v/>
      </c>
      <c r="AB306" s="44">
        <f>AB302+AB303-AB304-AB305</f>
        <v/>
      </c>
      <c r="AC306" s="44">
        <f>AC302+AC303-AC304-AC305</f>
        <v/>
      </c>
      <c r="AD306" s="44">
        <f>AD302+AD303-AD304-AD305</f>
        <v/>
      </c>
      <c r="AE306" s="44">
        <f>AE302+AE303-AE304-AE305</f>
        <v/>
      </c>
      <c r="AF306" s="44">
        <f>AF302+AF303-AF304-AF305</f>
        <v/>
      </c>
      <c r="AG306" s="44">
        <f>AG302+AG303-AG304-AG305</f>
        <v/>
      </c>
      <c r="AH306" s="44">
        <f>AH302+AH303-AH304-AH305</f>
        <v/>
      </c>
      <c r="AI306" s="44">
        <f>AI302+AI303-AI304-AI305</f>
        <v/>
      </c>
      <c r="AJ306" s="44">
        <f>AJ302+AJ303-AJ304-AJ305</f>
        <v/>
      </c>
      <c r="AK306" s="44">
        <f>AK302+AK303-AK304-AK305</f>
        <v/>
      </c>
      <c r="AL306" s="44">
        <f>AL302+AL303-AL304-AL305</f>
        <v/>
      </c>
      <c r="AM306" s="44">
        <f>AM302+AM303-AM304-AM305</f>
        <v/>
      </c>
      <c r="AN306" s="44">
        <f>AN302+AN303-AN304-AN305</f>
        <v/>
      </c>
      <c r="AO306" s="44">
        <f>AO302+AO303-AO304-AO305</f>
        <v/>
      </c>
      <c r="AP306" s="44">
        <f>AP302+AP303-AP304-AP305</f>
        <v/>
      </c>
      <c r="AQ306" s="44">
        <f>AQ302+AQ303-AQ304-AQ305</f>
        <v/>
      </c>
      <c r="AR306" s="44">
        <f>AR302+AR303-AR304-AR305</f>
        <v/>
      </c>
      <c r="AS306" s="44">
        <f>AS302+AS303-AS304-AS305</f>
        <v/>
      </c>
      <c r="AT306" s="44">
        <f>AT302+AT303-AT304-AT305</f>
        <v/>
      </c>
      <c r="AU306" s="44">
        <f>AU302+AU303-AU304-AU305</f>
        <v/>
      </c>
      <c r="AV306" s="44">
        <f>AV302+AV303-AV304-AV305</f>
        <v/>
      </c>
      <c r="AW306" s="44">
        <f>AW302+AW303-AW304-AW305</f>
        <v/>
      </c>
      <c r="AX306" s="44">
        <f>AX302+AX303-AX304-AX305</f>
        <v/>
      </c>
      <c r="AY306" s="44">
        <f>AY302+AY303-AY304-AY305</f>
        <v/>
      </c>
      <c r="AZ306" s="44">
        <f>AZ302+AZ303-AZ304-AZ305</f>
        <v/>
      </c>
      <c r="BA306" s="44">
        <f>BA302+BA303-BA304-BA305</f>
        <v/>
      </c>
      <c r="BB306" s="44">
        <f>BB302+BB303-BB304-BB305</f>
        <v/>
      </c>
      <c r="BC306" s="44">
        <f>BC302+BC303-BC304-BC305</f>
        <v/>
      </c>
      <c r="BD306" s="44">
        <f>BD302+BD303-BD304-BD305</f>
        <v/>
      </c>
      <c r="BE306" s="44">
        <f>BE302+BE303-BE304-BE305</f>
        <v/>
      </c>
      <c r="BF306" s="44">
        <f>BF302+BF303-BF304-BF305</f>
        <v/>
      </c>
      <c r="BG306" s="44">
        <f>BG302+BG303-BG304-BG305</f>
        <v/>
      </c>
      <c r="BH306" s="44">
        <f>BH302+BH303-BH304-BH305</f>
        <v/>
      </c>
      <c r="BI306" s="44">
        <f>BI302+BI303-BI304-BI305</f>
        <v/>
      </c>
      <c r="BJ306" s="44">
        <f>BJ302+BJ303-BJ304-BJ305</f>
        <v/>
      </c>
    </row>
    <row r="307">
      <c r="A307" s="4" t="inlineStr">
        <is>
          <t>Rest of Africa (USD): Solo: Micro (direct or upgraded): opening</t>
        </is>
      </c>
      <c r="B307" s="17" t="inlineStr">
        <is>
          <t>workspaces</t>
        </is>
      </c>
      <c r="C307" s="41">
        <f>0</f>
        <v/>
      </c>
      <c r="D307" s="41">
        <f>C311</f>
        <v/>
      </c>
      <c r="E307" s="41">
        <f>D311</f>
        <v/>
      </c>
      <c r="F307" s="41">
        <f>E311</f>
        <v/>
      </c>
      <c r="G307" s="41">
        <f>F311</f>
        <v/>
      </c>
      <c r="H307" s="41">
        <f>G311</f>
        <v/>
      </c>
      <c r="I307" s="41">
        <f>H311</f>
        <v/>
      </c>
      <c r="J307" s="41">
        <f>I311</f>
        <v/>
      </c>
      <c r="K307" s="41">
        <f>J311</f>
        <v/>
      </c>
      <c r="L307" s="41">
        <f>K311</f>
        <v/>
      </c>
      <c r="M307" s="41">
        <f>L311</f>
        <v/>
      </c>
      <c r="N307" s="41">
        <f>M311</f>
        <v/>
      </c>
      <c r="O307" s="41">
        <f>N311</f>
        <v/>
      </c>
      <c r="P307" s="41">
        <f>O311</f>
        <v/>
      </c>
      <c r="Q307" s="41">
        <f>P311</f>
        <v/>
      </c>
      <c r="R307" s="41">
        <f>Q311</f>
        <v/>
      </c>
      <c r="S307" s="41">
        <f>R311</f>
        <v/>
      </c>
      <c r="T307" s="41">
        <f>S311</f>
        <v/>
      </c>
      <c r="U307" s="41">
        <f>T311</f>
        <v/>
      </c>
      <c r="V307" s="41">
        <f>U311</f>
        <v/>
      </c>
      <c r="W307" s="41">
        <f>V311</f>
        <v/>
      </c>
      <c r="X307" s="41">
        <f>W311</f>
        <v/>
      </c>
      <c r="Y307" s="41">
        <f>X311</f>
        <v/>
      </c>
      <c r="Z307" s="41">
        <f>Y311</f>
        <v/>
      </c>
      <c r="AA307" s="41">
        <f>Z311</f>
        <v/>
      </c>
      <c r="AB307" s="41">
        <f>AA311</f>
        <v/>
      </c>
      <c r="AC307" s="41">
        <f>AB311</f>
        <v/>
      </c>
      <c r="AD307" s="41">
        <f>AC311</f>
        <v/>
      </c>
      <c r="AE307" s="41">
        <f>AD311</f>
        <v/>
      </c>
      <c r="AF307" s="41">
        <f>AE311</f>
        <v/>
      </c>
      <c r="AG307" s="41">
        <f>AF311</f>
        <v/>
      </c>
      <c r="AH307" s="41">
        <f>AG311</f>
        <v/>
      </c>
      <c r="AI307" s="41">
        <f>AH311</f>
        <v/>
      </c>
      <c r="AJ307" s="41">
        <f>AI311</f>
        <v/>
      </c>
      <c r="AK307" s="41">
        <f>AJ311</f>
        <v/>
      </c>
      <c r="AL307" s="41">
        <f>AK311</f>
        <v/>
      </c>
      <c r="AM307" s="41">
        <f>AL311</f>
        <v/>
      </c>
      <c r="AN307" s="41">
        <f>AM311</f>
        <v/>
      </c>
      <c r="AO307" s="41">
        <f>AN311</f>
        <v/>
      </c>
      <c r="AP307" s="41">
        <f>AO311</f>
        <v/>
      </c>
      <c r="AQ307" s="41">
        <f>AP311</f>
        <v/>
      </c>
      <c r="AR307" s="41">
        <f>AQ311</f>
        <v/>
      </c>
      <c r="AS307" s="41">
        <f>AR311</f>
        <v/>
      </c>
      <c r="AT307" s="41">
        <f>AS311</f>
        <v/>
      </c>
      <c r="AU307" s="41">
        <f>AT311</f>
        <v/>
      </c>
      <c r="AV307" s="41">
        <f>AU311</f>
        <v/>
      </c>
      <c r="AW307" s="41">
        <f>AV311</f>
        <v/>
      </c>
      <c r="AX307" s="41">
        <f>AW311</f>
        <v/>
      </c>
      <c r="AY307" s="41">
        <f>AX311</f>
        <v/>
      </c>
      <c r="AZ307" s="41">
        <f>AY311</f>
        <v/>
      </c>
      <c r="BA307" s="41">
        <f>AZ311</f>
        <v/>
      </c>
      <c r="BB307" s="41">
        <f>BA311</f>
        <v/>
      </c>
      <c r="BC307" s="41">
        <f>BB311</f>
        <v/>
      </c>
      <c r="BD307" s="41">
        <f>BC311</f>
        <v/>
      </c>
      <c r="BE307" s="41">
        <f>BD311</f>
        <v/>
      </c>
      <c r="BF307" s="41">
        <f>BE311</f>
        <v/>
      </c>
      <c r="BG307" s="41">
        <f>BF311</f>
        <v/>
      </c>
      <c r="BH307" s="41">
        <f>BG311</f>
        <v/>
      </c>
      <c r="BI307" s="41">
        <f>BH311</f>
        <v/>
      </c>
      <c r="BJ307" s="41">
        <f>BI311</f>
        <v/>
      </c>
    </row>
    <row r="308">
      <c r="A308" s="4" t="inlineStr">
        <is>
          <t>Rest of Africa (USD): Solo: Micro (direct or upgraded): new</t>
        </is>
      </c>
      <c r="B308" s="17" t="inlineStr">
        <is>
          <t>workspaces</t>
        </is>
      </c>
      <c r="C308" s="41">
        <f>C154*Assumptions!$B$125+C305</f>
        <v/>
      </c>
      <c r="D308" s="41">
        <f>D154*Assumptions!$B$125+D305</f>
        <v/>
      </c>
      <c r="E308" s="41">
        <f>E154*Assumptions!$B$125+E305</f>
        <v/>
      </c>
      <c r="F308" s="41">
        <f>F154*Assumptions!$B$125+F305</f>
        <v/>
      </c>
      <c r="G308" s="41">
        <f>G154*Assumptions!$B$125+G305</f>
        <v/>
      </c>
      <c r="H308" s="41">
        <f>H154*Assumptions!$B$125+H305</f>
        <v/>
      </c>
      <c r="I308" s="41">
        <f>I154*Assumptions!$B$125+I305</f>
        <v/>
      </c>
      <c r="J308" s="41">
        <f>J154*Assumptions!$B$125+J305</f>
        <v/>
      </c>
      <c r="K308" s="41">
        <f>K154*Assumptions!$B$125+K305</f>
        <v/>
      </c>
      <c r="L308" s="41">
        <f>L154*Assumptions!$B$125+L305</f>
        <v/>
      </c>
      <c r="M308" s="41">
        <f>M154*Assumptions!$B$125+M305</f>
        <v/>
      </c>
      <c r="N308" s="41">
        <f>N154*Assumptions!$B$125+N305</f>
        <v/>
      </c>
      <c r="O308" s="41">
        <f>O154*Assumptions!$B$125+O305</f>
        <v/>
      </c>
      <c r="P308" s="41">
        <f>P154*Assumptions!$B$125+P305</f>
        <v/>
      </c>
      <c r="Q308" s="41">
        <f>Q154*Assumptions!$B$125+Q305</f>
        <v/>
      </c>
      <c r="R308" s="41">
        <f>R154*Assumptions!$B$125+R305</f>
        <v/>
      </c>
      <c r="S308" s="41">
        <f>S154*Assumptions!$B$125+S305</f>
        <v/>
      </c>
      <c r="T308" s="41">
        <f>T154*Assumptions!$B$125+T305</f>
        <v/>
      </c>
      <c r="U308" s="41">
        <f>U154*Assumptions!$B$125+U305</f>
        <v/>
      </c>
      <c r="V308" s="41">
        <f>V154*Assumptions!$B$125+V305</f>
        <v/>
      </c>
      <c r="W308" s="41">
        <f>W154*Assumptions!$B$125+W305</f>
        <v/>
      </c>
      <c r="X308" s="41">
        <f>X154*Assumptions!$B$125+X305</f>
        <v/>
      </c>
      <c r="Y308" s="41">
        <f>Y154*Assumptions!$B$125+Y305</f>
        <v/>
      </c>
      <c r="Z308" s="41">
        <f>Z154*Assumptions!$B$125+Z305</f>
        <v/>
      </c>
      <c r="AA308" s="41">
        <f>AA154*Assumptions!$B$125+AA305</f>
        <v/>
      </c>
      <c r="AB308" s="41">
        <f>AB154*Assumptions!$B$125+AB305</f>
        <v/>
      </c>
      <c r="AC308" s="41">
        <f>AC154*Assumptions!$B$125+AC305</f>
        <v/>
      </c>
      <c r="AD308" s="41">
        <f>AD154*Assumptions!$B$125+AD305</f>
        <v/>
      </c>
      <c r="AE308" s="41">
        <f>AE154*Assumptions!$B$125+AE305</f>
        <v/>
      </c>
      <c r="AF308" s="41">
        <f>AF154*Assumptions!$B$125+AF305</f>
        <v/>
      </c>
      <c r="AG308" s="41">
        <f>AG154*Assumptions!$B$125+AG305</f>
        <v/>
      </c>
      <c r="AH308" s="41">
        <f>AH154*Assumptions!$B$125+AH305</f>
        <v/>
      </c>
      <c r="AI308" s="41">
        <f>AI154*Assumptions!$B$125+AI305</f>
        <v/>
      </c>
      <c r="AJ308" s="41">
        <f>AJ154*Assumptions!$B$125+AJ305</f>
        <v/>
      </c>
      <c r="AK308" s="41">
        <f>AK154*Assumptions!$B$125+AK305</f>
        <v/>
      </c>
      <c r="AL308" s="41">
        <f>AL154*Assumptions!$B$125+AL305</f>
        <v/>
      </c>
      <c r="AM308" s="41">
        <f>AM154*Assumptions!$B$125+AM305</f>
        <v/>
      </c>
      <c r="AN308" s="41">
        <f>AN154*Assumptions!$B$125+AN305</f>
        <v/>
      </c>
      <c r="AO308" s="41">
        <f>AO154*Assumptions!$B$125+AO305</f>
        <v/>
      </c>
      <c r="AP308" s="41">
        <f>AP154*Assumptions!$B$125+AP305</f>
        <v/>
      </c>
      <c r="AQ308" s="41">
        <f>AQ154*Assumptions!$B$125+AQ305</f>
        <v/>
      </c>
      <c r="AR308" s="41">
        <f>AR154*Assumptions!$B$125+AR305</f>
        <v/>
      </c>
      <c r="AS308" s="41">
        <f>AS154*Assumptions!$B$125+AS305</f>
        <v/>
      </c>
      <c r="AT308" s="41">
        <f>AT154*Assumptions!$B$125+AT305</f>
        <v/>
      </c>
      <c r="AU308" s="41">
        <f>AU154*Assumptions!$B$125+AU305</f>
        <v/>
      </c>
      <c r="AV308" s="41">
        <f>AV154*Assumptions!$B$125+AV305</f>
        <v/>
      </c>
      <c r="AW308" s="41">
        <f>AW154*Assumptions!$B$125+AW305</f>
        <v/>
      </c>
      <c r="AX308" s="41">
        <f>AX154*Assumptions!$B$125+AX305</f>
        <v/>
      </c>
      <c r="AY308" s="41">
        <f>AY154*Assumptions!$B$125+AY305</f>
        <v/>
      </c>
      <c r="AZ308" s="41">
        <f>AZ154*Assumptions!$B$125+AZ305</f>
        <v/>
      </c>
      <c r="BA308" s="41">
        <f>BA154*Assumptions!$B$125+BA305</f>
        <v/>
      </c>
      <c r="BB308" s="41">
        <f>BB154*Assumptions!$B$125+BB305</f>
        <v/>
      </c>
      <c r="BC308" s="41">
        <f>BC154*Assumptions!$B$125+BC305</f>
        <v/>
      </c>
      <c r="BD308" s="41">
        <f>BD154*Assumptions!$B$125+BD305</f>
        <v/>
      </c>
      <c r="BE308" s="41">
        <f>BE154*Assumptions!$B$125+BE305</f>
        <v/>
      </c>
      <c r="BF308" s="41">
        <f>BF154*Assumptions!$B$125+BF305</f>
        <v/>
      </c>
      <c r="BG308" s="41">
        <f>BG154*Assumptions!$B$125+BG305</f>
        <v/>
      </c>
      <c r="BH308" s="41">
        <f>BH154*Assumptions!$B$125+BH305</f>
        <v/>
      </c>
      <c r="BI308" s="41">
        <f>BI154*Assumptions!$B$125+BI305</f>
        <v/>
      </c>
      <c r="BJ308" s="41">
        <f>BJ154*Assumptions!$B$125+BJ305</f>
        <v/>
      </c>
    </row>
    <row r="309">
      <c r="A309" s="4" t="inlineStr">
        <is>
          <t>Rest of Africa (USD): Solo: Micro (direct or upgraded): churned</t>
        </is>
      </c>
      <c r="B309" s="17" t="inlineStr">
        <is>
          <t>workspaces</t>
        </is>
      </c>
      <c r="C309" s="41">
        <f>C307*Assumptions!$B$138*Assumptions!$B$46*Assumptions!$B$30*Assumptions!$B$94</f>
        <v/>
      </c>
      <c r="D309" s="41">
        <f>D307*Assumptions!$B$138*Assumptions!$B$46*Assumptions!$B$30*Assumptions!$B$94</f>
        <v/>
      </c>
      <c r="E309" s="41">
        <f>E307*Assumptions!$B$138*Assumptions!$B$46*Assumptions!$B$30*Assumptions!$B$94</f>
        <v/>
      </c>
      <c r="F309" s="41">
        <f>F307*Assumptions!$B$138*Assumptions!$B$46*Assumptions!$B$30*Assumptions!$B$94</f>
        <v/>
      </c>
      <c r="G309" s="41">
        <f>G307*Assumptions!$B$138*Assumptions!$B$46*Assumptions!$B$30*Assumptions!$B$94</f>
        <v/>
      </c>
      <c r="H309" s="41">
        <f>H307*Assumptions!$B$138*Assumptions!$B$46*Assumptions!$B$30*Assumptions!$B$94</f>
        <v/>
      </c>
      <c r="I309" s="41">
        <f>I307*Assumptions!$B$138*Assumptions!$B$46*Assumptions!$B$30*Assumptions!$B$94</f>
        <v/>
      </c>
      <c r="J309" s="41">
        <f>J307*Assumptions!$B$138*Assumptions!$B$46*Assumptions!$B$30*Assumptions!$B$94</f>
        <v/>
      </c>
      <c r="K309" s="41">
        <f>K307*Assumptions!$B$138*Assumptions!$B$46*Assumptions!$B$30*Assumptions!$B$94</f>
        <v/>
      </c>
      <c r="L309" s="41">
        <f>L307*Assumptions!$B$138*Assumptions!$B$46*Assumptions!$B$30*Assumptions!$B$94</f>
        <v/>
      </c>
      <c r="M309" s="41">
        <f>M307*Assumptions!$B$138*Assumptions!$B$46*Assumptions!$B$30*Assumptions!$B$94</f>
        <v/>
      </c>
      <c r="N309" s="41">
        <f>N307*Assumptions!$B$138*Assumptions!$B$46*Assumptions!$B$30*Assumptions!$B$94</f>
        <v/>
      </c>
      <c r="O309" s="41">
        <f>O307*Assumptions!$B$138*Assumptions!$B$46*Assumptions!$B$30*Assumptions!$B$94</f>
        <v/>
      </c>
      <c r="P309" s="41">
        <f>P307*Assumptions!$B$138*Assumptions!$B$46*Assumptions!$B$30*Assumptions!$B$94</f>
        <v/>
      </c>
      <c r="Q309" s="41">
        <f>Q307*Assumptions!$B$138*Assumptions!$B$46*Assumptions!$B$30*Assumptions!$B$94</f>
        <v/>
      </c>
      <c r="R309" s="41">
        <f>R307*Assumptions!$B$138*Assumptions!$B$46*Assumptions!$B$30*Assumptions!$B$94</f>
        <v/>
      </c>
      <c r="S309" s="41">
        <f>S307*Assumptions!$B$138*Assumptions!$B$46*Assumptions!$B$30*Assumptions!$B$94</f>
        <v/>
      </c>
      <c r="T309" s="41">
        <f>T307*Assumptions!$B$138*Assumptions!$B$46*Assumptions!$B$30*Assumptions!$B$94</f>
        <v/>
      </c>
      <c r="U309" s="41">
        <f>U307*Assumptions!$B$138*Assumptions!$B$46*Assumptions!$B$30*Assumptions!$B$94</f>
        <v/>
      </c>
      <c r="V309" s="41">
        <f>V307*Assumptions!$B$138*Assumptions!$B$46*Assumptions!$B$30*Assumptions!$B$94</f>
        <v/>
      </c>
      <c r="W309" s="41">
        <f>W307*Assumptions!$B$138*Assumptions!$B$46*Assumptions!$B$30*Assumptions!$B$94</f>
        <v/>
      </c>
      <c r="X309" s="41">
        <f>X307*Assumptions!$B$138*Assumptions!$B$46*Assumptions!$B$30*Assumptions!$B$94</f>
        <v/>
      </c>
      <c r="Y309" s="41">
        <f>Y307*Assumptions!$B$138*Assumptions!$B$46*Assumptions!$B$30*Assumptions!$B$94</f>
        <v/>
      </c>
      <c r="Z309" s="41">
        <f>Z307*Assumptions!$B$138*Assumptions!$B$46*Assumptions!$B$30*Assumptions!$B$94</f>
        <v/>
      </c>
      <c r="AA309" s="41">
        <f>AA307*Assumptions!$B$138*Assumptions!$B$46*Assumptions!$B$30*Assumptions!$B$94</f>
        <v/>
      </c>
      <c r="AB309" s="41">
        <f>AB307*Assumptions!$B$138*Assumptions!$B$46*Assumptions!$B$30*Assumptions!$B$94</f>
        <v/>
      </c>
      <c r="AC309" s="41">
        <f>AC307*Assumptions!$B$138*Assumptions!$B$46*Assumptions!$B$30*Assumptions!$B$94</f>
        <v/>
      </c>
      <c r="AD309" s="41">
        <f>AD307*Assumptions!$B$138*Assumptions!$B$46*Assumptions!$B$30*Assumptions!$B$94</f>
        <v/>
      </c>
      <c r="AE309" s="41">
        <f>AE307*Assumptions!$B$138*Assumptions!$B$46*Assumptions!$B$30*Assumptions!$B$94</f>
        <v/>
      </c>
      <c r="AF309" s="41">
        <f>AF307*Assumptions!$B$138*Assumptions!$B$46*Assumptions!$B$30*Assumptions!$B$94</f>
        <v/>
      </c>
      <c r="AG309" s="41">
        <f>AG307*Assumptions!$B$138*Assumptions!$B$46*Assumptions!$B$30*Assumptions!$B$94</f>
        <v/>
      </c>
      <c r="AH309" s="41">
        <f>AH307*Assumptions!$B$138*Assumptions!$B$46*Assumptions!$B$30*Assumptions!$B$94</f>
        <v/>
      </c>
      <c r="AI309" s="41">
        <f>AI307*Assumptions!$B$138*Assumptions!$B$46*Assumptions!$B$30*Assumptions!$B$94</f>
        <v/>
      </c>
      <c r="AJ309" s="41">
        <f>AJ307*Assumptions!$B$138*Assumptions!$B$46*Assumptions!$B$30*Assumptions!$B$94</f>
        <v/>
      </c>
      <c r="AK309" s="41">
        <f>AK307*Assumptions!$B$138*Assumptions!$B$46*Assumptions!$B$30*Assumptions!$B$94</f>
        <v/>
      </c>
      <c r="AL309" s="41">
        <f>AL307*Assumptions!$B$138*Assumptions!$B$46*Assumptions!$B$30*Assumptions!$B$94</f>
        <v/>
      </c>
      <c r="AM309" s="41">
        <f>AM307*Assumptions!$B$138*Assumptions!$B$46*Assumptions!$B$30*Assumptions!$B$94</f>
        <v/>
      </c>
      <c r="AN309" s="41">
        <f>AN307*Assumptions!$B$138*Assumptions!$B$46*Assumptions!$B$30*Assumptions!$B$94</f>
        <v/>
      </c>
      <c r="AO309" s="41">
        <f>AO307*Assumptions!$B$138*Assumptions!$B$46*Assumptions!$B$30*Assumptions!$B$94</f>
        <v/>
      </c>
      <c r="AP309" s="41">
        <f>AP307*Assumptions!$B$138*Assumptions!$B$46*Assumptions!$B$30*Assumptions!$B$94</f>
        <v/>
      </c>
      <c r="AQ309" s="41">
        <f>AQ307*Assumptions!$B$138*Assumptions!$B$46*Assumptions!$B$30*Assumptions!$B$94</f>
        <v/>
      </c>
      <c r="AR309" s="41">
        <f>AR307*Assumptions!$B$138*Assumptions!$B$46*Assumptions!$B$30*Assumptions!$B$94</f>
        <v/>
      </c>
      <c r="AS309" s="41">
        <f>AS307*Assumptions!$B$138*Assumptions!$B$46*Assumptions!$B$30*Assumptions!$B$94</f>
        <v/>
      </c>
      <c r="AT309" s="41">
        <f>AT307*Assumptions!$B$138*Assumptions!$B$46*Assumptions!$B$30*Assumptions!$B$94</f>
        <v/>
      </c>
      <c r="AU309" s="41">
        <f>AU307*Assumptions!$B$138*Assumptions!$B$46*Assumptions!$B$30*Assumptions!$B$94</f>
        <v/>
      </c>
      <c r="AV309" s="41">
        <f>AV307*Assumptions!$B$138*Assumptions!$B$46*Assumptions!$B$30*Assumptions!$B$94</f>
        <v/>
      </c>
      <c r="AW309" s="41">
        <f>AW307*Assumptions!$B$138*Assumptions!$B$46*Assumptions!$B$30*Assumptions!$B$94</f>
        <v/>
      </c>
      <c r="AX309" s="41">
        <f>AX307*Assumptions!$B$138*Assumptions!$B$46*Assumptions!$B$30*Assumptions!$B$94</f>
        <v/>
      </c>
      <c r="AY309" s="41">
        <f>AY307*Assumptions!$B$138*Assumptions!$B$46*Assumptions!$B$30*Assumptions!$B$94</f>
        <v/>
      </c>
      <c r="AZ309" s="41">
        <f>AZ307*Assumptions!$B$138*Assumptions!$B$46*Assumptions!$B$30*Assumptions!$B$94</f>
        <v/>
      </c>
      <c r="BA309" s="41">
        <f>BA307*Assumptions!$B$138*Assumptions!$B$46*Assumptions!$B$30*Assumptions!$B$94</f>
        <v/>
      </c>
      <c r="BB309" s="41">
        <f>BB307*Assumptions!$B$138*Assumptions!$B$46*Assumptions!$B$30*Assumptions!$B$94</f>
        <v/>
      </c>
      <c r="BC309" s="41">
        <f>BC307*Assumptions!$B$138*Assumptions!$B$46*Assumptions!$B$30*Assumptions!$B$94</f>
        <v/>
      </c>
      <c r="BD309" s="41">
        <f>BD307*Assumptions!$B$138*Assumptions!$B$46*Assumptions!$B$30*Assumptions!$B$94</f>
        <v/>
      </c>
      <c r="BE309" s="41">
        <f>BE307*Assumptions!$B$138*Assumptions!$B$46*Assumptions!$B$30*Assumptions!$B$94</f>
        <v/>
      </c>
      <c r="BF309" s="41">
        <f>BF307*Assumptions!$B$138*Assumptions!$B$46*Assumptions!$B$30*Assumptions!$B$94</f>
        <v/>
      </c>
      <c r="BG309" s="41">
        <f>BG307*Assumptions!$B$138*Assumptions!$B$46*Assumptions!$B$30*Assumptions!$B$94</f>
        <v/>
      </c>
      <c r="BH309" s="41">
        <f>BH307*Assumptions!$B$138*Assumptions!$B$46*Assumptions!$B$30*Assumptions!$B$94</f>
        <v/>
      </c>
      <c r="BI309" s="41">
        <f>BI307*Assumptions!$B$138*Assumptions!$B$46*Assumptions!$B$30*Assumptions!$B$94</f>
        <v/>
      </c>
      <c r="BJ309" s="41">
        <f>BJ307*Assumptions!$B$138*Assumptions!$B$46*Assumptions!$B$30*Assumptions!$B$94</f>
        <v/>
      </c>
    </row>
    <row r="310">
      <c r="A310" s="4" t="inlineStr">
        <is>
          <t>Rest of Africa (USD): Solo: Micro (direct or upgraded): upgraded out</t>
        </is>
      </c>
      <c r="B310" s="17" t="inlineStr">
        <is>
          <t>workspaces</t>
        </is>
      </c>
      <c r="C310" s="41">
        <f>C307*Assumptions!$B$131</f>
        <v/>
      </c>
      <c r="D310" s="41">
        <f>D307*Assumptions!$B$131</f>
        <v/>
      </c>
      <c r="E310" s="41">
        <f>E307*Assumptions!$B$131</f>
        <v/>
      </c>
      <c r="F310" s="41">
        <f>F307*Assumptions!$B$131</f>
        <v/>
      </c>
      <c r="G310" s="41">
        <f>G307*Assumptions!$B$131</f>
        <v/>
      </c>
      <c r="H310" s="41">
        <f>H307*Assumptions!$B$131</f>
        <v/>
      </c>
      <c r="I310" s="41">
        <f>I307*Assumptions!$B$131</f>
        <v/>
      </c>
      <c r="J310" s="41">
        <f>J307*Assumptions!$B$131</f>
        <v/>
      </c>
      <c r="K310" s="41">
        <f>K307*Assumptions!$B$131</f>
        <v/>
      </c>
      <c r="L310" s="41">
        <f>L307*Assumptions!$B$131</f>
        <v/>
      </c>
      <c r="M310" s="41">
        <f>M307*Assumptions!$B$131</f>
        <v/>
      </c>
      <c r="N310" s="41">
        <f>N307*Assumptions!$B$131</f>
        <v/>
      </c>
      <c r="O310" s="41">
        <f>O307*Assumptions!$B$131</f>
        <v/>
      </c>
      <c r="P310" s="41">
        <f>P307*Assumptions!$B$131</f>
        <v/>
      </c>
      <c r="Q310" s="41">
        <f>Q307*Assumptions!$B$131</f>
        <v/>
      </c>
      <c r="R310" s="41">
        <f>R307*Assumptions!$B$131</f>
        <v/>
      </c>
      <c r="S310" s="41">
        <f>S307*Assumptions!$B$131</f>
        <v/>
      </c>
      <c r="T310" s="41">
        <f>T307*Assumptions!$B$131</f>
        <v/>
      </c>
      <c r="U310" s="41">
        <f>U307*Assumptions!$B$131</f>
        <v/>
      </c>
      <c r="V310" s="41">
        <f>V307*Assumptions!$B$131</f>
        <v/>
      </c>
      <c r="W310" s="41">
        <f>W307*Assumptions!$B$131</f>
        <v/>
      </c>
      <c r="X310" s="41">
        <f>X307*Assumptions!$B$131</f>
        <v/>
      </c>
      <c r="Y310" s="41">
        <f>Y307*Assumptions!$B$131</f>
        <v/>
      </c>
      <c r="Z310" s="41">
        <f>Z307*Assumptions!$B$131</f>
        <v/>
      </c>
      <c r="AA310" s="41">
        <f>AA307*Assumptions!$B$131</f>
        <v/>
      </c>
      <c r="AB310" s="41">
        <f>AB307*Assumptions!$B$131</f>
        <v/>
      </c>
      <c r="AC310" s="41">
        <f>AC307*Assumptions!$B$131</f>
        <v/>
      </c>
      <c r="AD310" s="41">
        <f>AD307*Assumptions!$B$131</f>
        <v/>
      </c>
      <c r="AE310" s="41">
        <f>AE307*Assumptions!$B$131</f>
        <v/>
      </c>
      <c r="AF310" s="41">
        <f>AF307*Assumptions!$B$131</f>
        <v/>
      </c>
      <c r="AG310" s="41">
        <f>AG307*Assumptions!$B$131</f>
        <v/>
      </c>
      <c r="AH310" s="41">
        <f>AH307*Assumptions!$B$131</f>
        <v/>
      </c>
      <c r="AI310" s="41">
        <f>AI307*Assumptions!$B$131</f>
        <v/>
      </c>
      <c r="AJ310" s="41">
        <f>AJ307*Assumptions!$B$131</f>
        <v/>
      </c>
      <c r="AK310" s="41">
        <f>AK307*Assumptions!$B$131</f>
        <v/>
      </c>
      <c r="AL310" s="41">
        <f>AL307*Assumptions!$B$131</f>
        <v/>
      </c>
      <c r="AM310" s="41">
        <f>AM307*Assumptions!$B$131</f>
        <v/>
      </c>
      <c r="AN310" s="41">
        <f>AN307*Assumptions!$B$131</f>
        <v/>
      </c>
      <c r="AO310" s="41">
        <f>AO307*Assumptions!$B$131</f>
        <v/>
      </c>
      <c r="AP310" s="41">
        <f>AP307*Assumptions!$B$131</f>
        <v/>
      </c>
      <c r="AQ310" s="41">
        <f>AQ307*Assumptions!$B$131</f>
        <v/>
      </c>
      <c r="AR310" s="41">
        <f>AR307*Assumptions!$B$131</f>
        <v/>
      </c>
      <c r="AS310" s="41">
        <f>AS307*Assumptions!$B$131</f>
        <v/>
      </c>
      <c r="AT310" s="41">
        <f>AT307*Assumptions!$B$131</f>
        <v/>
      </c>
      <c r="AU310" s="41">
        <f>AU307*Assumptions!$B$131</f>
        <v/>
      </c>
      <c r="AV310" s="41">
        <f>AV307*Assumptions!$B$131</f>
        <v/>
      </c>
      <c r="AW310" s="41">
        <f>AW307*Assumptions!$B$131</f>
        <v/>
      </c>
      <c r="AX310" s="41">
        <f>AX307*Assumptions!$B$131</f>
        <v/>
      </c>
      <c r="AY310" s="41">
        <f>AY307*Assumptions!$B$131</f>
        <v/>
      </c>
      <c r="AZ310" s="41">
        <f>AZ307*Assumptions!$B$131</f>
        <v/>
      </c>
      <c r="BA310" s="41">
        <f>BA307*Assumptions!$B$131</f>
        <v/>
      </c>
      <c r="BB310" s="41">
        <f>BB307*Assumptions!$B$131</f>
        <v/>
      </c>
      <c r="BC310" s="41">
        <f>BC307*Assumptions!$B$131</f>
        <v/>
      </c>
      <c r="BD310" s="41">
        <f>BD307*Assumptions!$B$131</f>
        <v/>
      </c>
      <c r="BE310" s="41">
        <f>BE307*Assumptions!$B$131</f>
        <v/>
      </c>
      <c r="BF310" s="41">
        <f>BF307*Assumptions!$B$131</f>
        <v/>
      </c>
      <c r="BG310" s="41">
        <f>BG307*Assumptions!$B$131</f>
        <v/>
      </c>
      <c r="BH310" s="41">
        <f>BH307*Assumptions!$B$131</f>
        <v/>
      </c>
      <c r="BI310" s="41">
        <f>BI307*Assumptions!$B$131</f>
        <v/>
      </c>
      <c r="BJ310" s="41">
        <f>BJ307*Assumptions!$B$131</f>
        <v/>
      </c>
    </row>
    <row r="311">
      <c r="A311" s="3" t="inlineStr">
        <is>
          <t>Rest of Africa (USD): Solo: Micro (direct or upgraded): closing</t>
        </is>
      </c>
      <c r="B311" s="17" t="inlineStr">
        <is>
          <t>workspaces</t>
        </is>
      </c>
      <c r="C311" s="44">
        <f>C307+C308-C309-C310</f>
        <v/>
      </c>
      <c r="D311" s="44">
        <f>D307+D308-D309-D310</f>
        <v/>
      </c>
      <c r="E311" s="44">
        <f>E307+E308-E309-E310</f>
        <v/>
      </c>
      <c r="F311" s="44">
        <f>F307+F308-F309-F310</f>
        <v/>
      </c>
      <c r="G311" s="44">
        <f>G307+G308-G309-G310</f>
        <v/>
      </c>
      <c r="H311" s="44">
        <f>H307+H308-H309-H310</f>
        <v/>
      </c>
      <c r="I311" s="44">
        <f>I307+I308-I309-I310</f>
        <v/>
      </c>
      <c r="J311" s="44">
        <f>J307+J308-J309-J310</f>
        <v/>
      </c>
      <c r="K311" s="44">
        <f>K307+K308-K309-K310</f>
        <v/>
      </c>
      <c r="L311" s="44">
        <f>L307+L308-L309-L310</f>
        <v/>
      </c>
      <c r="M311" s="44">
        <f>M307+M308-M309-M310</f>
        <v/>
      </c>
      <c r="N311" s="44">
        <f>N307+N308-N309-N310</f>
        <v/>
      </c>
      <c r="O311" s="44">
        <f>O307+O308-O309-O310</f>
        <v/>
      </c>
      <c r="P311" s="44">
        <f>P307+P308-P309-P310</f>
        <v/>
      </c>
      <c r="Q311" s="44">
        <f>Q307+Q308-Q309-Q310</f>
        <v/>
      </c>
      <c r="R311" s="44">
        <f>R307+R308-R309-R310</f>
        <v/>
      </c>
      <c r="S311" s="44">
        <f>S307+S308-S309-S310</f>
        <v/>
      </c>
      <c r="T311" s="44">
        <f>T307+T308-T309-T310</f>
        <v/>
      </c>
      <c r="U311" s="44">
        <f>U307+U308-U309-U310</f>
        <v/>
      </c>
      <c r="V311" s="44">
        <f>V307+V308-V309-V310</f>
        <v/>
      </c>
      <c r="W311" s="44">
        <f>W307+W308-W309-W310</f>
        <v/>
      </c>
      <c r="X311" s="44">
        <f>X307+X308-X309-X310</f>
        <v/>
      </c>
      <c r="Y311" s="44">
        <f>Y307+Y308-Y309-Y310</f>
        <v/>
      </c>
      <c r="Z311" s="44">
        <f>Z307+Z308-Z309-Z310</f>
        <v/>
      </c>
      <c r="AA311" s="44">
        <f>AA307+AA308-AA309-AA310</f>
        <v/>
      </c>
      <c r="AB311" s="44">
        <f>AB307+AB308-AB309-AB310</f>
        <v/>
      </c>
      <c r="AC311" s="44">
        <f>AC307+AC308-AC309-AC310</f>
        <v/>
      </c>
      <c r="AD311" s="44">
        <f>AD307+AD308-AD309-AD310</f>
        <v/>
      </c>
      <c r="AE311" s="44">
        <f>AE307+AE308-AE309-AE310</f>
        <v/>
      </c>
      <c r="AF311" s="44">
        <f>AF307+AF308-AF309-AF310</f>
        <v/>
      </c>
      <c r="AG311" s="44">
        <f>AG307+AG308-AG309-AG310</f>
        <v/>
      </c>
      <c r="AH311" s="44">
        <f>AH307+AH308-AH309-AH310</f>
        <v/>
      </c>
      <c r="AI311" s="44">
        <f>AI307+AI308-AI309-AI310</f>
        <v/>
      </c>
      <c r="AJ311" s="44">
        <f>AJ307+AJ308-AJ309-AJ310</f>
        <v/>
      </c>
      <c r="AK311" s="44">
        <f>AK307+AK308-AK309-AK310</f>
        <v/>
      </c>
      <c r="AL311" s="44">
        <f>AL307+AL308-AL309-AL310</f>
        <v/>
      </c>
      <c r="AM311" s="44">
        <f>AM307+AM308-AM309-AM310</f>
        <v/>
      </c>
      <c r="AN311" s="44">
        <f>AN307+AN308-AN309-AN310</f>
        <v/>
      </c>
      <c r="AO311" s="44">
        <f>AO307+AO308-AO309-AO310</f>
        <v/>
      </c>
      <c r="AP311" s="44">
        <f>AP307+AP308-AP309-AP310</f>
        <v/>
      </c>
      <c r="AQ311" s="44">
        <f>AQ307+AQ308-AQ309-AQ310</f>
        <v/>
      </c>
      <c r="AR311" s="44">
        <f>AR307+AR308-AR309-AR310</f>
        <v/>
      </c>
      <c r="AS311" s="44">
        <f>AS307+AS308-AS309-AS310</f>
        <v/>
      </c>
      <c r="AT311" s="44">
        <f>AT307+AT308-AT309-AT310</f>
        <v/>
      </c>
      <c r="AU311" s="44">
        <f>AU307+AU308-AU309-AU310</f>
        <v/>
      </c>
      <c r="AV311" s="44">
        <f>AV307+AV308-AV309-AV310</f>
        <v/>
      </c>
      <c r="AW311" s="44">
        <f>AW307+AW308-AW309-AW310</f>
        <v/>
      </c>
      <c r="AX311" s="44">
        <f>AX307+AX308-AX309-AX310</f>
        <v/>
      </c>
      <c r="AY311" s="44">
        <f>AY307+AY308-AY309-AY310</f>
        <v/>
      </c>
      <c r="AZ311" s="44">
        <f>AZ307+AZ308-AZ309-AZ310</f>
        <v/>
      </c>
      <c r="BA311" s="44">
        <f>BA307+BA308-BA309-BA310</f>
        <v/>
      </c>
      <c r="BB311" s="44">
        <f>BB307+BB308-BB309-BB310</f>
        <v/>
      </c>
      <c r="BC311" s="44">
        <f>BC307+BC308-BC309-BC310</f>
        <v/>
      </c>
      <c r="BD311" s="44">
        <f>BD307+BD308-BD309-BD310</f>
        <v/>
      </c>
      <c r="BE311" s="44">
        <f>BE307+BE308-BE309-BE310</f>
        <v/>
      </c>
      <c r="BF311" s="44">
        <f>BF307+BF308-BF309-BF310</f>
        <v/>
      </c>
      <c r="BG311" s="44">
        <f>BG307+BG308-BG309-BG310</f>
        <v/>
      </c>
      <c r="BH311" s="44">
        <f>BH307+BH308-BH309-BH310</f>
        <v/>
      </c>
      <c r="BI311" s="44">
        <f>BI307+BI308-BI309-BI310</f>
        <v/>
      </c>
      <c r="BJ311" s="44">
        <f>BJ307+BJ308-BJ309-BJ310</f>
        <v/>
      </c>
    </row>
    <row r="312">
      <c r="A312" s="4" t="inlineStr">
        <is>
          <t>Rest of Africa (USD): Solo: Starter (direct or upgraded): opening</t>
        </is>
      </c>
      <c r="B312" s="17" t="inlineStr">
        <is>
          <t>workspaces</t>
        </is>
      </c>
      <c r="C312" s="41">
        <f>0</f>
        <v/>
      </c>
      <c r="D312" s="41">
        <f>C315</f>
        <v/>
      </c>
      <c r="E312" s="41">
        <f>D315</f>
        <v/>
      </c>
      <c r="F312" s="41">
        <f>E315</f>
        <v/>
      </c>
      <c r="G312" s="41">
        <f>F315</f>
        <v/>
      </c>
      <c r="H312" s="41">
        <f>G315</f>
        <v/>
      </c>
      <c r="I312" s="41">
        <f>H315</f>
        <v/>
      </c>
      <c r="J312" s="41">
        <f>I315</f>
        <v/>
      </c>
      <c r="K312" s="41">
        <f>J315</f>
        <v/>
      </c>
      <c r="L312" s="41">
        <f>K315</f>
        <v/>
      </c>
      <c r="M312" s="41">
        <f>L315</f>
        <v/>
      </c>
      <c r="N312" s="41">
        <f>M315</f>
        <v/>
      </c>
      <c r="O312" s="41">
        <f>N315</f>
        <v/>
      </c>
      <c r="P312" s="41">
        <f>O315</f>
        <v/>
      </c>
      <c r="Q312" s="41">
        <f>P315</f>
        <v/>
      </c>
      <c r="R312" s="41">
        <f>Q315</f>
        <v/>
      </c>
      <c r="S312" s="41">
        <f>R315</f>
        <v/>
      </c>
      <c r="T312" s="41">
        <f>S315</f>
        <v/>
      </c>
      <c r="U312" s="41">
        <f>T315</f>
        <v/>
      </c>
      <c r="V312" s="41">
        <f>U315</f>
        <v/>
      </c>
      <c r="W312" s="41">
        <f>V315</f>
        <v/>
      </c>
      <c r="X312" s="41">
        <f>W315</f>
        <v/>
      </c>
      <c r="Y312" s="41">
        <f>X315</f>
        <v/>
      </c>
      <c r="Z312" s="41">
        <f>Y315</f>
        <v/>
      </c>
      <c r="AA312" s="41">
        <f>Z315</f>
        <v/>
      </c>
      <c r="AB312" s="41">
        <f>AA315</f>
        <v/>
      </c>
      <c r="AC312" s="41">
        <f>AB315</f>
        <v/>
      </c>
      <c r="AD312" s="41">
        <f>AC315</f>
        <v/>
      </c>
      <c r="AE312" s="41">
        <f>AD315</f>
        <v/>
      </c>
      <c r="AF312" s="41">
        <f>AE315</f>
        <v/>
      </c>
      <c r="AG312" s="41">
        <f>AF315</f>
        <v/>
      </c>
      <c r="AH312" s="41">
        <f>AG315</f>
        <v/>
      </c>
      <c r="AI312" s="41">
        <f>AH315</f>
        <v/>
      </c>
      <c r="AJ312" s="41">
        <f>AI315</f>
        <v/>
      </c>
      <c r="AK312" s="41">
        <f>AJ315</f>
        <v/>
      </c>
      <c r="AL312" s="41">
        <f>AK315</f>
        <v/>
      </c>
      <c r="AM312" s="41">
        <f>AL315</f>
        <v/>
      </c>
      <c r="AN312" s="41">
        <f>AM315</f>
        <v/>
      </c>
      <c r="AO312" s="41">
        <f>AN315</f>
        <v/>
      </c>
      <c r="AP312" s="41">
        <f>AO315</f>
        <v/>
      </c>
      <c r="AQ312" s="41">
        <f>AP315</f>
        <v/>
      </c>
      <c r="AR312" s="41">
        <f>AQ315</f>
        <v/>
      </c>
      <c r="AS312" s="41">
        <f>AR315</f>
        <v/>
      </c>
      <c r="AT312" s="41">
        <f>AS315</f>
        <v/>
      </c>
      <c r="AU312" s="41">
        <f>AT315</f>
        <v/>
      </c>
      <c r="AV312" s="41">
        <f>AU315</f>
        <v/>
      </c>
      <c r="AW312" s="41">
        <f>AV315</f>
        <v/>
      </c>
      <c r="AX312" s="41">
        <f>AW315</f>
        <v/>
      </c>
      <c r="AY312" s="41">
        <f>AX315</f>
        <v/>
      </c>
      <c r="AZ312" s="41">
        <f>AY315</f>
        <v/>
      </c>
      <c r="BA312" s="41">
        <f>AZ315</f>
        <v/>
      </c>
      <c r="BB312" s="41">
        <f>BA315</f>
        <v/>
      </c>
      <c r="BC312" s="41">
        <f>BB315</f>
        <v/>
      </c>
      <c r="BD312" s="41">
        <f>BC315</f>
        <v/>
      </c>
      <c r="BE312" s="41">
        <f>BD315</f>
        <v/>
      </c>
      <c r="BF312" s="41">
        <f>BE315</f>
        <v/>
      </c>
      <c r="BG312" s="41">
        <f>BF315</f>
        <v/>
      </c>
      <c r="BH312" s="41">
        <f>BG315</f>
        <v/>
      </c>
      <c r="BI312" s="41">
        <f>BH315</f>
        <v/>
      </c>
      <c r="BJ312" s="41">
        <f>BI315</f>
        <v/>
      </c>
    </row>
    <row r="313">
      <c r="A313" s="4" t="inlineStr">
        <is>
          <t>Rest of Africa (USD): Solo: Starter (direct or upgraded): new</t>
        </is>
      </c>
      <c r="B313" s="17" t="inlineStr">
        <is>
          <t>workspaces</t>
        </is>
      </c>
      <c r="C313" s="41">
        <f>C154*Assumptions!$B$126+C310</f>
        <v/>
      </c>
      <c r="D313" s="41">
        <f>D154*Assumptions!$B$126+D310</f>
        <v/>
      </c>
      <c r="E313" s="41">
        <f>E154*Assumptions!$B$126+E310</f>
        <v/>
      </c>
      <c r="F313" s="41">
        <f>F154*Assumptions!$B$126+F310</f>
        <v/>
      </c>
      <c r="G313" s="41">
        <f>G154*Assumptions!$B$126+G310</f>
        <v/>
      </c>
      <c r="H313" s="41">
        <f>H154*Assumptions!$B$126+H310</f>
        <v/>
      </c>
      <c r="I313" s="41">
        <f>I154*Assumptions!$B$126+I310</f>
        <v/>
      </c>
      <c r="J313" s="41">
        <f>J154*Assumptions!$B$126+J310</f>
        <v/>
      </c>
      <c r="K313" s="41">
        <f>K154*Assumptions!$B$126+K310</f>
        <v/>
      </c>
      <c r="L313" s="41">
        <f>L154*Assumptions!$B$126+L310</f>
        <v/>
      </c>
      <c r="M313" s="41">
        <f>M154*Assumptions!$B$126+M310</f>
        <v/>
      </c>
      <c r="N313" s="41">
        <f>N154*Assumptions!$B$126+N310</f>
        <v/>
      </c>
      <c r="O313" s="41">
        <f>O154*Assumptions!$B$126+O310</f>
        <v/>
      </c>
      <c r="P313" s="41">
        <f>P154*Assumptions!$B$126+P310</f>
        <v/>
      </c>
      <c r="Q313" s="41">
        <f>Q154*Assumptions!$B$126+Q310</f>
        <v/>
      </c>
      <c r="R313" s="41">
        <f>R154*Assumptions!$B$126+R310</f>
        <v/>
      </c>
      <c r="S313" s="41">
        <f>S154*Assumptions!$B$126+S310</f>
        <v/>
      </c>
      <c r="T313" s="41">
        <f>T154*Assumptions!$B$126+T310</f>
        <v/>
      </c>
      <c r="U313" s="41">
        <f>U154*Assumptions!$B$126+U310</f>
        <v/>
      </c>
      <c r="V313" s="41">
        <f>V154*Assumptions!$B$126+V310</f>
        <v/>
      </c>
      <c r="W313" s="41">
        <f>W154*Assumptions!$B$126+W310</f>
        <v/>
      </c>
      <c r="X313" s="41">
        <f>X154*Assumptions!$B$126+X310</f>
        <v/>
      </c>
      <c r="Y313" s="41">
        <f>Y154*Assumptions!$B$126+Y310</f>
        <v/>
      </c>
      <c r="Z313" s="41">
        <f>Z154*Assumptions!$B$126+Z310</f>
        <v/>
      </c>
      <c r="AA313" s="41">
        <f>AA154*Assumptions!$B$126+AA310</f>
        <v/>
      </c>
      <c r="AB313" s="41">
        <f>AB154*Assumptions!$B$126+AB310</f>
        <v/>
      </c>
      <c r="AC313" s="41">
        <f>AC154*Assumptions!$B$126+AC310</f>
        <v/>
      </c>
      <c r="AD313" s="41">
        <f>AD154*Assumptions!$B$126+AD310</f>
        <v/>
      </c>
      <c r="AE313" s="41">
        <f>AE154*Assumptions!$B$126+AE310</f>
        <v/>
      </c>
      <c r="AF313" s="41">
        <f>AF154*Assumptions!$B$126+AF310</f>
        <v/>
      </c>
      <c r="AG313" s="41">
        <f>AG154*Assumptions!$B$126+AG310</f>
        <v/>
      </c>
      <c r="AH313" s="41">
        <f>AH154*Assumptions!$B$126+AH310</f>
        <v/>
      </c>
      <c r="AI313" s="41">
        <f>AI154*Assumptions!$B$126+AI310</f>
        <v/>
      </c>
      <c r="AJ313" s="41">
        <f>AJ154*Assumptions!$B$126+AJ310</f>
        <v/>
      </c>
      <c r="AK313" s="41">
        <f>AK154*Assumptions!$B$126+AK310</f>
        <v/>
      </c>
      <c r="AL313" s="41">
        <f>AL154*Assumptions!$B$126+AL310</f>
        <v/>
      </c>
      <c r="AM313" s="41">
        <f>AM154*Assumptions!$B$126+AM310</f>
        <v/>
      </c>
      <c r="AN313" s="41">
        <f>AN154*Assumptions!$B$126+AN310</f>
        <v/>
      </c>
      <c r="AO313" s="41">
        <f>AO154*Assumptions!$B$126+AO310</f>
        <v/>
      </c>
      <c r="AP313" s="41">
        <f>AP154*Assumptions!$B$126+AP310</f>
        <v/>
      </c>
      <c r="AQ313" s="41">
        <f>AQ154*Assumptions!$B$126+AQ310</f>
        <v/>
      </c>
      <c r="AR313" s="41">
        <f>AR154*Assumptions!$B$126+AR310</f>
        <v/>
      </c>
      <c r="AS313" s="41">
        <f>AS154*Assumptions!$B$126+AS310</f>
        <v/>
      </c>
      <c r="AT313" s="41">
        <f>AT154*Assumptions!$B$126+AT310</f>
        <v/>
      </c>
      <c r="AU313" s="41">
        <f>AU154*Assumptions!$B$126+AU310</f>
        <v/>
      </c>
      <c r="AV313" s="41">
        <f>AV154*Assumptions!$B$126+AV310</f>
        <v/>
      </c>
      <c r="AW313" s="41">
        <f>AW154*Assumptions!$B$126+AW310</f>
        <v/>
      </c>
      <c r="AX313" s="41">
        <f>AX154*Assumptions!$B$126+AX310</f>
        <v/>
      </c>
      <c r="AY313" s="41">
        <f>AY154*Assumptions!$B$126+AY310</f>
        <v/>
      </c>
      <c r="AZ313" s="41">
        <f>AZ154*Assumptions!$B$126+AZ310</f>
        <v/>
      </c>
      <c r="BA313" s="41">
        <f>BA154*Assumptions!$B$126+BA310</f>
        <v/>
      </c>
      <c r="BB313" s="41">
        <f>BB154*Assumptions!$B$126+BB310</f>
        <v/>
      </c>
      <c r="BC313" s="41">
        <f>BC154*Assumptions!$B$126+BC310</f>
        <v/>
      </c>
      <c r="BD313" s="41">
        <f>BD154*Assumptions!$B$126+BD310</f>
        <v/>
      </c>
      <c r="BE313" s="41">
        <f>BE154*Assumptions!$B$126+BE310</f>
        <v/>
      </c>
      <c r="BF313" s="41">
        <f>BF154*Assumptions!$B$126+BF310</f>
        <v/>
      </c>
      <c r="BG313" s="41">
        <f>BG154*Assumptions!$B$126+BG310</f>
        <v/>
      </c>
      <c r="BH313" s="41">
        <f>BH154*Assumptions!$B$126+BH310</f>
        <v/>
      </c>
      <c r="BI313" s="41">
        <f>BI154*Assumptions!$B$126+BI310</f>
        <v/>
      </c>
      <c r="BJ313" s="41">
        <f>BJ154*Assumptions!$B$126+BJ310</f>
        <v/>
      </c>
    </row>
    <row r="314">
      <c r="A314" s="4" t="inlineStr">
        <is>
          <t>Rest of Africa (USD): Solo: Starter (direct or upgraded): churned</t>
        </is>
      </c>
      <c r="B314" s="17" t="inlineStr">
        <is>
          <t>workspaces</t>
        </is>
      </c>
      <c r="C314" s="41">
        <f>C312*Assumptions!$B$139*Assumptions!$B$46*Assumptions!$B$30*Assumptions!$B$94</f>
        <v/>
      </c>
      <c r="D314" s="41">
        <f>D312*Assumptions!$B$139*Assumptions!$B$46*Assumptions!$B$30*Assumptions!$B$94</f>
        <v/>
      </c>
      <c r="E314" s="41">
        <f>E312*Assumptions!$B$139*Assumptions!$B$46*Assumptions!$B$30*Assumptions!$B$94</f>
        <v/>
      </c>
      <c r="F314" s="41">
        <f>F312*Assumptions!$B$139*Assumptions!$B$46*Assumptions!$B$30*Assumptions!$B$94</f>
        <v/>
      </c>
      <c r="G314" s="41">
        <f>G312*Assumptions!$B$139*Assumptions!$B$46*Assumptions!$B$30*Assumptions!$B$94</f>
        <v/>
      </c>
      <c r="H314" s="41">
        <f>H312*Assumptions!$B$139*Assumptions!$B$46*Assumptions!$B$30*Assumptions!$B$94</f>
        <v/>
      </c>
      <c r="I314" s="41">
        <f>I312*Assumptions!$B$139*Assumptions!$B$46*Assumptions!$B$30*Assumptions!$B$94</f>
        <v/>
      </c>
      <c r="J314" s="41">
        <f>J312*Assumptions!$B$139*Assumptions!$B$46*Assumptions!$B$30*Assumptions!$B$94</f>
        <v/>
      </c>
      <c r="K314" s="41">
        <f>K312*Assumptions!$B$139*Assumptions!$B$46*Assumptions!$B$30*Assumptions!$B$94</f>
        <v/>
      </c>
      <c r="L314" s="41">
        <f>L312*Assumptions!$B$139*Assumptions!$B$46*Assumptions!$B$30*Assumptions!$B$94</f>
        <v/>
      </c>
      <c r="M314" s="41">
        <f>M312*Assumptions!$B$139*Assumptions!$B$46*Assumptions!$B$30*Assumptions!$B$94</f>
        <v/>
      </c>
      <c r="N314" s="41">
        <f>N312*Assumptions!$B$139*Assumptions!$B$46*Assumptions!$B$30*Assumptions!$B$94</f>
        <v/>
      </c>
      <c r="O314" s="41">
        <f>O312*Assumptions!$B$139*Assumptions!$B$46*Assumptions!$B$30*Assumptions!$B$94</f>
        <v/>
      </c>
      <c r="P314" s="41">
        <f>P312*Assumptions!$B$139*Assumptions!$B$46*Assumptions!$B$30*Assumptions!$B$94</f>
        <v/>
      </c>
      <c r="Q314" s="41">
        <f>Q312*Assumptions!$B$139*Assumptions!$B$46*Assumptions!$B$30*Assumptions!$B$94</f>
        <v/>
      </c>
      <c r="R314" s="41">
        <f>R312*Assumptions!$B$139*Assumptions!$B$46*Assumptions!$B$30*Assumptions!$B$94</f>
        <v/>
      </c>
      <c r="S314" s="41">
        <f>S312*Assumptions!$B$139*Assumptions!$B$46*Assumptions!$B$30*Assumptions!$B$94</f>
        <v/>
      </c>
      <c r="T314" s="41">
        <f>T312*Assumptions!$B$139*Assumptions!$B$46*Assumptions!$B$30*Assumptions!$B$94</f>
        <v/>
      </c>
      <c r="U314" s="41">
        <f>U312*Assumptions!$B$139*Assumptions!$B$46*Assumptions!$B$30*Assumptions!$B$94</f>
        <v/>
      </c>
      <c r="V314" s="41">
        <f>V312*Assumptions!$B$139*Assumptions!$B$46*Assumptions!$B$30*Assumptions!$B$94</f>
        <v/>
      </c>
      <c r="W314" s="41">
        <f>W312*Assumptions!$B$139*Assumptions!$B$46*Assumptions!$B$30*Assumptions!$B$94</f>
        <v/>
      </c>
      <c r="X314" s="41">
        <f>X312*Assumptions!$B$139*Assumptions!$B$46*Assumptions!$B$30*Assumptions!$B$94</f>
        <v/>
      </c>
      <c r="Y314" s="41">
        <f>Y312*Assumptions!$B$139*Assumptions!$B$46*Assumptions!$B$30*Assumptions!$B$94</f>
        <v/>
      </c>
      <c r="Z314" s="41">
        <f>Z312*Assumptions!$B$139*Assumptions!$B$46*Assumptions!$B$30*Assumptions!$B$94</f>
        <v/>
      </c>
      <c r="AA314" s="41">
        <f>AA312*Assumptions!$B$139*Assumptions!$B$46*Assumptions!$B$30*Assumptions!$B$94</f>
        <v/>
      </c>
      <c r="AB314" s="41">
        <f>AB312*Assumptions!$B$139*Assumptions!$B$46*Assumptions!$B$30*Assumptions!$B$94</f>
        <v/>
      </c>
      <c r="AC314" s="41">
        <f>AC312*Assumptions!$B$139*Assumptions!$B$46*Assumptions!$B$30*Assumptions!$B$94</f>
        <v/>
      </c>
      <c r="AD314" s="41">
        <f>AD312*Assumptions!$B$139*Assumptions!$B$46*Assumptions!$B$30*Assumptions!$B$94</f>
        <v/>
      </c>
      <c r="AE314" s="41">
        <f>AE312*Assumptions!$B$139*Assumptions!$B$46*Assumptions!$B$30*Assumptions!$B$94</f>
        <v/>
      </c>
      <c r="AF314" s="41">
        <f>AF312*Assumptions!$B$139*Assumptions!$B$46*Assumptions!$B$30*Assumptions!$B$94</f>
        <v/>
      </c>
      <c r="AG314" s="41">
        <f>AG312*Assumptions!$B$139*Assumptions!$B$46*Assumptions!$B$30*Assumptions!$B$94</f>
        <v/>
      </c>
      <c r="AH314" s="41">
        <f>AH312*Assumptions!$B$139*Assumptions!$B$46*Assumptions!$B$30*Assumptions!$B$94</f>
        <v/>
      </c>
      <c r="AI314" s="41">
        <f>AI312*Assumptions!$B$139*Assumptions!$B$46*Assumptions!$B$30*Assumptions!$B$94</f>
        <v/>
      </c>
      <c r="AJ314" s="41">
        <f>AJ312*Assumptions!$B$139*Assumptions!$B$46*Assumptions!$B$30*Assumptions!$B$94</f>
        <v/>
      </c>
      <c r="AK314" s="41">
        <f>AK312*Assumptions!$B$139*Assumptions!$B$46*Assumptions!$B$30*Assumptions!$B$94</f>
        <v/>
      </c>
      <c r="AL314" s="41">
        <f>AL312*Assumptions!$B$139*Assumptions!$B$46*Assumptions!$B$30*Assumptions!$B$94</f>
        <v/>
      </c>
      <c r="AM314" s="41">
        <f>AM312*Assumptions!$B$139*Assumptions!$B$46*Assumptions!$B$30*Assumptions!$B$94</f>
        <v/>
      </c>
      <c r="AN314" s="41">
        <f>AN312*Assumptions!$B$139*Assumptions!$B$46*Assumptions!$B$30*Assumptions!$B$94</f>
        <v/>
      </c>
      <c r="AO314" s="41">
        <f>AO312*Assumptions!$B$139*Assumptions!$B$46*Assumptions!$B$30*Assumptions!$B$94</f>
        <v/>
      </c>
      <c r="AP314" s="41">
        <f>AP312*Assumptions!$B$139*Assumptions!$B$46*Assumptions!$B$30*Assumptions!$B$94</f>
        <v/>
      </c>
      <c r="AQ314" s="41">
        <f>AQ312*Assumptions!$B$139*Assumptions!$B$46*Assumptions!$B$30*Assumptions!$B$94</f>
        <v/>
      </c>
      <c r="AR314" s="41">
        <f>AR312*Assumptions!$B$139*Assumptions!$B$46*Assumptions!$B$30*Assumptions!$B$94</f>
        <v/>
      </c>
      <c r="AS314" s="41">
        <f>AS312*Assumptions!$B$139*Assumptions!$B$46*Assumptions!$B$30*Assumptions!$B$94</f>
        <v/>
      </c>
      <c r="AT314" s="41">
        <f>AT312*Assumptions!$B$139*Assumptions!$B$46*Assumptions!$B$30*Assumptions!$B$94</f>
        <v/>
      </c>
      <c r="AU314" s="41">
        <f>AU312*Assumptions!$B$139*Assumptions!$B$46*Assumptions!$B$30*Assumptions!$B$94</f>
        <v/>
      </c>
      <c r="AV314" s="41">
        <f>AV312*Assumptions!$B$139*Assumptions!$B$46*Assumptions!$B$30*Assumptions!$B$94</f>
        <v/>
      </c>
      <c r="AW314" s="41">
        <f>AW312*Assumptions!$B$139*Assumptions!$B$46*Assumptions!$B$30*Assumptions!$B$94</f>
        <v/>
      </c>
      <c r="AX314" s="41">
        <f>AX312*Assumptions!$B$139*Assumptions!$B$46*Assumptions!$B$30*Assumptions!$B$94</f>
        <v/>
      </c>
      <c r="AY314" s="41">
        <f>AY312*Assumptions!$B$139*Assumptions!$B$46*Assumptions!$B$30*Assumptions!$B$94</f>
        <v/>
      </c>
      <c r="AZ314" s="41">
        <f>AZ312*Assumptions!$B$139*Assumptions!$B$46*Assumptions!$B$30*Assumptions!$B$94</f>
        <v/>
      </c>
      <c r="BA314" s="41">
        <f>BA312*Assumptions!$B$139*Assumptions!$B$46*Assumptions!$B$30*Assumptions!$B$94</f>
        <v/>
      </c>
      <c r="BB314" s="41">
        <f>BB312*Assumptions!$B$139*Assumptions!$B$46*Assumptions!$B$30*Assumptions!$B$94</f>
        <v/>
      </c>
      <c r="BC314" s="41">
        <f>BC312*Assumptions!$B$139*Assumptions!$B$46*Assumptions!$B$30*Assumptions!$B$94</f>
        <v/>
      </c>
      <c r="BD314" s="41">
        <f>BD312*Assumptions!$B$139*Assumptions!$B$46*Assumptions!$B$30*Assumptions!$B$94</f>
        <v/>
      </c>
      <c r="BE314" s="41">
        <f>BE312*Assumptions!$B$139*Assumptions!$B$46*Assumptions!$B$30*Assumptions!$B$94</f>
        <v/>
      </c>
      <c r="BF314" s="41">
        <f>BF312*Assumptions!$B$139*Assumptions!$B$46*Assumptions!$B$30*Assumptions!$B$94</f>
        <v/>
      </c>
      <c r="BG314" s="41">
        <f>BG312*Assumptions!$B$139*Assumptions!$B$46*Assumptions!$B$30*Assumptions!$B$94</f>
        <v/>
      </c>
      <c r="BH314" s="41">
        <f>BH312*Assumptions!$B$139*Assumptions!$B$46*Assumptions!$B$30*Assumptions!$B$94</f>
        <v/>
      </c>
      <c r="BI314" s="41">
        <f>BI312*Assumptions!$B$139*Assumptions!$B$46*Assumptions!$B$30*Assumptions!$B$94</f>
        <v/>
      </c>
      <c r="BJ314" s="41">
        <f>BJ312*Assumptions!$B$139*Assumptions!$B$46*Assumptions!$B$30*Assumptions!$B$94</f>
        <v/>
      </c>
    </row>
    <row r="315">
      <c r="A315" s="3" t="inlineStr">
        <is>
          <t>Rest of Africa (USD): Solo: Starter (direct or upgraded): closing</t>
        </is>
      </c>
      <c r="B315" s="17" t="inlineStr">
        <is>
          <t>workspaces</t>
        </is>
      </c>
      <c r="C315" s="44">
        <f>C312+C313-C314</f>
        <v/>
      </c>
      <c r="D315" s="44">
        <f>D312+D313-D314</f>
        <v/>
      </c>
      <c r="E315" s="44">
        <f>E312+E313-E314</f>
        <v/>
      </c>
      <c r="F315" s="44">
        <f>F312+F313-F314</f>
        <v/>
      </c>
      <c r="G315" s="44">
        <f>G312+G313-G314</f>
        <v/>
      </c>
      <c r="H315" s="44">
        <f>H312+H313-H314</f>
        <v/>
      </c>
      <c r="I315" s="44">
        <f>I312+I313-I314</f>
        <v/>
      </c>
      <c r="J315" s="44">
        <f>J312+J313-J314</f>
        <v/>
      </c>
      <c r="K315" s="44">
        <f>K312+K313-K314</f>
        <v/>
      </c>
      <c r="L315" s="44">
        <f>L312+L313-L314</f>
        <v/>
      </c>
      <c r="M315" s="44">
        <f>M312+M313-M314</f>
        <v/>
      </c>
      <c r="N315" s="44">
        <f>N312+N313-N314</f>
        <v/>
      </c>
      <c r="O315" s="44">
        <f>O312+O313-O314</f>
        <v/>
      </c>
      <c r="P315" s="44">
        <f>P312+P313-P314</f>
        <v/>
      </c>
      <c r="Q315" s="44">
        <f>Q312+Q313-Q314</f>
        <v/>
      </c>
      <c r="R315" s="44">
        <f>R312+R313-R314</f>
        <v/>
      </c>
      <c r="S315" s="44">
        <f>S312+S313-S314</f>
        <v/>
      </c>
      <c r="T315" s="44">
        <f>T312+T313-T314</f>
        <v/>
      </c>
      <c r="U315" s="44">
        <f>U312+U313-U314</f>
        <v/>
      </c>
      <c r="V315" s="44">
        <f>V312+V313-V314</f>
        <v/>
      </c>
      <c r="W315" s="44">
        <f>W312+W313-W314</f>
        <v/>
      </c>
      <c r="X315" s="44">
        <f>X312+X313-X314</f>
        <v/>
      </c>
      <c r="Y315" s="44">
        <f>Y312+Y313-Y314</f>
        <v/>
      </c>
      <c r="Z315" s="44">
        <f>Z312+Z313-Z314</f>
        <v/>
      </c>
      <c r="AA315" s="44">
        <f>AA312+AA313-AA314</f>
        <v/>
      </c>
      <c r="AB315" s="44">
        <f>AB312+AB313-AB314</f>
        <v/>
      </c>
      <c r="AC315" s="44">
        <f>AC312+AC313-AC314</f>
        <v/>
      </c>
      <c r="AD315" s="44">
        <f>AD312+AD313-AD314</f>
        <v/>
      </c>
      <c r="AE315" s="44">
        <f>AE312+AE313-AE314</f>
        <v/>
      </c>
      <c r="AF315" s="44">
        <f>AF312+AF313-AF314</f>
        <v/>
      </c>
      <c r="AG315" s="44">
        <f>AG312+AG313-AG314</f>
        <v/>
      </c>
      <c r="AH315" s="44">
        <f>AH312+AH313-AH314</f>
        <v/>
      </c>
      <c r="AI315" s="44">
        <f>AI312+AI313-AI314</f>
        <v/>
      </c>
      <c r="AJ315" s="44">
        <f>AJ312+AJ313-AJ314</f>
        <v/>
      </c>
      <c r="AK315" s="44">
        <f>AK312+AK313-AK314</f>
        <v/>
      </c>
      <c r="AL315" s="44">
        <f>AL312+AL313-AL314</f>
        <v/>
      </c>
      <c r="AM315" s="44">
        <f>AM312+AM313-AM314</f>
        <v/>
      </c>
      <c r="AN315" s="44">
        <f>AN312+AN313-AN314</f>
        <v/>
      </c>
      <c r="AO315" s="44">
        <f>AO312+AO313-AO314</f>
        <v/>
      </c>
      <c r="AP315" s="44">
        <f>AP312+AP313-AP314</f>
        <v/>
      </c>
      <c r="AQ315" s="44">
        <f>AQ312+AQ313-AQ314</f>
        <v/>
      </c>
      <c r="AR315" s="44">
        <f>AR312+AR313-AR314</f>
        <v/>
      </c>
      <c r="AS315" s="44">
        <f>AS312+AS313-AS314</f>
        <v/>
      </c>
      <c r="AT315" s="44">
        <f>AT312+AT313-AT314</f>
        <v/>
      </c>
      <c r="AU315" s="44">
        <f>AU312+AU313-AU314</f>
        <v/>
      </c>
      <c r="AV315" s="44">
        <f>AV312+AV313-AV314</f>
        <v/>
      </c>
      <c r="AW315" s="44">
        <f>AW312+AW313-AW314</f>
        <v/>
      </c>
      <c r="AX315" s="44">
        <f>AX312+AX313-AX314</f>
        <v/>
      </c>
      <c r="AY315" s="44">
        <f>AY312+AY313-AY314</f>
        <v/>
      </c>
      <c r="AZ315" s="44">
        <f>AZ312+AZ313-AZ314</f>
        <v/>
      </c>
      <c r="BA315" s="44">
        <f>BA312+BA313-BA314</f>
        <v/>
      </c>
      <c r="BB315" s="44">
        <f>BB312+BB313-BB314</f>
        <v/>
      </c>
      <c r="BC315" s="44">
        <f>BC312+BC313-BC314</f>
        <v/>
      </c>
      <c r="BD315" s="44">
        <f>BD312+BD313-BD314</f>
        <v/>
      </c>
      <c r="BE315" s="44">
        <f>BE312+BE313-BE314</f>
        <v/>
      </c>
      <c r="BF315" s="44">
        <f>BF312+BF313-BF314</f>
        <v/>
      </c>
      <c r="BG315" s="44">
        <f>BG312+BG313-BG314</f>
        <v/>
      </c>
      <c r="BH315" s="44">
        <f>BH312+BH313-BH314</f>
        <v/>
      </c>
      <c r="BI315" s="44">
        <f>BI312+BI313-BI314</f>
        <v/>
      </c>
      <c r="BJ315" s="44">
        <f>BJ312+BJ313-BJ314</f>
        <v/>
      </c>
    </row>
    <row r="316">
      <c r="A316" s="4" t="inlineStr">
        <is>
          <t>Rest of Africa (USD): SME: Starter: opening</t>
        </is>
      </c>
      <c r="B316" s="17" t="inlineStr">
        <is>
          <t>workspaces</t>
        </is>
      </c>
      <c r="C316" s="41">
        <f>0</f>
        <v/>
      </c>
      <c r="D316" s="41">
        <f>C320</f>
        <v/>
      </c>
      <c r="E316" s="41">
        <f>D320</f>
        <v/>
      </c>
      <c r="F316" s="41">
        <f>E320</f>
        <v/>
      </c>
      <c r="G316" s="41">
        <f>F320</f>
        <v/>
      </c>
      <c r="H316" s="41">
        <f>G320</f>
        <v/>
      </c>
      <c r="I316" s="41">
        <f>H320</f>
        <v/>
      </c>
      <c r="J316" s="41">
        <f>I320</f>
        <v/>
      </c>
      <c r="K316" s="41">
        <f>J320</f>
        <v/>
      </c>
      <c r="L316" s="41">
        <f>K320</f>
        <v/>
      </c>
      <c r="M316" s="41">
        <f>L320</f>
        <v/>
      </c>
      <c r="N316" s="41">
        <f>M320</f>
        <v/>
      </c>
      <c r="O316" s="41">
        <f>N320</f>
        <v/>
      </c>
      <c r="P316" s="41">
        <f>O320</f>
        <v/>
      </c>
      <c r="Q316" s="41">
        <f>P320</f>
        <v/>
      </c>
      <c r="R316" s="41">
        <f>Q320</f>
        <v/>
      </c>
      <c r="S316" s="41">
        <f>R320</f>
        <v/>
      </c>
      <c r="T316" s="41">
        <f>S320</f>
        <v/>
      </c>
      <c r="U316" s="41">
        <f>T320</f>
        <v/>
      </c>
      <c r="V316" s="41">
        <f>U320</f>
        <v/>
      </c>
      <c r="W316" s="41">
        <f>V320</f>
        <v/>
      </c>
      <c r="X316" s="41">
        <f>W320</f>
        <v/>
      </c>
      <c r="Y316" s="41">
        <f>X320</f>
        <v/>
      </c>
      <c r="Z316" s="41">
        <f>Y320</f>
        <v/>
      </c>
      <c r="AA316" s="41">
        <f>Z320</f>
        <v/>
      </c>
      <c r="AB316" s="41">
        <f>AA320</f>
        <v/>
      </c>
      <c r="AC316" s="41">
        <f>AB320</f>
        <v/>
      </c>
      <c r="AD316" s="41">
        <f>AC320</f>
        <v/>
      </c>
      <c r="AE316" s="41">
        <f>AD320</f>
        <v/>
      </c>
      <c r="AF316" s="41">
        <f>AE320</f>
        <v/>
      </c>
      <c r="AG316" s="41">
        <f>AF320</f>
        <v/>
      </c>
      <c r="AH316" s="41">
        <f>AG320</f>
        <v/>
      </c>
      <c r="AI316" s="41">
        <f>AH320</f>
        <v/>
      </c>
      <c r="AJ316" s="41">
        <f>AI320</f>
        <v/>
      </c>
      <c r="AK316" s="41">
        <f>AJ320</f>
        <v/>
      </c>
      <c r="AL316" s="41">
        <f>AK320</f>
        <v/>
      </c>
      <c r="AM316" s="41">
        <f>AL320</f>
        <v/>
      </c>
      <c r="AN316" s="41">
        <f>AM320</f>
        <v/>
      </c>
      <c r="AO316" s="41">
        <f>AN320</f>
        <v/>
      </c>
      <c r="AP316" s="41">
        <f>AO320</f>
        <v/>
      </c>
      <c r="AQ316" s="41">
        <f>AP320</f>
        <v/>
      </c>
      <c r="AR316" s="41">
        <f>AQ320</f>
        <v/>
      </c>
      <c r="AS316" s="41">
        <f>AR320</f>
        <v/>
      </c>
      <c r="AT316" s="41">
        <f>AS320</f>
        <v/>
      </c>
      <c r="AU316" s="41">
        <f>AT320</f>
        <v/>
      </c>
      <c r="AV316" s="41">
        <f>AU320</f>
        <v/>
      </c>
      <c r="AW316" s="41">
        <f>AV320</f>
        <v/>
      </c>
      <c r="AX316" s="41">
        <f>AW320</f>
        <v/>
      </c>
      <c r="AY316" s="41">
        <f>AX320</f>
        <v/>
      </c>
      <c r="AZ316" s="41">
        <f>AY320</f>
        <v/>
      </c>
      <c r="BA316" s="41">
        <f>AZ320</f>
        <v/>
      </c>
      <c r="BB316" s="41">
        <f>BA320</f>
        <v/>
      </c>
      <c r="BC316" s="41">
        <f>BB320</f>
        <v/>
      </c>
      <c r="BD316" s="41">
        <f>BC320</f>
        <v/>
      </c>
      <c r="BE316" s="41">
        <f>BD320</f>
        <v/>
      </c>
      <c r="BF316" s="41">
        <f>BE320</f>
        <v/>
      </c>
      <c r="BG316" s="41">
        <f>BF320</f>
        <v/>
      </c>
      <c r="BH316" s="41">
        <f>BG320</f>
        <v/>
      </c>
      <c r="BI316" s="41">
        <f>BH320</f>
        <v/>
      </c>
      <c r="BJ316" s="41">
        <f>BI320</f>
        <v/>
      </c>
    </row>
    <row r="317">
      <c r="A317" s="4" t="inlineStr">
        <is>
          <t>Rest of Africa (USD): SME: Starter: new</t>
        </is>
      </c>
      <c r="B317" s="17" t="inlineStr">
        <is>
          <t>workspaces</t>
        </is>
      </c>
      <c r="C317" s="41">
        <f>C155*Assumptions!$B$127</f>
        <v/>
      </c>
      <c r="D317" s="41">
        <f>D155*Assumptions!$B$127</f>
        <v/>
      </c>
      <c r="E317" s="41">
        <f>E155*Assumptions!$B$127</f>
        <v/>
      </c>
      <c r="F317" s="41">
        <f>F155*Assumptions!$B$127</f>
        <v/>
      </c>
      <c r="G317" s="41">
        <f>G155*Assumptions!$B$127</f>
        <v/>
      </c>
      <c r="H317" s="41">
        <f>H155*Assumptions!$B$127</f>
        <v/>
      </c>
      <c r="I317" s="41">
        <f>I155*Assumptions!$B$127</f>
        <v/>
      </c>
      <c r="J317" s="41">
        <f>J155*Assumptions!$B$127</f>
        <v/>
      </c>
      <c r="K317" s="41">
        <f>K155*Assumptions!$B$127</f>
        <v/>
      </c>
      <c r="L317" s="41">
        <f>L155*Assumptions!$B$127</f>
        <v/>
      </c>
      <c r="M317" s="41">
        <f>M155*Assumptions!$B$127</f>
        <v/>
      </c>
      <c r="N317" s="41">
        <f>N155*Assumptions!$B$127</f>
        <v/>
      </c>
      <c r="O317" s="41">
        <f>O155*Assumptions!$B$127</f>
        <v/>
      </c>
      <c r="P317" s="41">
        <f>P155*Assumptions!$B$127</f>
        <v/>
      </c>
      <c r="Q317" s="41">
        <f>Q155*Assumptions!$B$127</f>
        <v/>
      </c>
      <c r="R317" s="41">
        <f>R155*Assumptions!$B$127</f>
        <v/>
      </c>
      <c r="S317" s="41">
        <f>S155*Assumptions!$B$127</f>
        <v/>
      </c>
      <c r="T317" s="41">
        <f>T155*Assumptions!$B$127</f>
        <v/>
      </c>
      <c r="U317" s="41">
        <f>U155*Assumptions!$B$127</f>
        <v/>
      </c>
      <c r="V317" s="41">
        <f>V155*Assumptions!$B$127</f>
        <v/>
      </c>
      <c r="W317" s="41">
        <f>W155*Assumptions!$B$127</f>
        <v/>
      </c>
      <c r="X317" s="41">
        <f>X155*Assumptions!$B$127</f>
        <v/>
      </c>
      <c r="Y317" s="41">
        <f>Y155*Assumptions!$B$127</f>
        <v/>
      </c>
      <c r="Z317" s="41">
        <f>Z155*Assumptions!$B$127</f>
        <v/>
      </c>
      <c r="AA317" s="41">
        <f>AA155*Assumptions!$B$127</f>
        <v/>
      </c>
      <c r="AB317" s="41">
        <f>AB155*Assumptions!$B$127</f>
        <v/>
      </c>
      <c r="AC317" s="41">
        <f>AC155*Assumptions!$B$127</f>
        <v/>
      </c>
      <c r="AD317" s="41">
        <f>AD155*Assumptions!$B$127</f>
        <v/>
      </c>
      <c r="AE317" s="41">
        <f>AE155*Assumptions!$B$127</f>
        <v/>
      </c>
      <c r="AF317" s="41">
        <f>AF155*Assumptions!$B$127</f>
        <v/>
      </c>
      <c r="AG317" s="41">
        <f>AG155*Assumptions!$B$127</f>
        <v/>
      </c>
      <c r="AH317" s="41">
        <f>AH155*Assumptions!$B$127</f>
        <v/>
      </c>
      <c r="AI317" s="41">
        <f>AI155*Assumptions!$B$127</f>
        <v/>
      </c>
      <c r="AJ317" s="41">
        <f>AJ155*Assumptions!$B$127</f>
        <v/>
      </c>
      <c r="AK317" s="41">
        <f>AK155*Assumptions!$B$127</f>
        <v/>
      </c>
      <c r="AL317" s="41">
        <f>AL155*Assumptions!$B$127</f>
        <v/>
      </c>
      <c r="AM317" s="41">
        <f>AM155*Assumptions!$B$127</f>
        <v/>
      </c>
      <c r="AN317" s="41">
        <f>AN155*Assumptions!$B$127</f>
        <v/>
      </c>
      <c r="AO317" s="41">
        <f>AO155*Assumptions!$B$127</f>
        <v/>
      </c>
      <c r="AP317" s="41">
        <f>AP155*Assumptions!$B$127</f>
        <v/>
      </c>
      <c r="AQ317" s="41">
        <f>AQ155*Assumptions!$B$127</f>
        <v/>
      </c>
      <c r="AR317" s="41">
        <f>AR155*Assumptions!$B$127</f>
        <v/>
      </c>
      <c r="AS317" s="41">
        <f>AS155*Assumptions!$B$127</f>
        <v/>
      </c>
      <c r="AT317" s="41">
        <f>AT155*Assumptions!$B$127</f>
        <v/>
      </c>
      <c r="AU317" s="41">
        <f>AU155*Assumptions!$B$127</f>
        <v/>
      </c>
      <c r="AV317" s="41">
        <f>AV155*Assumptions!$B$127</f>
        <v/>
      </c>
      <c r="AW317" s="41">
        <f>AW155*Assumptions!$B$127</f>
        <v/>
      </c>
      <c r="AX317" s="41">
        <f>AX155*Assumptions!$B$127</f>
        <v/>
      </c>
      <c r="AY317" s="41">
        <f>AY155*Assumptions!$B$127</f>
        <v/>
      </c>
      <c r="AZ317" s="41">
        <f>AZ155*Assumptions!$B$127</f>
        <v/>
      </c>
      <c r="BA317" s="41">
        <f>BA155*Assumptions!$B$127</f>
        <v/>
      </c>
      <c r="BB317" s="41">
        <f>BB155*Assumptions!$B$127</f>
        <v/>
      </c>
      <c r="BC317" s="41">
        <f>BC155*Assumptions!$B$127</f>
        <v/>
      </c>
      <c r="BD317" s="41">
        <f>BD155*Assumptions!$B$127</f>
        <v/>
      </c>
      <c r="BE317" s="41">
        <f>BE155*Assumptions!$B$127</f>
        <v/>
      </c>
      <c r="BF317" s="41">
        <f>BF155*Assumptions!$B$127</f>
        <v/>
      </c>
      <c r="BG317" s="41">
        <f>BG155*Assumptions!$B$127</f>
        <v/>
      </c>
      <c r="BH317" s="41">
        <f>BH155*Assumptions!$B$127</f>
        <v/>
      </c>
      <c r="BI317" s="41">
        <f>BI155*Assumptions!$B$127</f>
        <v/>
      </c>
      <c r="BJ317" s="41">
        <f>BJ155*Assumptions!$B$127</f>
        <v/>
      </c>
    </row>
    <row r="318">
      <c r="A318" s="4" t="inlineStr">
        <is>
          <t>Rest of Africa (USD): SME: Starter: churned</t>
        </is>
      </c>
      <c r="B318" s="17" t="inlineStr">
        <is>
          <t>workspaces</t>
        </is>
      </c>
      <c r="C318" s="41">
        <f>C316*Assumptions!$B$140*Assumptions!$B$46*Assumptions!$B$30*Assumptions!$B$94</f>
        <v/>
      </c>
      <c r="D318" s="41">
        <f>D316*Assumptions!$B$140*Assumptions!$B$46*Assumptions!$B$30*Assumptions!$B$94</f>
        <v/>
      </c>
      <c r="E318" s="41">
        <f>E316*Assumptions!$B$140*Assumptions!$B$46*Assumptions!$B$30*Assumptions!$B$94</f>
        <v/>
      </c>
      <c r="F318" s="41">
        <f>F316*Assumptions!$B$140*Assumptions!$B$46*Assumptions!$B$30*Assumptions!$B$94</f>
        <v/>
      </c>
      <c r="G318" s="41">
        <f>G316*Assumptions!$B$140*Assumptions!$B$46*Assumptions!$B$30*Assumptions!$B$94</f>
        <v/>
      </c>
      <c r="H318" s="41">
        <f>H316*Assumptions!$B$140*Assumptions!$B$46*Assumptions!$B$30*Assumptions!$B$94</f>
        <v/>
      </c>
      <c r="I318" s="41">
        <f>I316*Assumptions!$B$140*Assumptions!$B$46*Assumptions!$B$30*Assumptions!$B$94</f>
        <v/>
      </c>
      <c r="J318" s="41">
        <f>J316*Assumptions!$B$140*Assumptions!$B$46*Assumptions!$B$30*Assumptions!$B$94</f>
        <v/>
      </c>
      <c r="K318" s="41">
        <f>K316*Assumptions!$B$140*Assumptions!$B$46*Assumptions!$B$30*Assumptions!$B$94</f>
        <v/>
      </c>
      <c r="L318" s="41">
        <f>L316*Assumptions!$B$140*Assumptions!$B$46*Assumptions!$B$30*Assumptions!$B$94</f>
        <v/>
      </c>
      <c r="M318" s="41">
        <f>M316*Assumptions!$B$140*Assumptions!$B$46*Assumptions!$B$30*Assumptions!$B$94</f>
        <v/>
      </c>
      <c r="N318" s="41">
        <f>N316*Assumptions!$B$140*Assumptions!$B$46*Assumptions!$B$30*Assumptions!$B$94</f>
        <v/>
      </c>
      <c r="O318" s="41">
        <f>O316*Assumptions!$B$140*Assumptions!$B$46*Assumptions!$B$30*Assumptions!$B$94</f>
        <v/>
      </c>
      <c r="P318" s="41">
        <f>P316*Assumptions!$B$140*Assumptions!$B$46*Assumptions!$B$30*Assumptions!$B$94</f>
        <v/>
      </c>
      <c r="Q318" s="41">
        <f>Q316*Assumptions!$B$140*Assumptions!$B$46*Assumptions!$B$30*Assumptions!$B$94</f>
        <v/>
      </c>
      <c r="R318" s="41">
        <f>R316*Assumptions!$B$140*Assumptions!$B$46*Assumptions!$B$30*Assumptions!$B$94</f>
        <v/>
      </c>
      <c r="S318" s="41">
        <f>S316*Assumptions!$B$140*Assumptions!$B$46*Assumptions!$B$30*Assumptions!$B$94</f>
        <v/>
      </c>
      <c r="T318" s="41">
        <f>T316*Assumptions!$B$140*Assumptions!$B$46*Assumptions!$B$30*Assumptions!$B$94</f>
        <v/>
      </c>
      <c r="U318" s="41">
        <f>U316*Assumptions!$B$140*Assumptions!$B$46*Assumptions!$B$30*Assumptions!$B$94</f>
        <v/>
      </c>
      <c r="V318" s="41">
        <f>V316*Assumptions!$B$140*Assumptions!$B$46*Assumptions!$B$30*Assumptions!$B$94</f>
        <v/>
      </c>
      <c r="W318" s="41">
        <f>W316*Assumptions!$B$140*Assumptions!$B$46*Assumptions!$B$30*Assumptions!$B$94</f>
        <v/>
      </c>
      <c r="X318" s="41">
        <f>X316*Assumptions!$B$140*Assumptions!$B$46*Assumptions!$B$30*Assumptions!$B$94</f>
        <v/>
      </c>
      <c r="Y318" s="41">
        <f>Y316*Assumptions!$B$140*Assumptions!$B$46*Assumptions!$B$30*Assumptions!$B$94</f>
        <v/>
      </c>
      <c r="Z318" s="41">
        <f>Z316*Assumptions!$B$140*Assumptions!$B$46*Assumptions!$B$30*Assumptions!$B$94</f>
        <v/>
      </c>
      <c r="AA318" s="41">
        <f>AA316*Assumptions!$B$140*Assumptions!$B$46*Assumptions!$B$30*Assumptions!$B$94</f>
        <v/>
      </c>
      <c r="AB318" s="41">
        <f>AB316*Assumptions!$B$140*Assumptions!$B$46*Assumptions!$B$30*Assumptions!$B$94</f>
        <v/>
      </c>
      <c r="AC318" s="41">
        <f>AC316*Assumptions!$B$140*Assumptions!$B$46*Assumptions!$B$30*Assumptions!$B$94</f>
        <v/>
      </c>
      <c r="AD318" s="41">
        <f>AD316*Assumptions!$B$140*Assumptions!$B$46*Assumptions!$B$30*Assumptions!$B$94</f>
        <v/>
      </c>
      <c r="AE318" s="41">
        <f>AE316*Assumptions!$B$140*Assumptions!$B$46*Assumptions!$B$30*Assumptions!$B$94</f>
        <v/>
      </c>
      <c r="AF318" s="41">
        <f>AF316*Assumptions!$B$140*Assumptions!$B$46*Assumptions!$B$30*Assumptions!$B$94</f>
        <v/>
      </c>
      <c r="AG318" s="41">
        <f>AG316*Assumptions!$B$140*Assumptions!$B$46*Assumptions!$B$30*Assumptions!$B$94</f>
        <v/>
      </c>
      <c r="AH318" s="41">
        <f>AH316*Assumptions!$B$140*Assumptions!$B$46*Assumptions!$B$30*Assumptions!$B$94</f>
        <v/>
      </c>
      <c r="AI318" s="41">
        <f>AI316*Assumptions!$B$140*Assumptions!$B$46*Assumptions!$B$30*Assumptions!$B$94</f>
        <v/>
      </c>
      <c r="AJ318" s="41">
        <f>AJ316*Assumptions!$B$140*Assumptions!$B$46*Assumptions!$B$30*Assumptions!$B$94</f>
        <v/>
      </c>
      <c r="AK318" s="41">
        <f>AK316*Assumptions!$B$140*Assumptions!$B$46*Assumptions!$B$30*Assumptions!$B$94</f>
        <v/>
      </c>
      <c r="AL318" s="41">
        <f>AL316*Assumptions!$B$140*Assumptions!$B$46*Assumptions!$B$30*Assumptions!$B$94</f>
        <v/>
      </c>
      <c r="AM318" s="41">
        <f>AM316*Assumptions!$B$140*Assumptions!$B$46*Assumptions!$B$30*Assumptions!$B$94</f>
        <v/>
      </c>
      <c r="AN318" s="41">
        <f>AN316*Assumptions!$B$140*Assumptions!$B$46*Assumptions!$B$30*Assumptions!$B$94</f>
        <v/>
      </c>
      <c r="AO318" s="41">
        <f>AO316*Assumptions!$B$140*Assumptions!$B$46*Assumptions!$B$30*Assumptions!$B$94</f>
        <v/>
      </c>
      <c r="AP318" s="41">
        <f>AP316*Assumptions!$B$140*Assumptions!$B$46*Assumptions!$B$30*Assumptions!$B$94</f>
        <v/>
      </c>
      <c r="AQ318" s="41">
        <f>AQ316*Assumptions!$B$140*Assumptions!$B$46*Assumptions!$B$30*Assumptions!$B$94</f>
        <v/>
      </c>
      <c r="AR318" s="41">
        <f>AR316*Assumptions!$B$140*Assumptions!$B$46*Assumptions!$B$30*Assumptions!$B$94</f>
        <v/>
      </c>
      <c r="AS318" s="41">
        <f>AS316*Assumptions!$B$140*Assumptions!$B$46*Assumptions!$B$30*Assumptions!$B$94</f>
        <v/>
      </c>
      <c r="AT318" s="41">
        <f>AT316*Assumptions!$B$140*Assumptions!$B$46*Assumptions!$B$30*Assumptions!$B$94</f>
        <v/>
      </c>
      <c r="AU318" s="41">
        <f>AU316*Assumptions!$B$140*Assumptions!$B$46*Assumptions!$B$30*Assumptions!$B$94</f>
        <v/>
      </c>
      <c r="AV318" s="41">
        <f>AV316*Assumptions!$B$140*Assumptions!$B$46*Assumptions!$B$30*Assumptions!$B$94</f>
        <v/>
      </c>
      <c r="AW318" s="41">
        <f>AW316*Assumptions!$B$140*Assumptions!$B$46*Assumptions!$B$30*Assumptions!$B$94</f>
        <v/>
      </c>
      <c r="AX318" s="41">
        <f>AX316*Assumptions!$B$140*Assumptions!$B$46*Assumptions!$B$30*Assumptions!$B$94</f>
        <v/>
      </c>
      <c r="AY318" s="41">
        <f>AY316*Assumptions!$B$140*Assumptions!$B$46*Assumptions!$B$30*Assumptions!$B$94</f>
        <v/>
      </c>
      <c r="AZ318" s="41">
        <f>AZ316*Assumptions!$B$140*Assumptions!$B$46*Assumptions!$B$30*Assumptions!$B$94</f>
        <v/>
      </c>
      <c r="BA318" s="41">
        <f>BA316*Assumptions!$B$140*Assumptions!$B$46*Assumptions!$B$30*Assumptions!$B$94</f>
        <v/>
      </c>
      <c r="BB318" s="41">
        <f>BB316*Assumptions!$B$140*Assumptions!$B$46*Assumptions!$B$30*Assumptions!$B$94</f>
        <v/>
      </c>
      <c r="BC318" s="41">
        <f>BC316*Assumptions!$B$140*Assumptions!$B$46*Assumptions!$B$30*Assumptions!$B$94</f>
        <v/>
      </c>
      <c r="BD318" s="41">
        <f>BD316*Assumptions!$B$140*Assumptions!$B$46*Assumptions!$B$30*Assumptions!$B$94</f>
        <v/>
      </c>
      <c r="BE318" s="41">
        <f>BE316*Assumptions!$B$140*Assumptions!$B$46*Assumptions!$B$30*Assumptions!$B$94</f>
        <v/>
      </c>
      <c r="BF318" s="41">
        <f>BF316*Assumptions!$B$140*Assumptions!$B$46*Assumptions!$B$30*Assumptions!$B$94</f>
        <v/>
      </c>
      <c r="BG318" s="41">
        <f>BG316*Assumptions!$B$140*Assumptions!$B$46*Assumptions!$B$30*Assumptions!$B$94</f>
        <v/>
      </c>
      <c r="BH318" s="41">
        <f>BH316*Assumptions!$B$140*Assumptions!$B$46*Assumptions!$B$30*Assumptions!$B$94</f>
        <v/>
      </c>
      <c r="BI318" s="41">
        <f>BI316*Assumptions!$B$140*Assumptions!$B$46*Assumptions!$B$30*Assumptions!$B$94</f>
        <v/>
      </c>
      <c r="BJ318" s="41">
        <f>BJ316*Assumptions!$B$140*Assumptions!$B$46*Assumptions!$B$30*Assumptions!$B$94</f>
        <v/>
      </c>
    </row>
    <row r="319">
      <c r="A319" s="4" t="inlineStr">
        <is>
          <t>Rest of Africa (USD): SME: Starter: upgraded out</t>
        </is>
      </c>
      <c r="B319" s="17" t="inlineStr">
        <is>
          <t>workspaces</t>
        </is>
      </c>
      <c r="C319" s="41">
        <f>C316*Assumptions!$B$132</f>
        <v/>
      </c>
      <c r="D319" s="41">
        <f>D316*Assumptions!$B$132</f>
        <v/>
      </c>
      <c r="E319" s="41">
        <f>E316*Assumptions!$B$132</f>
        <v/>
      </c>
      <c r="F319" s="41">
        <f>F316*Assumptions!$B$132</f>
        <v/>
      </c>
      <c r="G319" s="41">
        <f>G316*Assumptions!$B$132</f>
        <v/>
      </c>
      <c r="H319" s="41">
        <f>H316*Assumptions!$B$132</f>
        <v/>
      </c>
      <c r="I319" s="41">
        <f>I316*Assumptions!$B$132</f>
        <v/>
      </c>
      <c r="J319" s="41">
        <f>J316*Assumptions!$B$132</f>
        <v/>
      </c>
      <c r="K319" s="41">
        <f>K316*Assumptions!$B$132</f>
        <v/>
      </c>
      <c r="L319" s="41">
        <f>L316*Assumptions!$B$132</f>
        <v/>
      </c>
      <c r="M319" s="41">
        <f>M316*Assumptions!$B$132</f>
        <v/>
      </c>
      <c r="N319" s="41">
        <f>N316*Assumptions!$B$132</f>
        <v/>
      </c>
      <c r="O319" s="41">
        <f>O316*Assumptions!$B$132</f>
        <v/>
      </c>
      <c r="P319" s="41">
        <f>P316*Assumptions!$B$132</f>
        <v/>
      </c>
      <c r="Q319" s="41">
        <f>Q316*Assumptions!$B$132</f>
        <v/>
      </c>
      <c r="R319" s="41">
        <f>R316*Assumptions!$B$132</f>
        <v/>
      </c>
      <c r="S319" s="41">
        <f>S316*Assumptions!$B$132</f>
        <v/>
      </c>
      <c r="T319" s="41">
        <f>T316*Assumptions!$B$132</f>
        <v/>
      </c>
      <c r="U319" s="41">
        <f>U316*Assumptions!$B$132</f>
        <v/>
      </c>
      <c r="V319" s="41">
        <f>V316*Assumptions!$B$132</f>
        <v/>
      </c>
      <c r="W319" s="41">
        <f>W316*Assumptions!$B$132</f>
        <v/>
      </c>
      <c r="X319" s="41">
        <f>X316*Assumptions!$B$132</f>
        <v/>
      </c>
      <c r="Y319" s="41">
        <f>Y316*Assumptions!$B$132</f>
        <v/>
      </c>
      <c r="Z319" s="41">
        <f>Z316*Assumptions!$B$132</f>
        <v/>
      </c>
      <c r="AA319" s="41">
        <f>AA316*Assumptions!$B$132</f>
        <v/>
      </c>
      <c r="AB319" s="41">
        <f>AB316*Assumptions!$B$132</f>
        <v/>
      </c>
      <c r="AC319" s="41">
        <f>AC316*Assumptions!$B$132</f>
        <v/>
      </c>
      <c r="AD319" s="41">
        <f>AD316*Assumptions!$B$132</f>
        <v/>
      </c>
      <c r="AE319" s="41">
        <f>AE316*Assumptions!$B$132</f>
        <v/>
      </c>
      <c r="AF319" s="41">
        <f>AF316*Assumptions!$B$132</f>
        <v/>
      </c>
      <c r="AG319" s="41">
        <f>AG316*Assumptions!$B$132</f>
        <v/>
      </c>
      <c r="AH319" s="41">
        <f>AH316*Assumptions!$B$132</f>
        <v/>
      </c>
      <c r="AI319" s="41">
        <f>AI316*Assumptions!$B$132</f>
        <v/>
      </c>
      <c r="AJ319" s="41">
        <f>AJ316*Assumptions!$B$132</f>
        <v/>
      </c>
      <c r="AK319" s="41">
        <f>AK316*Assumptions!$B$132</f>
        <v/>
      </c>
      <c r="AL319" s="41">
        <f>AL316*Assumptions!$B$132</f>
        <v/>
      </c>
      <c r="AM319" s="41">
        <f>AM316*Assumptions!$B$132</f>
        <v/>
      </c>
      <c r="AN319" s="41">
        <f>AN316*Assumptions!$B$132</f>
        <v/>
      </c>
      <c r="AO319" s="41">
        <f>AO316*Assumptions!$B$132</f>
        <v/>
      </c>
      <c r="AP319" s="41">
        <f>AP316*Assumptions!$B$132</f>
        <v/>
      </c>
      <c r="AQ319" s="41">
        <f>AQ316*Assumptions!$B$132</f>
        <v/>
      </c>
      <c r="AR319" s="41">
        <f>AR316*Assumptions!$B$132</f>
        <v/>
      </c>
      <c r="AS319" s="41">
        <f>AS316*Assumptions!$B$132</f>
        <v/>
      </c>
      <c r="AT319" s="41">
        <f>AT316*Assumptions!$B$132</f>
        <v/>
      </c>
      <c r="AU319" s="41">
        <f>AU316*Assumptions!$B$132</f>
        <v/>
      </c>
      <c r="AV319" s="41">
        <f>AV316*Assumptions!$B$132</f>
        <v/>
      </c>
      <c r="AW319" s="41">
        <f>AW316*Assumptions!$B$132</f>
        <v/>
      </c>
      <c r="AX319" s="41">
        <f>AX316*Assumptions!$B$132</f>
        <v/>
      </c>
      <c r="AY319" s="41">
        <f>AY316*Assumptions!$B$132</f>
        <v/>
      </c>
      <c r="AZ319" s="41">
        <f>AZ316*Assumptions!$B$132</f>
        <v/>
      </c>
      <c r="BA319" s="41">
        <f>BA316*Assumptions!$B$132</f>
        <v/>
      </c>
      <c r="BB319" s="41">
        <f>BB316*Assumptions!$B$132</f>
        <v/>
      </c>
      <c r="BC319" s="41">
        <f>BC316*Assumptions!$B$132</f>
        <v/>
      </c>
      <c r="BD319" s="41">
        <f>BD316*Assumptions!$B$132</f>
        <v/>
      </c>
      <c r="BE319" s="41">
        <f>BE316*Assumptions!$B$132</f>
        <v/>
      </c>
      <c r="BF319" s="41">
        <f>BF316*Assumptions!$B$132</f>
        <v/>
      </c>
      <c r="BG319" s="41">
        <f>BG316*Assumptions!$B$132</f>
        <v/>
      </c>
      <c r="BH319" s="41">
        <f>BH316*Assumptions!$B$132</f>
        <v/>
      </c>
      <c r="BI319" s="41">
        <f>BI316*Assumptions!$B$132</f>
        <v/>
      </c>
      <c r="BJ319" s="41">
        <f>BJ316*Assumptions!$B$132</f>
        <v/>
      </c>
    </row>
    <row r="320">
      <c r="A320" s="3" t="inlineStr">
        <is>
          <t>Rest of Africa (USD): SME: Starter: closing</t>
        </is>
      </c>
      <c r="B320" s="17" t="inlineStr">
        <is>
          <t>workspaces</t>
        </is>
      </c>
      <c r="C320" s="44">
        <f>C316+C317-C318-C319</f>
        <v/>
      </c>
      <c r="D320" s="44">
        <f>D316+D317-D318-D319</f>
        <v/>
      </c>
      <c r="E320" s="44">
        <f>E316+E317-E318-E319</f>
        <v/>
      </c>
      <c r="F320" s="44">
        <f>F316+F317-F318-F319</f>
        <v/>
      </c>
      <c r="G320" s="44">
        <f>G316+G317-G318-G319</f>
        <v/>
      </c>
      <c r="H320" s="44">
        <f>H316+H317-H318-H319</f>
        <v/>
      </c>
      <c r="I320" s="44">
        <f>I316+I317-I318-I319</f>
        <v/>
      </c>
      <c r="J320" s="44">
        <f>J316+J317-J318-J319</f>
        <v/>
      </c>
      <c r="K320" s="44">
        <f>K316+K317-K318-K319</f>
        <v/>
      </c>
      <c r="L320" s="44">
        <f>L316+L317-L318-L319</f>
        <v/>
      </c>
      <c r="M320" s="44">
        <f>M316+M317-M318-M319</f>
        <v/>
      </c>
      <c r="N320" s="44">
        <f>N316+N317-N318-N319</f>
        <v/>
      </c>
      <c r="O320" s="44">
        <f>O316+O317-O318-O319</f>
        <v/>
      </c>
      <c r="P320" s="44">
        <f>P316+P317-P318-P319</f>
        <v/>
      </c>
      <c r="Q320" s="44">
        <f>Q316+Q317-Q318-Q319</f>
        <v/>
      </c>
      <c r="R320" s="44">
        <f>R316+R317-R318-R319</f>
        <v/>
      </c>
      <c r="S320" s="44">
        <f>S316+S317-S318-S319</f>
        <v/>
      </c>
      <c r="T320" s="44">
        <f>T316+T317-T318-T319</f>
        <v/>
      </c>
      <c r="U320" s="44">
        <f>U316+U317-U318-U319</f>
        <v/>
      </c>
      <c r="V320" s="44">
        <f>V316+V317-V318-V319</f>
        <v/>
      </c>
      <c r="W320" s="44">
        <f>W316+W317-W318-W319</f>
        <v/>
      </c>
      <c r="X320" s="44">
        <f>X316+X317-X318-X319</f>
        <v/>
      </c>
      <c r="Y320" s="44">
        <f>Y316+Y317-Y318-Y319</f>
        <v/>
      </c>
      <c r="Z320" s="44">
        <f>Z316+Z317-Z318-Z319</f>
        <v/>
      </c>
      <c r="AA320" s="44">
        <f>AA316+AA317-AA318-AA319</f>
        <v/>
      </c>
      <c r="AB320" s="44">
        <f>AB316+AB317-AB318-AB319</f>
        <v/>
      </c>
      <c r="AC320" s="44">
        <f>AC316+AC317-AC318-AC319</f>
        <v/>
      </c>
      <c r="AD320" s="44">
        <f>AD316+AD317-AD318-AD319</f>
        <v/>
      </c>
      <c r="AE320" s="44">
        <f>AE316+AE317-AE318-AE319</f>
        <v/>
      </c>
      <c r="AF320" s="44">
        <f>AF316+AF317-AF318-AF319</f>
        <v/>
      </c>
      <c r="AG320" s="44">
        <f>AG316+AG317-AG318-AG319</f>
        <v/>
      </c>
      <c r="AH320" s="44">
        <f>AH316+AH317-AH318-AH319</f>
        <v/>
      </c>
      <c r="AI320" s="44">
        <f>AI316+AI317-AI318-AI319</f>
        <v/>
      </c>
      <c r="AJ320" s="44">
        <f>AJ316+AJ317-AJ318-AJ319</f>
        <v/>
      </c>
      <c r="AK320" s="44">
        <f>AK316+AK317-AK318-AK319</f>
        <v/>
      </c>
      <c r="AL320" s="44">
        <f>AL316+AL317-AL318-AL319</f>
        <v/>
      </c>
      <c r="AM320" s="44">
        <f>AM316+AM317-AM318-AM319</f>
        <v/>
      </c>
      <c r="AN320" s="44">
        <f>AN316+AN317-AN318-AN319</f>
        <v/>
      </c>
      <c r="AO320" s="44">
        <f>AO316+AO317-AO318-AO319</f>
        <v/>
      </c>
      <c r="AP320" s="44">
        <f>AP316+AP317-AP318-AP319</f>
        <v/>
      </c>
      <c r="AQ320" s="44">
        <f>AQ316+AQ317-AQ318-AQ319</f>
        <v/>
      </c>
      <c r="AR320" s="44">
        <f>AR316+AR317-AR318-AR319</f>
        <v/>
      </c>
      <c r="AS320" s="44">
        <f>AS316+AS317-AS318-AS319</f>
        <v/>
      </c>
      <c r="AT320" s="44">
        <f>AT316+AT317-AT318-AT319</f>
        <v/>
      </c>
      <c r="AU320" s="44">
        <f>AU316+AU317-AU318-AU319</f>
        <v/>
      </c>
      <c r="AV320" s="44">
        <f>AV316+AV317-AV318-AV319</f>
        <v/>
      </c>
      <c r="AW320" s="44">
        <f>AW316+AW317-AW318-AW319</f>
        <v/>
      </c>
      <c r="AX320" s="44">
        <f>AX316+AX317-AX318-AX319</f>
        <v/>
      </c>
      <c r="AY320" s="44">
        <f>AY316+AY317-AY318-AY319</f>
        <v/>
      </c>
      <c r="AZ320" s="44">
        <f>AZ316+AZ317-AZ318-AZ319</f>
        <v/>
      </c>
      <c r="BA320" s="44">
        <f>BA316+BA317-BA318-BA319</f>
        <v/>
      </c>
      <c r="BB320" s="44">
        <f>BB316+BB317-BB318-BB319</f>
        <v/>
      </c>
      <c r="BC320" s="44">
        <f>BC316+BC317-BC318-BC319</f>
        <v/>
      </c>
      <c r="BD320" s="44">
        <f>BD316+BD317-BD318-BD319</f>
        <v/>
      </c>
      <c r="BE320" s="44">
        <f>BE316+BE317-BE318-BE319</f>
        <v/>
      </c>
      <c r="BF320" s="44">
        <f>BF316+BF317-BF318-BF319</f>
        <v/>
      </c>
      <c r="BG320" s="44">
        <f>BG316+BG317-BG318-BG319</f>
        <v/>
      </c>
      <c r="BH320" s="44">
        <f>BH316+BH317-BH318-BH319</f>
        <v/>
      </c>
      <c r="BI320" s="44">
        <f>BI316+BI317-BI318-BI319</f>
        <v/>
      </c>
      <c r="BJ320" s="44">
        <f>BJ316+BJ317-BJ318-BJ319</f>
        <v/>
      </c>
    </row>
    <row r="321">
      <c r="A321" s="4" t="inlineStr">
        <is>
          <t>Rest of Africa (USD): SME: Growth (direct or upgraded): opening</t>
        </is>
      </c>
      <c r="B321" s="17" t="inlineStr">
        <is>
          <t>workspaces</t>
        </is>
      </c>
      <c r="C321" s="41">
        <f>0</f>
        <v/>
      </c>
      <c r="D321" s="41">
        <f>C325</f>
        <v/>
      </c>
      <c r="E321" s="41">
        <f>D325</f>
        <v/>
      </c>
      <c r="F321" s="41">
        <f>E325</f>
        <v/>
      </c>
      <c r="G321" s="41">
        <f>F325</f>
        <v/>
      </c>
      <c r="H321" s="41">
        <f>G325</f>
        <v/>
      </c>
      <c r="I321" s="41">
        <f>H325</f>
        <v/>
      </c>
      <c r="J321" s="41">
        <f>I325</f>
        <v/>
      </c>
      <c r="K321" s="41">
        <f>J325</f>
        <v/>
      </c>
      <c r="L321" s="41">
        <f>K325</f>
        <v/>
      </c>
      <c r="M321" s="41">
        <f>L325</f>
        <v/>
      </c>
      <c r="N321" s="41">
        <f>M325</f>
        <v/>
      </c>
      <c r="O321" s="41">
        <f>N325</f>
        <v/>
      </c>
      <c r="P321" s="41">
        <f>O325</f>
        <v/>
      </c>
      <c r="Q321" s="41">
        <f>P325</f>
        <v/>
      </c>
      <c r="R321" s="41">
        <f>Q325</f>
        <v/>
      </c>
      <c r="S321" s="41">
        <f>R325</f>
        <v/>
      </c>
      <c r="T321" s="41">
        <f>S325</f>
        <v/>
      </c>
      <c r="U321" s="41">
        <f>T325</f>
        <v/>
      </c>
      <c r="V321" s="41">
        <f>U325</f>
        <v/>
      </c>
      <c r="W321" s="41">
        <f>V325</f>
        <v/>
      </c>
      <c r="X321" s="41">
        <f>W325</f>
        <v/>
      </c>
      <c r="Y321" s="41">
        <f>X325</f>
        <v/>
      </c>
      <c r="Z321" s="41">
        <f>Y325</f>
        <v/>
      </c>
      <c r="AA321" s="41">
        <f>Z325</f>
        <v/>
      </c>
      <c r="AB321" s="41">
        <f>AA325</f>
        <v/>
      </c>
      <c r="AC321" s="41">
        <f>AB325</f>
        <v/>
      </c>
      <c r="AD321" s="41">
        <f>AC325</f>
        <v/>
      </c>
      <c r="AE321" s="41">
        <f>AD325</f>
        <v/>
      </c>
      <c r="AF321" s="41">
        <f>AE325</f>
        <v/>
      </c>
      <c r="AG321" s="41">
        <f>AF325</f>
        <v/>
      </c>
      <c r="AH321" s="41">
        <f>AG325</f>
        <v/>
      </c>
      <c r="AI321" s="41">
        <f>AH325</f>
        <v/>
      </c>
      <c r="AJ321" s="41">
        <f>AI325</f>
        <v/>
      </c>
      <c r="AK321" s="41">
        <f>AJ325</f>
        <v/>
      </c>
      <c r="AL321" s="41">
        <f>AK325</f>
        <v/>
      </c>
      <c r="AM321" s="41">
        <f>AL325</f>
        <v/>
      </c>
      <c r="AN321" s="41">
        <f>AM325</f>
        <v/>
      </c>
      <c r="AO321" s="41">
        <f>AN325</f>
        <v/>
      </c>
      <c r="AP321" s="41">
        <f>AO325</f>
        <v/>
      </c>
      <c r="AQ321" s="41">
        <f>AP325</f>
        <v/>
      </c>
      <c r="AR321" s="41">
        <f>AQ325</f>
        <v/>
      </c>
      <c r="AS321" s="41">
        <f>AR325</f>
        <v/>
      </c>
      <c r="AT321" s="41">
        <f>AS325</f>
        <v/>
      </c>
      <c r="AU321" s="41">
        <f>AT325</f>
        <v/>
      </c>
      <c r="AV321" s="41">
        <f>AU325</f>
        <v/>
      </c>
      <c r="AW321" s="41">
        <f>AV325</f>
        <v/>
      </c>
      <c r="AX321" s="41">
        <f>AW325</f>
        <v/>
      </c>
      <c r="AY321" s="41">
        <f>AX325</f>
        <v/>
      </c>
      <c r="AZ321" s="41">
        <f>AY325</f>
        <v/>
      </c>
      <c r="BA321" s="41">
        <f>AZ325</f>
        <v/>
      </c>
      <c r="BB321" s="41">
        <f>BA325</f>
        <v/>
      </c>
      <c r="BC321" s="41">
        <f>BB325</f>
        <v/>
      </c>
      <c r="BD321" s="41">
        <f>BC325</f>
        <v/>
      </c>
      <c r="BE321" s="41">
        <f>BD325</f>
        <v/>
      </c>
      <c r="BF321" s="41">
        <f>BE325</f>
        <v/>
      </c>
      <c r="BG321" s="41">
        <f>BF325</f>
        <v/>
      </c>
      <c r="BH321" s="41">
        <f>BG325</f>
        <v/>
      </c>
      <c r="BI321" s="41">
        <f>BH325</f>
        <v/>
      </c>
      <c r="BJ321" s="41">
        <f>BI325</f>
        <v/>
      </c>
    </row>
    <row r="322">
      <c r="A322" s="4" t="inlineStr">
        <is>
          <t>Rest of Africa (USD): SME: Growth (direct or upgraded): new</t>
        </is>
      </c>
      <c r="B322" s="17" t="inlineStr">
        <is>
          <t>workspaces</t>
        </is>
      </c>
      <c r="C322" s="41">
        <f>C155*Assumptions!$B$128+C319</f>
        <v/>
      </c>
      <c r="D322" s="41">
        <f>D155*Assumptions!$B$128+D319</f>
        <v/>
      </c>
      <c r="E322" s="41">
        <f>E155*Assumptions!$B$128+E319</f>
        <v/>
      </c>
      <c r="F322" s="41">
        <f>F155*Assumptions!$B$128+F319</f>
        <v/>
      </c>
      <c r="G322" s="41">
        <f>G155*Assumptions!$B$128+G319</f>
        <v/>
      </c>
      <c r="H322" s="41">
        <f>H155*Assumptions!$B$128+H319</f>
        <v/>
      </c>
      <c r="I322" s="41">
        <f>I155*Assumptions!$B$128+I319</f>
        <v/>
      </c>
      <c r="J322" s="41">
        <f>J155*Assumptions!$B$128+J319</f>
        <v/>
      </c>
      <c r="K322" s="41">
        <f>K155*Assumptions!$B$128+K319</f>
        <v/>
      </c>
      <c r="L322" s="41">
        <f>L155*Assumptions!$B$128+L319</f>
        <v/>
      </c>
      <c r="M322" s="41">
        <f>M155*Assumptions!$B$128+M319</f>
        <v/>
      </c>
      <c r="N322" s="41">
        <f>N155*Assumptions!$B$128+N319</f>
        <v/>
      </c>
      <c r="O322" s="41">
        <f>O155*Assumptions!$B$128+O319</f>
        <v/>
      </c>
      <c r="P322" s="41">
        <f>P155*Assumptions!$B$128+P319</f>
        <v/>
      </c>
      <c r="Q322" s="41">
        <f>Q155*Assumptions!$B$128+Q319</f>
        <v/>
      </c>
      <c r="R322" s="41">
        <f>R155*Assumptions!$B$128+R319</f>
        <v/>
      </c>
      <c r="S322" s="41">
        <f>S155*Assumptions!$B$128+S319</f>
        <v/>
      </c>
      <c r="T322" s="41">
        <f>T155*Assumptions!$B$128+T319</f>
        <v/>
      </c>
      <c r="U322" s="41">
        <f>U155*Assumptions!$B$128+U319</f>
        <v/>
      </c>
      <c r="V322" s="41">
        <f>V155*Assumptions!$B$128+V319</f>
        <v/>
      </c>
      <c r="W322" s="41">
        <f>W155*Assumptions!$B$128+W319</f>
        <v/>
      </c>
      <c r="X322" s="41">
        <f>X155*Assumptions!$B$128+X319</f>
        <v/>
      </c>
      <c r="Y322" s="41">
        <f>Y155*Assumptions!$B$128+Y319</f>
        <v/>
      </c>
      <c r="Z322" s="41">
        <f>Z155*Assumptions!$B$128+Z319</f>
        <v/>
      </c>
      <c r="AA322" s="41">
        <f>AA155*Assumptions!$B$128+AA319</f>
        <v/>
      </c>
      <c r="AB322" s="41">
        <f>AB155*Assumptions!$B$128+AB319</f>
        <v/>
      </c>
      <c r="AC322" s="41">
        <f>AC155*Assumptions!$B$128+AC319</f>
        <v/>
      </c>
      <c r="AD322" s="41">
        <f>AD155*Assumptions!$B$128+AD319</f>
        <v/>
      </c>
      <c r="AE322" s="41">
        <f>AE155*Assumptions!$B$128+AE319</f>
        <v/>
      </c>
      <c r="AF322" s="41">
        <f>AF155*Assumptions!$B$128+AF319</f>
        <v/>
      </c>
      <c r="AG322" s="41">
        <f>AG155*Assumptions!$B$128+AG319</f>
        <v/>
      </c>
      <c r="AH322" s="41">
        <f>AH155*Assumptions!$B$128+AH319</f>
        <v/>
      </c>
      <c r="AI322" s="41">
        <f>AI155*Assumptions!$B$128+AI319</f>
        <v/>
      </c>
      <c r="AJ322" s="41">
        <f>AJ155*Assumptions!$B$128+AJ319</f>
        <v/>
      </c>
      <c r="AK322" s="41">
        <f>AK155*Assumptions!$B$128+AK319</f>
        <v/>
      </c>
      <c r="AL322" s="41">
        <f>AL155*Assumptions!$B$128+AL319</f>
        <v/>
      </c>
      <c r="AM322" s="41">
        <f>AM155*Assumptions!$B$128+AM319</f>
        <v/>
      </c>
      <c r="AN322" s="41">
        <f>AN155*Assumptions!$B$128+AN319</f>
        <v/>
      </c>
      <c r="AO322" s="41">
        <f>AO155*Assumptions!$B$128+AO319</f>
        <v/>
      </c>
      <c r="AP322" s="41">
        <f>AP155*Assumptions!$B$128+AP319</f>
        <v/>
      </c>
      <c r="AQ322" s="41">
        <f>AQ155*Assumptions!$B$128+AQ319</f>
        <v/>
      </c>
      <c r="AR322" s="41">
        <f>AR155*Assumptions!$B$128+AR319</f>
        <v/>
      </c>
      <c r="AS322" s="41">
        <f>AS155*Assumptions!$B$128+AS319</f>
        <v/>
      </c>
      <c r="AT322" s="41">
        <f>AT155*Assumptions!$B$128+AT319</f>
        <v/>
      </c>
      <c r="AU322" s="41">
        <f>AU155*Assumptions!$B$128+AU319</f>
        <v/>
      </c>
      <c r="AV322" s="41">
        <f>AV155*Assumptions!$B$128+AV319</f>
        <v/>
      </c>
      <c r="AW322" s="41">
        <f>AW155*Assumptions!$B$128+AW319</f>
        <v/>
      </c>
      <c r="AX322" s="41">
        <f>AX155*Assumptions!$B$128+AX319</f>
        <v/>
      </c>
      <c r="AY322" s="41">
        <f>AY155*Assumptions!$B$128+AY319</f>
        <v/>
      </c>
      <c r="AZ322" s="41">
        <f>AZ155*Assumptions!$B$128+AZ319</f>
        <v/>
      </c>
      <c r="BA322" s="41">
        <f>BA155*Assumptions!$B$128+BA319</f>
        <v/>
      </c>
      <c r="BB322" s="41">
        <f>BB155*Assumptions!$B$128+BB319</f>
        <v/>
      </c>
      <c r="BC322" s="41">
        <f>BC155*Assumptions!$B$128+BC319</f>
        <v/>
      </c>
      <c r="BD322" s="41">
        <f>BD155*Assumptions!$B$128+BD319</f>
        <v/>
      </c>
      <c r="BE322" s="41">
        <f>BE155*Assumptions!$B$128+BE319</f>
        <v/>
      </c>
      <c r="BF322" s="41">
        <f>BF155*Assumptions!$B$128+BF319</f>
        <v/>
      </c>
      <c r="BG322" s="41">
        <f>BG155*Assumptions!$B$128+BG319</f>
        <v/>
      </c>
      <c r="BH322" s="41">
        <f>BH155*Assumptions!$B$128+BH319</f>
        <v/>
      </c>
      <c r="BI322" s="41">
        <f>BI155*Assumptions!$B$128+BI319</f>
        <v/>
      </c>
      <c r="BJ322" s="41">
        <f>BJ155*Assumptions!$B$128+BJ319</f>
        <v/>
      </c>
    </row>
    <row r="323">
      <c r="A323" s="4" t="inlineStr">
        <is>
          <t>Rest of Africa (USD): SME: Growth (direct or upgraded): churned</t>
        </is>
      </c>
      <c r="B323" s="17" t="inlineStr">
        <is>
          <t>workspaces</t>
        </is>
      </c>
      <c r="C323" s="41">
        <f>C321*Assumptions!$B$141*Assumptions!$B$46*Assumptions!$B$30*Assumptions!$B$94</f>
        <v/>
      </c>
      <c r="D323" s="41">
        <f>D321*Assumptions!$B$141*Assumptions!$B$46*Assumptions!$B$30*Assumptions!$B$94</f>
        <v/>
      </c>
      <c r="E323" s="41">
        <f>E321*Assumptions!$B$141*Assumptions!$B$46*Assumptions!$B$30*Assumptions!$B$94</f>
        <v/>
      </c>
      <c r="F323" s="41">
        <f>F321*Assumptions!$B$141*Assumptions!$B$46*Assumptions!$B$30*Assumptions!$B$94</f>
        <v/>
      </c>
      <c r="G323" s="41">
        <f>G321*Assumptions!$B$141*Assumptions!$B$46*Assumptions!$B$30*Assumptions!$B$94</f>
        <v/>
      </c>
      <c r="H323" s="41">
        <f>H321*Assumptions!$B$141*Assumptions!$B$46*Assumptions!$B$30*Assumptions!$B$94</f>
        <v/>
      </c>
      <c r="I323" s="41">
        <f>I321*Assumptions!$B$141*Assumptions!$B$46*Assumptions!$B$30*Assumptions!$B$94</f>
        <v/>
      </c>
      <c r="J323" s="41">
        <f>J321*Assumptions!$B$141*Assumptions!$B$46*Assumptions!$B$30*Assumptions!$B$94</f>
        <v/>
      </c>
      <c r="K323" s="41">
        <f>K321*Assumptions!$B$141*Assumptions!$B$46*Assumptions!$B$30*Assumptions!$B$94</f>
        <v/>
      </c>
      <c r="L323" s="41">
        <f>L321*Assumptions!$B$141*Assumptions!$B$46*Assumptions!$B$30*Assumptions!$B$94</f>
        <v/>
      </c>
      <c r="M323" s="41">
        <f>M321*Assumptions!$B$141*Assumptions!$B$46*Assumptions!$B$30*Assumptions!$B$94</f>
        <v/>
      </c>
      <c r="N323" s="41">
        <f>N321*Assumptions!$B$141*Assumptions!$B$46*Assumptions!$B$30*Assumptions!$B$94</f>
        <v/>
      </c>
      <c r="O323" s="41">
        <f>O321*Assumptions!$B$141*Assumptions!$B$46*Assumptions!$B$30*Assumptions!$B$94</f>
        <v/>
      </c>
      <c r="P323" s="41">
        <f>P321*Assumptions!$B$141*Assumptions!$B$46*Assumptions!$B$30*Assumptions!$B$94</f>
        <v/>
      </c>
      <c r="Q323" s="41">
        <f>Q321*Assumptions!$B$141*Assumptions!$B$46*Assumptions!$B$30*Assumptions!$B$94</f>
        <v/>
      </c>
      <c r="R323" s="41">
        <f>R321*Assumptions!$B$141*Assumptions!$B$46*Assumptions!$B$30*Assumptions!$B$94</f>
        <v/>
      </c>
      <c r="S323" s="41">
        <f>S321*Assumptions!$B$141*Assumptions!$B$46*Assumptions!$B$30*Assumptions!$B$94</f>
        <v/>
      </c>
      <c r="T323" s="41">
        <f>T321*Assumptions!$B$141*Assumptions!$B$46*Assumptions!$B$30*Assumptions!$B$94</f>
        <v/>
      </c>
      <c r="U323" s="41">
        <f>U321*Assumptions!$B$141*Assumptions!$B$46*Assumptions!$B$30*Assumptions!$B$94</f>
        <v/>
      </c>
      <c r="V323" s="41">
        <f>V321*Assumptions!$B$141*Assumptions!$B$46*Assumptions!$B$30*Assumptions!$B$94</f>
        <v/>
      </c>
      <c r="W323" s="41">
        <f>W321*Assumptions!$B$141*Assumptions!$B$46*Assumptions!$B$30*Assumptions!$B$94</f>
        <v/>
      </c>
      <c r="X323" s="41">
        <f>X321*Assumptions!$B$141*Assumptions!$B$46*Assumptions!$B$30*Assumptions!$B$94</f>
        <v/>
      </c>
      <c r="Y323" s="41">
        <f>Y321*Assumptions!$B$141*Assumptions!$B$46*Assumptions!$B$30*Assumptions!$B$94</f>
        <v/>
      </c>
      <c r="Z323" s="41">
        <f>Z321*Assumptions!$B$141*Assumptions!$B$46*Assumptions!$B$30*Assumptions!$B$94</f>
        <v/>
      </c>
      <c r="AA323" s="41">
        <f>AA321*Assumptions!$B$141*Assumptions!$B$46*Assumptions!$B$30*Assumptions!$B$94</f>
        <v/>
      </c>
      <c r="AB323" s="41">
        <f>AB321*Assumptions!$B$141*Assumptions!$B$46*Assumptions!$B$30*Assumptions!$B$94</f>
        <v/>
      </c>
      <c r="AC323" s="41">
        <f>AC321*Assumptions!$B$141*Assumptions!$B$46*Assumptions!$B$30*Assumptions!$B$94</f>
        <v/>
      </c>
      <c r="AD323" s="41">
        <f>AD321*Assumptions!$B$141*Assumptions!$B$46*Assumptions!$B$30*Assumptions!$B$94</f>
        <v/>
      </c>
      <c r="AE323" s="41">
        <f>AE321*Assumptions!$B$141*Assumptions!$B$46*Assumptions!$B$30*Assumptions!$B$94</f>
        <v/>
      </c>
      <c r="AF323" s="41">
        <f>AF321*Assumptions!$B$141*Assumptions!$B$46*Assumptions!$B$30*Assumptions!$B$94</f>
        <v/>
      </c>
      <c r="AG323" s="41">
        <f>AG321*Assumptions!$B$141*Assumptions!$B$46*Assumptions!$B$30*Assumptions!$B$94</f>
        <v/>
      </c>
      <c r="AH323" s="41">
        <f>AH321*Assumptions!$B$141*Assumptions!$B$46*Assumptions!$B$30*Assumptions!$B$94</f>
        <v/>
      </c>
      <c r="AI323" s="41">
        <f>AI321*Assumptions!$B$141*Assumptions!$B$46*Assumptions!$B$30*Assumptions!$B$94</f>
        <v/>
      </c>
      <c r="AJ323" s="41">
        <f>AJ321*Assumptions!$B$141*Assumptions!$B$46*Assumptions!$B$30*Assumptions!$B$94</f>
        <v/>
      </c>
      <c r="AK323" s="41">
        <f>AK321*Assumptions!$B$141*Assumptions!$B$46*Assumptions!$B$30*Assumptions!$B$94</f>
        <v/>
      </c>
      <c r="AL323" s="41">
        <f>AL321*Assumptions!$B$141*Assumptions!$B$46*Assumptions!$B$30*Assumptions!$B$94</f>
        <v/>
      </c>
      <c r="AM323" s="41">
        <f>AM321*Assumptions!$B$141*Assumptions!$B$46*Assumptions!$B$30*Assumptions!$B$94</f>
        <v/>
      </c>
      <c r="AN323" s="41">
        <f>AN321*Assumptions!$B$141*Assumptions!$B$46*Assumptions!$B$30*Assumptions!$B$94</f>
        <v/>
      </c>
      <c r="AO323" s="41">
        <f>AO321*Assumptions!$B$141*Assumptions!$B$46*Assumptions!$B$30*Assumptions!$B$94</f>
        <v/>
      </c>
      <c r="AP323" s="41">
        <f>AP321*Assumptions!$B$141*Assumptions!$B$46*Assumptions!$B$30*Assumptions!$B$94</f>
        <v/>
      </c>
      <c r="AQ323" s="41">
        <f>AQ321*Assumptions!$B$141*Assumptions!$B$46*Assumptions!$B$30*Assumptions!$B$94</f>
        <v/>
      </c>
      <c r="AR323" s="41">
        <f>AR321*Assumptions!$B$141*Assumptions!$B$46*Assumptions!$B$30*Assumptions!$B$94</f>
        <v/>
      </c>
      <c r="AS323" s="41">
        <f>AS321*Assumptions!$B$141*Assumptions!$B$46*Assumptions!$B$30*Assumptions!$B$94</f>
        <v/>
      </c>
      <c r="AT323" s="41">
        <f>AT321*Assumptions!$B$141*Assumptions!$B$46*Assumptions!$B$30*Assumptions!$B$94</f>
        <v/>
      </c>
      <c r="AU323" s="41">
        <f>AU321*Assumptions!$B$141*Assumptions!$B$46*Assumptions!$B$30*Assumptions!$B$94</f>
        <v/>
      </c>
      <c r="AV323" s="41">
        <f>AV321*Assumptions!$B$141*Assumptions!$B$46*Assumptions!$B$30*Assumptions!$B$94</f>
        <v/>
      </c>
      <c r="AW323" s="41">
        <f>AW321*Assumptions!$B$141*Assumptions!$B$46*Assumptions!$B$30*Assumptions!$B$94</f>
        <v/>
      </c>
      <c r="AX323" s="41">
        <f>AX321*Assumptions!$B$141*Assumptions!$B$46*Assumptions!$B$30*Assumptions!$B$94</f>
        <v/>
      </c>
      <c r="AY323" s="41">
        <f>AY321*Assumptions!$B$141*Assumptions!$B$46*Assumptions!$B$30*Assumptions!$B$94</f>
        <v/>
      </c>
      <c r="AZ323" s="41">
        <f>AZ321*Assumptions!$B$141*Assumptions!$B$46*Assumptions!$B$30*Assumptions!$B$94</f>
        <v/>
      </c>
      <c r="BA323" s="41">
        <f>BA321*Assumptions!$B$141*Assumptions!$B$46*Assumptions!$B$30*Assumptions!$B$94</f>
        <v/>
      </c>
      <c r="BB323" s="41">
        <f>BB321*Assumptions!$B$141*Assumptions!$B$46*Assumptions!$B$30*Assumptions!$B$94</f>
        <v/>
      </c>
      <c r="BC323" s="41">
        <f>BC321*Assumptions!$B$141*Assumptions!$B$46*Assumptions!$B$30*Assumptions!$B$94</f>
        <v/>
      </c>
      <c r="BD323" s="41">
        <f>BD321*Assumptions!$B$141*Assumptions!$B$46*Assumptions!$B$30*Assumptions!$B$94</f>
        <v/>
      </c>
      <c r="BE323" s="41">
        <f>BE321*Assumptions!$B$141*Assumptions!$B$46*Assumptions!$B$30*Assumptions!$B$94</f>
        <v/>
      </c>
      <c r="BF323" s="41">
        <f>BF321*Assumptions!$B$141*Assumptions!$B$46*Assumptions!$B$30*Assumptions!$B$94</f>
        <v/>
      </c>
      <c r="BG323" s="41">
        <f>BG321*Assumptions!$B$141*Assumptions!$B$46*Assumptions!$B$30*Assumptions!$B$94</f>
        <v/>
      </c>
      <c r="BH323" s="41">
        <f>BH321*Assumptions!$B$141*Assumptions!$B$46*Assumptions!$B$30*Assumptions!$B$94</f>
        <v/>
      </c>
      <c r="BI323" s="41">
        <f>BI321*Assumptions!$B$141*Assumptions!$B$46*Assumptions!$B$30*Assumptions!$B$94</f>
        <v/>
      </c>
      <c r="BJ323" s="41">
        <f>BJ321*Assumptions!$B$141*Assumptions!$B$46*Assumptions!$B$30*Assumptions!$B$94</f>
        <v/>
      </c>
    </row>
    <row r="324">
      <c r="A324" s="4" t="inlineStr">
        <is>
          <t>Rest of Africa (USD): SME: Growth (direct or upgraded): upgraded out</t>
        </is>
      </c>
      <c r="B324" s="17" t="inlineStr">
        <is>
          <t>workspaces</t>
        </is>
      </c>
      <c r="C324" s="41">
        <f>C321*Assumptions!$B$133</f>
        <v/>
      </c>
      <c r="D324" s="41">
        <f>D321*Assumptions!$B$133</f>
        <v/>
      </c>
      <c r="E324" s="41">
        <f>E321*Assumptions!$B$133</f>
        <v/>
      </c>
      <c r="F324" s="41">
        <f>F321*Assumptions!$B$133</f>
        <v/>
      </c>
      <c r="G324" s="41">
        <f>G321*Assumptions!$B$133</f>
        <v/>
      </c>
      <c r="H324" s="41">
        <f>H321*Assumptions!$B$133</f>
        <v/>
      </c>
      <c r="I324" s="41">
        <f>I321*Assumptions!$B$133</f>
        <v/>
      </c>
      <c r="J324" s="41">
        <f>J321*Assumptions!$B$133</f>
        <v/>
      </c>
      <c r="K324" s="41">
        <f>K321*Assumptions!$B$133</f>
        <v/>
      </c>
      <c r="L324" s="41">
        <f>L321*Assumptions!$B$133</f>
        <v/>
      </c>
      <c r="M324" s="41">
        <f>M321*Assumptions!$B$133</f>
        <v/>
      </c>
      <c r="N324" s="41">
        <f>N321*Assumptions!$B$133</f>
        <v/>
      </c>
      <c r="O324" s="41">
        <f>O321*Assumptions!$B$133</f>
        <v/>
      </c>
      <c r="P324" s="41">
        <f>P321*Assumptions!$B$133</f>
        <v/>
      </c>
      <c r="Q324" s="41">
        <f>Q321*Assumptions!$B$133</f>
        <v/>
      </c>
      <c r="R324" s="41">
        <f>R321*Assumptions!$B$133</f>
        <v/>
      </c>
      <c r="S324" s="41">
        <f>S321*Assumptions!$B$133</f>
        <v/>
      </c>
      <c r="T324" s="41">
        <f>T321*Assumptions!$B$133</f>
        <v/>
      </c>
      <c r="U324" s="41">
        <f>U321*Assumptions!$B$133</f>
        <v/>
      </c>
      <c r="V324" s="41">
        <f>V321*Assumptions!$B$133</f>
        <v/>
      </c>
      <c r="W324" s="41">
        <f>W321*Assumptions!$B$133</f>
        <v/>
      </c>
      <c r="X324" s="41">
        <f>X321*Assumptions!$B$133</f>
        <v/>
      </c>
      <c r="Y324" s="41">
        <f>Y321*Assumptions!$B$133</f>
        <v/>
      </c>
      <c r="Z324" s="41">
        <f>Z321*Assumptions!$B$133</f>
        <v/>
      </c>
      <c r="AA324" s="41">
        <f>AA321*Assumptions!$B$133</f>
        <v/>
      </c>
      <c r="AB324" s="41">
        <f>AB321*Assumptions!$B$133</f>
        <v/>
      </c>
      <c r="AC324" s="41">
        <f>AC321*Assumptions!$B$133</f>
        <v/>
      </c>
      <c r="AD324" s="41">
        <f>AD321*Assumptions!$B$133</f>
        <v/>
      </c>
      <c r="AE324" s="41">
        <f>AE321*Assumptions!$B$133</f>
        <v/>
      </c>
      <c r="AF324" s="41">
        <f>AF321*Assumptions!$B$133</f>
        <v/>
      </c>
      <c r="AG324" s="41">
        <f>AG321*Assumptions!$B$133</f>
        <v/>
      </c>
      <c r="AH324" s="41">
        <f>AH321*Assumptions!$B$133</f>
        <v/>
      </c>
      <c r="AI324" s="41">
        <f>AI321*Assumptions!$B$133</f>
        <v/>
      </c>
      <c r="AJ324" s="41">
        <f>AJ321*Assumptions!$B$133</f>
        <v/>
      </c>
      <c r="AK324" s="41">
        <f>AK321*Assumptions!$B$133</f>
        <v/>
      </c>
      <c r="AL324" s="41">
        <f>AL321*Assumptions!$B$133</f>
        <v/>
      </c>
      <c r="AM324" s="41">
        <f>AM321*Assumptions!$B$133</f>
        <v/>
      </c>
      <c r="AN324" s="41">
        <f>AN321*Assumptions!$B$133</f>
        <v/>
      </c>
      <c r="AO324" s="41">
        <f>AO321*Assumptions!$B$133</f>
        <v/>
      </c>
      <c r="AP324" s="41">
        <f>AP321*Assumptions!$B$133</f>
        <v/>
      </c>
      <c r="AQ324" s="41">
        <f>AQ321*Assumptions!$B$133</f>
        <v/>
      </c>
      <c r="AR324" s="41">
        <f>AR321*Assumptions!$B$133</f>
        <v/>
      </c>
      <c r="AS324" s="41">
        <f>AS321*Assumptions!$B$133</f>
        <v/>
      </c>
      <c r="AT324" s="41">
        <f>AT321*Assumptions!$B$133</f>
        <v/>
      </c>
      <c r="AU324" s="41">
        <f>AU321*Assumptions!$B$133</f>
        <v/>
      </c>
      <c r="AV324" s="41">
        <f>AV321*Assumptions!$B$133</f>
        <v/>
      </c>
      <c r="AW324" s="41">
        <f>AW321*Assumptions!$B$133</f>
        <v/>
      </c>
      <c r="AX324" s="41">
        <f>AX321*Assumptions!$B$133</f>
        <v/>
      </c>
      <c r="AY324" s="41">
        <f>AY321*Assumptions!$B$133</f>
        <v/>
      </c>
      <c r="AZ324" s="41">
        <f>AZ321*Assumptions!$B$133</f>
        <v/>
      </c>
      <c r="BA324" s="41">
        <f>BA321*Assumptions!$B$133</f>
        <v/>
      </c>
      <c r="BB324" s="41">
        <f>BB321*Assumptions!$B$133</f>
        <v/>
      </c>
      <c r="BC324" s="41">
        <f>BC321*Assumptions!$B$133</f>
        <v/>
      </c>
      <c r="BD324" s="41">
        <f>BD321*Assumptions!$B$133</f>
        <v/>
      </c>
      <c r="BE324" s="41">
        <f>BE321*Assumptions!$B$133</f>
        <v/>
      </c>
      <c r="BF324" s="41">
        <f>BF321*Assumptions!$B$133</f>
        <v/>
      </c>
      <c r="BG324" s="41">
        <f>BG321*Assumptions!$B$133</f>
        <v/>
      </c>
      <c r="BH324" s="41">
        <f>BH321*Assumptions!$B$133</f>
        <v/>
      </c>
      <c r="BI324" s="41">
        <f>BI321*Assumptions!$B$133</f>
        <v/>
      </c>
      <c r="BJ324" s="41">
        <f>BJ321*Assumptions!$B$133</f>
        <v/>
      </c>
    </row>
    <row r="325">
      <c r="A325" s="3" t="inlineStr">
        <is>
          <t>Rest of Africa (USD): SME: Growth (direct or upgraded): closing</t>
        </is>
      </c>
      <c r="B325" s="17" t="inlineStr">
        <is>
          <t>workspaces</t>
        </is>
      </c>
      <c r="C325" s="44">
        <f>C321+C322-C323-C324</f>
        <v/>
      </c>
      <c r="D325" s="44">
        <f>D321+D322-D323-D324</f>
        <v/>
      </c>
      <c r="E325" s="44">
        <f>E321+E322-E323-E324</f>
        <v/>
      </c>
      <c r="F325" s="44">
        <f>F321+F322-F323-F324</f>
        <v/>
      </c>
      <c r="G325" s="44">
        <f>G321+G322-G323-G324</f>
        <v/>
      </c>
      <c r="H325" s="44">
        <f>H321+H322-H323-H324</f>
        <v/>
      </c>
      <c r="I325" s="44">
        <f>I321+I322-I323-I324</f>
        <v/>
      </c>
      <c r="J325" s="44">
        <f>J321+J322-J323-J324</f>
        <v/>
      </c>
      <c r="K325" s="44">
        <f>K321+K322-K323-K324</f>
        <v/>
      </c>
      <c r="L325" s="44">
        <f>L321+L322-L323-L324</f>
        <v/>
      </c>
      <c r="M325" s="44">
        <f>M321+M322-M323-M324</f>
        <v/>
      </c>
      <c r="N325" s="44">
        <f>N321+N322-N323-N324</f>
        <v/>
      </c>
      <c r="O325" s="44">
        <f>O321+O322-O323-O324</f>
        <v/>
      </c>
      <c r="P325" s="44">
        <f>P321+P322-P323-P324</f>
        <v/>
      </c>
      <c r="Q325" s="44">
        <f>Q321+Q322-Q323-Q324</f>
        <v/>
      </c>
      <c r="R325" s="44">
        <f>R321+R322-R323-R324</f>
        <v/>
      </c>
      <c r="S325" s="44">
        <f>S321+S322-S323-S324</f>
        <v/>
      </c>
      <c r="T325" s="44">
        <f>T321+T322-T323-T324</f>
        <v/>
      </c>
      <c r="U325" s="44">
        <f>U321+U322-U323-U324</f>
        <v/>
      </c>
      <c r="V325" s="44">
        <f>V321+V322-V323-V324</f>
        <v/>
      </c>
      <c r="W325" s="44">
        <f>W321+W322-W323-W324</f>
        <v/>
      </c>
      <c r="X325" s="44">
        <f>X321+X322-X323-X324</f>
        <v/>
      </c>
      <c r="Y325" s="44">
        <f>Y321+Y322-Y323-Y324</f>
        <v/>
      </c>
      <c r="Z325" s="44">
        <f>Z321+Z322-Z323-Z324</f>
        <v/>
      </c>
      <c r="AA325" s="44">
        <f>AA321+AA322-AA323-AA324</f>
        <v/>
      </c>
      <c r="AB325" s="44">
        <f>AB321+AB322-AB323-AB324</f>
        <v/>
      </c>
      <c r="AC325" s="44">
        <f>AC321+AC322-AC323-AC324</f>
        <v/>
      </c>
      <c r="AD325" s="44">
        <f>AD321+AD322-AD323-AD324</f>
        <v/>
      </c>
      <c r="AE325" s="44">
        <f>AE321+AE322-AE323-AE324</f>
        <v/>
      </c>
      <c r="AF325" s="44">
        <f>AF321+AF322-AF323-AF324</f>
        <v/>
      </c>
      <c r="AG325" s="44">
        <f>AG321+AG322-AG323-AG324</f>
        <v/>
      </c>
      <c r="AH325" s="44">
        <f>AH321+AH322-AH323-AH324</f>
        <v/>
      </c>
      <c r="AI325" s="44">
        <f>AI321+AI322-AI323-AI324</f>
        <v/>
      </c>
      <c r="AJ325" s="44">
        <f>AJ321+AJ322-AJ323-AJ324</f>
        <v/>
      </c>
      <c r="AK325" s="44">
        <f>AK321+AK322-AK323-AK324</f>
        <v/>
      </c>
      <c r="AL325" s="44">
        <f>AL321+AL322-AL323-AL324</f>
        <v/>
      </c>
      <c r="AM325" s="44">
        <f>AM321+AM322-AM323-AM324</f>
        <v/>
      </c>
      <c r="AN325" s="44">
        <f>AN321+AN322-AN323-AN324</f>
        <v/>
      </c>
      <c r="AO325" s="44">
        <f>AO321+AO322-AO323-AO324</f>
        <v/>
      </c>
      <c r="AP325" s="44">
        <f>AP321+AP322-AP323-AP324</f>
        <v/>
      </c>
      <c r="AQ325" s="44">
        <f>AQ321+AQ322-AQ323-AQ324</f>
        <v/>
      </c>
      <c r="AR325" s="44">
        <f>AR321+AR322-AR323-AR324</f>
        <v/>
      </c>
      <c r="AS325" s="44">
        <f>AS321+AS322-AS323-AS324</f>
        <v/>
      </c>
      <c r="AT325" s="44">
        <f>AT321+AT322-AT323-AT324</f>
        <v/>
      </c>
      <c r="AU325" s="44">
        <f>AU321+AU322-AU323-AU324</f>
        <v/>
      </c>
      <c r="AV325" s="44">
        <f>AV321+AV322-AV323-AV324</f>
        <v/>
      </c>
      <c r="AW325" s="44">
        <f>AW321+AW322-AW323-AW324</f>
        <v/>
      </c>
      <c r="AX325" s="44">
        <f>AX321+AX322-AX323-AX324</f>
        <v/>
      </c>
      <c r="AY325" s="44">
        <f>AY321+AY322-AY323-AY324</f>
        <v/>
      </c>
      <c r="AZ325" s="44">
        <f>AZ321+AZ322-AZ323-AZ324</f>
        <v/>
      </c>
      <c r="BA325" s="44">
        <f>BA321+BA322-BA323-BA324</f>
        <v/>
      </c>
      <c r="BB325" s="44">
        <f>BB321+BB322-BB323-BB324</f>
        <v/>
      </c>
      <c r="BC325" s="44">
        <f>BC321+BC322-BC323-BC324</f>
        <v/>
      </c>
      <c r="BD325" s="44">
        <f>BD321+BD322-BD323-BD324</f>
        <v/>
      </c>
      <c r="BE325" s="44">
        <f>BE321+BE322-BE323-BE324</f>
        <v/>
      </c>
      <c r="BF325" s="44">
        <f>BF321+BF322-BF323-BF324</f>
        <v/>
      </c>
      <c r="BG325" s="44">
        <f>BG321+BG322-BG323-BG324</f>
        <v/>
      </c>
      <c r="BH325" s="44">
        <f>BH321+BH322-BH323-BH324</f>
        <v/>
      </c>
      <c r="BI325" s="44">
        <f>BI321+BI322-BI323-BI324</f>
        <v/>
      </c>
      <c r="BJ325" s="44">
        <f>BJ321+BJ322-BJ323-BJ324</f>
        <v/>
      </c>
    </row>
    <row r="326">
      <c r="A326" s="4" t="inlineStr">
        <is>
          <t>Rest of Africa (USD): SME: Scale (direct or upgraded): opening</t>
        </is>
      </c>
      <c r="B326" s="17" t="inlineStr">
        <is>
          <t>workspaces</t>
        </is>
      </c>
      <c r="C326" s="41">
        <f>0</f>
        <v/>
      </c>
      <c r="D326" s="41">
        <f>C329</f>
        <v/>
      </c>
      <c r="E326" s="41">
        <f>D329</f>
        <v/>
      </c>
      <c r="F326" s="41">
        <f>E329</f>
        <v/>
      </c>
      <c r="G326" s="41">
        <f>F329</f>
        <v/>
      </c>
      <c r="H326" s="41">
        <f>G329</f>
        <v/>
      </c>
      <c r="I326" s="41">
        <f>H329</f>
        <v/>
      </c>
      <c r="J326" s="41">
        <f>I329</f>
        <v/>
      </c>
      <c r="K326" s="41">
        <f>J329</f>
        <v/>
      </c>
      <c r="L326" s="41">
        <f>K329</f>
        <v/>
      </c>
      <c r="M326" s="41">
        <f>L329</f>
        <v/>
      </c>
      <c r="N326" s="41">
        <f>M329</f>
        <v/>
      </c>
      <c r="O326" s="41">
        <f>N329</f>
        <v/>
      </c>
      <c r="P326" s="41">
        <f>O329</f>
        <v/>
      </c>
      <c r="Q326" s="41">
        <f>P329</f>
        <v/>
      </c>
      <c r="R326" s="41">
        <f>Q329</f>
        <v/>
      </c>
      <c r="S326" s="41">
        <f>R329</f>
        <v/>
      </c>
      <c r="T326" s="41">
        <f>S329</f>
        <v/>
      </c>
      <c r="U326" s="41">
        <f>T329</f>
        <v/>
      </c>
      <c r="V326" s="41">
        <f>U329</f>
        <v/>
      </c>
      <c r="W326" s="41">
        <f>V329</f>
        <v/>
      </c>
      <c r="X326" s="41">
        <f>W329</f>
        <v/>
      </c>
      <c r="Y326" s="41">
        <f>X329</f>
        <v/>
      </c>
      <c r="Z326" s="41">
        <f>Y329</f>
        <v/>
      </c>
      <c r="AA326" s="41">
        <f>Z329</f>
        <v/>
      </c>
      <c r="AB326" s="41">
        <f>AA329</f>
        <v/>
      </c>
      <c r="AC326" s="41">
        <f>AB329</f>
        <v/>
      </c>
      <c r="AD326" s="41">
        <f>AC329</f>
        <v/>
      </c>
      <c r="AE326" s="41">
        <f>AD329</f>
        <v/>
      </c>
      <c r="AF326" s="41">
        <f>AE329</f>
        <v/>
      </c>
      <c r="AG326" s="41">
        <f>AF329</f>
        <v/>
      </c>
      <c r="AH326" s="41">
        <f>AG329</f>
        <v/>
      </c>
      <c r="AI326" s="41">
        <f>AH329</f>
        <v/>
      </c>
      <c r="AJ326" s="41">
        <f>AI329</f>
        <v/>
      </c>
      <c r="AK326" s="41">
        <f>AJ329</f>
        <v/>
      </c>
      <c r="AL326" s="41">
        <f>AK329</f>
        <v/>
      </c>
      <c r="AM326" s="41">
        <f>AL329</f>
        <v/>
      </c>
      <c r="AN326" s="41">
        <f>AM329</f>
        <v/>
      </c>
      <c r="AO326" s="41">
        <f>AN329</f>
        <v/>
      </c>
      <c r="AP326" s="41">
        <f>AO329</f>
        <v/>
      </c>
      <c r="AQ326" s="41">
        <f>AP329</f>
        <v/>
      </c>
      <c r="AR326" s="41">
        <f>AQ329</f>
        <v/>
      </c>
      <c r="AS326" s="41">
        <f>AR329</f>
        <v/>
      </c>
      <c r="AT326" s="41">
        <f>AS329</f>
        <v/>
      </c>
      <c r="AU326" s="41">
        <f>AT329</f>
        <v/>
      </c>
      <c r="AV326" s="41">
        <f>AU329</f>
        <v/>
      </c>
      <c r="AW326" s="41">
        <f>AV329</f>
        <v/>
      </c>
      <c r="AX326" s="41">
        <f>AW329</f>
        <v/>
      </c>
      <c r="AY326" s="41">
        <f>AX329</f>
        <v/>
      </c>
      <c r="AZ326" s="41">
        <f>AY329</f>
        <v/>
      </c>
      <c r="BA326" s="41">
        <f>AZ329</f>
        <v/>
      </c>
      <c r="BB326" s="41">
        <f>BA329</f>
        <v/>
      </c>
      <c r="BC326" s="41">
        <f>BB329</f>
        <v/>
      </c>
      <c r="BD326" s="41">
        <f>BC329</f>
        <v/>
      </c>
      <c r="BE326" s="41">
        <f>BD329</f>
        <v/>
      </c>
      <c r="BF326" s="41">
        <f>BE329</f>
        <v/>
      </c>
      <c r="BG326" s="41">
        <f>BF329</f>
        <v/>
      </c>
      <c r="BH326" s="41">
        <f>BG329</f>
        <v/>
      </c>
      <c r="BI326" s="41">
        <f>BH329</f>
        <v/>
      </c>
      <c r="BJ326" s="41">
        <f>BI329</f>
        <v/>
      </c>
    </row>
    <row r="327">
      <c r="A327" s="4" t="inlineStr">
        <is>
          <t>Rest of Africa (USD): SME: Scale (direct or upgraded): new</t>
        </is>
      </c>
      <c r="B327" s="17" t="inlineStr">
        <is>
          <t>workspaces</t>
        </is>
      </c>
      <c r="C327" s="41">
        <f>C155*Assumptions!$B$129+C324</f>
        <v/>
      </c>
      <c r="D327" s="41">
        <f>D155*Assumptions!$B$129+D324</f>
        <v/>
      </c>
      <c r="E327" s="41">
        <f>E155*Assumptions!$B$129+E324</f>
        <v/>
      </c>
      <c r="F327" s="41">
        <f>F155*Assumptions!$B$129+F324</f>
        <v/>
      </c>
      <c r="G327" s="41">
        <f>G155*Assumptions!$B$129+G324</f>
        <v/>
      </c>
      <c r="H327" s="41">
        <f>H155*Assumptions!$B$129+H324</f>
        <v/>
      </c>
      <c r="I327" s="41">
        <f>I155*Assumptions!$B$129+I324</f>
        <v/>
      </c>
      <c r="J327" s="41">
        <f>J155*Assumptions!$B$129+J324</f>
        <v/>
      </c>
      <c r="K327" s="41">
        <f>K155*Assumptions!$B$129+K324</f>
        <v/>
      </c>
      <c r="L327" s="41">
        <f>L155*Assumptions!$B$129+L324</f>
        <v/>
      </c>
      <c r="M327" s="41">
        <f>M155*Assumptions!$B$129+M324</f>
        <v/>
      </c>
      <c r="N327" s="41">
        <f>N155*Assumptions!$B$129+N324</f>
        <v/>
      </c>
      <c r="O327" s="41">
        <f>O155*Assumptions!$B$129+O324</f>
        <v/>
      </c>
      <c r="P327" s="41">
        <f>P155*Assumptions!$B$129+P324</f>
        <v/>
      </c>
      <c r="Q327" s="41">
        <f>Q155*Assumptions!$B$129+Q324</f>
        <v/>
      </c>
      <c r="R327" s="41">
        <f>R155*Assumptions!$B$129+R324</f>
        <v/>
      </c>
      <c r="S327" s="41">
        <f>S155*Assumptions!$B$129+S324</f>
        <v/>
      </c>
      <c r="T327" s="41">
        <f>T155*Assumptions!$B$129+T324</f>
        <v/>
      </c>
      <c r="U327" s="41">
        <f>U155*Assumptions!$B$129+U324</f>
        <v/>
      </c>
      <c r="V327" s="41">
        <f>V155*Assumptions!$B$129+V324</f>
        <v/>
      </c>
      <c r="W327" s="41">
        <f>W155*Assumptions!$B$129+W324</f>
        <v/>
      </c>
      <c r="X327" s="41">
        <f>X155*Assumptions!$B$129+X324</f>
        <v/>
      </c>
      <c r="Y327" s="41">
        <f>Y155*Assumptions!$B$129+Y324</f>
        <v/>
      </c>
      <c r="Z327" s="41">
        <f>Z155*Assumptions!$B$129+Z324</f>
        <v/>
      </c>
      <c r="AA327" s="41">
        <f>AA155*Assumptions!$B$129+AA324</f>
        <v/>
      </c>
      <c r="AB327" s="41">
        <f>AB155*Assumptions!$B$129+AB324</f>
        <v/>
      </c>
      <c r="AC327" s="41">
        <f>AC155*Assumptions!$B$129+AC324</f>
        <v/>
      </c>
      <c r="AD327" s="41">
        <f>AD155*Assumptions!$B$129+AD324</f>
        <v/>
      </c>
      <c r="AE327" s="41">
        <f>AE155*Assumptions!$B$129+AE324</f>
        <v/>
      </c>
      <c r="AF327" s="41">
        <f>AF155*Assumptions!$B$129+AF324</f>
        <v/>
      </c>
      <c r="AG327" s="41">
        <f>AG155*Assumptions!$B$129+AG324</f>
        <v/>
      </c>
      <c r="AH327" s="41">
        <f>AH155*Assumptions!$B$129+AH324</f>
        <v/>
      </c>
      <c r="AI327" s="41">
        <f>AI155*Assumptions!$B$129+AI324</f>
        <v/>
      </c>
      <c r="AJ327" s="41">
        <f>AJ155*Assumptions!$B$129+AJ324</f>
        <v/>
      </c>
      <c r="AK327" s="41">
        <f>AK155*Assumptions!$B$129+AK324</f>
        <v/>
      </c>
      <c r="AL327" s="41">
        <f>AL155*Assumptions!$B$129+AL324</f>
        <v/>
      </c>
      <c r="AM327" s="41">
        <f>AM155*Assumptions!$B$129+AM324</f>
        <v/>
      </c>
      <c r="AN327" s="41">
        <f>AN155*Assumptions!$B$129+AN324</f>
        <v/>
      </c>
      <c r="AO327" s="41">
        <f>AO155*Assumptions!$B$129+AO324</f>
        <v/>
      </c>
      <c r="AP327" s="41">
        <f>AP155*Assumptions!$B$129+AP324</f>
        <v/>
      </c>
      <c r="AQ327" s="41">
        <f>AQ155*Assumptions!$B$129+AQ324</f>
        <v/>
      </c>
      <c r="AR327" s="41">
        <f>AR155*Assumptions!$B$129+AR324</f>
        <v/>
      </c>
      <c r="AS327" s="41">
        <f>AS155*Assumptions!$B$129+AS324</f>
        <v/>
      </c>
      <c r="AT327" s="41">
        <f>AT155*Assumptions!$B$129+AT324</f>
        <v/>
      </c>
      <c r="AU327" s="41">
        <f>AU155*Assumptions!$B$129+AU324</f>
        <v/>
      </c>
      <c r="AV327" s="41">
        <f>AV155*Assumptions!$B$129+AV324</f>
        <v/>
      </c>
      <c r="AW327" s="41">
        <f>AW155*Assumptions!$B$129+AW324</f>
        <v/>
      </c>
      <c r="AX327" s="41">
        <f>AX155*Assumptions!$B$129+AX324</f>
        <v/>
      </c>
      <c r="AY327" s="41">
        <f>AY155*Assumptions!$B$129+AY324</f>
        <v/>
      </c>
      <c r="AZ327" s="41">
        <f>AZ155*Assumptions!$B$129+AZ324</f>
        <v/>
      </c>
      <c r="BA327" s="41">
        <f>BA155*Assumptions!$B$129+BA324</f>
        <v/>
      </c>
      <c r="BB327" s="41">
        <f>BB155*Assumptions!$B$129+BB324</f>
        <v/>
      </c>
      <c r="BC327" s="41">
        <f>BC155*Assumptions!$B$129+BC324</f>
        <v/>
      </c>
      <c r="BD327" s="41">
        <f>BD155*Assumptions!$B$129+BD324</f>
        <v/>
      </c>
      <c r="BE327" s="41">
        <f>BE155*Assumptions!$B$129+BE324</f>
        <v/>
      </c>
      <c r="BF327" s="41">
        <f>BF155*Assumptions!$B$129+BF324</f>
        <v/>
      </c>
      <c r="BG327" s="41">
        <f>BG155*Assumptions!$B$129+BG324</f>
        <v/>
      </c>
      <c r="BH327" s="41">
        <f>BH155*Assumptions!$B$129+BH324</f>
        <v/>
      </c>
      <c r="BI327" s="41">
        <f>BI155*Assumptions!$B$129+BI324</f>
        <v/>
      </c>
      <c r="BJ327" s="41">
        <f>BJ155*Assumptions!$B$129+BJ324</f>
        <v/>
      </c>
    </row>
    <row r="328">
      <c r="A328" s="4" t="inlineStr">
        <is>
          <t>Rest of Africa (USD): SME: Scale (direct or upgraded): churned</t>
        </is>
      </c>
      <c r="B328" s="17" t="inlineStr">
        <is>
          <t>workspaces</t>
        </is>
      </c>
      <c r="C328" s="41">
        <f>C326*Assumptions!$B$142*Assumptions!$B$46*Assumptions!$B$30*Assumptions!$B$94</f>
        <v/>
      </c>
      <c r="D328" s="41">
        <f>D326*Assumptions!$B$142*Assumptions!$B$46*Assumptions!$B$30*Assumptions!$B$94</f>
        <v/>
      </c>
      <c r="E328" s="41">
        <f>E326*Assumptions!$B$142*Assumptions!$B$46*Assumptions!$B$30*Assumptions!$B$94</f>
        <v/>
      </c>
      <c r="F328" s="41">
        <f>F326*Assumptions!$B$142*Assumptions!$B$46*Assumptions!$B$30*Assumptions!$B$94</f>
        <v/>
      </c>
      <c r="G328" s="41">
        <f>G326*Assumptions!$B$142*Assumptions!$B$46*Assumptions!$B$30*Assumptions!$B$94</f>
        <v/>
      </c>
      <c r="H328" s="41">
        <f>H326*Assumptions!$B$142*Assumptions!$B$46*Assumptions!$B$30*Assumptions!$B$94</f>
        <v/>
      </c>
      <c r="I328" s="41">
        <f>I326*Assumptions!$B$142*Assumptions!$B$46*Assumptions!$B$30*Assumptions!$B$94</f>
        <v/>
      </c>
      <c r="J328" s="41">
        <f>J326*Assumptions!$B$142*Assumptions!$B$46*Assumptions!$B$30*Assumptions!$B$94</f>
        <v/>
      </c>
      <c r="K328" s="41">
        <f>K326*Assumptions!$B$142*Assumptions!$B$46*Assumptions!$B$30*Assumptions!$B$94</f>
        <v/>
      </c>
      <c r="L328" s="41">
        <f>L326*Assumptions!$B$142*Assumptions!$B$46*Assumptions!$B$30*Assumptions!$B$94</f>
        <v/>
      </c>
      <c r="M328" s="41">
        <f>M326*Assumptions!$B$142*Assumptions!$B$46*Assumptions!$B$30*Assumptions!$B$94</f>
        <v/>
      </c>
      <c r="N328" s="41">
        <f>N326*Assumptions!$B$142*Assumptions!$B$46*Assumptions!$B$30*Assumptions!$B$94</f>
        <v/>
      </c>
      <c r="O328" s="41">
        <f>O326*Assumptions!$B$142*Assumptions!$B$46*Assumptions!$B$30*Assumptions!$B$94</f>
        <v/>
      </c>
      <c r="P328" s="41">
        <f>P326*Assumptions!$B$142*Assumptions!$B$46*Assumptions!$B$30*Assumptions!$B$94</f>
        <v/>
      </c>
      <c r="Q328" s="41">
        <f>Q326*Assumptions!$B$142*Assumptions!$B$46*Assumptions!$B$30*Assumptions!$B$94</f>
        <v/>
      </c>
      <c r="R328" s="41">
        <f>R326*Assumptions!$B$142*Assumptions!$B$46*Assumptions!$B$30*Assumptions!$B$94</f>
        <v/>
      </c>
      <c r="S328" s="41">
        <f>S326*Assumptions!$B$142*Assumptions!$B$46*Assumptions!$B$30*Assumptions!$B$94</f>
        <v/>
      </c>
      <c r="T328" s="41">
        <f>T326*Assumptions!$B$142*Assumptions!$B$46*Assumptions!$B$30*Assumptions!$B$94</f>
        <v/>
      </c>
      <c r="U328" s="41">
        <f>U326*Assumptions!$B$142*Assumptions!$B$46*Assumptions!$B$30*Assumptions!$B$94</f>
        <v/>
      </c>
      <c r="V328" s="41">
        <f>V326*Assumptions!$B$142*Assumptions!$B$46*Assumptions!$B$30*Assumptions!$B$94</f>
        <v/>
      </c>
      <c r="W328" s="41">
        <f>W326*Assumptions!$B$142*Assumptions!$B$46*Assumptions!$B$30*Assumptions!$B$94</f>
        <v/>
      </c>
      <c r="X328" s="41">
        <f>X326*Assumptions!$B$142*Assumptions!$B$46*Assumptions!$B$30*Assumptions!$B$94</f>
        <v/>
      </c>
      <c r="Y328" s="41">
        <f>Y326*Assumptions!$B$142*Assumptions!$B$46*Assumptions!$B$30*Assumptions!$B$94</f>
        <v/>
      </c>
      <c r="Z328" s="41">
        <f>Z326*Assumptions!$B$142*Assumptions!$B$46*Assumptions!$B$30*Assumptions!$B$94</f>
        <v/>
      </c>
      <c r="AA328" s="41">
        <f>AA326*Assumptions!$B$142*Assumptions!$B$46*Assumptions!$B$30*Assumptions!$B$94</f>
        <v/>
      </c>
      <c r="AB328" s="41">
        <f>AB326*Assumptions!$B$142*Assumptions!$B$46*Assumptions!$B$30*Assumptions!$B$94</f>
        <v/>
      </c>
      <c r="AC328" s="41">
        <f>AC326*Assumptions!$B$142*Assumptions!$B$46*Assumptions!$B$30*Assumptions!$B$94</f>
        <v/>
      </c>
      <c r="AD328" s="41">
        <f>AD326*Assumptions!$B$142*Assumptions!$B$46*Assumptions!$B$30*Assumptions!$B$94</f>
        <v/>
      </c>
      <c r="AE328" s="41">
        <f>AE326*Assumptions!$B$142*Assumptions!$B$46*Assumptions!$B$30*Assumptions!$B$94</f>
        <v/>
      </c>
      <c r="AF328" s="41">
        <f>AF326*Assumptions!$B$142*Assumptions!$B$46*Assumptions!$B$30*Assumptions!$B$94</f>
        <v/>
      </c>
      <c r="AG328" s="41">
        <f>AG326*Assumptions!$B$142*Assumptions!$B$46*Assumptions!$B$30*Assumptions!$B$94</f>
        <v/>
      </c>
      <c r="AH328" s="41">
        <f>AH326*Assumptions!$B$142*Assumptions!$B$46*Assumptions!$B$30*Assumptions!$B$94</f>
        <v/>
      </c>
      <c r="AI328" s="41">
        <f>AI326*Assumptions!$B$142*Assumptions!$B$46*Assumptions!$B$30*Assumptions!$B$94</f>
        <v/>
      </c>
      <c r="AJ328" s="41">
        <f>AJ326*Assumptions!$B$142*Assumptions!$B$46*Assumptions!$B$30*Assumptions!$B$94</f>
        <v/>
      </c>
      <c r="AK328" s="41">
        <f>AK326*Assumptions!$B$142*Assumptions!$B$46*Assumptions!$B$30*Assumptions!$B$94</f>
        <v/>
      </c>
      <c r="AL328" s="41">
        <f>AL326*Assumptions!$B$142*Assumptions!$B$46*Assumptions!$B$30*Assumptions!$B$94</f>
        <v/>
      </c>
      <c r="AM328" s="41">
        <f>AM326*Assumptions!$B$142*Assumptions!$B$46*Assumptions!$B$30*Assumptions!$B$94</f>
        <v/>
      </c>
      <c r="AN328" s="41">
        <f>AN326*Assumptions!$B$142*Assumptions!$B$46*Assumptions!$B$30*Assumptions!$B$94</f>
        <v/>
      </c>
      <c r="AO328" s="41">
        <f>AO326*Assumptions!$B$142*Assumptions!$B$46*Assumptions!$B$30*Assumptions!$B$94</f>
        <v/>
      </c>
      <c r="AP328" s="41">
        <f>AP326*Assumptions!$B$142*Assumptions!$B$46*Assumptions!$B$30*Assumptions!$B$94</f>
        <v/>
      </c>
      <c r="AQ328" s="41">
        <f>AQ326*Assumptions!$B$142*Assumptions!$B$46*Assumptions!$B$30*Assumptions!$B$94</f>
        <v/>
      </c>
      <c r="AR328" s="41">
        <f>AR326*Assumptions!$B$142*Assumptions!$B$46*Assumptions!$B$30*Assumptions!$B$94</f>
        <v/>
      </c>
      <c r="AS328" s="41">
        <f>AS326*Assumptions!$B$142*Assumptions!$B$46*Assumptions!$B$30*Assumptions!$B$94</f>
        <v/>
      </c>
      <c r="AT328" s="41">
        <f>AT326*Assumptions!$B$142*Assumptions!$B$46*Assumptions!$B$30*Assumptions!$B$94</f>
        <v/>
      </c>
      <c r="AU328" s="41">
        <f>AU326*Assumptions!$B$142*Assumptions!$B$46*Assumptions!$B$30*Assumptions!$B$94</f>
        <v/>
      </c>
      <c r="AV328" s="41">
        <f>AV326*Assumptions!$B$142*Assumptions!$B$46*Assumptions!$B$30*Assumptions!$B$94</f>
        <v/>
      </c>
      <c r="AW328" s="41">
        <f>AW326*Assumptions!$B$142*Assumptions!$B$46*Assumptions!$B$30*Assumptions!$B$94</f>
        <v/>
      </c>
      <c r="AX328" s="41">
        <f>AX326*Assumptions!$B$142*Assumptions!$B$46*Assumptions!$B$30*Assumptions!$B$94</f>
        <v/>
      </c>
      <c r="AY328" s="41">
        <f>AY326*Assumptions!$B$142*Assumptions!$B$46*Assumptions!$B$30*Assumptions!$B$94</f>
        <v/>
      </c>
      <c r="AZ328" s="41">
        <f>AZ326*Assumptions!$B$142*Assumptions!$B$46*Assumptions!$B$30*Assumptions!$B$94</f>
        <v/>
      </c>
      <c r="BA328" s="41">
        <f>BA326*Assumptions!$B$142*Assumptions!$B$46*Assumptions!$B$30*Assumptions!$B$94</f>
        <v/>
      </c>
      <c r="BB328" s="41">
        <f>BB326*Assumptions!$B$142*Assumptions!$B$46*Assumptions!$B$30*Assumptions!$B$94</f>
        <v/>
      </c>
      <c r="BC328" s="41">
        <f>BC326*Assumptions!$B$142*Assumptions!$B$46*Assumptions!$B$30*Assumptions!$B$94</f>
        <v/>
      </c>
      <c r="BD328" s="41">
        <f>BD326*Assumptions!$B$142*Assumptions!$B$46*Assumptions!$B$30*Assumptions!$B$94</f>
        <v/>
      </c>
      <c r="BE328" s="41">
        <f>BE326*Assumptions!$B$142*Assumptions!$B$46*Assumptions!$B$30*Assumptions!$B$94</f>
        <v/>
      </c>
      <c r="BF328" s="41">
        <f>BF326*Assumptions!$B$142*Assumptions!$B$46*Assumptions!$B$30*Assumptions!$B$94</f>
        <v/>
      </c>
      <c r="BG328" s="41">
        <f>BG326*Assumptions!$B$142*Assumptions!$B$46*Assumptions!$B$30*Assumptions!$B$94</f>
        <v/>
      </c>
      <c r="BH328" s="41">
        <f>BH326*Assumptions!$B$142*Assumptions!$B$46*Assumptions!$B$30*Assumptions!$B$94</f>
        <v/>
      </c>
      <c r="BI328" s="41">
        <f>BI326*Assumptions!$B$142*Assumptions!$B$46*Assumptions!$B$30*Assumptions!$B$94</f>
        <v/>
      </c>
      <c r="BJ328" s="41">
        <f>BJ326*Assumptions!$B$142*Assumptions!$B$46*Assumptions!$B$30*Assumptions!$B$94</f>
        <v/>
      </c>
    </row>
    <row r="329">
      <c r="A329" s="3" t="inlineStr">
        <is>
          <t>Rest of Africa (USD): SME: Scale (direct or upgraded): closing</t>
        </is>
      </c>
      <c r="B329" s="17" t="inlineStr">
        <is>
          <t>workspaces</t>
        </is>
      </c>
      <c r="C329" s="44">
        <f>C326+C327-C328</f>
        <v/>
      </c>
      <c r="D329" s="44">
        <f>D326+D327-D328</f>
        <v/>
      </c>
      <c r="E329" s="44">
        <f>E326+E327-E328</f>
        <v/>
      </c>
      <c r="F329" s="44">
        <f>F326+F327-F328</f>
        <v/>
      </c>
      <c r="G329" s="44">
        <f>G326+G327-G328</f>
        <v/>
      </c>
      <c r="H329" s="44">
        <f>H326+H327-H328</f>
        <v/>
      </c>
      <c r="I329" s="44">
        <f>I326+I327-I328</f>
        <v/>
      </c>
      <c r="J329" s="44">
        <f>J326+J327-J328</f>
        <v/>
      </c>
      <c r="K329" s="44">
        <f>K326+K327-K328</f>
        <v/>
      </c>
      <c r="L329" s="44">
        <f>L326+L327-L328</f>
        <v/>
      </c>
      <c r="M329" s="44">
        <f>M326+M327-M328</f>
        <v/>
      </c>
      <c r="N329" s="44">
        <f>N326+N327-N328</f>
        <v/>
      </c>
      <c r="O329" s="44">
        <f>O326+O327-O328</f>
        <v/>
      </c>
      <c r="P329" s="44">
        <f>P326+P327-P328</f>
        <v/>
      </c>
      <c r="Q329" s="44">
        <f>Q326+Q327-Q328</f>
        <v/>
      </c>
      <c r="R329" s="44">
        <f>R326+R327-R328</f>
        <v/>
      </c>
      <c r="S329" s="44">
        <f>S326+S327-S328</f>
        <v/>
      </c>
      <c r="T329" s="44">
        <f>T326+T327-T328</f>
        <v/>
      </c>
      <c r="U329" s="44">
        <f>U326+U327-U328</f>
        <v/>
      </c>
      <c r="V329" s="44">
        <f>V326+V327-V328</f>
        <v/>
      </c>
      <c r="W329" s="44">
        <f>W326+W327-W328</f>
        <v/>
      </c>
      <c r="X329" s="44">
        <f>X326+X327-X328</f>
        <v/>
      </c>
      <c r="Y329" s="44">
        <f>Y326+Y327-Y328</f>
        <v/>
      </c>
      <c r="Z329" s="44">
        <f>Z326+Z327-Z328</f>
        <v/>
      </c>
      <c r="AA329" s="44">
        <f>AA326+AA327-AA328</f>
        <v/>
      </c>
      <c r="AB329" s="44">
        <f>AB326+AB327-AB328</f>
        <v/>
      </c>
      <c r="AC329" s="44">
        <f>AC326+AC327-AC328</f>
        <v/>
      </c>
      <c r="AD329" s="44">
        <f>AD326+AD327-AD328</f>
        <v/>
      </c>
      <c r="AE329" s="44">
        <f>AE326+AE327-AE328</f>
        <v/>
      </c>
      <c r="AF329" s="44">
        <f>AF326+AF327-AF328</f>
        <v/>
      </c>
      <c r="AG329" s="44">
        <f>AG326+AG327-AG328</f>
        <v/>
      </c>
      <c r="AH329" s="44">
        <f>AH326+AH327-AH328</f>
        <v/>
      </c>
      <c r="AI329" s="44">
        <f>AI326+AI327-AI328</f>
        <v/>
      </c>
      <c r="AJ329" s="44">
        <f>AJ326+AJ327-AJ328</f>
        <v/>
      </c>
      <c r="AK329" s="44">
        <f>AK326+AK327-AK328</f>
        <v/>
      </c>
      <c r="AL329" s="44">
        <f>AL326+AL327-AL328</f>
        <v/>
      </c>
      <c r="AM329" s="44">
        <f>AM326+AM327-AM328</f>
        <v/>
      </c>
      <c r="AN329" s="44">
        <f>AN326+AN327-AN328</f>
        <v/>
      </c>
      <c r="AO329" s="44">
        <f>AO326+AO327-AO328</f>
        <v/>
      </c>
      <c r="AP329" s="44">
        <f>AP326+AP327-AP328</f>
        <v/>
      </c>
      <c r="AQ329" s="44">
        <f>AQ326+AQ327-AQ328</f>
        <v/>
      </c>
      <c r="AR329" s="44">
        <f>AR326+AR327-AR328</f>
        <v/>
      </c>
      <c r="AS329" s="44">
        <f>AS326+AS327-AS328</f>
        <v/>
      </c>
      <c r="AT329" s="44">
        <f>AT326+AT327-AT328</f>
        <v/>
      </c>
      <c r="AU329" s="44">
        <f>AU326+AU327-AU328</f>
        <v/>
      </c>
      <c r="AV329" s="44">
        <f>AV326+AV327-AV328</f>
        <v/>
      </c>
      <c r="AW329" s="44">
        <f>AW326+AW327-AW328</f>
        <v/>
      </c>
      <c r="AX329" s="44">
        <f>AX326+AX327-AX328</f>
        <v/>
      </c>
      <c r="AY329" s="44">
        <f>AY326+AY327-AY328</f>
        <v/>
      </c>
      <c r="AZ329" s="44">
        <f>AZ326+AZ327-AZ328</f>
        <v/>
      </c>
      <c r="BA329" s="44">
        <f>BA326+BA327-BA328</f>
        <v/>
      </c>
      <c r="BB329" s="44">
        <f>BB326+BB327-BB328</f>
        <v/>
      </c>
      <c r="BC329" s="44">
        <f>BC326+BC327-BC328</f>
        <v/>
      </c>
      <c r="BD329" s="44">
        <f>BD326+BD327-BD328</f>
        <v/>
      </c>
      <c r="BE329" s="44">
        <f>BE326+BE327-BE328</f>
        <v/>
      </c>
      <c r="BF329" s="44">
        <f>BF326+BF327-BF328</f>
        <v/>
      </c>
      <c r="BG329" s="44">
        <f>BG326+BG327-BG328</f>
        <v/>
      </c>
      <c r="BH329" s="44">
        <f>BH326+BH327-BH328</f>
        <v/>
      </c>
      <c r="BI329" s="44">
        <f>BI326+BI327-BI328</f>
        <v/>
      </c>
      <c r="BJ329" s="44">
        <f>BJ326+BJ327-BJ328</f>
        <v/>
      </c>
    </row>
    <row r="330">
      <c r="A330" s="4" t="inlineStr">
        <is>
          <t>Botswana &amp; Namibia: Solo: Nano: opening</t>
        </is>
      </c>
      <c r="B330" s="17" t="inlineStr">
        <is>
          <t>workspaces</t>
        </is>
      </c>
      <c r="C330" s="41">
        <f>0</f>
        <v/>
      </c>
      <c r="D330" s="41">
        <f>C334</f>
        <v/>
      </c>
      <c r="E330" s="41">
        <f>D334</f>
        <v/>
      </c>
      <c r="F330" s="41">
        <f>E334</f>
        <v/>
      </c>
      <c r="G330" s="41">
        <f>F334</f>
        <v/>
      </c>
      <c r="H330" s="41">
        <f>G334</f>
        <v/>
      </c>
      <c r="I330" s="41">
        <f>H334</f>
        <v/>
      </c>
      <c r="J330" s="41">
        <f>I334</f>
        <v/>
      </c>
      <c r="K330" s="41">
        <f>J334</f>
        <v/>
      </c>
      <c r="L330" s="41">
        <f>K334</f>
        <v/>
      </c>
      <c r="M330" s="41">
        <f>L334</f>
        <v/>
      </c>
      <c r="N330" s="41">
        <f>M334</f>
        <v/>
      </c>
      <c r="O330" s="41">
        <f>N334</f>
        <v/>
      </c>
      <c r="P330" s="41">
        <f>O334</f>
        <v/>
      </c>
      <c r="Q330" s="41">
        <f>P334</f>
        <v/>
      </c>
      <c r="R330" s="41">
        <f>Q334</f>
        <v/>
      </c>
      <c r="S330" s="41">
        <f>R334</f>
        <v/>
      </c>
      <c r="T330" s="41">
        <f>S334</f>
        <v/>
      </c>
      <c r="U330" s="41">
        <f>T334</f>
        <v/>
      </c>
      <c r="V330" s="41">
        <f>U334</f>
        <v/>
      </c>
      <c r="W330" s="41">
        <f>V334</f>
        <v/>
      </c>
      <c r="X330" s="41">
        <f>W334</f>
        <v/>
      </c>
      <c r="Y330" s="41">
        <f>X334</f>
        <v/>
      </c>
      <c r="Z330" s="41">
        <f>Y334</f>
        <v/>
      </c>
      <c r="AA330" s="41">
        <f>Z334</f>
        <v/>
      </c>
      <c r="AB330" s="41">
        <f>AA334</f>
        <v/>
      </c>
      <c r="AC330" s="41">
        <f>AB334</f>
        <v/>
      </c>
      <c r="AD330" s="41">
        <f>AC334</f>
        <v/>
      </c>
      <c r="AE330" s="41">
        <f>AD334</f>
        <v/>
      </c>
      <c r="AF330" s="41">
        <f>AE334</f>
        <v/>
      </c>
      <c r="AG330" s="41">
        <f>AF334</f>
        <v/>
      </c>
      <c r="AH330" s="41">
        <f>AG334</f>
        <v/>
      </c>
      <c r="AI330" s="41">
        <f>AH334</f>
        <v/>
      </c>
      <c r="AJ330" s="41">
        <f>AI334</f>
        <v/>
      </c>
      <c r="AK330" s="41">
        <f>AJ334</f>
        <v/>
      </c>
      <c r="AL330" s="41">
        <f>AK334</f>
        <v/>
      </c>
      <c r="AM330" s="41">
        <f>AL334</f>
        <v/>
      </c>
      <c r="AN330" s="41">
        <f>AM334</f>
        <v/>
      </c>
      <c r="AO330" s="41">
        <f>AN334</f>
        <v/>
      </c>
      <c r="AP330" s="41">
        <f>AO334</f>
        <v/>
      </c>
      <c r="AQ330" s="41">
        <f>AP334</f>
        <v/>
      </c>
      <c r="AR330" s="41">
        <f>AQ334</f>
        <v/>
      </c>
      <c r="AS330" s="41">
        <f>AR334</f>
        <v/>
      </c>
      <c r="AT330" s="41">
        <f>AS334</f>
        <v/>
      </c>
      <c r="AU330" s="41">
        <f>AT334</f>
        <v/>
      </c>
      <c r="AV330" s="41">
        <f>AU334</f>
        <v/>
      </c>
      <c r="AW330" s="41">
        <f>AV334</f>
        <v/>
      </c>
      <c r="AX330" s="41">
        <f>AW334</f>
        <v/>
      </c>
      <c r="AY330" s="41">
        <f>AX334</f>
        <v/>
      </c>
      <c r="AZ330" s="41">
        <f>AY334</f>
        <v/>
      </c>
      <c r="BA330" s="41">
        <f>AZ334</f>
        <v/>
      </c>
      <c r="BB330" s="41">
        <f>BA334</f>
        <v/>
      </c>
      <c r="BC330" s="41">
        <f>BB334</f>
        <v/>
      </c>
      <c r="BD330" s="41">
        <f>BC334</f>
        <v/>
      </c>
      <c r="BE330" s="41">
        <f>BD334</f>
        <v/>
      </c>
      <c r="BF330" s="41">
        <f>BE334</f>
        <v/>
      </c>
      <c r="BG330" s="41">
        <f>BF334</f>
        <v/>
      </c>
      <c r="BH330" s="41">
        <f>BG334</f>
        <v/>
      </c>
      <c r="BI330" s="41">
        <f>BH334</f>
        <v/>
      </c>
      <c r="BJ330" s="41">
        <f>BI334</f>
        <v/>
      </c>
    </row>
    <row r="331">
      <c r="A331" s="4" t="inlineStr">
        <is>
          <t>Botswana &amp; Namibia: Solo: Nano: new</t>
        </is>
      </c>
      <c r="B331" s="17" t="inlineStr">
        <is>
          <t>workspaces</t>
        </is>
      </c>
      <c r="C331" s="41">
        <f>C156*Assumptions!$B$124</f>
        <v/>
      </c>
      <c r="D331" s="41">
        <f>D156*Assumptions!$B$124</f>
        <v/>
      </c>
      <c r="E331" s="41">
        <f>E156*Assumptions!$B$124</f>
        <v/>
      </c>
      <c r="F331" s="41">
        <f>F156*Assumptions!$B$124</f>
        <v/>
      </c>
      <c r="G331" s="41">
        <f>G156*Assumptions!$B$124</f>
        <v/>
      </c>
      <c r="H331" s="41">
        <f>H156*Assumptions!$B$124</f>
        <v/>
      </c>
      <c r="I331" s="41">
        <f>I156*Assumptions!$B$124</f>
        <v/>
      </c>
      <c r="J331" s="41">
        <f>J156*Assumptions!$B$124</f>
        <v/>
      </c>
      <c r="K331" s="41">
        <f>K156*Assumptions!$B$124</f>
        <v/>
      </c>
      <c r="L331" s="41">
        <f>L156*Assumptions!$B$124</f>
        <v/>
      </c>
      <c r="M331" s="41">
        <f>M156*Assumptions!$B$124</f>
        <v/>
      </c>
      <c r="N331" s="41">
        <f>N156*Assumptions!$B$124</f>
        <v/>
      </c>
      <c r="O331" s="41">
        <f>O156*Assumptions!$B$124</f>
        <v/>
      </c>
      <c r="P331" s="41">
        <f>P156*Assumptions!$B$124</f>
        <v/>
      </c>
      <c r="Q331" s="41">
        <f>Q156*Assumptions!$B$124</f>
        <v/>
      </c>
      <c r="R331" s="41">
        <f>R156*Assumptions!$B$124</f>
        <v/>
      </c>
      <c r="S331" s="41">
        <f>S156*Assumptions!$B$124</f>
        <v/>
      </c>
      <c r="T331" s="41">
        <f>T156*Assumptions!$B$124</f>
        <v/>
      </c>
      <c r="U331" s="41">
        <f>U156*Assumptions!$B$124</f>
        <v/>
      </c>
      <c r="V331" s="41">
        <f>V156*Assumptions!$B$124</f>
        <v/>
      </c>
      <c r="W331" s="41">
        <f>W156*Assumptions!$B$124</f>
        <v/>
      </c>
      <c r="X331" s="41">
        <f>X156*Assumptions!$B$124</f>
        <v/>
      </c>
      <c r="Y331" s="41">
        <f>Y156*Assumptions!$B$124</f>
        <v/>
      </c>
      <c r="Z331" s="41">
        <f>Z156*Assumptions!$B$124</f>
        <v/>
      </c>
      <c r="AA331" s="41">
        <f>AA156*Assumptions!$B$124</f>
        <v/>
      </c>
      <c r="AB331" s="41">
        <f>AB156*Assumptions!$B$124</f>
        <v/>
      </c>
      <c r="AC331" s="41">
        <f>AC156*Assumptions!$B$124</f>
        <v/>
      </c>
      <c r="AD331" s="41">
        <f>AD156*Assumptions!$B$124</f>
        <v/>
      </c>
      <c r="AE331" s="41">
        <f>AE156*Assumptions!$B$124</f>
        <v/>
      </c>
      <c r="AF331" s="41">
        <f>AF156*Assumptions!$B$124</f>
        <v/>
      </c>
      <c r="AG331" s="41">
        <f>AG156*Assumptions!$B$124</f>
        <v/>
      </c>
      <c r="AH331" s="41">
        <f>AH156*Assumptions!$B$124</f>
        <v/>
      </c>
      <c r="AI331" s="41">
        <f>AI156*Assumptions!$B$124</f>
        <v/>
      </c>
      <c r="AJ331" s="41">
        <f>AJ156*Assumptions!$B$124</f>
        <v/>
      </c>
      <c r="AK331" s="41">
        <f>AK156*Assumptions!$B$124</f>
        <v/>
      </c>
      <c r="AL331" s="41">
        <f>AL156*Assumptions!$B$124</f>
        <v/>
      </c>
      <c r="AM331" s="41">
        <f>AM156*Assumptions!$B$124</f>
        <v/>
      </c>
      <c r="AN331" s="41">
        <f>AN156*Assumptions!$B$124</f>
        <v/>
      </c>
      <c r="AO331" s="41">
        <f>AO156*Assumptions!$B$124</f>
        <v/>
      </c>
      <c r="AP331" s="41">
        <f>AP156*Assumptions!$B$124</f>
        <v/>
      </c>
      <c r="AQ331" s="41">
        <f>AQ156*Assumptions!$B$124</f>
        <v/>
      </c>
      <c r="AR331" s="41">
        <f>AR156*Assumptions!$B$124</f>
        <v/>
      </c>
      <c r="AS331" s="41">
        <f>AS156*Assumptions!$B$124</f>
        <v/>
      </c>
      <c r="AT331" s="41">
        <f>AT156*Assumptions!$B$124</f>
        <v/>
      </c>
      <c r="AU331" s="41">
        <f>AU156*Assumptions!$B$124</f>
        <v/>
      </c>
      <c r="AV331" s="41">
        <f>AV156*Assumptions!$B$124</f>
        <v/>
      </c>
      <c r="AW331" s="41">
        <f>AW156*Assumptions!$B$124</f>
        <v/>
      </c>
      <c r="AX331" s="41">
        <f>AX156*Assumptions!$B$124</f>
        <v/>
      </c>
      <c r="AY331" s="41">
        <f>AY156*Assumptions!$B$124</f>
        <v/>
      </c>
      <c r="AZ331" s="41">
        <f>AZ156*Assumptions!$B$124</f>
        <v/>
      </c>
      <c r="BA331" s="41">
        <f>BA156*Assumptions!$B$124</f>
        <v/>
      </c>
      <c r="BB331" s="41">
        <f>BB156*Assumptions!$B$124</f>
        <v/>
      </c>
      <c r="BC331" s="41">
        <f>BC156*Assumptions!$B$124</f>
        <v/>
      </c>
      <c r="BD331" s="41">
        <f>BD156*Assumptions!$B$124</f>
        <v/>
      </c>
      <c r="BE331" s="41">
        <f>BE156*Assumptions!$B$124</f>
        <v/>
      </c>
      <c r="BF331" s="41">
        <f>BF156*Assumptions!$B$124</f>
        <v/>
      </c>
      <c r="BG331" s="41">
        <f>BG156*Assumptions!$B$124</f>
        <v/>
      </c>
      <c r="BH331" s="41">
        <f>BH156*Assumptions!$B$124</f>
        <v/>
      </c>
      <c r="BI331" s="41">
        <f>BI156*Assumptions!$B$124</f>
        <v/>
      </c>
      <c r="BJ331" s="41">
        <f>BJ156*Assumptions!$B$124</f>
        <v/>
      </c>
    </row>
    <row r="332">
      <c r="A332" s="4" t="inlineStr">
        <is>
          <t>Botswana &amp; Namibia: Solo: Nano: churned</t>
        </is>
      </c>
      <c r="B332" s="17" t="inlineStr">
        <is>
          <t>workspaces</t>
        </is>
      </c>
      <c r="C332" s="41">
        <f>C330*Assumptions!$B$137*Assumptions!$B$46*Assumptions!$B$30*Assumptions!$B$102</f>
        <v/>
      </c>
      <c r="D332" s="41">
        <f>D330*Assumptions!$B$137*Assumptions!$B$46*Assumptions!$B$30*Assumptions!$B$102</f>
        <v/>
      </c>
      <c r="E332" s="41">
        <f>E330*Assumptions!$B$137*Assumptions!$B$46*Assumptions!$B$30*Assumptions!$B$102</f>
        <v/>
      </c>
      <c r="F332" s="41">
        <f>F330*Assumptions!$B$137*Assumptions!$B$46*Assumptions!$B$30*Assumptions!$B$102</f>
        <v/>
      </c>
      <c r="G332" s="41">
        <f>G330*Assumptions!$B$137*Assumptions!$B$46*Assumptions!$B$30*Assumptions!$B$102</f>
        <v/>
      </c>
      <c r="H332" s="41">
        <f>H330*Assumptions!$B$137*Assumptions!$B$46*Assumptions!$B$30*Assumptions!$B$102</f>
        <v/>
      </c>
      <c r="I332" s="41">
        <f>I330*Assumptions!$B$137*Assumptions!$B$46*Assumptions!$B$30*Assumptions!$B$102</f>
        <v/>
      </c>
      <c r="J332" s="41">
        <f>J330*Assumptions!$B$137*Assumptions!$B$46*Assumptions!$B$30*Assumptions!$B$102</f>
        <v/>
      </c>
      <c r="K332" s="41">
        <f>K330*Assumptions!$B$137*Assumptions!$B$46*Assumptions!$B$30*Assumptions!$B$102</f>
        <v/>
      </c>
      <c r="L332" s="41">
        <f>L330*Assumptions!$B$137*Assumptions!$B$46*Assumptions!$B$30*Assumptions!$B$102</f>
        <v/>
      </c>
      <c r="M332" s="41">
        <f>M330*Assumptions!$B$137*Assumptions!$B$46*Assumptions!$B$30*Assumptions!$B$102</f>
        <v/>
      </c>
      <c r="N332" s="41">
        <f>N330*Assumptions!$B$137*Assumptions!$B$46*Assumptions!$B$30*Assumptions!$B$102</f>
        <v/>
      </c>
      <c r="O332" s="41">
        <f>O330*Assumptions!$B$137*Assumptions!$B$46*Assumptions!$B$30*Assumptions!$B$102</f>
        <v/>
      </c>
      <c r="P332" s="41">
        <f>P330*Assumptions!$B$137*Assumptions!$B$46*Assumptions!$B$30*Assumptions!$B$102</f>
        <v/>
      </c>
      <c r="Q332" s="41">
        <f>Q330*Assumptions!$B$137*Assumptions!$B$46*Assumptions!$B$30*Assumptions!$B$102</f>
        <v/>
      </c>
      <c r="R332" s="41">
        <f>R330*Assumptions!$B$137*Assumptions!$B$46*Assumptions!$B$30*Assumptions!$B$102</f>
        <v/>
      </c>
      <c r="S332" s="41">
        <f>S330*Assumptions!$B$137*Assumptions!$B$46*Assumptions!$B$30*Assumptions!$B$102</f>
        <v/>
      </c>
      <c r="T332" s="41">
        <f>T330*Assumptions!$B$137*Assumptions!$B$46*Assumptions!$B$30*Assumptions!$B$102</f>
        <v/>
      </c>
      <c r="U332" s="41">
        <f>U330*Assumptions!$B$137*Assumptions!$B$46*Assumptions!$B$30*Assumptions!$B$102</f>
        <v/>
      </c>
      <c r="V332" s="41">
        <f>V330*Assumptions!$B$137*Assumptions!$B$46*Assumptions!$B$30*Assumptions!$B$102</f>
        <v/>
      </c>
      <c r="W332" s="41">
        <f>W330*Assumptions!$B$137*Assumptions!$B$46*Assumptions!$B$30*Assumptions!$B$102</f>
        <v/>
      </c>
      <c r="X332" s="41">
        <f>X330*Assumptions!$B$137*Assumptions!$B$46*Assumptions!$B$30*Assumptions!$B$102</f>
        <v/>
      </c>
      <c r="Y332" s="41">
        <f>Y330*Assumptions!$B$137*Assumptions!$B$46*Assumptions!$B$30*Assumptions!$B$102</f>
        <v/>
      </c>
      <c r="Z332" s="41">
        <f>Z330*Assumptions!$B$137*Assumptions!$B$46*Assumptions!$B$30*Assumptions!$B$102</f>
        <v/>
      </c>
      <c r="AA332" s="41">
        <f>AA330*Assumptions!$B$137*Assumptions!$B$46*Assumptions!$B$30*Assumptions!$B$102</f>
        <v/>
      </c>
      <c r="AB332" s="41">
        <f>AB330*Assumptions!$B$137*Assumptions!$B$46*Assumptions!$B$30*Assumptions!$B$102</f>
        <v/>
      </c>
      <c r="AC332" s="41">
        <f>AC330*Assumptions!$B$137*Assumptions!$B$46*Assumptions!$B$30*Assumptions!$B$102</f>
        <v/>
      </c>
      <c r="AD332" s="41">
        <f>AD330*Assumptions!$B$137*Assumptions!$B$46*Assumptions!$B$30*Assumptions!$B$102</f>
        <v/>
      </c>
      <c r="AE332" s="41">
        <f>AE330*Assumptions!$B$137*Assumptions!$B$46*Assumptions!$B$30*Assumptions!$B$102</f>
        <v/>
      </c>
      <c r="AF332" s="41">
        <f>AF330*Assumptions!$B$137*Assumptions!$B$46*Assumptions!$B$30*Assumptions!$B$102</f>
        <v/>
      </c>
      <c r="AG332" s="41">
        <f>AG330*Assumptions!$B$137*Assumptions!$B$46*Assumptions!$B$30*Assumptions!$B$102</f>
        <v/>
      </c>
      <c r="AH332" s="41">
        <f>AH330*Assumptions!$B$137*Assumptions!$B$46*Assumptions!$B$30*Assumptions!$B$102</f>
        <v/>
      </c>
      <c r="AI332" s="41">
        <f>AI330*Assumptions!$B$137*Assumptions!$B$46*Assumptions!$B$30*Assumptions!$B$102</f>
        <v/>
      </c>
      <c r="AJ332" s="41">
        <f>AJ330*Assumptions!$B$137*Assumptions!$B$46*Assumptions!$B$30*Assumptions!$B$102</f>
        <v/>
      </c>
      <c r="AK332" s="41">
        <f>AK330*Assumptions!$B$137*Assumptions!$B$46*Assumptions!$B$30*Assumptions!$B$102</f>
        <v/>
      </c>
      <c r="AL332" s="41">
        <f>AL330*Assumptions!$B$137*Assumptions!$B$46*Assumptions!$B$30*Assumptions!$B$102</f>
        <v/>
      </c>
      <c r="AM332" s="41">
        <f>AM330*Assumptions!$B$137*Assumptions!$B$46*Assumptions!$B$30*Assumptions!$B$102</f>
        <v/>
      </c>
      <c r="AN332" s="41">
        <f>AN330*Assumptions!$B$137*Assumptions!$B$46*Assumptions!$B$30*Assumptions!$B$102</f>
        <v/>
      </c>
      <c r="AO332" s="41">
        <f>AO330*Assumptions!$B$137*Assumptions!$B$46*Assumptions!$B$30*Assumptions!$B$102</f>
        <v/>
      </c>
      <c r="AP332" s="41">
        <f>AP330*Assumptions!$B$137*Assumptions!$B$46*Assumptions!$B$30*Assumptions!$B$102</f>
        <v/>
      </c>
      <c r="AQ332" s="41">
        <f>AQ330*Assumptions!$B$137*Assumptions!$B$46*Assumptions!$B$30*Assumptions!$B$102</f>
        <v/>
      </c>
      <c r="AR332" s="41">
        <f>AR330*Assumptions!$B$137*Assumptions!$B$46*Assumptions!$B$30*Assumptions!$B$102</f>
        <v/>
      </c>
      <c r="AS332" s="41">
        <f>AS330*Assumptions!$B$137*Assumptions!$B$46*Assumptions!$B$30*Assumptions!$B$102</f>
        <v/>
      </c>
      <c r="AT332" s="41">
        <f>AT330*Assumptions!$B$137*Assumptions!$B$46*Assumptions!$B$30*Assumptions!$B$102</f>
        <v/>
      </c>
      <c r="AU332" s="41">
        <f>AU330*Assumptions!$B$137*Assumptions!$B$46*Assumptions!$B$30*Assumptions!$B$102</f>
        <v/>
      </c>
      <c r="AV332" s="41">
        <f>AV330*Assumptions!$B$137*Assumptions!$B$46*Assumptions!$B$30*Assumptions!$B$102</f>
        <v/>
      </c>
      <c r="AW332" s="41">
        <f>AW330*Assumptions!$B$137*Assumptions!$B$46*Assumptions!$B$30*Assumptions!$B$102</f>
        <v/>
      </c>
      <c r="AX332" s="41">
        <f>AX330*Assumptions!$B$137*Assumptions!$B$46*Assumptions!$B$30*Assumptions!$B$102</f>
        <v/>
      </c>
      <c r="AY332" s="41">
        <f>AY330*Assumptions!$B$137*Assumptions!$B$46*Assumptions!$B$30*Assumptions!$B$102</f>
        <v/>
      </c>
      <c r="AZ332" s="41">
        <f>AZ330*Assumptions!$B$137*Assumptions!$B$46*Assumptions!$B$30*Assumptions!$B$102</f>
        <v/>
      </c>
      <c r="BA332" s="41">
        <f>BA330*Assumptions!$B$137*Assumptions!$B$46*Assumptions!$B$30*Assumptions!$B$102</f>
        <v/>
      </c>
      <c r="BB332" s="41">
        <f>BB330*Assumptions!$B$137*Assumptions!$B$46*Assumptions!$B$30*Assumptions!$B$102</f>
        <v/>
      </c>
      <c r="BC332" s="41">
        <f>BC330*Assumptions!$B$137*Assumptions!$B$46*Assumptions!$B$30*Assumptions!$B$102</f>
        <v/>
      </c>
      <c r="BD332" s="41">
        <f>BD330*Assumptions!$B$137*Assumptions!$B$46*Assumptions!$B$30*Assumptions!$B$102</f>
        <v/>
      </c>
      <c r="BE332" s="41">
        <f>BE330*Assumptions!$B$137*Assumptions!$B$46*Assumptions!$B$30*Assumptions!$B$102</f>
        <v/>
      </c>
      <c r="BF332" s="41">
        <f>BF330*Assumptions!$B$137*Assumptions!$B$46*Assumptions!$B$30*Assumptions!$B$102</f>
        <v/>
      </c>
      <c r="BG332" s="41">
        <f>BG330*Assumptions!$B$137*Assumptions!$B$46*Assumptions!$B$30*Assumptions!$B$102</f>
        <v/>
      </c>
      <c r="BH332" s="41">
        <f>BH330*Assumptions!$B$137*Assumptions!$B$46*Assumptions!$B$30*Assumptions!$B$102</f>
        <v/>
      </c>
      <c r="BI332" s="41">
        <f>BI330*Assumptions!$B$137*Assumptions!$B$46*Assumptions!$B$30*Assumptions!$B$102</f>
        <v/>
      </c>
      <c r="BJ332" s="41">
        <f>BJ330*Assumptions!$B$137*Assumptions!$B$46*Assumptions!$B$30*Assumptions!$B$102</f>
        <v/>
      </c>
    </row>
    <row r="333">
      <c r="A333" s="4" t="inlineStr">
        <is>
          <t>Botswana &amp; Namibia: Solo: Nano: upgraded out</t>
        </is>
      </c>
      <c r="B333" s="17" t="inlineStr">
        <is>
          <t>workspaces</t>
        </is>
      </c>
      <c r="C333" s="41">
        <f>C330*Assumptions!$B$130</f>
        <v/>
      </c>
      <c r="D333" s="41">
        <f>D330*Assumptions!$B$130</f>
        <v/>
      </c>
      <c r="E333" s="41">
        <f>E330*Assumptions!$B$130</f>
        <v/>
      </c>
      <c r="F333" s="41">
        <f>F330*Assumptions!$B$130</f>
        <v/>
      </c>
      <c r="G333" s="41">
        <f>G330*Assumptions!$B$130</f>
        <v/>
      </c>
      <c r="H333" s="41">
        <f>H330*Assumptions!$B$130</f>
        <v/>
      </c>
      <c r="I333" s="41">
        <f>I330*Assumptions!$B$130</f>
        <v/>
      </c>
      <c r="J333" s="41">
        <f>J330*Assumptions!$B$130</f>
        <v/>
      </c>
      <c r="K333" s="41">
        <f>K330*Assumptions!$B$130</f>
        <v/>
      </c>
      <c r="L333" s="41">
        <f>L330*Assumptions!$B$130</f>
        <v/>
      </c>
      <c r="M333" s="41">
        <f>M330*Assumptions!$B$130</f>
        <v/>
      </c>
      <c r="N333" s="41">
        <f>N330*Assumptions!$B$130</f>
        <v/>
      </c>
      <c r="O333" s="41">
        <f>O330*Assumptions!$B$130</f>
        <v/>
      </c>
      <c r="P333" s="41">
        <f>P330*Assumptions!$B$130</f>
        <v/>
      </c>
      <c r="Q333" s="41">
        <f>Q330*Assumptions!$B$130</f>
        <v/>
      </c>
      <c r="R333" s="41">
        <f>R330*Assumptions!$B$130</f>
        <v/>
      </c>
      <c r="S333" s="41">
        <f>S330*Assumptions!$B$130</f>
        <v/>
      </c>
      <c r="T333" s="41">
        <f>T330*Assumptions!$B$130</f>
        <v/>
      </c>
      <c r="U333" s="41">
        <f>U330*Assumptions!$B$130</f>
        <v/>
      </c>
      <c r="V333" s="41">
        <f>V330*Assumptions!$B$130</f>
        <v/>
      </c>
      <c r="W333" s="41">
        <f>W330*Assumptions!$B$130</f>
        <v/>
      </c>
      <c r="X333" s="41">
        <f>X330*Assumptions!$B$130</f>
        <v/>
      </c>
      <c r="Y333" s="41">
        <f>Y330*Assumptions!$B$130</f>
        <v/>
      </c>
      <c r="Z333" s="41">
        <f>Z330*Assumptions!$B$130</f>
        <v/>
      </c>
      <c r="AA333" s="41">
        <f>AA330*Assumptions!$B$130</f>
        <v/>
      </c>
      <c r="AB333" s="41">
        <f>AB330*Assumptions!$B$130</f>
        <v/>
      </c>
      <c r="AC333" s="41">
        <f>AC330*Assumptions!$B$130</f>
        <v/>
      </c>
      <c r="AD333" s="41">
        <f>AD330*Assumptions!$B$130</f>
        <v/>
      </c>
      <c r="AE333" s="41">
        <f>AE330*Assumptions!$B$130</f>
        <v/>
      </c>
      <c r="AF333" s="41">
        <f>AF330*Assumptions!$B$130</f>
        <v/>
      </c>
      <c r="AG333" s="41">
        <f>AG330*Assumptions!$B$130</f>
        <v/>
      </c>
      <c r="AH333" s="41">
        <f>AH330*Assumptions!$B$130</f>
        <v/>
      </c>
      <c r="AI333" s="41">
        <f>AI330*Assumptions!$B$130</f>
        <v/>
      </c>
      <c r="AJ333" s="41">
        <f>AJ330*Assumptions!$B$130</f>
        <v/>
      </c>
      <c r="AK333" s="41">
        <f>AK330*Assumptions!$B$130</f>
        <v/>
      </c>
      <c r="AL333" s="41">
        <f>AL330*Assumptions!$B$130</f>
        <v/>
      </c>
      <c r="AM333" s="41">
        <f>AM330*Assumptions!$B$130</f>
        <v/>
      </c>
      <c r="AN333" s="41">
        <f>AN330*Assumptions!$B$130</f>
        <v/>
      </c>
      <c r="AO333" s="41">
        <f>AO330*Assumptions!$B$130</f>
        <v/>
      </c>
      <c r="AP333" s="41">
        <f>AP330*Assumptions!$B$130</f>
        <v/>
      </c>
      <c r="AQ333" s="41">
        <f>AQ330*Assumptions!$B$130</f>
        <v/>
      </c>
      <c r="AR333" s="41">
        <f>AR330*Assumptions!$B$130</f>
        <v/>
      </c>
      <c r="AS333" s="41">
        <f>AS330*Assumptions!$B$130</f>
        <v/>
      </c>
      <c r="AT333" s="41">
        <f>AT330*Assumptions!$B$130</f>
        <v/>
      </c>
      <c r="AU333" s="41">
        <f>AU330*Assumptions!$B$130</f>
        <v/>
      </c>
      <c r="AV333" s="41">
        <f>AV330*Assumptions!$B$130</f>
        <v/>
      </c>
      <c r="AW333" s="41">
        <f>AW330*Assumptions!$B$130</f>
        <v/>
      </c>
      <c r="AX333" s="41">
        <f>AX330*Assumptions!$B$130</f>
        <v/>
      </c>
      <c r="AY333" s="41">
        <f>AY330*Assumptions!$B$130</f>
        <v/>
      </c>
      <c r="AZ333" s="41">
        <f>AZ330*Assumptions!$B$130</f>
        <v/>
      </c>
      <c r="BA333" s="41">
        <f>BA330*Assumptions!$B$130</f>
        <v/>
      </c>
      <c r="BB333" s="41">
        <f>BB330*Assumptions!$B$130</f>
        <v/>
      </c>
      <c r="BC333" s="41">
        <f>BC330*Assumptions!$B$130</f>
        <v/>
      </c>
      <c r="BD333" s="41">
        <f>BD330*Assumptions!$B$130</f>
        <v/>
      </c>
      <c r="BE333" s="41">
        <f>BE330*Assumptions!$B$130</f>
        <v/>
      </c>
      <c r="BF333" s="41">
        <f>BF330*Assumptions!$B$130</f>
        <v/>
      </c>
      <c r="BG333" s="41">
        <f>BG330*Assumptions!$B$130</f>
        <v/>
      </c>
      <c r="BH333" s="41">
        <f>BH330*Assumptions!$B$130</f>
        <v/>
      </c>
      <c r="BI333" s="41">
        <f>BI330*Assumptions!$B$130</f>
        <v/>
      </c>
      <c r="BJ333" s="41">
        <f>BJ330*Assumptions!$B$130</f>
        <v/>
      </c>
    </row>
    <row r="334">
      <c r="A334" s="3" t="inlineStr">
        <is>
          <t>Botswana &amp; Namibia: Solo: Nano: closing</t>
        </is>
      </c>
      <c r="B334" s="17" t="inlineStr">
        <is>
          <t>workspaces</t>
        </is>
      </c>
      <c r="C334" s="44">
        <f>C330+C331-C332-C333</f>
        <v/>
      </c>
      <c r="D334" s="44">
        <f>D330+D331-D332-D333</f>
        <v/>
      </c>
      <c r="E334" s="44">
        <f>E330+E331-E332-E333</f>
        <v/>
      </c>
      <c r="F334" s="44">
        <f>F330+F331-F332-F333</f>
        <v/>
      </c>
      <c r="G334" s="44">
        <f>G330+G331-G332-G333</f>
        <v/>
      </c>
      <c r="H334" s="44">
        <f>H330+H331-H332-H333</f>
        <v/>
      </c>
      <c r="I334" s="44">
        <f>I330+I331-I332-I333</f>
        <v/>
      </c>
      <c r="J334" s="44">
        <f>J330+J331-J332-J333</f>
        <v/>
      </c>
      <c r="K334" s="44">
        <f>K330+K331-K332-K333</f>
        <v/>
      </c>
      <c r="L334" s="44">
        <f>L330+L331-L332-L333</f>
        <v/>
      </c>
      <c r="M334" s="44">
        <f>M330+M331-M332-M333</f>
        <v/>
      </c>
      <c r="N334" s="44">
        <f>N330+N331-N332-N333</f>
        <v/>
      </c>
      <c r="O334" s="44">
        <f>O330+O331-O332-O333</f>
        <v/>
      </c>
      <c r="P334" s="44">
        <f>P330+P331-P332-P333</f>
        <v/>
      </c>
      <c r="Q334" s="44">
        <f>Q330+Q331-Q332-Q333</f>
        <v/>
      </c>
      <c r="R334" s="44">
        <f>R330+R331-R332-R333</f>
        <v/>
      </c>
      <c r="S334" s="44">
        <f>S330+S331-S332-S333</f>
        <v/>
      </c>
      <c r="T334" s="44">
        <f>T330+T331-T332-T333</f>
        <v/>
      </c>
      <c r="U334" s="44">
        <f>U330+U331-U332-U333</f>
        <v/>
      </c>
      <c r="V334" s="44">
        <f>V330+V331-V332-V333</f>
        <v/>
      </c>
      <c r="W334" s="44">
        <f>W330+W331-W332-W333</f>
        <v/>
      </c>
      <c r="X334" s="44">
        <f>X330+X331-X332-X333</f>
        <v/>
      </c>
      <c r="Y334" s="44">
        <f>Y330+Y331-Y332-Y333</f>
        <v/>
      </c>
      <c r="Z334" s="44">
        <f>Z330+Z331-Z332-Z333</f>
        <v/>
      </c>
      <c r="AA334" s="44">
        <f>AA330+AA331-AA332-AA333</f>
        <v/>
      </c>
      <c r="AB334" s="44">
        <f>AB330+AB331-AB332-AB333</f>
        <v/>
      </c>
      <c r="AC334" s="44">
        <f>AC330+AC331-AC332-AC333</f>
        <v/>
      </c>
      <c r="AD334" s="44">
        <f>AD330+AD331-AD332-AD333</f>
        <v/>
      </c>
      <c r="AE334" s="44">
        <f>AE330+AE331-AE332-AE333</f>
        <v/>
      </c>
      <c r="AF334" s="44">
        <f>AF330+AF331-AF332-AF333</f>
        <v/>
      </c>
      <c r="AG334" s="44">
        <f>AG330+AG331-AG332-AG333</f>
        <v/>
      </c>
      <c r="AH334" s="44">
        <f>AH330+AH331-AH332-AH333</f>
        <v/>
      </c>
      <c r="AI334" s="44">
        <f>AI330+AI331-AI332-AI333</f>
        <v/>
      </c>
      <c r="AJ334" s="44">
        <f>AJ330+AJ331-AJ332-AJ333</f>
        <v/>
      </c>
      <c r="AK334" s="44">
        <f>AK330+AK331-AK332-AK333</f>
        <v/>
      </c>
      <c r="AL334" s="44">
        <f>AL330+AL331-AL332-AL333</f>
        <v/>
      </c>
      <c r="AM334" s="44">
        <f>AM330+AM331-AM332-AM333</f>
        <v/>
      </c>
      <c r="AN334" s="44">
        <f>AN330+AN331-AN332-AN333</f>
        <v/>
      </c>
      <c r="AO334" s="44">
        <f>AO330+AO331-AO332-AO333</f>
        <v/>
      </c>
      <c r="AP334" s="44">
        <f>AP330+AP331-AP332-AP333</f>
        <v/>
      </c>
      <c r="AQ334" s="44">
        <f>AQ330+AQ331-AQ332-AQ333</f>
        <v/>
      </c>
      <c r="AR334" s="44">
        <f>AR330+AR331-AR332-AR333</f>
        <v/>
      </c>
      <c r="AS334" s="44">
        <f>AS330+AS331-AS332-AS333</f>
        <v/>
      </c>
      <c r="AT334" s="44">
        <f>AT330+AT331-AT332-AT333</f>
        <v/>
      </c>
      <c r="AU334" s="44">
        <f>AU330+AU331-AU332-AU333</f>
        <v/>
      </c>
      <c r="AV334" s="44">
        <f>AV330+AV331-AV332-AV333</f>
        <v/>
      </c>
      <c r="AW334" s="44">
        <f>AW330+AW331-AW332-AW333</f>
        <v/>
      </c>
      <c r="AX334" s="44">
        <f>AX330+AX331-AX332-AX333</f>
        <v/>
      </c>
      <c r="AY334" s="44">
        <f>AY330+AY331-AY332-AY333</f>
        <v/>
      </c>
      <c r="AZ334" s="44">
        <f>AZ330+AZ331-AZ332-AZ333</f>
        <v/>
      </c>
      <c r="BA334" s="44">
        <f>BA330+BA331-BA332-BA333</f>
        <v/>
      </c>
      <c r="BB334" s="44">
        <f>BB330+BB331-BB332-BB333</f>
        <v/>
      </c>
      <c r="BC334" s="44">
        <f>BC330+BC331-BC332-BC333</f>
        <v/>
      </c>
      <c r="BD334" s="44">
        <f>BD330+BD331-BD332-BD333</f>
        <v/>
      </c>
      <c r="BE334" s="44">
        <f>BE330+BE331-BE332-BE333</f>
        <v/>
      </c>
      <c r="BF334" s="44">
        <f>BF330+BF331-BF332-BF333</f>
        <v/>
      </c>
      <c r="BG334" s="44">
        <f>BG330+BG331-BG332-BG333</f>
        <v/>
      </c>
      <c r="BH334" s="44">
        <f>BH330+BH331-BH332-BH333</f>
        <v/>
      </c>
      <c r="BI334" s="44">
        <f>BI330+BI331-BI332-BI333</f>
        <v/>
      </c>
      <c r="BJ334" s="44">
        <f>BJ330+BJ331-BJ332-BJ333</f>
        <v/>
      </c>
    </row>
    <row r="335">
      <c r="A335" s="4" t="inlineStr">
        <is>
          <t>Botswana &amp; Namibia: Solo: Micro (direct or upgraded): opening</t>
        </is>
      </c>
      <c r="B335" s="17" t="inlineStr">
        <is>
          <t>workspaces</t>
        </is>
      </c>
      <c r="C335" s="41">
        <f>0</f>
        <v/>
      </c>
      <c r="D335" s="41">
        <f>C339</f>
        <v/>
      </c>
      <c r="E335" s="41">
        <f>D339</f>
        <v/>
      </c>
      <c r="F335" s="41">
        <f>E339</f>
        <v/>
      </c>
      <c r="G335" s="41">
        <f>F339</f>
        <v/>
      </c>
      <c r="H335" s="41">
        <f>G339</f>
        <v/>
      </c>
      <c r="I335" s="41">
        <f>H339</f>
        <v/>
      </c>
      <c r="J335" s="41">
        <f>I339</f>
        <v/>
      </c>
      <c r="K335" s="41">
        <f>J339</f>
        <v/>
      </c>
      <c r="L335" s="41">
        <f>K339</f>
        <v/>
      </c>
      <c r="M335" s="41">
        <f>L339</f>
        <v/>
      </c>
      <c r="N335" s="41">
        <f>M339</f>
        <v/>
      </c>
      <c r="O335" s="41">
        <f>N339</f>
        <v/>
      </c>
      <c r="P335" s="41">
        <f>O339</f>
        <v/>
      </c>
      <c r="Q335" s="41">
        <f>P339</f>
        <v/>
      </c>
      <c r="R335" s="41">
        <f>Q339</f>
        <v/>
      </c>
      <c r="S335" s="41">
        <f>R339</f>
        <v/>
      </c>
      <c r="T335" s="41">
        <f>S339</f>
        <v/>
      </c>
      <c r="U335" s="41">
        <f>T339</f>
        <v/>
      </c>
      <c r="V335" s="41">
        <f>U339</f>
        <v/>
      </c>
      <c r="W335" s="41">
        <f>V339</f>
        <v/>
      </c>
      <c r="X335" s="41">
        <f>W339</f>
        <v/>
      </c>
      <c r="Y335" s="41">
        <f>X339</f>
        <v/>
      </c>
      <c r="Z335" s="41">
        <f>Y339</f>
        <v/>
      </c>
      <c r="AA335" s="41">
        <f>Z339</f>
        <v/>
      </c>
      <c r="AB335" s="41">
        <f>AA339</f>
        <v/>
      </c>
      <c r="AC335" s="41">
        <f>AB339</f>
        <v/>
      </c>
      <c r="AD335" s="41">
        <f>AC339</f>
        <v/>
      </c>
      <c r="AE335" s="41">
        <f>AD339</f>
        <v/>
      </c>
      <c r="AF335" s="41">
        <f>AE339</f>
        <v/>
      </c>
      <c r="AG335" s="41">
        <f>AF339</f>
        <v/>
      </c>
      <c r="AH335" s="41">
        <f>AG339</f>
        <v/>
      </c>
      <c r="AI335" s="41">
        <f>AH339</f>
        <v/>
      </c>
      <c r="AJ335" s="41">
        <f>AI339</f>
        <v/>
      </c>
      <c r="AK335" s="41">
        <f>AJ339</f>
        <v/>
      </c>
      <c r="AL335" s="41">
        <f>AK339</f>
        <v/>
      </c>
      <c r="AM335" s="41">
        <f>AL339</f>
        <v/>
      </c>
      <c r="AN335" s="41">
        <f>AM339</f>
        <v/>
      </c>
      <c r="AO335" s="41">
        <f>AN339</f>
        <v/>
      </c>
      <c r="AP335" s="41">
        <f>AO339</f>
        <v/>
      </c>
      <c r="AQ335" s="41">
        <f>AP339</f>
        <v/>
      </c>
      <c r="AR335" s="41">
        <f>AQ339</f>
        <v/>
      </c>
      <c r="AS335" s="41">
        <f>AR339</f>
        <v/>
      </c>
      <c r="AT335" s="41">
        <f>AS339</f>
        <v/>
      </c>
      <c r="AU335" s="41">
        <f>AT339</f>
        <v/>
      </c>
      <c r="AV335" s="41">
        <f>AU339</f>
        <v/>
      </c>
      <c r="AW335" s="41">
        <f>AV339</f>
        <v/>
      </c>
      <c r="AX335" s="41">
        <f>AW339</f>
        <v/>
      </c>
      <c r="AY335" s="41">
        <f>AX339</f>
        <v/>
      </c>
      <c r="AZ335" s="41">
        <f>AY339</f>
        <v/>
      </c>
      <c r="BA335" s="41">
        <f>AZ339</f>
        <v/>
      </c>
      <c r="BB335" s="41">
        <f>BA339</f>
        <v/>
      </c>
      <c r="BC335" s="41">
        <f>BB339</f>
        <v/>
      </c>
      <c r="BD335" s="41">
        <f>BC339</f>
        <v/>
      </c>
      <c r="BE335" s="41">
        <f>BD339</f>
        <v/>
      </c>
      <c r="BF335" s="41">
        <f>BE339</f>
        <v/>
      </c>
      <c r="BG335" s="41">
        <f>BF339</f>
        <v/>
      </c>
      <c r="BH335" s="41">
        <f>BG339</f>
        <v/>
      </c>
      <c r="BI335" s="41">
        <f>BH339</f>
        <v/>
      </c>
      <c r="BJ335" s="41">
        <f>BI339</f>
        <v/>
      </c>
    </row>
    <row r="336">
      <c r="A336" s="4" t="inlineStr">
        <is>
          <t>Botswana &amp; Namibia: Solo: Micro (direct or upgraded): new</t>
        </is>
      </c>
      <c r="B336" s="17" t="inlineStr">
        <is>
          <t>workspaces</t>
        </is>
      </c>
      <c r="C336" s="41">
        <f>C156*Assumptions!$B$125+C333</f>
        <v/>
      </c>
      <c r="D336" s="41">
        <f>D156*Assumptions!$B$125+D333</f>
        <v/>
      </c>
      <c r="E336" s="41">
        <f>E156*Assumptions!$B$125+E333</f>
        <v/>
      </c>
      <c r="F336" s="41">
        <f>F156*Assumptions!$B$125+F333</f>
        <v/>
      </c>
      <c r="G336" s="41">
        <f>G156*Assumptions!$B$125+G333</f>
        <v/>
      </c>
      <c r="H336" s="41">
        <f>H156*Assumptions!$B$125+H333</f>
        <v/>
      </c>
      <c r="I336" s="41">
        <f>I156*Assumptions!$B$125+I333</f>
        <v/>
      </c>
      <c r="J336" s="41">
        <f>J156*Assumptions!$B$125+J333</f>
        <v/>
      </c>
      <c r="K336" s="41">
        <f>K156*Assumptions!$B$125+K333</f>
        <v/>
      </c>
      <c r="L336" s="41">
        <f>L156*Assumptions!$B$125+L333</f>
        <v/>
      </c>
      <c r="M336" s="41">
        <f>M156*Assumptions!$B$125+M333</f>
        <v/>
      </c>
      <c r="N336" s="41">
        <f>N156*Assumptions!$B$125+N333</f>
        <v/>
      </c>
      <c r="O336" s="41">
        <f>O156*Assumptions!$B$125+O333</f>
        <v/>
      </c>
      <c r="P336" s="41">
        <f>P156*Assumptions!$B$125+P333</f>
        <v/>
      </c>
      <c r="Q336" s="41">
        <f>Q156*Assumptions!$B$125+Q333</f>
        <v/>
      </c>
      <c r="R336" s="41">
        <f>R156*Assumptions!$B$125+R333</f>
        <v/>
      </c>
      <c r="S336" s="41">
        <f>S156*Assumptions!$B$125+S333</f>
        <v/>
      </c>
      <c r="T336" s="41">
        <f>T156*Assumptions!$B$125+T333</f>
        <v/>
      </c>
      <c r="U336" s="41">
        <f>U156*Assumptions!$B$125+U333</f>
        <v/>
      </c>
      <c r="V336" s="41">
        <f>V156*Assumptions!$B$125+V333</f>
        <v/>
      </c>
      <c r="W336" s="41">
        <f>W156*Assumptions!$B$125+W333</f>
        <v/>
      </c>
      <c r="X336" s="41">
        <f>X156*Assumptions!$B$125+X333</f>
        <v/>
      </c>
      <c r="Y336" s="41">
        <f>Y156*Assumptions!$B$125+Y333</f>
        <v/>
      </c>
      <c r="Z336" s="41">
        <f>Z156*Assumptions!$B$125+Z333</f>
        <v/>
      </c>
      <c r="AA336" s="41">
        <f>AA156*Assumptions!$B$125+AA333</f>
        <v/>
      </c>
      <c r="AB336" s="41">
        <f>AB156*Assumptions!$B$125+AB333</f>
        <v/>
      </c>
      <c r="AC336" s="41">
        <f>AC156*Assumptions!$B$125+AC333</f>
        <v/>
      </c>
      <c r="AD336" s="41">
        <f>AD156*Assumptions!$B$125+AD333</f>
        <v/>
      </c>
      <c r="AE336" s="41">
        <f>AE156*Assumptions!$B$125+AE333</f>
        <v/>
      </c>
      <c r="AF336" s="41">
        <f>AF156*Assumptions!$B$125+AF333</f>
        <v/>
      </c>
      <c r="AG336" s="41">
        <f>AG156*Assumptions!$B$125+AG333</f>
        <v/>
      </c>
      <c r="AH336" s="41">
        <f>AH156*Assumptions!$B$125+AH333</f>
        <v/>
      </c>
      <c r="AI336" s="41">
        <f>AI156*Assumptions!$B$125+AI333</f>
        <v/>
      </c>
      <c r="AJ336" s="41">
        <f>AJ156*Assumptions!$B$125+AJ333</f>
        <v/>
      </c>
      <c r="AK336" s="41">
        <f>AK156*Assumptions!$B$125+AK333</f>
        <v/>
      </c>
      <c r="AL336" s="41">
        <f>AL156*Assumptions!$B$125+AL333</f>
        <v/>
      </c>
      <c r="AM336" s="41">
        <f>AM156*Assumptions!$B$125+AM333</f>
        <v/>
      </c>
      <c r="AN336" s="41">
        <f>AN156*Assumptions!$B$125+AN333</f>
        <v/>
      </c>
      <c r="AO336" s="41">
        <f>AO156*Assumptions!$B$125+AO333</f>
        <v/>
      </c>
      <c r="AP336" s="41">
        <f>AP156*Assumptions!$B$125+AP333</f>
        <v/>
      </c>
      <c r="AQ336" s="41">
        <f>AQ156*Assumptions!$B$125+AQ333</f>
        <v/>
      </c>
      <c r="AR336" s="41">
        <f>AR156*Assumptions!$B$125+AR333</f>
        <v/>
      </c>
      <c r="AS336" s="41">
        <f>AS156*Assumptions!$B$125+AS333</f>
        <v/>
      </c>
      <c r="AT336" s="41">
        <f>AT156*Assumptions!$B$125+AT333</f>
        <v/>
      </c>
      <c r="AU336" s="41">
        <f>AU156*Assumptions!$B$125+AU333</f>
        <v/>
      </c>
      <c r="AV336" s="41">
        <f>AV156*Assumptions!$B$125+AV333</f>
        <v/>
      </c>
      <c r="AW336" s="41">
        <f>AW156*Assumptions!$B$125+AW333</f>
        <v/>
      </c>
      <c r="AX336" s="41">
        <f>AX156*Assumptions!$B$125+AX333</f>
        <v/>
      </c>
      <c r="AY336" s="41">
        <f>AY156*Assumptions!$B$125+AY333</f>
        <v/>
      </c>
      <c r="AZ336" s="41">
        <f>AZ156*Assumptions!$B$125+AZ333</f>
        <v/>
      </c>
      <c r="BA336" s="41">
        <f>BA156*Assumptions!$B$125+BA333</f>
        <v/>
      </c>
      <c r="BB336" s="41">
        <f>BB156*Assumptions!$B$125+BB333</f>
        <v/>
      </c>
      <c r="BC336" s="41">
        <f>BC156*Assumptions!$B$125+BC333</f>
        <v/>
      </c>
      <c r="BD336" s="41">
        <f>BD156*Assumptions!$B$125+BD333</f>
        <v/>
      </c>
      <c r="BE336" s="41">
        <f>BE156*Assumptions!$B$125+BE333</f>
        <v/>
      </c>
      <c r="BF336" s="41">
        <f>BF156*Assumptions!$B$125+BF333</f>
        <v/>
      </c>
      <c r="BG336" s="41">
        <f>BG156*Assumptions!$B$125+BG333</f>
        <v/>
      </c>
      <c r="BH336" s="41">
        <f>BH156*Assumptions!$B$125+BH333</f>
        <v/>
      </c>
      <c r="BI336" s="41">
        <f>BI156*Assumptions!$B$125+BI333</f>
        <v/>
      </c>
      <c r="BJ336" s="41">
        <f>BJ156*Assumptions!$B$125+BJ333</f>
        <v/>
      </c>
    </row>
    <row r="337">
      <c r="A337" s="4" t="inlineStr">
        <is>
          <t>Botswana &amp; Namibia: Solo: Micro (direct or upgraded): churned</t>
        </is>
      </c>
      <c r="B337" s="17" t="inlineStr">
        <is>
          <t>workspaces</t>
        </is>
      </c>
      <c r="C337" s="41">
        <f>C335*Assumptions!$B$138*Assumptions!$B$46*Assumptions!$B$30*Assumptions!$B$102</f>
        <v/>
      </c>
      <c r="D337" s="41">
        <f>D335*Assumptions!$B$138*Assumptions!$B$46*Assumptions!$B$30*Assumptions!$B$102</f>
        <v/>
      </c>
      <c r="E337" s="41">
        <f>E335*Assumptions!$B$138*Assumptions!$B$46*Assumptions!$B$30*Assumptions!$B$102</f>
        <v/>
      </c>
      <c r="F337" s="41">
        <f>F335*Assumptions!$B$138*Assumptions!$B$46*Assumptions!$B$30*Assumptions!$B$102</f>
        <v/>
      </c>
      <c r="G337" s="41">
        <f>G335*Assumptions!$B$138*Assumptions!$B$46*Assumptions!$B$30*Assumptions!$B$102</f>
        <v/>
      </c>
      <c r="H337" s="41">
        <f>H335*Assumptions!$B$138*Assumptions!$B$46*Assumptions!$B$30*Assumptions!$B$102</f>
        <v/>
      </c>
      <c r="I337" s="41">
        <f>I335*Assumptions!$B$138*Assumptions!$B$46*Assumptions!$B$30*Assumptions!$B$102</f>
        <v/>
      </c>
      <c r="J337" s="41">
        <f>J335*Assumptions!$B$138*Assumptions!$B$46*Assumptions!$B$30*Assumptions!$B$102</f>
        <v/>
      </c>
      <c r="K337" s="41">
        <f>K335*Assumptions!$B$138*Assumptions!$B$46*Assumptions!$B$30*Assumptions!$B$102</f>
        <v/>
      </c>
      <c r="L337" s="41">
        <f>L335*Assumptions!$B$138*Assumptions!$B$46*Assumptions!$B$30*Assumptions!$B$102</f>
        <v/>
      </c>
      <c r="M337" s="41">
        <f>M335*Assumptions!$B$138*Assumptions!$B$46*Assumptions!$B$30*Assumptions!$B$102</f>
        <v/>
      </c>
      <c r="N337" s="41">
        <f>N335*Assumptions!$B$138*Assumptions!$B$46*Assumptions!$B$30*Assumptions!$B$102</f>
        <v/>
      </c>
      <c r="O337" s="41">
        <f>O335*Assumptions!$B$138*Assumptions!$B$46*Assumptions!$B$30*Assumptions!$B$102</f>
        <v/>
      </c>
      <c r="P337" s="41">
        <f>P335*Assumptions!$B$138*Assumptions!$B$46*Assumptions!$B$30*Assumptions!$B$102</f>
        <v/>
      </c>
      <c r="Q337" s="41">
        <f>Q335*Assumptions!$B$138*Assumptions!$B$46*Assumptions!$B$30*Assumptions!$B$102</f>
        <v/>
      </c>
      <c r="R337" s="41">
        <f>R335*Assumptions!$B$138*Assumptions!$B$46*Assumptions!$B$30*Assumptions!$B$102</f>
        <v/>
      </c>
      <c r="S337" s="41">
        <f>S335*Assumptions!$B$138*Assumptions!$B$46*Assumptions!$B$30*Assumptions!$B$102</f>
        <v/>
      </c>
      <c r="T337" s="41">
        <f>T335*Assumptions!$B$138*Assumptions!$B$46*Assumptions!$B$30*Assumptions!$B$102</f>
        <v/>
      </c>
      <c r="U337" s="41">
        <f>U335*Assumptions!$B$138*Assumptions!$B$46*Assumptions!$B$30*Assumptions!$B$102</f>
        <v/>
      </c>
      <c r="V337" s="41">
        <f>V335*Assumptions!$B$138*Assumptions!$B$46*Assumptions!$B$30*Assumptions!$B$102</f>
        <v/>
      </c>
      <c r="W337" s="41">
        <f>W335*Assumptions!$B$138*Assumptions!$B$46*Assumptions!$B$30*Assumptions!$B$102</f>
        <v/>
      </c>
      <c r="X337" s="41">
        <f>X335*Assumptions!$B$138*Assumptions!$B$46*Assumptions!$B$30*Assumptions!$B$102</f>
        <v/>
      </c>
      <c r="Y337" s="41">
        <f>Y335*Assumptions!$B$138*Assumptions!$B$46*Assumptions!$B$30*Assumptions!$B$102</f>
        <v/>
      </c>
      <c r="Z337" s="41">
        <f>Z335*Assumptions!$B$138*Assumptions!$B$46*Assumptions!$B$30*Assumptions!$B$102</f>
        <v/>
      </c>
      <c r="AA337" s="41">
        <f>AA335*Assumptions!$B$138*Assumptions!$B$46*Assumptions!$B$30*Assumptions!$B$102</f>
        <v/>
      </c>
      <c r="AB337" s="41">
        <f>AB335*Assumptions!$B$138*Assumptions!$B$46*Assumptions!$B$30*Assumptions!$B$102</f>
        <v/>
      </c>
      <c r="AC337" s="41">
        <f>AC335*Assumptions!$B$138*Assumptions!$B$46*Assumptions!$B$30*Assumptions!$B$102</f>
        <v/>
      </c>
      <c r="AD337" s="41">
        <f>AD335*Assumptions!$B$138*Assumptions!$B$46*Assumptions!$B$30*Assumptions!$B$102</f>
        <v/>
      </c>
      <c r="AE337" s="41">
        <f>AE335*Assumptions!$B$138*Assumptions!$B$46*Assumptions!$B$30*Assumptions!$B$102</f>
        <v/>
      </c>
      <c r="AF337" s="41">
        <f>AF335*Assumptions!$B$138*Assumptions!$B$46*Assumptions!$B$30*Assumptions!$B$102</f>
        <v/>
      </c>
      <c r="AG337" s="41">
        <f>AG335*Assumptions!$B$138*Assumptions!$B$46*Assumptions!$B$30*Assumptions!$B$102</f>
        <v/>
      </c>
      <c r="AH337" s="41">
        <f>AH335*Assumptions!$B$138*Assumptions!$B$46*Assumptions!$B$30*Assumptions!$B$102</f>
        <v/>
      </c>
      <c r="AI337" s="41">
        <f>AI335*Assumptions!$B$138*Assumptions!$B$46*Assumptions!$B$30*Assumptions!$B$102</f>
        <v/>
      </c>
      <c r="AJ337" s="41">
        <f>AJ335*Assumptions!$B$138*Assumptions!$B$46*Assumptions!$B$30*Assumptions!$B$102</f>
        <v/>
      </c>
      <c r="AK337" s="41">
        <f>AK335*Assumptions!$B$138*Assumptions!$B$46*Assumptions!$B$30*Assumptions!$B$102</f>
        <v/>
      </c>
      <c r="AL337" s="41">
        <f>AL335*Assumptions!$B$138*Assumptions!$B$46*Assumptions!$B$30*Assumptions!$B$102</f>
        <v/>
      </c>
      <c r="AM337" s="41">
        <f>AM335*Assumptions!$B$138*Assumptions!$B$46*Assumptions!$B$30*Assumptions!$B$102</f>
        <v/>
      </c>
      <c r="AN337" s="41">
        <f>AN335*Assumptions!$B$138*Assumptions!$B$46*Assumptions!$B$30*Assumptions!$B$102</f>
        <v/>
      </c>
      <c r="AO337" s="41">
        <f>AO335*Assumptions!$B$138*Assumptions!$B$46*Assumptions!$B$30*Assumptions!$B$102</f>
        <v/>
      </c>
      <c r="AP337" s="41">
        <f>AP335*Assumptions!$B$138*Assumptions!$B$46*Assumptions!$B$30*Assumptions!$B$102</f>
        <v/>
      </c>
      <c r="AQ337" s="41">
        <f>AQ335*Assumptions!$B$138*Assumptions!$B$46*Assumptions!$B$30*Assumptions!$B$102</f>
        <v/>
      </c>
      <c r="AR337" s="41">
        <f>AR335*Assumptions!$B$138*Assumptions!$B$46*Assumptions!$B$30*Assumptions!$B$102</f>
        <v/>
      </c>
      <c r="AS337" s="41">
        <f>AS335*Assumptions!$B$138*Assumptions!$B$46*Assumptions!$B$30*Assumptions!$B$102</f>
        <v/>
      </c>
      <c r="AT337" s="41">
        <f>AT335*Assumptions!$B$138*Assumptions!$B$46*Assumptions!$B$30*Assumptions!$B$102</f>
        <v/>
      </c>
      <c r="AU337" s="41">
        <f>AU335*Assumptions!$B$138*Assumptions!$B$46*Assumptions!$B$30*Assumptions!$B$102</f>
        <v/>
      </c>
      <c r="AV337" s="41">
        <f>AV335*Assumptions!$B$138*Assumptions!$B$46*Assumptions!$B$30*Assumptions!$B$102</f>
        <v/>
      </c>
      <c r="AW337" s="41">
        <f>AW335*Assumptions!$B$138*Assumptions!$B$46*Assumptions!$B$30*Assumptions!$B$102</f>
        <v/>
      </c>
      <c r="AX337" s="41">
        <f>AX335*Assumptions!$B$138*Assumptions!$B$46*Assumptions!$B$30*Assumptions!$B$102</f>
        <v/>
      </c>
      <c r="AY337" s="41">
        <f>AY335*Assumptions!$B$138*Assumptions!$B$46*Assumptions!$B$30*Assumptions!$B$102</f>
        <v/>
      </c>
      <c r="AZ337" s="41">
        <f>AZ335*Assumptions!$B$138*Assumptions!$B$46*Assumptions!$B$30*Assumptions!$B$102</f>
        <v/>
      </c>
      <c r="BA337" s="41">
        <f>BA335*Assumptions!$B$138*Assumptions!$B$46*Assumptions!$B$30*Assumptions!$B$102</f>
        <v/>
      </c>
      <c r="BB337" s="41">
        <f>BB335*Assumptions!$B$138*Assumptions!$B$46*Assumptions!$B$30*Assumptions!$B$102</f>
        <v/>
      </c>
      <c r="BC337" s="41">
        <f>BC335*Assumptions!$B$138*Assumptions!$B$46*Assumptions!$B$30*Assumptions!$B$102</f>
        <v/>
      </c>
      <c r="BD337" s="41">
        <f>BD335*Assumptions!$B$138*Assumptions!$B$46*Assumptions!$B$30*Assumptions!$B$102</f>
        <v/>
      </c>
      <c r="BE337" s="41">
        <f>BE335*Assumptions!$B$138*Assumptions!$B$46*Assumptions!$B$30*Assumptions!$B$102</f>
        <v/>
      </c>
      <c r="BF337" s="41">
        <f>BF335*Assumptions!$B$138*Assumptions!$B$46*Assumptions!$B$30*Assumptions!$B$102</f>
        <v/>
      </c>
      <c r="BG337" s="41">
        <f>BG335*Assumptions!$B$138*Assumptions!$B$46*Assumptions!$B$30*Assumptions!$B$102</f>
        <v/>
      </c>
      <c r="BH337" s="41">
        <f>BH335*Assumptions!$B$138*Assumptions!$B$46*Assumptions!$B$30*Assumptions!$B$102</f>
        <v/>
      </c>
      <c r="BI337" s="41">
        <f>BI335*Assumptions!$B$138*Assumptions!$B$46*Assumptions!$B$30*Assumptions!$B$102</f>
        <v/>
      </c>
      <c r="BJ337" s="41">
        <f>BJ335*Assumptions!$B$138*Assumptions!$B$46*Assumptions!$B$30*Assumptions!$B$102</f>
        <v/>
      </c>
    </row>
    <row r="338">
      <c r="A338" s="4" t="inlineStr">
        <is>
          <t>Botswana &amp; Namibia: Solo: Micro (direct or upgraded): upgraded out</t>
        </is>
      </c>
      <c r="B338" s="17" t="inlineStr">
        <is>
          <t>workspaces</t>
        </is>
      </c>
      <c r="C338" s="41">
        <f>C335*Assumptions!$B$131</f>
        <v/>
      </c>
      <c r="D338" s="41">
        <f>D335*Assumptions!$B$131</f>
        <v/>
      </c>
      <c r="E338" s="41">
        <f>E335*Assumptions!$B$131</f>
        <v/>
      </c>
      <c r="F338" s="41">
        <f>F335*Assumptions!$B$131</f>
        <v/>
      </c>
      <c r="G338" s="41">
        <f>G335*Assumptions!$B$131</f>
        <v/>
      </c>
      <c r="H338" s="41">
        <f>H335*Assumptions!$B$131</f>
        <v/>
      </c>
      <c r="I338" s="41">
        <f>I335*Assumptions!$B$131</f>
        <v/>
      </c>
      <c r="J338" s="41">
        <f>J335*Assumptions!$B$131</f>
        <v/>
      </c>
      <c r="K338" s="41">
        <f>K335*Assumptions!$B$131</f>
        <v/>
      </c>
      <c r="L338" s="41">
        <f>L335*Assumptions!$B$131</f>
        <v/>
      </c>
      <c r="M338" s="41">
        <f>M335*Assumptions!$B$131</f>
        <v/>
      </c>
      <c r="N338" s="41">
        <f>N335*Assumptions!$B$131</f>
        <v/>
      </c>
      <c r="O338" s="41">
        <f>O335*Assumptions!$B$131</f>
        <v/>
      </c>
      <c r="P338" s="41">
        <f>P335*Assumptions!$B$131</f>
        <v/>
      </c>
      <c r="Q338" s="41">
        <f>Q335*Assumptions!$B$131</f>
        <v/>
      </c>
      <c r="R338" s="41">
        <f>R335*Assumptions!$B$131</f>
        <v/>
      </c>
      <c r="S338" s="41">
        <f>S335*Assumptions!$B$131</f>
        <v/>
      </c>
      <c r="T338" s="41">
        <f>T335*Assumptions!$B$131</f>
        <v/>
      </c>
      <c r="U338" s="41">
        <f>U335*Assumptions!$B$131</f>
        <v/>
      </c>
      <c r="V338" s="41">
        <f>V335*Assumptions!$B$131</f>
        <v/>
      </c>
      <c r="W338" s="41">
        <f>W335*Assumptions!$B$131</f>
        <v/>
      </c>
      <c r="X338" s="41">
        <f>X335*Assumptions!$B$131</f>
        <v/>
      </c>
      <c r="Y338" s="41">
        <f>Y335*Assumptions!$B$131</f>
        <v/>
      </c>
      <c r="Z338" s="41">
        <f>Z335*Assumptions!$B$131</f>
        <v/>
      </c>
      <c r="AA338" s="41">
        <f>AA335*Assumptions!$B$131</f>
        <v/>
      </c>
      <c r="AB338" s="41">
        <f>AB335*Assumptions!$B$131</f>
        <v/>
      </c>
      <c r="AC338" s="41">
        <f>AC335*Assumptions!$B$131</f>
        <v/>
      </c>
      <c r="AD338" s="41">
        <f>AD335*Assumptions!$B$131</f>
        <v/>
      </c>
      <c r="AE338" s="41">
        <f>AE335*Assumptions!$B$131</f>
        <v/>
      </c>
      <c r="AF338" s="41">
        <f>AF335*Assumptions!$B$131</f>
        <v/>
      </c>
      <c r="AG338" s="41">
        <f>AG335*Assumptions!$B$131</f>
        <v/>
      </c>
      <c r="AH338" s="41">
        <f>AH335*Assumptions!$B$131</f>
        <v/>
      </c>
      <c r="AI338" s="41">
        <f>AI335*Assumptions!$B$131</f>
        <v/>
      </c>
      <c r="AJ338" s="41">
        <f>AJ335*Assumptions!$B$131</f>
        <v/>
      </c>
      <c r="AK338" s="41">
        <f>AK335*Assumptions!$B$131</f>
        <v/>
      </c>
      <c r="AL338" s="41">
        <f>AL335*Assumptions!$B$131</f>
        <v/>
      </c>
      <c r="AM338" s="41">
        <f>AM335*Assumptions!$B$131</f>
        <v/>
      </c>
      <c r="AN338" s="41">
        <f>AN335*Assumptions!$B$131</f>
        <v/>
      </c>
      <c r="AO338" s="41">
        <f>AO335*Assumptions!$B$131</f>
        <v/>
      </c>
      <c r="AP338" s="41">
        <f>AP335*Assumptions!$B$131</f>
        <v/>
      </c>
      <c r="AQ338" s="41">
        <f>AQ335*Assumptions!$B$131</f>
        <v/>
      </c>
      <c r="AR338" s="41">
        <f>AR335*Assumptions!$B$131</f>
        <v/>
      </c>
      <c r="AS338" s="41">
        <f>AS335*Assumptions!$B$131</f>
        <v/>
      </c>
      <c r="AT338" s="41">
        <f>AT335*Assumptions!$B$131</f>
        <v/>
      </c>
      <c r="AU338" s="41">
        <f>AU335*Assumptions!$B$131</f>
        <v/>
      </c>
      <c r="AV338" s="41">
        <f>AV335*Assumptions!$B$131</f>
        <v/>
      </c>
      <c r="AW338" s="41">
        <f>AW335*Assumptions!$B$131</f>
        <v/>
      </c>
      <c r="AX338" s="41">
        <f>AX335*Assumptions!$B$131</f>
        <v/>
      </c>
      <c r="AY338" s="41">
        <f>AY335*Assumptions!$B$131</f>
        <v/>
      </c>
      <c r="AZ338" s="41">
        <f>AZ335*Assumptions!$B$131</f>
        <v/>
      </c>
      <c r="BA338" s="41">
        <f>BA335*Assumptions!$B$131</f>
        <v/>
      </c>
      <c r="BB338" s="41">
        <f>BB335*Assumptions!$B$131</f>
        <v/>
      </c>
      <c r="BC338" s="41">
        <f>BC335*Assumptions!$B$131</f>
        <v/>
      </c>
      <c r="BD338" s="41">
        <f>BD335*Assumptions!$B$131</f>
        <v/>
      </c>
      <c r="BE338" s="41">
        <f>BE335*Assumptions!$B$131</f>
        <v/>
      </c>
      <c r="BF338" s="41">
        <f>BF335*Assumptions!$B$131</f>
        <v/>
      </c>
      <c r="BG338" s="41">
        <f>BG335*Assumptions!$B$131</f>
        <v/>
      </c>
      <c r="BH338" s="41">
        <f>BH335*Assumptions!$B$131</f>
        <v/>
      </c>
      <c r="BI338" s="41">
        <f>BI335*Assumptions!$B$131</f>
        <v/>
      </c>
      <c r="BJ338" s="41">
        <f>BJ335*Assumptions!$B$131</f>
        <v/>
      </c>
    </row>
    <row r="339">
      <c r="A339" s="3" t="inlineStr">
        <is>
          <t>Botswana &amp; Namibia: Solo: Micro (direct or upgraded): closing</t>
        </is>
      </c>
      <c r="B339" s="17" t="inlineStr">
        <is>
          <t>workspaces</t>
        </is>
      </c>
      <c r="C339" s="44">
        <f>C335+C336-C337-C338</f>
        <v/>
      </c>
      <c r="D339" s="44">
        <f>D335+D336-D337-D338</f>
        <v/>
      </c>
      <c r="E339" s="44">
        <f>E335+E336-E337-E338</f>
        <v/>
      </c>
      <c r="F339" s="44">
        <f>F335+F336-F337-F338</f>
        <v/>
      </c>
      <c r="G339" s="44">
        <f>G335+G336-G337-G338</f>
        <v/>
      </c>
      <c r="H339" s="44">
        <f>H335+H336-H337-H338</f>
        <v/>
      </c>
      <c r="I339" s="44">
        <f>I335+I336-I337-I338</f>
        <v/>
      </c>
      <c r="J339" s="44">
        <f>J335+J336-J337-J338</f>
        <v/>
      </c>
      <c r="K339" s="44">
        <f>K335+K336-K337-K338</f>
        <v/>
      </c>
      <c r="L339" s="44">
        <f>L335+L336-L337-L338</f>
        <v/>
      </c>
      <c r="M339" s="44">
        <f>M335+M336-M337-M338</f>
        <v/>
      </c>
      <c r="N339" s="44">
        <f>N335+N336-N337-N338</f>
        <v/>
      </c>
      <c r="O339" s="44">
        <f>O335+O336-O337-O338</f>
        <v/>
      </c>
      <c r="P339" s="44">
        <f>P335+P336-P337-P338</f>
        <v/>
      </c>
      <c r="Q339" s="44">
        <f>Q335+Q336-Q337-Q338</f>
        <v/>
      </c>
      <c r="R339" s="44">
        <f>R335+R336-R337-R338</f>
        <v/>
      </c>
      <c r="S339" s="44">
        <f>S335+S336-S337-S338</f>
        <v/>
      </c>
      <c r="T339" s="44">
        <f>T335+T336-T337-T338</f>
        <v/>
      </c>
      <c r="U339" s="44">
        <f>U335+U336-U337-U338</f>
        <v/>
      </c>
      <c r="V339" s="44">
        <f>V335+V336-V337-V338</f>
        <v/>
      </c>
      <c r="W339" s="44">
        <f>W335+W336-W337-W338</f>
        <v/>
      </c>
      <c r="X339" s="44">
        <f>X335+X336-X337-X338</f>
        <v/>
      </c>
      <c r="Y339" s="44">
        <f>Y335+Y336-Y337-Y338</f>
        <v/>
      </c>
      <c r="Z339" s="44">
        <f>Z335+Z336-Z337-Z338</f>
        <v/>
      </c>
      <c r="AA339" s="44">
        <f>AA335+AA336-AA337-AA338</f>
        <v/>
      </c>
      <c r="AB339" s="44">
        <f>AB335+AB336-AB337-AB338</f>
        <v/>
      </c>
      <c r="AC339" s="44">
        <f>AC335+AC336-AC337-AC338</f>
        <v/>
      </c>
      <c r="AD339" s="44">
        <f>AD335+AD336-AD337-AD338</f>
        <v/>
      </c>
      <c r="AE339" s="44">
        <f>AE335+AE336-AE337-AE338</f>
        <v/>
      </c>
      <c r="AF339" s="44">
        <f>AF335+AF336-AF337-AF338</f>
        <v/>
      </c>
      <c r="AG339" s="44">
        <f>AG335+AG336-AG337-AG338</f>
        <v/>
      </c>
      <c r="AH339" s="44">
        <f>AH335+AH336-AH337-AH338</f>
        <v/>
      </c>
      <c r="AI339" s="44">
        <f>AI335+AI336-AI337-AI338</f>
        <v/>
      </c>
      <c r="AJ339" s="44">
        <f>AJ335+AJ336-AJ337-AJ338</f>
        <v/>
      </c>
      <c r="AK339" s="44">
        <f>AK335+AK336-AK337-AK338</f>
        <v/>
      </c>
      <c r="AL339" s="44">
        <f>AL335+AL336-AL337-AL338</f>
        <v/>
      </c>
      <c r="AM339" s="44">
        <f>AM335+AM336-AM337-AM338</f>
        <v/>
      </c>
      <c r="AN339" s="44">
        <f>AN335+AN336-AN337-AN338</f>
        <v/>
      </c>
      <c r="AO339" s="44">
        <f>AO335+AO336-AO337-AO338</f>
        <v/>
      </c>
      <c r="AP339" s="44">
        <f>AP335+AP336-AP337-AP338</f>
        <v/>
      </c>
      <c r="AQ339" s="44">
        <f>AQ335+AQ336-AQ337-AQ338</f>
        <v/>
      </c>
      <c r="AR339" s="44">
        <f>AR335+AR336-AR337-AR338</f>
        <v/>
      </c>
      <c r="AS339" s="44">
        <f>AS335+AS336-AS337-AS338</f>
        <v/>
      </c>
      <c r="AT339" s="44">
        <f>AT335+AT336-AT337-AT338</f>
        <v/>
      </c>
      <c r="AU339" s="44">
        <f>AU335+AU336-AU337-AU338</f>
        <v/>
      </c>
      <c r="AV339" s="44">
        <f>AV335+AV336-AV337-AV338</f>
        <v/>
      </c>
      <c r="AW339" s="44">
        <f>AW335+AW336-AW337-AW338</f>
        <v/>
      </c>
      <c r="AX339" s="44">
        <f>AX335+AX336-AX337-AX338</f>
        <v/>
      </c>
      <c r="AY339" s="44">
        <f>AY335+AY336-AY337-AY338</f>
        <v/>
      </c>
      <c r="AZ339" s="44">
        <f>AZ335+AZ336-AZ337-AZ338</f>
        <v/>
      </c>
      <c r="BA339" s="44">
        <f>BA335+BA336-BA337-BA338</f>
        <v/>
      </c>
      <c r="BB339" s="44">
        <f>BB335+BB336-BB337-BB338</f>
        <v/>
      </c>
      <c r="BC339" s="44">
        <f>BC335+BC336-BC337-BC338</f>
        <v/>
      </c>
      <c r="BD339" s="44">
        <f>BD335+BD336-BD337-BD338</f>
        <v/>
      </c>
      <c r="BE339" s="44">
        <f>BE335+BE336-BE337-BE338</f>
        <v/>
      </c>
      <c r="BF339" s="44">
        <f>BF335+BF336-BF337-BF338</f>
        <v/>
      </c>
      <c r="BG339" s="44">
        <f>BG335+BG336-BG337-BG338</f>
        <v/>
      </c>
      <c r="BH339" s="44">
        <f>BH335+BH336-BH337-BH338</f>
        <v/>
      </c>
      <c r="BI339" s="44">
        <f>BI335+BI336-BI337-BI338</f>
        <v/>
      </c>
      <c r="BJ339" s="44">
        <f>BJ335+BJ336-BJ337-BJ338</f>
        <v/>
      </c>
    </row>
    <row r="340">
      <c r="A340" s="4" t="inlineStr">
        <is>
          <t>Botswana &amp; Namibia: Solo: Starter (direct or upgraded): opening</t>
        </is>
      </c>
      <c r="B340" s="17" t="inlineStr">
        <is>
          <t>workspaces</t>
        </is>
      </c>
      <c r="C340" s="41">
        <f>0</f>
        <v/>
      </c>
      <c r="D340" s="41">
        <f>C343</f>
        <v/>
      </c>
      <c r="E340" s="41">
        <f>D343</f>
        <v/>
      </c>
      <c r="F340" s="41">
        <f>E343</f>
        <v/>
      </c>
      <c r="G340" s="41">
        <f>F343</f>
        <v/>
      </c>
      <c r="H340" s="41">
        <f>G343</f>
        <v/>
      </c>
      <c r="I340" s="41">
        <f>H343</f>
        <v/>
      </c>
      <c r="J340" s="41">
        <f>I343</f>
        <v/>
      </c>
      <c r="K340" s="41">
        <f>J343</f>
        <v/>
      </c>
      <c r="L340" s="41">
        <f>K343</f>
        <v/>
      </c>
      <c r="M340" s="41">
        <f>L343</f>
        <v/>
      </c>
      <c r="N340" s="41">
        <f>M343</f>
        <v/>
      </c>
      <c r="O340" s="41">
        <f>N343</f>
        <v/>
      </c>
      <c r="P340" s="41">
        <f>O343</f>
        <v/>
      </c>
      <c r="Q340" s="41">
        <f>P343</f>
        <v/>
      </c>
      <c r="R340" s="41">
        <f>Q343</f>
        <v/>
      </c>
      <c r="S340" s="41">
        <f>R343</f>
        <v/>
      </c>
      <c r="T340" s="41">
        <f>S343</f>
        <v/>
      </c>
      <c r="U340" s="41">
        <f>T343</f>
        <v/>
      </c>
      <c r="V340" s="41">
        <f>U343</f>
        <v/>
      </c>
      <c r="W340" s="41">
        <f>V343</f>
        <v/>
      </c>
      <c r="X340" s="41">
        <f>W343</f>
        <v/>
      </c>
      <c r="Y340" s="41">
        <f>X343</f>
        <v/>
      </c>
      <c r="Z340" s="41">
        <f>Y343</f>
        <v/>
      </c>
      <c r="AA340" s="41">
        <f>Z343</f>
        <v/>
      </c>
      <c r="AB340" s="41">
        <f>AA343</f>
        <v/>
      </c>
      <c r="AC340" s="41">
        <f>AB343</f>
        <v/>
      </c>
      <c r="AD340" s="41">
        <f>AC343</f>
        <v/>
      </c>
      <c r="AE340" s="41">
        <f>AD343</f>
        <v/>
      </c>
      <c r="AF340" s="41">
        <f>AE343</f>
        <v/>
      </c>
      <c r="AG340" s="41">
        <f>AF343</f>
        <v/>
      </c>
      <c r="AH340" s="41">
        <f>AG343</f>
        <v/>
      </c>
      <c r="AI340" s="41">
        <f>AH343</f>
        <v/>
      </c>
      <c r="AJ340" s="41">
        <f>AI343</f>
        <v/>
      </c>
      <c r="AK340" s="41">
        <f>AJ343</f>
        <v/>
      </c>
      <c r="AL340" s="41">
        <f>AK343</f>
        <v/>
      </c>
      <c r="AM340" s="41">
        <f>AL343</f>
        <v/>
      </c>
      <c r="AN340" s="41">
        <f>AM343</f>
        <v/>
      </c>
      <c r="AO340" s="41">
        <f>AN343</f>
        <v/>
      </c>
      <c r="AP340" s="41">
        <f>AO343</f>
        <v/>
      </c>
      <c r="AQ340" s="41">
        <f>AP343</f>
        <v/>
      </c>
      <c r="AR340" s="41">
        <f>AQ343</f>
        <v/>
      </c>
      <c r="AS340" s="41">
        <f>AR343</f>
        <v/>
      </c>
      <c r="AT340" s="41">
        <f>AS343</f>
        <v/>
      </c>
      <c r="AU340" s="41">
        <f>AT343</f>
        <v/>
      </c>
      <c r="AV340" s="41">
        <f>AU343</f>
        <v/>
      </c>
      <c r="AW340" s="41">
        <f>AV343</f>
        <v/>
      </c>
      <c r="AX340" s="41">
        <f>AW343</f>
        <v/>
      </c>
      <c r="AY340" s="41">
        <f>AX343</f>
        <v/>
      </c>
      <c r="AZ340" s="41">
        <f>AY343</f>
        <v/>
      </c>
      <c r="BA340" s="41">
        <f>AZ343</f>
        <v/>
      </c>
      <c r="BB340" s="41">
        <f>BA343</f>
        <v/>
      </c>
      <c r="BC340" s="41">
        <f>BB343</f>
        <v/>
      </c>
      <c r="BD340" s="41">
        <f>BC343</f>
        <v/>
      </c>
      <c r="BE340" s="41">
        <f>BD343</f>
        <v/>
      </c>
      <c r="BF340" s="41">
        <f>BE343</f>
        <v/>
      </c>
      <c r="BG340" s="41">
        <f>BF343</f>
        <v/>
      </c>
      <c r="BH340" s="41">
        <f>BG343</f>
        <v/>
      </c>
      <c r="BI340" s="41">
        <f>BH343</f>
        <v/>
      </c>
      <c r="BJ340" s="41">
        <f>BI343</f>
        <v/>
      </c>
    </row>
    <row r="341">
      <c r="A341" s="4" t="inlineStr">
        <is>
          <t>Botswana &amp; Namibia: Solo: Starter (direct or upgraded): new</t>
        </is>
      </c>
      <c r="B341" s="17" t="inlineStr">
        <is>
          <t>workspaces</t>
        </is>
      </c>
      <c r="C341" s="41">
        <f>C156*Assumptions!$B$126+C338</f>
        <v/>
      </c>
      <c r="D341" s="41">
        <f>D156*Assumptions!$B$126+D338</f>
        <v/>
      </c>
      <c r="E341" s="41">
        <f>E156*Assumptions!$B$126+E338</f>
        <v/>
      </c>
      <c r="F341" s="41">
        <f>F156*Assumptions!$B$126+F338</f>
        <v/>
      </c>
      <c r="G341" s="41">
        <f>G156*Assumptions!$B$126+G338</f>
        <v/>
      </c>
      <c r="H341" s="41">
        <f>H156*Assumptions!$B$126+H338</f>
        <v/>
      </c>
      <c r="I341" s="41">
        <f>I156*Assumptions!$B$126+I338</f>
        <v/>
      </c>
      <c r="J341" s="41">
        <f>J156*Assumptions!$B$126+J338</f>
        <v/>
      </c>
      <c r="K341" s="41">
        <f>K156*Assumptions!$B$126+K338</f>
        <v/>
      </c>
      <c r="L341" s="41">
        <f>L156*Assumptions!$B$126+L338</f>
        <v/>
      </c>
      <c r="M341" s="41">
        <f>M156*Assumptions!$B$126+M338</f>
        <v/>
      </c>
      <c r="N341" s="41">
        <f>N156*Assumptions!$B$126+N338</f>
        <v/>
      </c>
      <c r="O341" s="41">
        <f>O156*Assumptions!$B$126+O338</f>
        <v/>
      </c>
      <c r="P341" s="41">
        <f>P156*Assumptions!$B$126+P338</f>
        <v/>
      </c>
      <c r="Q341" s="41">
        <f>Q156*Assumptions!$B$126+Q338</f>
        <v/>
      </c>
      <c r="R341" s="41">
        <f>R156*Assumptions!$B$126+R338</f>
        <v/>
      </c>
      <c r="S341" s="41">
        <f>S156*Assumptions!$B$126+S338</f>
        <v/>
      </c>
      <c r="T341" s="41">
        <f>T156*Assumptions!$B$126+T338</f>
        <v/>
      </c>
      <c r="U341" s="41">
        <f>U156*Assumptions!$B$126+U338</f>
        <v/>
      </c>
      <c r="V341" s="41">
        <f>V156*Assumptions!$B$126+V338</f>
        <v/>
      </c>
      <c r="W341" s="41">
        <f>W156*Assumptions!$B$126+W338</f>
        <v/>
      </c>
      <c r="X341" s="41">
        <f>X156*Assumptions!$B$126+X338</f>
        <v/>
      </c>
      <c r="Y341" s="41">
        <f>Y156*Assumptions!$B$126+Y338</f>
        <v/>
      </c>
      <c r="Z341" s="41">
        <f>Z156*Assumptions!$B$126+Z338</f>
        <v/>
      </c>
      <c r="AA341" s="41">
        <f>AA156*Assumptions!$B$126+AA338</f>
        <v/>
      </c>
      <c r="AB341" s="41">
        <f>AB156*Assumptions!$B$126+AB338</f>
        <v/>
      </c>
      <c r="AC341" s="41">
        <f>AC156*Assumptions!$B$126+AC338</f>
        <v/>
      </c>
      <c r="AD341" s="41">
        <f>AD156*Assumptions!$B$126+AD338</f>
        <v/>
      </c>
      <c r="AE341" s="41">
        <f>AE156*Assumptions!$B$126+AE338</f>
        <v/>
      </c>
      <c r="AF341" s="41">
        <f>AF156*Assumptions!$B$126+AF338</f>
        <v/>
      </c>
      <c r="AG341" s="41">
        <f>AG156*Assumptions!$B$126+AG338</f>
        <v/>
      </c>
      <c r="AH341" s="41">
        <f>AH156*Assumptions!$B$126+AH338</f>
        <v/>
      </c>
      <c r="AI341" s="41">
        <f>AI156*Assumptions!$B$126+AI338</f>
        <v/>
      </c>
      <c r="AJ341" s="41">
        <f>AJ156*Assumptions!$B$126+AJ338</f>
        <v/>
      </c>
      <c r="AK341" s="41">
        <f>AK156*Assumptions!$B$126+AK338</f>
        <v/>
      </c>
      <c r="AL341" s="41">
        <f>AL156*Assumptions!$B$126+AL338</f>
        <v/>
      </c>
      <c r="AM341" s="41">
        <f>AM156*Assumptions!$B$126+AM338</f>
        <v/>
      </c>
      <c r="AN341" s="41">
        <f>AN156*Assumptions!$B$126+AN338</f>
        <v/>
      </c>
      <c r="AO341" s="41">
        <f>AO156*Assumptions!$B$126+AO338</f>
        <v/>
      </c>
      <c r="AP341" s="41">
        <f>AP156*Assumptions!$B$126+AP338</f>
        <v/>
      </c>
      <c r="AQ341" s="41">
        <f>AQ156*Assumptions!$B$126+AQ338</f>
        <v/>
      </c>
      <c r="AR341" s="41">
        <f>AR156*Assumptions!$B$126+AR338</f>
        <v/>
      </c>
      <c r="AS341" s="41">
        <f>AS156*Assumptions!$B$126+AS338</f>
        <v/>
      </c>
      <c r="AT341" s="41">
        <f>AT156*Assumptions!$B$126+AT338</f>
        <v/>
      </c>
      <c r="AU341" s="41">
        <f>AU156*Assumptions!$B$126+AU338</f>
        <v/>
      </c>
      <c r="AV341" s="41">
        <f>AV156*Assumptions!$B$126+AV338</f>
        <v/>
      </c>
      <c r="AW341" s="41">
        <f>AW156*Assumptions!$B$126+AW338</f>
        <v/>
      </c>
      <c r="AX341" s="41">
        <f>AX156*Assumptions!$B$126+AX338</f>
        <v/>
      </c>
      <c r="AY341" s="41">
        <f>AY156*Assumptions!$B$126+AY338</f>
        <v/>
      </c>
      <c r="AZ341" s="41">
        <f>AZ156*Assumptions!$B$126+AZ338</f>
        <v/>
      </c>
      <c r="BA341" s="41">
        <f>BA156*Assumptions!$B$126+BA338</f>
        <v/>
      </c>
      <c r="BB341" s="41">
        <f>BB156*Assumptions!$B$126+BB338</f>
        <v/>
      </c>
      <c r="BC341" s="41">
        <f>BC156*Assumptions!$B$126+BC338</f>
        <v/>
      </c>
      <c r="BD341" s="41">
        <f>BD156*Assumptions!$B$126+BD338</f>
        <v/>
      </c>
      <c r="BE341" s="41">
        <f>BE156*Assumptions!$B$126+BE338</f>
        <v/>
      </c>
      <c r="BF341" s="41">
        <f>BF156*Assumptions!$B$126+BF338</f>
        <v/>
      </c>
      <c r="BG341" s="41">
        <f>BG156*Assumptions!$B$126+BG338</f>
        <v/>
      </c>
      <c r="BH341" s="41">
        <f>BH156*Assumptions!$B$126+BH338</f>
        <v/>
      </c>
      <c r="BI341" s="41">
        <f>BI156*Assumptions!$B$126+BI338</f>
        <v/>
      </c>
      <c r="BJ341" s="41">
        <f>BJ156*Assumptions!$B$126+BJ338</f>
        <v/>
      </c>
    </row>
    <row r="342">
      <c r="A342" s="4" t="inlineStr">
        <is>
          <t>Botswana &amp; Namibia: Solo: Starter (direct or upgraded): churned</t>
        </is>
      </c>
      <c r="B342" s="17" t="inlineStr">
        <is>
          <t>workspaces</t>
        </is>
      </c>
      <c r="C342" s="41">
        <f>C340*Assumptions!$B$139*Assumptions!$B$46*Assumptions!$B$30*Assumptions!$B$102</f>
        <v/>
      </c>
      <c r="D342" s="41">
        <f>D340*Assumptions!$B$139*Assumptions!$B$46*Assumptions!$B$30*Assumptions!$B$102</f>
        <v/>
      </c>
      <c r="E342" s="41">
        <f>E340*Assumptions!$B$139*Assumptions!$B$46*Assumptions!$B$30*Assumptions!$B$102</f>
        <v/>
      </c>
      <c r="F342" s="41">
        <f>F340*Assumptions!$B$139*Assumptions!$B$46*Assumptions!$B$30*Assumptions!$B$102</f>
        <v/>
      </c>
      <c r="G342" s="41">
        <f>G340*Assumptions!$B$139*Assumptions!$B$46*Assumptions!$B$30*Assumptions!$B$102</f>
        <v/>
      </c>
      <c r="H342" s="41">
        <f>H340*Assumptions!$B$139*Assumptions!$B$46*Assumptions!$B$30*Assumptions!$B$102</f>
        <v/>
      </c>
      <c r="I342" s="41">
        <f>I340*Assumptions!$B$139*Assumptions!$B$46*Assumptions!$B$30*Assumptions!$B$102</f>
        <v/>
      </c>
      <c r="J342" s="41">
        <f>J340*Assumptions!$B$139*Assumptions!$B$46*Assumptions!$B$30*Assumptions!$B$102</f>
        <v/>
      </c>
      <c r="K342" s="41">
        <f>K340*Assumptions!$B$139*Assumptions!$B$46*Assumptions!$B$30*Assumptions!$B$102</f>
        <v/>
      </c>
      <c r="L342" s="41">
        <f>L340*Assumptions!$B$139*Assumptions!$B$46*Assumptions!$B$30*Assumptions!$B$102</f>
        <v/>
      </c>
      <c r="M342" s="41">
        <f>M340*Assumptions!$B$139*Assumptions!$B$46*Assumptions!$B$30*Assumptions!$B$102</f>
        <v/>
      </c>
      <c r="N342" s="41">
        <f>N340*Assumptions!$B$139*Assumptions!$B$46*Assumptions!$B$30*Assumptions!$B$102</f>
        <v/>
      </c>
      <c r="O342" s="41">
        <f>O340*Assumptions!$B$139*Assumptions!$B$46*Assumptions!$B$30*Assumptions!$B$102</f>
        <v/>
      </c>
      <c r="P342" s="41">
        <f>P340*Assumptions!$B$139*Assumptions!$B$46*Assumptions!$B$30*Assumptions!$B$102</f>
        <v/>
      </c>
      <c r="Q342" s="41">
        <f>Q340*Assumptions!$B$139*Assumptions!$B$46*Assumptions!$B$30*Assumptions!$B$102</f>
        <v/>
      </c>
      <c r="R342" s="41">
        <f>R340*Assumptions!$B$139*Assumptions!$B$46*Assumptions!$B$30*Assumptions!$B$102</f>
        <v/>
      </c>
      <c r="S342" s="41">
        <f>S340*Assumptions!$B$139*Assumptions!$B$46*Assumptions!$B$30*Assumptions!$B$102</f>
        <v/>
      </c>
      <c r="T342" s="41">
        <f>T340*Assumptions!$B$139*Assumptions!$B$46*Assumptions!$B$30*Assumptions!$B$102</f>
        <v/>
      </c>
      <c r="U342" s="41">
        <f>U340*Assumptions!$B$139*Assumptions!$B$46*Assumptions!$B$30*Assumptions!$B$102</f>
        <v/>
      </c>
      <c r="V342" s="41">
        <f>V340*Assumptions!$B$139*Assumptions!$B$46*Assumptions!$B$30*Assumptions!$B$102</f>
        <v/>
      </c>
      <c r="W342" s="41">
        <f>W340*Assumptions!$B$139*Assumptions!$B$46*Assumptions!$B$30*Assumptions!$B$102</f>
        <v/>
      </c>
      <c r="X342" s="41">
        <f>X340*Assumptions!$B$139*Assumptions!$B$46*Assumptions!$B$30*Assumptions!$B$102</f>
        <v/>
      </c>
      <c r="Y342" s="41">
        <f>Y340*Assumptions!$B$139*Assumptions!$B$46*Assumptions!$B$30*Assumptions!$B$102</f>
        <v/>
      </c>
      <c r="Z342" s="41">
        <f>Z340*Assumptions!$B$139*Assumptions!$B$46*Assumptions!$B$30*Assumptions!$B$102</f>
        <v/>
      </c>
      <c r="AA342" s="41">
        <f>AA340*Assumptions!$B$139*Assumptions!$B$46*Assumptions!$B$30*Assumptions!$B$102</f>
        <v/>
      </c>
      <c r="AB342" s="41">
        <f>AB340*Assumptions!$B$139*Assumptions!$B$46*Assumptions!$B$30*Assumptions!$B$102</f>
        <v/>
      </c>
      <c r="AC342" s="41">
        <f>AC340*Assumptions!$B$139*Assumptions!$B$46*Assumptions!$B$30*Assumptions!$B$102</f>
        <v/>
      </c>
      <c r="AD342" s="41">
        <f>AD340*Assumptions!$B$139*Assumptions!$B$46*Assumptions!$B$30*Assumptions!$B$102</f>
        <v/>
      </c>
      <c r="AE342" s="41">
        <f>AE340*Assumptions!$B$139*Assumptions!$B$46*Assumptions!$B$30*Assumptions!$B$102</f>
        <v/>
      </c>
      <c r="AF342" s="41">
        <f>AF340*Assumptions!$B$139*Assumptions!$B$46*Assumptions!$B$30*Assumptions!$B$102</f>
        <v/>
      </c>
      <c r="AG342" s="41">
        <f>AG340*Assumptions!$B$139*Assumptions!$B$46*Assumptions!$B$30*Assumptions!$B$102</f>
        <v/>
      </c>
      <c r="AH342" s="41">
        <f>AH340*Assumptions!$B$139*Assumptions!$B$46*Assumptions!$B$30*Assumptions!$B$102</f>
        <v/>
      </c>
      <c r="AI342" s="41">
        <f>AI340*Assumptions!$B$139*Assumptions!$B$46*Assumptions!$B$30*Assumptions!$B$102</f>
        <v/>
      </c>
      <c r="AJ342" s="41">
        <f>AJ340*Assumptions!$B$139*Assumptions!$B$46*Assumptions!$B$30*Assumptions!$B$102</f>
        <v/>
      </c>
      <c r="AK342" s="41">
        <f>AK340*Assumptions!$B$139*Assumptions!$B$46*Assumptions!$B$30*Assumptions!$B$102</f>
        <v/>
      </c>
      <c r="AL342" s="41">
        <f>AL340*Assumptions!$B$139*Assumptions!$B$46*Assumptions!$B$30*Assumptions!$B$102</f>
        <v/>
      </c>
      <c r="AM342" s="41">
        <f>AM340*Assumptions!$B$139*Assumptions!$B$46*Assumptions!$B$30*Assumptions!$B$102</f>
        <v/>
      </c>
      <c r="AN342" s="41">
        <f>AN340*Assumptions!$B$139*Assumptions!$B$46*Assumptions!$B$30*Assumptions!$B$102</f>
        <v/>
      </c>
      <c r="AO342" s="41">
        <f>AO340*Assumptions!$B$139*Assumptions!$B$46*Assumptions!$B$30*Assumptions!$B$102</f>
        <v/>
      </c>
      <c r="AP342" s="41">
        <f>AP340*Assumptions!$B$139*Assumptions!$B$46*Assumptions!$B$30*Assumptions!$B$102</f>
        <v/>
      </c>
      <c r="AQ342" s="41">
        <f>AQ340*Assumptions!$B$139*Assumptions!$B$46*Assumptions!$B$30*Assumptions!$B$102</f>
        <v/>
      </c>
      <c r="AR342" s="41">
        <f>AR340*Assumptions!$B$139*Assumptions!$B$46*Assumptions!$B$30*Assumptions!$B$102</f>
        <v/>
      </c>
      <c r="AS342" s="41">
        <f>AS340*Assumptions!$B$139*Assumptions!$B$46*Assumptions!$B$30*Assumptions!$B$102</f>
        <v/>
      </c>
      <c r="AT342" s="41">
        <f>AT340*Assumptions!$B$139*Assumptions!$B$46*Assumptions!$B$30*Assumptions!$B$102</f>
        <v/>
      </c>
      <c r="AU342" s="41">
        <f>AU340*Assumptions!$B$139*Assumptions!$B$46*Assumptions!$B$30*Assumptions!$B$102</f>
        <v/>
      </c>
      <c r="AV342" s="41">
        <f>AV340*Assumptions!$B$139*Assumptions!$B$46*Assumptions!$B$30*Assumptions!$B$102</f>
        <v/>
      </c>
      <c r="AW342" s="41">
        <f>AW340*Assumptions!$B$139*Assumptions!$B$46*Assumptions!$B$30*Assumptions!$B$102</f>
        <v/>
      </c>
      <c r="AX342" s="41">
        <f>AX340*Assumptions!$B$139*Assumptions!$B$46*Assumptions!$B$30*Assumptions!$B$102</f>
        <v/>
      </c>
      <c r="AY342" s="41">
        <f>AY340*Assumptions!$B$139*Assumptions!$B$46*Assumptions!$B$30*Assumptions!$B$102</f>
        <v/>
      </c>
      <c r="AZ342" s="41">
        <f>AZ340*Assumptions!$B$139*Assumptions!$B$46*Assumptions!$B$30*Assumptions!$B$102</f>
        <v/>
      </c>
      <c r="BA342" s="41">
        <f>BA340*Assumptions!$B$139*Assumptions!$B$46*Assumptions!$B$30*Assumptions!$B$102</f>
        <v/>
      </c>
      <c r="BB342" s="41">
        <f>BB340*Assumptions!$B$139*Assumptions!$B$46*Assumptions!$B$30*Assumptions!$B$102</f>
        <v/>
      </c>
      <c r="BC342" s="41">
        <f>BC340*Assumptions!$B$139*Assumptions!$B$46*Assumptions!$B$30*Assumptions!$B$102</f>
        <v/>
      </c>
      <c r="BD342" s="41">
        <f>BD340*Assumptions!$B$139*Assumptions!$B$46*Assumptions!$B$30*Assumptions!$B$102</f>
        <v/>
      </c>
      <c r="BE342" s="41">
        <f>BE340*Assumptions!$B$139*Assumptions!$B$46*Assumptions!$B$30*Assumptions!$B$102</f>
        <v/>
      </c>
      <c r="BF342" s="41">
        <f>BF340*Assumptions!$B$139*Assumptions!$B$46*Assumptions!$B$30*Assumptions!$B$102</f>
        <v/>
      </c>
      <c r="BG342" s="41">
        <f>BG340*Assumptions!$B$139*Assumptions!$B$46*Assumptions!$B$30*Assumptions!$B$102</f>
        <v/>
      </c>
      <c r="BH342" s="41">
        <f>BH340*Assumptions!$B$139*Assumptions!$B$46*Assumptions!$B$30*Assumptions!$B$102</f>
        <v/>
      </c>
      <c r="BI342" s="41">
        <f>BI340*Assumptions!$B$139*Assumptions!$B$46*Assumptions!$B$30*Assumptions!$B$102</f>
        <v/>
      </c>
      <c r="BJ342" s="41">
        <f>BJ340*Assumptions!$B$139*Assumptions!$B$46*Assumptions!$B$30*Assumptions!$B$102</f>
        <v/>
      </c>
    </row>
    <row r="343">
      <c r="A343" s="3" t="inlineStr">
        <is>
          <t>Botswana &amp; Namibia: Solo: Starter (direct or upgraded): closing</t>
        </is>
      </c>
      <c r="B343" s="17" t="inlineStr">
        <is>
          <t>workspaces</t>
        </is>
      </c>
      <c r="C343" s="44">
        <f>C340+C341-C342</f>
        <v/>
      </c>
      <c r="D343" s="44">
        <f>D340+D341-D342</f>
        <v/>
      </c>
      <c r="E343" s="44">
        <f>E340+E341-E342</f>
        <v/>
      </c>
      <c r="F343" s="44">
        <f>F340+F341-F342</f>
        <v/>
      </c>
      <c r="G343" s="44">
        <f>G340+G341-G342</f>
        <v/>
      </c>
      <c r="H343" s="44">
        <f>H340+H341-H342</f>
        <v/>
      </c>
      <c r="I343" s="44">
        <f>I340+I341-I342</f>
        <v/>
      </c>
      <c r="J343" s="44">
        <f>J340+J341-J342</f>
        <v/>
      </c>
      <c r="K343" s="44">
        <f>K340+K341-K342</f>
        <v/>
      </c>
      <c r="L343" s="44">
        <f>L340+L341-L342</f>
        <v/>
      </c>
      <c r="M343" s="44">
        <f>M340+M341-M342</f>
        <v/>
      </c>
      <c r="N343" s="44">
        <f>N340+N341-N342</f>
        <v/>
      </c>
      <c r="O343" s="44">
        <f>O340+O341-O342</f>
        <v/>
      </c>
      <c r="P343" s="44">
        <f>P340+P341-P342</f>
        <v/>
      </c>
      <c r="Q343" s="44">
        <f>Q340+Q341-Q342</f>
        <v/>
      </c>
      <c r="R343" s="44">
        <f>R340+R341-R342</f>
        <v/>
      </c>
      <c r="S343" s="44">
        <f>S340+S341-S342</f>
        <v/>
      </c>
      <c r="T343" s="44">
        <f>T340+T341-T342</f>
        <v/>
      </c>
      <c r="U343" s="44">
        <f>U340+U341-U342</f>
        <v/>
      </c>
      <c r="V343" s="44">
        <f>V340+V341-V342</f>
        <v/>
      </c>
      <c r="W343" s="44">
        <f>W340+W341-W342</f>
        <v/>
      </c>
      <c r="X343" s="44">
        <f>X340+X341-X342</f>
        <v/>
      </c>
      <c r="Y343" s="44">
        <f>Y340+Y341-Y342</f>
        <v/>
      </c>
      <c r="Z343" s="44">
        <f>Z340+Z341-Z342</f>
        <v/>
      </c>
      <c r="AA343" s="44">
        <f>AA340+AA341-AA342</f>
        <v/>
      </c>
      <c r="AB343" s="44">
        <f>AB340+AB341-AB342</f>
        <v/>
      </c>
      <c r="AC343" s="44">
        <f>AC340+AC341-AC342</f>
        <v/>
      </c>
      <c r="AD343" s="44">
        <f>AD340+AD341-AD342</f>
        <v/>
      </c>
      <c r="AE343" s="44">
        <f>AE340+AE341-AE342</f>
        <v/>
      </c>
      <c r="AF343" s="44">
        <f>AF340+AF341-AF342</f>
        <v/>
      </c>
      <c r="AG343" s="44">
        <f>AG340+AG341-AG342</f>
        <v/>
      </c>
      <c r="AH343" s="44">
        <f>AH340+AH341-AH342</f>
        <v/>
      </c>
      <c r="AI343" s="44">
        <f>AI340+AI341-AI342</f>
        <v/>
      </c>
      <c r="AJ343" s="44">
        <f>AJ340+AJ341-AJ342</f>
        <v/>
      </c>
      <c r="AK343" s="44">
        <f>AK340+AK341-AK342</f>
        <v/>
      </c>
      <c r="AL343" s="44">
        <f>AL340+AL341-AL342</f>
        <v/>
      </c>
      <c r="AM343" s="44">
        <f>AM340+AM341-AM342</f>
        <v/>
      </c>
      <c r="AN343" s="44">
        <f>AN340+AN341-AN342</f>
        <v/>
      </c>
      <c r="AO343" s="44">
        <f>AO340+AO341-AO342</f>
        <v/>
      </c>
      <c r="AP343" s="44">
        <f>AP340+AP341-AP342</f>
        <v/>
      </c>
      <c r="AQ343" s="44">
        <f>AQ340+AQ341-AQ342</f>
        <v/>
      </c>
      <c r="AR343" s="44">
        <f>AR340+AR341-AR342</f>
        <v/>
      </c>
      <c r="AS343" s="44">
        <f>AS340+AS341-AS342</f>
        <v/>
      </c>
      <c r="AT343" s="44">
        <f>AT340+AT341-AT342</f>
        <v/>
      </c>
      <c r="AU343" s="44">
        <f>AU340+AU341-AU342</f>
        <v/>
      </c>
      <c r="AV343" s="44">
        <f>AV340+AV341-AV342</f>
        <v/>
      </c>
      <c r="AW343" s="44">
        <f>AW340+AW341-AW342</f>
        <v/>
      </c>
      <c r="AX343" s="44">
        <f>AX340+AX341-AX342</f>
        <v/>
      </c>
      <c r="AY343" s="44">
        <f>AY340+AY341-AY342</f>
        <v/>
      </c>
      <c r="AZ343" s="44">
        <f>AZ340+AZ341-AZ342</f>
        <v/>
      </c>
      <c r="BA343" s="44">
        <f>BA340+BA341-BA342</f>
        <v/>
      </c>
      <c r="BB343" s="44">
        <f>BB340+BB341-BB342</f>
        <v/>
      </c>
      <c r="BC343" s="44">
        <f>BC340+BC341-BC342</f>
        <v/>
      </c>
      <c r="BD343" s="44">
        <f>BD340+BD341-BD342</f>
        <v/>
      </c>
      <c r="BE343" s="44">
        <f>BE340+BE341-BE342</f>
        <v/>
      </c>
      <c r="BF343" s="44">
        <f>BF340+BF341-BF342</f>
        <v/>
      </c>
      <c r="BG343" s="44">
        <f>BG340+BG341-BG342</f>
        <v/>
      </c>
      <c r="BH343" s="44">
        <f>BH340+BH341-BH342</f>
        <v/>
      </c>
      <c r="BI343" s="44">
        <f>BI340+BI341-BI342</f>
        <v/>
      </c>
      <c r="BJ343" s="44">
        <f>BJ340+BJ341-BJ342</f>
        <v/>
      </c>
    </row>
    <row r="344">
      <c r="A344" s="4" t="inlineStr">
        <is>
          <t>Botswana &amp; Namibia: SME: Starter: opening</t>
        </is>
      </c>
      <c r="B344" s="17" t="inlineStr">
        <is>
          <t>workspaces</t>
        </is>
      </c>
      <c r="C344" s="41">
        <f>0</f>
        <v/>
      </c>
      <c r="D344" s="41">
        <f>C348</f>
        <v/>
      </c>
      <c r="E344" s="41">
        <f>D348</f>
        <v/>
      </c>
      <c r="F344" s="41">
        <f>E348</f>
        <v/>
      </c>
      <c r="G344" s="41">
        <f>F348</f>
        <v/>
      </c>
      <c r="H344" s="41">
        <f>G348</f>
        <v/>
      </c>
      <c r="I344" s="41">
        <f>H348</f>
        <v/>
      </c>
      <c r="J344" s="41">
        <f>I348</f>
        <v/>
      </c>
      <c r="K344" s="41">
        <f>J348</f>
        <v/>
      </c>
      <c r="L344" s="41">
        <f>K348</f>
        <v/>
      </c>
      <c r="M344" s="41">
        <f>L348</f>
        <v/>
      </c>
      <c r="N344" s="41">
        <f>M348</f>
        <v/>
      </c>
      <c r="O344" s="41">
        <f>N348</f>
        <v/>
      </c>
      <c r="P344" s="41">
        <f>O348</f>
        <v/>
      </c>
      <c r="Q344" s="41">
        <f>P348</f>
        <v/>
      </c>
      <c r="R344" s="41">
        <f>Q348</f>
        <v/>
      </c>
      <c r="S344" s="41">
        <f>R348</f>
        <v/>
      </c>
      <c r="T344" s="41">
        <f>S348</f>
        <v/>
      </c>
      <c r="U344" s="41">
        <f>T348</f>
        <v/>
      </c>
      <c r="V344" s="41">
        <f>U348</f>
        <v/>
      </c>
      <c r="W344" s="41">
        <f>V348</f>
        <v/>
      </c>
      <c r="X344" s="41">
        <f>W348</f>
        <v/>
      </c>
      <c r="Y344" s="41">
        <f>X348</f>
        <v/>
      </c>
      <c r="Z344" s="41">
        <f>Y348</f>
        <v/>
      </c>
      <c r="AA344" s="41">
        <f>Z348</f>
        <v/>
      </c>
      <c r="AB344" s="41">
        <f>AA348</f>
        <v/>
      </c>
      <c r="AC344" s="41">
        <f>AB348</f>
        <v/>
      </c>
      <c r="AD344" s="41">
        <f>AC348</f>
        <v/>
      </c>
      <c r="AE344" s="41">
        <f>AD348</f>
        <v/>
      </c>
      <c r="AF344" s="41">
        <f>AE348</f>
        <v/>
      </c>
      <c r="AG344" s="41">
        <f>AF348</f>
        <v/>
      </c>
      <c r="AH344" s="41">
        <f>AG348</f>
        <v/>
      </c>
      <c r="AI344" s="41">
        <f>AH348</f>
        <v/>
      </c>
      <c r="AJ344" s="41">
        <f>AI348</f>
        <v/>
      </c>
      <c r="AK344" s="41">
        <f>AJ348</f>
        <v/>
      </c>
      <c r="AL344" s="41">
        <f>AK348</f>
        <v/>
      </c>
      <c r="AM344" s="41">
        <f>AL348</f>
        <v/>
      </c>
      <c r="AN344" s="41">
        <f>AM348</f>
        <v/>
      </c>
      <c r="AO344" s="41">
        <f>AN348</f>
        <v/>
      </c>
      <c r="AP344" s="41">
        <f>AO348</f>
        <v/>
      </c>
      <c r="AQ344" s="41">
        <f>AP348</f>
        <v/>
      </c>
      <c r="AR344" s="41">
        <f>AQ348</f>
        <v/>
      </c>
      <c r="AS344" s="41">
        <f>AR348</f>
        <v/>
      </c>
      <c r="AT344" s="41">
        <f>AS348</f>
        <v/>
      </c>
      <c r="AU344" s="41">
        <f>AT348</f>
        <v/>
      </c>
      <c r="AV344" s="41">
        <f>AU348</f>
        <v/>
      </c>
      <c r="AW344" s="41">
        <f>AV348</f>
        <v/>
      </c>
      <c r="AX344" s="41">
        <f>AW348</f>
        <v/>
      </c>
      <c r="AY344" s="41">
        <f>AX348</f>
        <v/>
      </c>
      <c r="AZ344" s="41">
        <f>AY348</f>
        <v/>
      </c>
      <c r="BA344" s="41">
        <f>AZ348</f>
        <v/>
      </c>
      <c r="BB344" s="41">
        <f>BA348</f>
        <v/>
      </c>
      <c r="BC344" s="41">
        <f>BB348</f>
        <v/>
      </c>
      <c r="BD344" s="41">
        <f>BC348</f>
        <v/>
      </c>
      <c r="BE344" s="41">
        <f>BD348</f>
        <v/>
      </c>
      <c r="BF344" s="41">
        <f>BE348</f>
        <v/>
      </c>
      <c r="BG344" s="41">
        <f>BF348</f>
        <v/>
      </c>
      <c r="BH344" s="41">
        <f>BG348</f>
        <v/>
      </c>
      <c r="BI344" s="41">
        <f>BH348</f>
        <v/>
      </c>
      <c r="BJ344" s="41">
        <f>BI348</f>
        <v/>
      </c>
    </row>
    <row r="345">
      <c r="A345" s="4" t="inlineStr">
        <is>
          <t>Botswana &amp; Namibia: SME: Starter: new</t>
        </is>
      </c>
      <c r="B345" s="17" t="inlineStr">
        <is>
          <t>workspaces</t>
        </is>
      </c>
      <c r="C345" s="41">
        <f>C157*Assumptions!$B$127</f>
        <v/>
      </c>
      <c r="D345" s="41">
        <f>D157*Assumptions!$B$127</f>
        <v/>
      </c>
      <c r="E345" s="41">
        <f>E157*Assumptions!$B$127</f>
        <v/>
      </c>
      <c r="F345" s="41">
        <f>F157*Assumptions!$B$127</f>
        <v/>
      </c>
      <c r="G345" s="41">
        <f>G157*Assumptions!$B$127</f>
        <v/>
      </c>
      <c r="H345" s="41">
        <f>H157*Assumptions!$B$127</f>
        <v/>
      </c>
      <c r="I345" s="41">
        <f>I157*Assumptions!$B$127</f>
        <v/>
      </c>
      <c r="J345" s="41">
        <f>J157*Assumptions!$B$127</f>
        <v/>
      </c>
      <c r="K345" s="41">
        <f>K157*Assumptions!$B$127</f>
        <v/>
      </c>
      <c r="L345" s="41">
        <f>L157*Assumptions!$B$127</f>
        <v/>
      </c>
      <c r="M345" s="41">
        <f>M157*Assumptions!$B$127</f>
        <v/>
      </c>
      <c r="N345" s="41">
        <f>N157*Assumptions!$B$127</f>
        <v/>
      </c>
      <c r="O345" s="41">
        <f>O157*Assumptions!$B$127</f>
        <v/>
      </c>
      <c r="P345" s="41">
        <f>P157*Assumptions!$B$127</f>
        <v/>
      </c>
      <c r="Q345" s="41">
        <f>Q157*Assumptions!$B$127</f>
        <v/>
      </c>
      <c r="R345" s="41">
        <f>R157*Assumptions!$B$127</f>
        <v/>
      </c>
      <c r="S345" s="41">
        <f>S157*Assumptions!$B$127</f>
        <v/>
      </c>
      <c r="T345" s="41">
        <f>T157*Assumptions!$B$127</f>
        <v/>
      </c>
      <c r="U345" s="41">
        <f>U157*Assumptions!$B$127</f>
        <v/>
      </c>
      <c r="V345" s="41">
        <f>V157*Assumptions!$B$127</f>
        <v/>
      </c>
      <c r="W345" s="41">
        <f>W157*Assumptions!$B$127</f>
        <v/>
      </c>
      <c r="X345" s="41">
        <f>X157*Assumptions!$B$127</f>
        <v/>
      </c>
      <c r="Y345" s="41">
        <f>Y157*Assumptions!$B$127</f>
        <v/>
      </c>
      <c r="Z345" s="41">
        <f>Z157*Assumptions!$B$127</f>
        <v/>
      </c>
      <c r="AA345" s="41">
        <f>AA157*Assumptions!$B$127</f>
        <v/>
      </c>
      <c r="AB345" s="41">
        <f>AB157*Assumptions!$B$127</f>
        <v/>
      </c>
      <c r="AC345" s="41">
        <f>AC157*Assumptions!$B$127</f>
        <v/>
      </c>
      <c r="AD345" s="41">
        <f>AD157*Assumptions!$B$127</f>
        <v/>
      </c>
      <c r="AE345" s="41">
        <f>AE157*Assumptions!$B$127</f>
        <v/>
      </c>
      <c r="AF345" s="41">
        <f>AF157*Assumptions!$B$127</f>
        <v/>
      </c>
      <c r="AG345" s="41">
        <f>AG157*Assumptions!$B$127</f>
        <v/>
      </c>
      <c r="AH345" s="41">
        <f>AH157*Assumptions!$B$127</f>
        <v/>
      </c>
      <c r="AI345" s="41">
        <f>AI157*Assumptions!$B$127</f>
        <v/>
      </c>
      <c r="AJ345" s="41">
        <f>AJ157*Assumptions!$B$127</f>
        <v/>
      </c>
      <c r="AK345" s="41">
        <f>AK157*Assumptions!$B$127</f>
        <v/>
      </c>
      <c r="AL345" s="41">
        <f>AL157*Assumptions!$B$127</f>
        <v/>
      </c>
      <c r="AM345" s="41">
        <f>AM157*Assumptions!$B$127</f>
        <v/>
      </c>
      <c r="AN345" s="41">
        <f>AN157*Assumptions!$B$127</f>
        <v/>
      </c>
      <c r="AO345" s="41">
        <f>AO157*Assumptions!$B$127</f>
        <v/>
      </c>
      <c r="AP345" s="41">
        <f>AP157*Assumptions!$B$127</f>
        <v/>
      </c>
      <c r="AQ345" s="41">
        <f>AQ157*Assumptions!$B$127</f>
        <v/>
      </c>
      <c r="AR345" s="41">
        <f>AR157*Assumptions!$B$127</f>
        <v/>
      </c>
      <c r="AS345" s="41">
        <f>AS157*Assumptions!$B$127</f>
        <v/>
      </c>
      <c r="AT345" s="41">
        <f>AT157*Assumptions!$B$127</f>
        <v/>
      </c>
      <c r="AU345" s="41">
        <f>AU157*Assumptions!$B$127</f>
        <v/>
      </c>
      <c r="AV345" s="41">
        <f>AV157*Assumptions!$B$127</f>
        <v/>
      </c>
      <c r="AW345" s="41">
        <f>AW157*Assumptions!$B$127</f>
        <v/>
      </c>
      <c r="AX345" s="41">
        <f>AX157*Assumptions!$B$127</f>
        <v/>
      </c>
      <c r="AY345" s="41">
        <f>AY157*Assumptions!$B$127</f>
        <v/>
      </c>
      <c r="AZ345" s="41">
        <f>AZ157*Assumptions!$B$127</f>
        <v/>
      </c>
      <c r="BA345" s="41">
        <f>BA157*Assumptions!$B$127</f>
        <v/>
      </c>
      <c r="BB345" s="41">
        <f>BB157*Assumptions!$B$127</f>
        <v/>
      </c>
      <c r="BC345" s="41">
        <f>BC157*Assumptions!$B$127</f>
        <v/>
      </c>
      <c r="BD345" s="41">
        <f>BD157*Assumptions!$B$127</f>
        <v/>
      </c>
      <c r="BE345" s="41">
        <f>BE157*Assumptions!$B$127</f>
        <v/>
      </c>
      <c r="BF345" s="41">
        <f>BF157*Assumptions!$B$127</f>
        <v/>
      </c>
      <c r="BG345" s="41">
        <f>BG157*Assumptions!$B$127</f>
        <v/>
      </c>
      <c r="BH345" s="41">
        <f>BH157*Assumptions!$B$127</f>
        <v/>
      </c>
      <c r="BI345" s="41">
        <f>BI157*Assumptions!$B$127</f>
        <v/>
      </c>
      <c r="BJ345" s="41">
        <f>BJ157*Assumptions!$B$127</f>
        <v/>
      </c>
    </row>
    <row r="346">
      <c r="A346" s="4" t="inlineStr">
        <is>
          <t>Botswana &amp; Namibia: SME: Starter: churned</t>
        </is>
      </c>
      <c r="B346" s="17" t="inlineStr">
        <is>
          <t>workspaces</t>
        </is>
      </c>
      <c r="C346" s="41">
        <f>C344*Assumptions!$B$140*Assumptions!$B$46*Assumptions!$B$30*Assumptions!$B$102</f>
        <v/>
      </c>
      <c r="D346" s="41">
        <f>D344*Assumptions!$B$140*Assumptions!$B$46*Assumptions!$B$30*Assumptions!$B$102</f>
        <v/>
      </c>
      <c r="E346" s="41">
        <f>E344*Assumptions!$B$140*Assumptions!$B$46*Assumptions!$B$30*Assumptions!$B$102</f>
        <v/>
      </c>
      <c r="F346" s="41">
        <f>F344*Assumptions!$B$140*Assumptions!$B$46*Assumptions!$B$30*Assumptions!$B$102</f>
        <v/>
      </c>
      <c r="G346" s="41">
        <f>G344*Assumptions!$B$140*Assumptions!$B$46*Assumptions!$B$30*Assumptions!$B$102</f>
        <v/>
      </c>
      <c r="H346" s="41">
        <f>H344*Assumptions!$B$140*Assumptions!$B$46*Assumptions!$B$30*Assumptions!$B$102</f>
        <v/>
      </c>
      <c r="I346" s="41">
        <f>I344*Assumptions!$B$140*Assumptions!$B$46*Assumptions!$B$30*Assumptions!$B$102</f>
        <v/>
      </c>
      <c r="J346" s="41">
        <f>J344*Assumptions!$B$140*Assumptions!$B$46*Assumptions!$B$30*Assumptions!$B$102</f>
        <v/>
      </c>
      <c r="K346" s="41">
        <f>K344*Assumptions!$B$140*Assumptions!$B$46*Assumptions!$B$30*Assumptions!$B$102</f>
        <v/>
      </c>
      <c r="L346" s="41">
        <f>L344*Assumptions!$B$140*Assumptions!$B$46*Assumptions!$B$30*Assumptions!$B$102</f>
        <v/>
      </c>
      <c r="M346" s="41">
        <f>M344*Assumptions!$B$140*Assumptions!$B$46*Assumptions!$B$30*Assumptions!$B$102</f>
        <v/>
      </c>
      <c r="N346" s="41">
        <f>N344*Assumptions!$B$140*Assumptions!$B$46*Assumptions!$B$30*Assumptions!$B$102</f>
        <v/>
      </c>
      <c r="O346" s="41">
        <f>O344*Assumptions!$B$140*Assumptions!$B$46*Assumptions!$B$30*Assumptions!$B$102</f>
        <v/>
      </c>
      <c r="P346" s="41">
        <f>P344*Assumptions!$B$140*Assumptions!$B$46*Assumptions!$B$30*Assumptions!$B$102</f>
        <v/>
      </c>
      <c r="Q346" s="41">
        <f>Q344*Assumptions!$B$140*Assumptions!$B$46*Assumptions!$B$30*Assumptions!$B$102</f>
        <v/>
      </c>
      <c r="R346" s="41">
        <f>R344*Assumptions!$B$140*Assumptions!$B$46*Assumptions!$B$30*Assumptions!$B$102</f>
        <v/>
      </c>
      <c r="S346" s="41">
        <f>S344*Assumptions!$B$140*Assumptions!$B$46*Assumptions!$B$30*Assumptions!$B$102</f>
        <v/>
      </c>
      <c r="T346" s="41">
        <f>T344*Assumptions!$B$140*Assumptions!$B$46*Assumptions!$B$30*Assumptions!$B$102</f>
        <v/>
      </c>
      <c r="U346" s="41">
        <f>U344*Assumptions!$B$140*Assumptions!$B$46*Assumptions!$B$30*Assumptions!$B$102</f>
        <v/>
      </c>
      <c r="V346" s="41">
        <f>V344*Assumptions!$B$140*Assumptions!$B$46*Assumptions!$B$30*Assumptions!$B$102</f>
        <v/>
      </c>
      <c r="W346" s="41">
        <f>W344*Assumptions!$B$140*Assumptions!$B$46*Assumptions!$B$30*Assumptions!$B$102</f>
        <v/>
      </c>
      <c r="X346" s="41">
        <f>X344*Assumptions!$B$140*Assumptions!$B$46*Assumptions!$B$30*Assumptions!$B$102</f>
        <v/>
      </c>
      <c r="Y346" s="41">
        <f>Y344*Assumptions!$B$140*Assumptions!$B$46*Assumptions!$B$30*Assumptions!$B$102</f>
        <v/>
      </c>
      <c r="Z346" s="41">
        <f>Z344*Assumptions!$B$140*Assumptions!$B$46*Assumptions!$B$30*Assumptions!$B$102</f>
        <v/>
      </c>
      <c r="AA346" s="41">
        <f>AA344*Assumptions!$B$140*Assumptions!$B$46*Assumptions!$B$30*Assumptions!$B$102</f>
        <v/>
      </c>
      <c r="AB346" s="41">
        <f>AB344*Assumptions!$B$140*Assumptions!$B$46*Assumptions!$B$30*Assumptions!$B$102</f>
        <v/>
      </c>
      <c r="AC346" s="41">
        <f>AC344*Assumptions!$B$140*Assumptions!$B$46*Assumptions!$B$30*Assumptions!$B$102</f>
        <v/>
      </c>
      <c r="AD346" s="41">
        <f>AD344*Assumptions!$B$140*Assumptions!$B$46*Assumptions!$B$30*Assumptions!$B$102</f>
        <v/>
      </c>
      <c r="AE346" s="41">
        <f>AE344*Assumptions!$B$140*Assumptions!$B$46*Assumptions!$B$30*Assumptions!$B$102</f>
        <v/>
      </c>
      <c r="AF346" s="41">
        <f>AF344*Assumptions!$B$140*Assumptions!$B$46*Assumptions!$B$30*Assumptions!$B$102</f>
        <v/>
      </c>
      <c r="AG346" s="41">
        <f>AG344*Assumptions!$B$140*Assumptions!$B$46*Assumptions!$B$30*Assumptions!$B$102</f>
        <v/>
      </c>
      <c r="AH346" s="41">
        <f>AH344*Assumptions!$B$140*Assumptions!$B$46*Assumptions!$B$30*Assumptions!$B$102</f>
        <v/>
      </c>
      <c r="AI346" s="41">
        <f>AI344*Assumptions!$B$140*Assumptions!$B$46*Assumptions!$B$30*Assumptions!$B$102</f>
        <v/>
      </c>
      <c r="AJ346" s="41">
        <f>AJ344*Assumptions!$B$140*Assumptions!$B$46*Assumptions!$B$30*Assumptions!$B$102</f>
        <v/>
      </c>
      <c r="AK346" s="41">
        <f>AK344*Assumptions!$B$140*Assumptions!$B$46*Assumptions!$B$30*Assumptions!$B$102</f>
        <v/>
      </c>
      <c r="AL346" s="41">
        <f>AL344*Assumptions!$B$140*Assumptions!$B$46*Assumptions!$B$30*Assumptions!$B$102</f>
        <v/>
      </c>
      <c r="AM346" s="41">
        <f>AM344*Assumptions!$B$140*Assumptions!$B$46*Assumptions!$B$30*Assumptions!$B$102</f>
        <v/>
      </c>
      <c r="AN346" s="41">
        <f>AN344*Assumptions!$B$140*Assumptions!$B$46*Assumptions!$B$30*Assumptions!$B$102</f>
        <v/>
      </c>
      <c r="AO346" s="41">
        <f>AO344*Assumptions!$B$140*Assumptions!$B$46*Assumptions!$B$30*Assumptions!$B$102</f>
        <v/>
      </c>
      <c r="AP346" s="41">
        <f>AP344*Assumptions!$B$140*Assumptions!$B$46*Assumptions!$B$30*Assumptions!$B$102</f>
        <v/>
      </c>
      <c r="AQ346" s="41">
        <f>AQ344*Assumptions!$B$140*Assumptions!$B$46*Assumptions!$B$30*Assumptions!$B$102</f>
        <v/>
      </c>
      <c r="AR346" s="41">
        <f>AR344*Assumptions!$B$140*Assumptions!$B$46*Assumptions!$B$30*Assumptions!$B$102</f>
        <v/>
      </c>
      <c r="AS346" s="41">
        <f>AS344*Assumptions!$B$140*Assumptions!$B$46*Assumptions!$B$30*Assumptions!$B$102</f>
        <v/>
      </c>
      <c r="AT346" s="41">
        <f>AT344*Assumptions!$B$140*Assumptions!$B$46*Assumptions!$B$30*Assumptions!$B$102</f>
        <v/>
      </c>
      <c r="AU346" s="41">
        <f>AU344*Assumptions!$B$140*Assumptions!$B$46*Assumptions!$B$30*Assumptions!$B$102</f>
        <v/>
      </c>
      <c r="AV346" s="41">
        <f>AV344*Assumptions!$B$140*Assumptions!$B$46*Assumptions!$B$30*Assumptions!$B$102</f>
        <v/>
      </c>
      <c r="AW346" s="41">
        <f>AW344*Assumptions!$B$140*Assumptions!$B$46*Assumptions!$B$30*Assumptions!$B$102</f>
        <v/>
      </c>
      <c r="AX346" s="41">
        <f>AX344*Assumptions!$B$140*Assumptions!$B$46*Assumptions!$B$30*Assumptions!$B$102</f>
        <v/>
      </c>
      <c r="AY346" s="41">
        <f>AY344*Assumptions!$B$140*Assumptions!$B$46*Assumptions!$B$30*Assumptions!$B$102</f>
        <v/>
      </c>
      <c r="AZ346" s="41">
        <f>AZ344*Assumptions!$B$140*Assumptions!$B$46*Assumptions!$B$30*Assumptions!$B$102</f>
        <v/>
      </c>
      <c r="BA346" s="41">
        <f>BA344*Assumptions!$B$140*Assumptions!$B$46*Assumptions!$B$30*Assumptions!$B$102</f>
        <v/>
      </c>
      <c r="BB346" s="41">
        <f>BB344*Assumptions!$B$140*Assumptions!$B$46*Assumptions!$B$30*Assumptions!$B$102</f>
        <v/>
      </c>
      <c r="BC346" s="41">
        <f>BC344*Assumptions!$B$140*Assumptions!$B$46*Assumptions!$B$30*Assumptions!$B$102</f>
        <v/>
      </c>
      <c r="BD346" s="41">
        <f>BD344*Assumptions!$B$140*Assumptions!$B$46*Assumptions!$B$30*Assumptions!$B$102</f>
        <v/>
      </c>
      <c r="BE346" s="41">
        <f>BE344*Assumptions!$B$140*Assumptions!$B$46*Assumptions!$B$30*Assumptions!$B$102</f>
        <v/>
      </c>
      <c r="BF346" s="41">
        <f>BF344*Assumptions!$B$140*Assumptions!$B$46*Assumptions!$B$30*Assumptions!$B$102</f>
        <v/>
      </c>
      <c r="BG346" s="41">
        <f>BG344*Assumptions!$B$140*Assumptions!$B$46*Assumptions!$B$30*Assumptions!$B$102</f>
        <v/>
      </c>
      <c r="BH346" s="41">
        <f>BH344*Assumptions!$B$140*Assumptions!$B$46*Assumptions!$B$30*Assumptions!$B$102</f>
        <v/>
      </c>
      <c r="BI346" s="41">
        <f>BI344*Assumptions!$B$140*Assumptions!$B$46*Assumptions!$B$30*Assumptions!$B$102</f>
        <v/>
      </c>
      <c r="BJ346" s="41">
        <f>BJ344*Assumptions!$B$140*Assumptions!$B$46*Assumptions!$B$30*Assumptions!$B$102</f>
        <v/>
      </c>
    </row>
    <row r="347">
      <c r="A347" s="4" t="inlineStr">
        <is>
          <t>Botswana &amp; Namibia: SME: Starter: upgraded out</t>
        </is>
      </c>
      <c r="B347" s="17" t="inlineStr">
        <is>
          <t>workspaces</t>
        </is>
      </c>
      <c r="C347" s="41">
        <f>C344*Assumptions!$B$132</f>
        <v/>
      </c>
      <c r="D347" s="41">
        <f>D344*Assumptions!$B$132</f>
        <v/>
      </c>
      <c r="E347" s="41">
        <f>E344*Assumptions!$B$132</f>
        <v/>
      </c>
      <c r="F347" s="41">
        <f>F344*Assumptions!$B$132</f>
        <v/>
      </c>
      <c r="G347" s="41">
        <f>G344*Assumptions!$B$132</f>
        <v/>
      </c>
      <c r="H347" s="41">
        <f>H344*Assumptions!$B$132</f>
        <v/>
      </c>
      <c r="I347" s="41">
        <f>I344*Assumptions!$B$132</f>
        <v/>
      </c>
      <c r="J347" s="41">
        <f>J344*Assumptions!$B$132</f>
        <v/>
      </c>
      <c r="K347" s="41">
        <f>K344*Assumptions!$B$132</f>
        <v/>
      </c>
      <c r="L347" s="41">
        <f>L344*Assumptions!$B$132</f>
        <v/>
      </c>
      <c r="M347" s="41">
        <f>M344*Assumptions!$B$132</f>
        <v/>
      </c>
      <c r="N347" s="41">
        <f>N344*Assumptions!$B$132</f>
        <v/>
      </c>
      <c r="O347" s="41">
        <f>O344*Assumptions!$B$132</f>
        <v/>
      </c>
      <c r="P347" s="41">
        <f>P344*Assumptions!$B$132</f>
        <v/>
      </c>
      <c r="Q347" s="41">
        <f>Q344*Assumptions!$B$132</f>
        <v/>
      </c>
      <c r="R347" s="41">
        <f>R344*Assumptions!$B$132</f>
        <v/>
      </c>
      <c r="S347" s="41">
        <f>S344*Assumptions!$B$132</f>
        <v/>
      </c>
      <c r="T347" s="41">
        <f>T344*Assumptions!$B$132</f>
        <v/>
      </c>
      <c r="U347" s="41">
        <f>U344*Assumptions!$B$132</f>
        <v/>
      </c>
      <c r="V347" s="41">
        <f>V344*Assumptions!$B$132</f>
        <v/>
      </c>
      <c r="W347" s="41">
        <f>W344*Assumptions!$B$132</f>
        <v/>
      </c>
      <c r="X347" s="41">
        <f>X344*Assumptions!$B$132</f>
        <v/>
      </c>
      <c r="Y347" s="41">
        <f>Y344*Assumptions!$B$132</f>
        <v/>
      </c>
      <c r="Z347" s="41">
        <f>Z344*Assumptions!$B$132</f>
        <v/>
      </c>
      <c r="AA347" s="41">
        <f>AA344*Assumptions!$B$132</f>
        <v/>
      </c>
      <c r="AB347" s="41">
        <f>AB344*Assumptions!$B$132</f>
        <v/>
      </c>
      <c r="AC347" s="41">
        <f>AC344*Assumptions!$B$132</f>
        <v/>
      </c>
      <c r="AD347" s="41">
        <f>AD344*Assumptions!$B$132</f>
        <v/>
      </c>
      <c r="AE347" s="41">
        <f>AE344*Assumptions!$B$132</f>
        <v/>
      </c>
      <c r="AF347" s="41">
        <f>AF344*Assumptions!$B$132</f>
        <v/>
      </c>
      <c r="AG347" s="41">
        <f>AG344*Assumptions!$B$132</f>
        <v/>
      </c>
      <c r="AH347" s="41">
        <f>AH344*Assumptions!$B$132</f>
        <v/>
      </c>
      <c r="AI347" s="41">
        <f>AI344*Assumptions!$B$132</f>
        <v/>
      </c>
      <c r="AJ347" s="41">
        <f>AJ344*Assumptions!$B$132</f>
        <v/>
      </c>
      <c r="AK347" s="41">
        <f>AK344*Assumptions!$B$132</f>
        <v/>
      </c>
      <c r="AL347" s="41">
        <f>AL344*Assumptions!$B$132</f>
        <v/>
      </c>
      <c r="AM347" s="41">
        <f>AM344*Assumptions!$B$132</f>
        <v/>
      </c>
      <c r="AN347" s="41">
        <f>AN344*Assumptions!$B$132</f>
        <v/>
      </c>
      <c r="AO347" s="41">
        <f>AO344*Assumptions!$B$132</f>
        <v/>
      </c>
      <c r="AP347" s="41">
        <f>AP344*Assumptions!$B$132</f>
        <v/>
      </c>
      <c r="AQ347" s="41">
        <f>AQ344*Assumptions!$B$132</f>
        <v/>
      </c>
      <c r="AR347" s="41">
        <f>AR344*Assumptions!$B$132</f>
        <v/>
      </c>
      <c r="AS347" s="41">
        <f>AS344*Assumptions!$B$132</f>
        <v/>
      </c>
      <c r="AT347" s="41">
        <f>AT344*Assumptions!$B$132</f>
        <v/>
      </c>
      <c r="AU347" s="41">
        <f>AU344*Assumptions!$B$132</f>
        <v/>
      </c>
      <c r="AV347" s="41">
        <f>AV344*Assumptions!$B$132</f>
        <v/>
      </c>
      <c r="AW347" s="41">
        <f>AW344*Assumptions!$B$132</f>
        <v/>
      </c>
      <c r="AX347" s="41">
        <f>AX344*Assumptions!$B$132</f>
        <v/>
      </c>
      <c r="AY347" s="41">
        <f>AY344*Assumptions!$B$132</f>
        <v/>
      </c>
      <c r="AZ347" s="41">
        <f>AZ344*Assumptions!$B$132</f>
        <v/>
      </c>
      <c r="BA347" s="41">
        <f>BA344*Assumptions!$B$132</f>
        <v/>
      </c>
      <c r="BB347" s="41">
        <f>BB344*Assumptions!$B$132</f>
        <v/>
      </c>
      <c r="BC347" s="41">
        <f>BC344*Assumptions!$B$132</f>
        <v/>
      </c>
      <c r="BD347" s="41">
        <f>BD344*Assumptions!$B$132</f>
        <v/>
      </c>
      <c r="BE347" s="41">
        <f>BE344*Assumptions!$B$132</f>
        <v/>
      </c>
      <c r="BF347" s="41">
        <f>BF344*Assumptions!$B$132</f>
        <v/>
      </c>
      <c r="BG347" s="41">
        <f>BG344*Assumptions!$B$132</f>
        <v/>
      </c>
      <c r="BH347" s="41">
        <f>BH344*Assumptions!$B$132</f>
        <v/>
      </c>
      <c r="BI347" s="41">
        <f>BI344*Assumptions!$B$132</f>
        <v/>
      </c>
      <c r="BJ347" s="41">
        <f>BJ344*Assumptions!$B$132</f>
        <v/>
      </c>
    </row>
    <row r="348">
      <c r="A348" s="3" t="inlineStr">
        <is>
          <t>Botswana &amp; Namibia: SME: Starter: closing</t>
        </is>
      </c>
      <c r="B348" s="17" t="inlineStr">
        <is>
          <t>workspaces</t>
        </is>
      </c>
      <c r="C348" s="44">
        <f>C344+C345-C346-C347</f>
        <v/>
      </c>
      <c r="D348" s="44">
        <f>D344+D345-D346-D347</f>
        <v/>
      </c>
      <c r="E348" s="44">
        <f>E344+E345-E346-E347</f>
        <v/>
      </c>
      <c r="F348" s="44">
        <f>F344+F345-F346-F347</f>
        <v/>
      </c>
      <c r="G348" s="44">
        <f>G344+G345-G346-G347</f>
        <v/>
      </c>
      <c r="H348" s="44">
        <f>H344+H345-H346-H347</f>
        <v/>
      </c>
      <c r="I348" s="44">
        <f>I344+I345-I346-I347</f>
        <v/>
      </c>
      <c r="J348" s="44">
        <f>J344+J345-J346-J347</f>
        <v/>
      </c>
      <c r="K348" s="44">
        <f>K344+K345-K346-K347</f>
        <v/>
      </c>
      <c r="L348" s="44">
        <f>L344+L345-L346-L347</f>
        <v/>
      </c>
      <c r="M348" s="44">
        <f>M344+M345-M346-M347</f>
        <v/>
      </c>
      <c r="N348" s="44">
        <f>N344+N345-N346-N347</f>
        <v/>
      </c>
      <c r="O348" s="44">
        <f>O344+O345-O346-O347</f>
        <v/>
      </c>
      <c r="P348" s="44">
        <f>P344+P345-P346-P347</f>
        <v/>
      </c>
      <c r="Q348" s="44">
        <f>Q344+Q345-Q346-Q347</f>
        <v/>
      </c>
      <c r="R348" s="44">
        <f>R344+R345-R346-R347</f>
        <v/>
      </c>
      <c r="S348" s="44">
        <f>S344+S345-S346-S347</f>
        <v/>
      </c>
      <c r="T348" s="44">
        <f>T344+T345-T346-T347</f>
        <v/>
      </c>
      <c r="U348" s="44">
        <f>U344+U345-U346-U347</f>
        <v/>
      </c>
      <c r="V348" s="44">
        <f>V344+V345-V346-V347</f>
        <v/>
      </c>
      <c r="W348" s="44">
        <f>W344+W345-W346-W347</f>
        <v/>
      </c>
      <c r="X348" s="44">
        <f>X344+X345-X346-X347</f>
        <v/>
      </c>
      <c r="Y348" s="44">
        <f>Y344+Y345-Y346-Y347</f>
        <v/>
      </c>
      <c r="Z348" s="44">
        <f>Z344+Z345-Z346-Z347</f>
        <v/>
      </c>
      <c r="AA348" s="44">
        <f>AA344+AA345-AA346-AA347</f>
        <v/>
      </c>
      <c r="AB348" s="44">
        <f>AB344+AB345-AB346-AB347</f>
        <v/>
      </c>
      <c r="AC348" s="44">
        <f>AC344+AC345-AC346-AC347</f>
        <v/>
      </c>
      <c r="AD348" s="44">
        <f>AD344+AD345-AD346-AD347</f>
        <v/>
      </c>
      <c r="AE348" s="44">
        <f>AE344+AE345-AE346-AE347</f>
        <v/>
      </c>
      <c r="AF348" s="44">
        <f>AF344+AF345-AF346-AF347</f>
        <v/>
      </c>
      <c r="AG348" s="44">
        <f>AG344+AG345-AG346-AG347</f>
        <v/>
      </c>
      <c r="AH348" s="44">
        <f>AH344+AH345-AH346-AH347</f>
        <v/>
      </c>
      <c r="AI348" s="44">
        <f>AI344+AI345-AI346-AI347</f>
        <v/>
      </c>
      <c r="AJ348" s="44">
        <f>AJ344+AJ345-AJ346-AJ347</f>
        <v/>
      </c>
      <c r="AK348" s="44">
        <f>AK344+AK345-AK346-AK347</f>
        <v/>
      </c>
      <c r="AL348" s="44">
        <f>AL344+AL345-AL346-AL347</f>
        <v/>
      </c>
      <c r="AM348" s="44">
        <f>AM344+AM345-AM346-AM347</f>
        <v/>
      </c>
      <c r="AN348" s="44">
        <f>AN344+AN345-AN346-AN347</f>
        <v/>
      </c>
      <c r="AO348" s="44">
        <f>AO344+AO345-AO346-AO347</f>
        <v/>
      </c>
      <c r="AP348" s="44">
        <f>AP344+AP345-AP346-AP347</f>
        <v/>
      </c>
      <c r="AQ348" s="44">
        <f>AQ344+AQ345-AQ346-AQ347</f>
        <v/>
      </c>
      <c r="AR348" s="44">
        <f>AR344+AR345-AR346-AR347</f>
        <v/>
      </c>
      <c r="AS348" s="44">
        <f>AS344+AS345-AS346-AS347</f>
        <v/>
      </c>
      <c r="AT348" s="44">
        <f>AT344+AT345-AT346-AT347</f>
        <v/>
      </c>
      <c r="AU348" s="44">
        <f>AU344+AU345-AU346-AU347</f>
        <v/>
      </c>
      <c r="AV348" s="44">
        <f>AV344+AV345-AV346-AV347</f>
        <v/>
      </c>
      <c r="AW348" s="44">
        <f>AW344+AW345-AW346-AW347</f>
        <v/>
      </c>
      <c r="AX348" s="44">
        <f>AX344+AX345-AX346-AX347</f>
        <v/>
      </c>
      <c r="AY348" s="44">
        <f>AY344+AY345-AY346-AY347</f>
        <v/>
      </c>
      <c r="AZ348" s="44">
        <f>AZ344+AZ345-AZ346-AZ347</f>
        <v/>
      </c>
      <c r="BA348" s="44">
        <f>BA344+BA345-BA346-BA347</f>
        <v/>
      </c>
      <c r="BB348" s="44">
        <f>BB344+BB345-BB346-BB347</f>
        <v/>
      </c>
      <c r="BC348" s="44">
        <f>BC344+BC345-BC346-BC347</f>
        <v/>
      </c>
      <c r="BD348" s="44">
        <f>BD344+BD345-BD346-BD347</f>
        <v/>
      </c>
      <c r="BE348" s="44">
        <f>BE344+BE345-BE346-BE347</f>
        <v/>
      </c>
      <c r="BF348" s="44">
        <f>BF344+BF345-BF346-BF347</f>
        <v/>
      </c>
      <c r="BG348" s="44">
        <f>BG344+BG345-BG346-BG347</f>
        <v/>
      </c>
      <c r="BH348" s="44">
        <f>BH344+BH345-BH346-BH347</f>
        <v/>
      </c>
      <c r="BI348" s="44">
        <f>BI344+BI345-BI346-BI347</f>
        <v/>
      </c>
      <c r="BJ348" s="44">
        <f>BJ344+BJ345-BJ346-BJ347</f>
        <v/>
      </c>
    </row>
    <row r="349">
      <c r="A349" s="4" t="inlineStr">
        <is>
          <t>Botswana &amp; Namibia: SME: Growth (direct or upgraded): opening</t>
        </is>
      </c>
      <c r="B349" s="17" t="inlineStr">
        <is>
          <t>workspaces</t>
        </is>
      </c>
      <c r="C349" s="41">
        <f>0</f>
        <v/>
      </c>
      <c r="D349" s="41">
        <f>C353</f>
        <v/>
      </c>
      <c r="E349" s="41">
        <f>D353</f>
        <v/>
      </c>
      <c r="F349" s="41">
        <f>E353</f>
        <v/>
      </c>
      <c r="G349" s="41">
        <f>F353</f>
        <v/>
      </c>
      <c r="H349" s="41">
        <f>G353</f>
        <v/>
      </c>
      <c r="I349" s="41">
        <f>H353</f>
        <v/>
      </c>
      <c r="J349" s="41">
        <f>I353</f>
        <v/>
      </c>
      <c r="K349" s="41">
        <f>J353</f>
        <v/>
      </c>
      <c r="L349" s="41">
        <f>K353</f>
        <v/>
      </c>
      <c r="M349" s="41">
        <f>L353</f>
        <v/>
      </c>
      <c r="N349" s="41">
        <f>M353</f>
        <v/>
      </c>
      <c r="O349" s="41">
        <f>N353</f>
        <v/>
      </c>
      <c r="P349" s="41">
        <f>O353</f>
        <v/>
      </c>
      <c r="Q349" s="41">
        <f>P353</f>
        <v/>
      </c>
      <c r="R349" s="41">
        <f>Q353</f>
        <v/>
      </c>
      <c r="S349" s="41">
        <f>R353</f>
        <v/>
      </c>
      <c r="T349" s="41">
        <f>S353</f>
        <v/>
      </c>
      <c r="U349" s="41">
        <f>T353</f>
        <v/>
      </c>
      <c r="V349" s="41">
        <f>U353</f>
        <v/>
      </c>
      <c r="W349" s="41">
        <f>V353</f>
        <v/>
      </c>
      <c r="X349" s="41">
        <f>W353</f>
        <v/>
      </c>
      <c r="Y349" s="41">
        <f>X353</f>
        <v/>
      </c>
      <c r="Z349" s="41">
        <f>Y353</f>
        <v/>
      </c>
      <c r="AA349" s="41">
        <f>Z353</f>
        <v/>
      </c>
      <c r="AB349" s="41">
        <f>AA353</f>
        <v/>
      </c>
      <c r="AC349" s="41">
        <f>AB353</f>
        <v/>
      </c>
      <c r="AD349" s="41">
        <f>AC353</f>
        <v/>
      </c>
      <c r="AE349" s="41">
        <f>AD353</f>
        <v/>
      </c>
      <c r="AF349" s="41">
        <f>AE353</f>
        <v/>
      </c>
      <c r="AG349" s="41">
        <f>AF353</f>
        <v/>
      </c>
      <c r="AH349" s="41">
        <f>AG353</f>
        <v/>
      </c>
      <c r="AI349" s="41">
        <f>AH353</f>
        <v/>
      </c>
      <c r="AJ349" s="41">
        <f>AI353</f>
        <v/>
      </c>
      <c r="AK349" s="41">
        <f>AJ353</f>
        <v/>
      </c>
      <c r="AL349" s="41">
        <f>AK353</f>
        <v/>
      </c>
      <c r="AM349" s="41">
        <f>AL353</f>
        <v/>
      </c>
      <c r="AN349" s="41">
        <f>AM353</f>
        <v/>
      </c>
      <c r="AO349" s="41">
        <f>AN353</f>
        <v/>
      </c>
      <c r="AP349" s="41">
        <f>AO353</f>
        <v/>
      </c>
      <c r="AQ349" s="41">
        <f>AP353</f>
        <v/>
      </c>
      <c r="AR349" s="41">
        <f>AQ353</f>
        <v/>
      </c>
      <c r="AS349" s="41">
        <f>AR353</f>
        <v/>
      </c>
      <c r="AT349" s="41">
        <f>AS353</f>
        <v/>
      </c>
      <c r="AU349" s="41">
        <f>AT353</f>
        <v/>
      </c>
      <c r="AV349" s="41">
        <f>AU353</f>
        <v/>
      </c>
      <c r="AW349" s="41">
        <f>AV353</f>
        <v/>
      </c>
      <c r="AX349" s="41">
        <f>AW353</f>
        <v/>
      </c>
      <c r="AY349" s="41">
        <f>AX353</f>
        <v/>
      </c>
      <c r="AZ349" s="41">
        <f>AY353</f>
        <v/>
      </c>
      <c r="BA349" s="41">
        <f>AZ353</f>
        <v/>
      </c>
      <c r="BB349" s="41">
        <f>BA353</f>
        <v/>
      </c>
      <c r="BC349" s="41">
        <f>BB353</f>
        <v/>
      </c>
      <c r="BD349" s="41">
        <f>BC353</f>
        <v/>
      </c>
      <c r="BE349" s="41">
        <f>BD353</f>
        <v/>
      </c>
      <c r="BF349" s="41">
        <f>BE353</f>
        <v/>
      </c>
      <c r="BG349" s="41">
        <f>BF353</f>
        <v/>
      </c>
      <c r="BH349" s="41">
        <f>BG353</f>
        <v/>
      </c>
      <c r="BI349" s="41">
        <f>BH353</f>
        <v/>
      </c>
      <c r="BJ349" s="41">
        <f>BI353</f>
        <v/>
      </c>
    </row>
    <row r="350">
      <c r="A350" s="4" t="inlineStr">
        <is>
          <t>Botswana &amp; Namibia: SME: Growth (direct or upgraded): new</t>
        </is>
      </c>
      <c r="B350" s="17" t="inlineStr">
        <is>
          <t>workspaces</t>
        </is>
      </c>
      <c r="C350" s="41">
        <f>C157*Assumptions!$B$128+C347</f>
        <v/>
      </c>
      <c r="D350" s="41">
        <f>D157*Assumptions!$B$128+D347</f>
        <v/>
      </c>
      <c r="E350" s="41">
        <f>E157*Assumptions!$B$128+E347</f>
        <v/>
      </c>
      <c r="F350" s="41">
        <f>F157*Assumptions!$B$128+F347</f>
        <v/>
      </c>
      <c r="G350" s="41">
        <f>G157*Assumptions!$B$128+G347</f>
        <v/>
      </c>
      <c r="H350" s="41">
        <f>H157*Assumptions!$B$128+H347</f>
        <v/>
      </c>
      <c r="I350" s="41">
        <f>I157*Assumptions!$B$128+I347</f>
        <v/>
      </c>
      <c r="J350" s="41">
        <f>J157*Assumptions!$B$128+J347</f>
        <v/>
      </c>
      <c r="K350" s="41">
        <f>K157*Assumptions!$B$128+K347</f>
        <v/>
      </c>
      <c r="L350" s="41">
        <f>L157*Assumptions!$B$128+L347</f>
        <v/>
      </c>
      <c r="M350" s="41">
        <f>M157*Assumptions!$B$128+M347</f>
        <v/>
      </c>
      <c r="N350" s="41">
        <f>N157*Assumptions!$B$128+N347</f>
        <v/>
      </c>
      <c r="O350" s="41">
        <f>O157*Assumptions!$B$128+O347</f>
        <v/>
      </c>
      <c r="P350" s="41">
        <f>P157*Assumptions!$B$128+P347</f>
        <v/>
      </c>
      <c r="Q350" s="41">
        <f>Q157*Assumptions!$B$128+Q347</f>
        <v/>
      </c>
      <c r="R350" s="41">
        <f>R157*Assumptions!$B$128+R347</f>
        <v/>
      </c>
      <c r="S350" s="41">
        <f>S157*Assumptions!$B$128+S347</f>
        <v/>
      </c>
      <c r="T350" s="41">
        <f>T157*Assumptions!$B$128+T347</f>
        <v/>
      </c>
      <c r="U350" s="41">
        <f>U157*Assumptions!$B$128+U347</f>
        <v/>
      </c>
      <c r="V350" s="41">
        <f>V157*Assumptions!$B$128+V347</f>
        <v/>
      </c>
      <c r="W350" s="41">
        <f>W157*Assumptions!$B$128+W347</f>
        <v/>
      </c>
      <c r="X350" s="41">
        <f>X157*Assumptions!$B$128+X347</f>
        <v/>
      </c>
      <c r="Y350" s="41">
        <f>Y157*Assumptions!$B$128+Y347</f>
        <v/>
      </c>
      <c r="Z350" s="41">
        <f>Z157*Assumptions!$B$128+Z347</f>
        <v/>
      </c>
      <c r="AA350" s="41">
        <f>AA157*Assumptions!$B$128+AA347</f>
        <v/>
      </c>
      <c r="AB350" s="41">
        <f>AB157*Assumptions!$B$128+AB347</f>
        <v/>
      </c>
      <c r="AC350" s="41">
        <f>AC157*Assumptions!$B$128+AC347</f>
        <v/>
      </c>
      <c r="AD350" s="41">
        <f>AD157*Assumptions!$B$128+AD347</f>
        <v/>
      </c>
      <c r="AE350" s="41">
        <f>AE157*Assumptions!$B$128+AE347</f>
        <v/>
      </c>
      <c r="AF350" s="41">
        <f>AF157*Assumptions!$B$128+AF347</f>
        <v/>
      </c>
      <c r="AG350" s="41">
        <f>AG157*Assumptions!$B$128+AG347</f>
        <v/>
      </c>
      <c r="AH350" s="41">
        <f>AH157*Assumptions!$B$128+AH347</f>
        <v/>
      </c>
      <c r="AI350" s="41">
        <f>AI157*Assumptions!$B$128+AI347</f>
        <v/>
      </c>
      <c r="AJ350" s="41">
        <f>AJ157*Assumptions!$B$128+AJ347</f>
        <v/>
      </c>
      <c r="AK350" s="41">
        <f>AK157*Assumptions!$B$128+AK347</f>
        <v/>
      </c>
      <c r="AL350" s="41">
        <f>AL157*Assumptions!$B$128+AL347</f>
        <v/>
      </c>
      <c r="AM350" s="41">
        <f>AM157*Assumptions!$B$128+AM347</f>
        <v/>
      </c>
      <c r="AN350" s="41">
        <f>AN157*Assumptions!$B$128+AN347</f>
        <v/>
      </c>
      <c r="AO350" s="41">
        <f>AO157*Assumptions!$B$128+AO347</f>
        <v/>
      </c>
      <c r="AP350" s="41">
        <f>AP157*Assumptions!$B$128+AP347</f>
        <v/>
      </c>
      <c r="AQ350" s="41">
        <f>AQ157*Assumptions!$B$128+AQ347</f>
        <v/>
      </c>
      <c r="AR350" s="41">
        <f>AR157*Assumptions!$B$128+AR347</f>
        <v/>
      </c>
      <c r="AS350" s="41">
        <f>AS157*Assumptions!$B$128+AS347</f>
        <v/>
      </c>
      <c r="AT350" s="41">
        <f>AT157*Assumptions!$B$128+AT347</f>
        <v/>
      </c>
      <c r="AU350" s="41">
        <f>AU157*Assumptions!$B$128+AU347</f>
        <v/>
      </c>
      <c r="AV350" s="41">
        <f>AV157*Assumptions!$B$128+AV347</f>
        <v/>
      </c>
      <c r="AW350" s="41">
        <f>AW157*Assumptions!$B$128+AW347</f>
        <v/>
      </c>
      <c r="AX350" s="41">
        <f>AX157*Assumptions!$B$128+AX347</f>
        <v/>
      </c>
      <c r="AY350" s="41">
        <f>AY157*Assumptions!$B$128+AY347</f>
        <v/>
      </c>
      <c r="AZ350" s="41">
        <f>AZ157*Assumptions!$B$128+AZ347</f>
        <v/>
      </c>
      <c r="BA350" s="41">
        <f>BA157*Assumptions!$B$128+BA347</f>
        <v/>
      </c>
      <c r="BB350" s="41">
        <f>BB157*Assumptions!$B$128+BB347</f>
        <v/>
      </c>
      <c r="BC350" s="41">
        <f>BC157*Assumptions!$B$128+BC347</f>
        <v/>
      </c>
      <c r="BD350" s="41">
        <f>BD157*Assumptions!$B$128+BD347</f>
        <v/>
      </c>
      <c r="BE350" s="41">
        <f>BE157*Assumptions!$B$128+BE347</f>
        <v/>
      </c>
      <c r="BF350" s="41">
        <f>BF157*Assumptions!$B$128+BF347</f>
        <v/>
      </c>
      <c r="BG350" s="41">
        <f>BG157*Assumptions!$B$128+BG347</f>
        <v/>
      </c>
      <c r="BH350" s="41">
        <f>BH157*Assumptions!$B$128+BH347</f>
        <v/>
      </c>
      <c r="BI350" s="41">
        <f>BI157*Assumptions!$B$128+BI347</f>
        <v/>
      </c>
      <c r="BJ350" s="41">
        <f>BJ157*Assumptions!$B$128+BJ347</f>
        <v/>
      </c>
    </row>
    <row r="351">
      <c r="A351" s="4" t="inlineStr">
        <is>
          <t>Botswana &amp; Namibia: SME: Growth (direct or upgraded): churned</t>
        </is>
      </c>
      <c r="B351" s="17" t="inlineStr">
        <is>
          <t>workspaces</t>
        </is>
      </c>
      <c r="C351" s="41">
        <f>C349*Assumptions!$B$141*Assumptions!$B$46*Assumptions!$B$30*Assumptions!$B$102</f>
        <v/>
      </c>
      <c r="D351" s="41">
        <f>D349*Assumptions!$B$141*Assumptions!$B$46*Assumptions!$B$30*Assumptions!$B$102</f>
        <v/>
      </c>
      <c r="E351" s="41">
        <f>E349*Assumptions!$B$141*Assumptions!$B$46*Assumptions!$B$30*Assumptions!$B$102</f>
        <v/>
      </c>
      <c r="F351" s="41">
        <f>F349*Assumptions!$B$141*Assumptions!$B$46*Assumptions!$B$30*Assumptions!$B$102</f>
        <v/>
      </c>
      <c r="G351" s="41">
        <f>G349*Assumptions!$B$141*Assumptions!$B$46*Assumptions!$B$30*Assumptions!$B$102</f>
        <v/>
      </c>
      <c r="H351" s="41">
        <f>H349*Assumptions!$B$141*Assumptions!$B$46*Assumptions!$B$30*Assumptions!$B$102</f>
        <v/>
      </c>
      <c r="I351" s="41">
        <f>I349*Assumptions!$B$141*Assumptions!$B$46*Assumptions!$B$30*Assumptions!$B$102</f>
        <v/>
      </c>
      <c r="J351" s="41">
        <f>J349*Assumptions!$B$141*Assumptions!$B$46*Assumptions!$B$30*Assumptions!$B$102</f>
        <v/>
      </c>
      <c r="K351" s="41">
        <f>K349*Assumptions!$B$141*Assumptions!$B$46*Assumptions!$B$30*Assumptions!$B$102</f>
        <v/>
      </c>
      <c r="L351" s="41">
        <f>L349*Assumptions!$B$141*Assumptions!$B$46*Assumptions!$B$30*Assumptions!$B$102</f>
        <v/>
      </c>
      <c r="M351" s="41">
        <f>M349*Assumptions!$B$141*Assumptions!$B$46*Assumptions!$B$30*Assumptions!$B$102</f>
        <v/>
      </c>
      <c r="N351" s="41">
        <f>N349*Assumptions!$B$141*Assumptions!$B$46*Assumptions!$B$30*Assumptions!$B$102</f>
        <v/>
      </c>
      <c r="O351" s="41">
        <f>O349*Assumptions!$B$141*Assumptions!$B$46*Assumptions!$B$30*Assumptions!$B$102</f>
        <v/>
      </c>
      <c r="P351" s="41">
        <f>P349*Assumptions!$B$141*Assumptions!$B$46*Assumptions!$B$30*Assumptions!$B$102</f>
        <v/>
      </c>
      <c r="Q351" s="41">
        <f>Q349*Assumptions!$B$141*Assumptions!$B$46*Assumptions!$B$30*Assumptions!$B$102</f>
        <v/>
      </c>
      <c r="R351" s="41">
        <f>R349*Assumptions!$B$141*Assumptions!$B$46*Assumptions!$B$30*Assumptions!$B$102</f>
        <v/>
      </c>
      <c r="S351" s="41">
        <f>S349*Assumptions!$B$141*Assumptions!$B$46*Assumptions!$B$30*Assumptions!$B$102</f>
        <v/>
      </c>
      <c r="T351" s="41">
        <f>T349*Assumptions!$B$141*Assumptions!$B$46*Assumptions!$B$30*Assumptions!$B$102</f>
        <v/>
      </c>
      <c r="U351" s="41">
        <f>U349*Assumptions!$B$141*Assumptions!$B$46*Assumptions!$B$30*Assumptions!$B$102</f>
        <v/>
      </c>
      <c r="V351" s="41">
        <f>V349*Assumptions!$B$141*Assumptions!$B$46*Assumptions!$B$30*Assumptions!$B$102</f>
        <v/>
      </c>
      <c r="W351" s="41">
        <f>W349*Assumptions!$B$141*Assumptions!$B$46*Assumptions!$B$30*Assumptions!$B$102</f>
        <v/>
      </c>
      <c r="X351" s="41">
        <f>X349*Assumptions!$B$141*Assumptions!$B$46*Assumptions!$B$30*Assumptions!$B$102</f>
        <v/>
      </c>
      <c r="Y351" s="41">
        <f>Y349*Assumptions!$B$141*Assumptions!$B$46*Assumptions!$B$30*Assumptions!$B$102</f>
        <v/>
      </c>
      <c r="Z351" s="41">
        <f>Z349*Assumptions!$B$141*Assumptions!$B$46*Assumptions!$B$30*Assumptions!$B$102</f>
        <v/>
      </c>
      <c r="AA351" s="41">
        <f>AA349*Assumptions!$B$141*Assumptions!$B$46*Assumptions!$B$30*Assumptions!$B$102</f>
        <v/>
      </c>
      <c r="AB351" s="41">
        <f>AB349*Assumptions!$B$141*Assumptions!$B$46*Assumptions!$B$30*Assumptions!$B$102</f>
        <v/>
      </c>
      <c r="AC351" s="41">
        <f>AC349*Assumptions!$B$141*Assumptions!$B$46*Assumptions!$B$30*Assumptions!$B$102</f>
        <v/>
      </c>
      <c r="AD351" s="41">
        <f>AD349*Assumptions!$B$141*Assumptions!$B$46*Assumptions!$B$30*Assumptions!$B$102</f>
        <v/>
      </c>
      <c r="AE351" s="41">
        <f>AE349*Assumptions!$B$141*Assumptions!$B$46*Assumptions!$B$30*Assumptions!$B$102</f>
        <v/>
      </c>
      <c r="AF351" s="41">
        <f>AF349*Assumptions!$B$141*Assumptions!$B$46*Assumptions!$B$30*Assumptions!$B$102</f>
        <v/>
      </c>
      <c r="AG351" s="41">
        <f>AG349*Assumptions!$B$141*Assumptions!$B$46*Assumptions!$B$30*Assumptions!$B$102</f>
        <v/>
      </c>
      <c r="AH351" s="41">
        <f>AH349*Assumptions!$B$141*Assumptions!$B$46*Assumptions!$B$30*Assumptions!$B$102</f>
        <v/>
      </c>
      <c r="AI351" s="41">
        <f>AI349*Assumptions!$B$141*Assumptions!$B$46*Assumptions!$B$30*Assumptions!$B$102</f>
        <v/>
      </c>
      <c r="AJ351" s="41">
        <f>AJ349*Assumptions!$B$141*Assumptions!$B$46*Assumptions!$B$30*Assumptions!$B$102</f>
        <v/>
      </c>
      <c r="AK351" s="41">
        <f>AK349*Assumptions!$B$141*Assumptions!$B$46*Assumptions!$B$30*Assumptions!$B$102</f>
        <v/>
      </c>
      <c r="AL351" s="41">
        <f>AL349*Assumptions!$B$141*Assumptions!$B$46*Assumptions!$B$30*Assumptions!$B$102</f>
        <v/>
      </c>
      <c r="AM351" s="41">
        <f>AM349*Assumptions!$B$141*Assumptions!$B$46*Assumptions!$B$30*Assumptions!$B$102</f>
        <v/>
      </c>
      <c r="AN351" s="41">
        <f>AN349*Assumptions!$B$141*Assumptions!$B$46*Assumptions!$B$30*Assumptions!$B$102</f>
        <v/>
      </c>
      <c r="AO351" s="41">
        <f>AO349*Assumptions!$B$141*Assumptions!$B$46*Assumptions!$B$30*Assumptions!$B$102</f>
        <v/>
      </c>
      <c r="AP351" s="41">
        <f>AP349*Assumptions!$B$141*Assumptions!$B$46*Assumptions!$B$30*Assumptions!$B$102</f>
        <v/>
      </c>
      <c r="AQ351" s="41">
        <f>AQ349*Assumptions!$B$141*Assumptions!$B$46*Assumptions!$B$30*Assumptions!$B$102</f>
        <v/>
      </c>
      <c r="AR351" s="41">
        <f>AR349*Assumptions!$B$141*Assumptions!$B$46*Assumptions!$B$30*Assumptions!$B$102</f>
        <v/>
      </c>
      <c r="AS351" s="41">
        <f>AS349*Assumptions!$B$141*Assumptions!$B$46*Assumptions!$B$30*Assumptions!$B$102</f>
        <v/>
      </c>
      <c r="AT351" s="41">
        <f>AT349*Assumptions!$B$141*Assumptions!$B$46*Assumptions!$B$30*Assumptions!$B$102</f>
        <v/>
      </c>
      <c r="AU351" s="41">
        <f>AU349*Assumptions!$B$141*Assumptions!$B$46*Assumptions!$B$30*Assumptions!$B$102</f>
        <v/>
      </c>
      <c r="AV351" s="41">
        <f>AV349*Assumptions!$B$141*Assumptions!$B$46*Assumptions!$B$30*Assumptions!$B$102</f>
        <v/>
      </c>
      <c r="AW351" s="41">
        <f>AW349*Assumptions!$B$141*Assumptions!$B$46*Assumptions!$B$30*Assumptions!$B$102</f>
        <v/>
      </c>
      <c r="AX351" s="41">
        <f>AX349*Assumptions!$B$141*Assumptions!$B$46*Assumptions!$B$30*Assumptions!$B$102</f>
        <v/>
      </c>
      <c r="AY351" s="41">
        <f>AY349*Assumptions!$B$141*Assumptions!$B$46*Assumptions!$B$30*Assumptions!$B$102</f>
        <v/>
      </c>
      <c r="AZ351" s="41">
        <f>AZ349*Assumptions!$B$141*Assumptions!$B$46*Assumptions!$B$30*Assumptions!$B$102</f>
        <v/>
      </c>
      <c r="BA351" s="41">
        <f>BA349*Assumptions!$B$141*Assumptions!$B$46*Assumptions!$B$30*Assumptions!$B$102</f>
        <v/>
      </c>
      <c r="BB351" s="41">
        <f>BB349*Assumptions!$B$141*Assumptions!$B$46*Assumptions!$B$30*Assumptions!$B$102</f>
        <v/>
      </c>
      <c r="BC351" s="41">
        <f>BC349*Assumptions!$B$141*Assumptions!$B$46*Assumptions!$B$30*Assumptions!$B$102</f>
        <v/>
      </c>
      <c r="BD351" s="41">
        <f>BD349*Assumptions!$B$141*Assumptions!$B$46*Assumptions!$B$30*Assumptions!$B$102</f>
        <v/>
      </c>
      <c r="BE351" s="41">
        <f>BE349*Assumptions!$B$141*Assumptions!$B$46*Assumptions!$B$30*Assumptions!$B$102</f>
        <v/>
      </c>
      <c r="BF351" s="41">
        <f>BF349*Assumptions!$B$141*Assumptions!$B$46*Assumptions!$B$30*Assumptions!$B$102</f>
        <v/>
      </c>
      <c r="BG351" s="41">
        <f>BG349*Assumptions!$B$141*Assumptions!$B$46*Assumptions!$B$30*Assumptions!$B$102</f>
        <v/>
      </c>
      <c r="BH351" s="41">
        <f>BH349*Assumptions!$B$141*Assumptions!$B$46*Assumptions!$B$30*Assumptions!$B$102</f>
        <v/>
      </c>
      <c r="BI351" s="41">
        <f>BI349*Assumptions!$B$141*Assumptions!$B$46*Assumptions!$B$30*Assumptions!$B$102</f>
        <v/>
      </c>
      <c r="BJ351" s="41">
        <f>BJ349*Assumptions!$B$141*Assumptions!$B$46*Assumptions!$B$30*Assumptions!$B$102</f>
        <v/>
      </c>
    </row>
    <row r="352">
      <c r="A352" s="4" t="inlineStr">
        <is>
          <t>Botswana &amp; Namibia: SME: Growth (direct or upgraded): upgraded out</t>
        </is>
      </c>
      <c r="B352" s="17" t="inlineStr">
        <is>
          <t>workspaces</t>
        </is>
      </c>
      <c r="C352" s="41">
        <f>C349*Assumptions!$B$133</f>
        <v/>
      </c>
      <c r="D352" s="41">
        <f>D349*Assumptions!$B$133</f>
        <v/>
      </c>
      <c r="E352" s="41">
        <f>E349*Assumptions!$B$133</f>
        <v/>
      </c>
      <c r="F352" s="41">
        <f>F349*Assumptions!$B$133</f>
        <v/>
      </c>
      <c r="G352" s="41">
        <f>G349*Assumptions!$B$133</f>
        <v/>
      </c>
      <c r="H352" s="41">
        <f>H349*Assumptions!$B$133</f>
        <v/>
      </c>
      <c r="I352" s="41">
        <f>I349*Assumptions!$B$133</f>
        <v/>
      </c>
      <c r="J352" s="41">
        <f>J349*Assumptions!$B$133</f>
        <v/>
      </c>
      <c r="K352" s="41">
        <f>K349*Assumptions!$B$133</f>
        <v/>
      </c>
      <c r="L352" s="41">
        <f>L349*Assumptions!$B$133</f>
        <v/>
      </c>
      <c r="M352" s="41">
        <f>M349*Assumptions!$B$133</f>
        <v/>
      </c>
      <c r="N352" s="41">
        <f>N349*Assumptions!$B$133</f>
        <v/>
      </c>
      <c r="O352" s="41">
        <f>O349*Assumptions!$B$133</f>
        <v/>
      </c>
      <c r="P352" s="41">
        <f>P349*Assumptions!$B$133</f>
        <v/>
      </c>
      <c r="Q352" s="41">
        <f>Q349*Assumptions!$B$133</f>
        <v/>
      </c>
      <c r="R352" s="41">
        <f>R349*Assumptions!$B$133</f>
        <v/>
      </c>
      <c r="S352" s="41">
        <f>S349*Assumptions!$B$133</f>
        <v/>
      </c>
      <c r="T352" s="41">
        <f>T349*Assumptions!$B$133</f>
        <v/>
      </c>
      <c r="U352" s="41">
        <f>U349*Assumptions!$B$133</f>
        <v/>
      </c>
      <c r="V352" s="41">
        <f>V349*Assumptions!$B$133</f>
        <v/>
      </c>
      <c r="W352" s="41">
        <f>W349*Assumptions!$B$133</f>
        <v/>
      </c>
      <c r="X352" s="41">
        <f>X349*Assumptions!$B$133</f>
        <v/>
      </c>
      <c r="Y352" s="41">
        <f>Y349*Assumptions!$B$133</f>
        <v/>
      </c>
      <c r="Z352" s="41">
        <f>Z349*Assumptions!$B$133</f>
        <v/>
      </c>
      <c r="AA352" s="41">
        <f>AA349*Assumptions!$B$133</f>
        <v/>
      </c>
      <c r="AB352" s="41">
        <f>AB349*Assumptions!$B$133</f>
        <v/>
      </c>
      <c r="AC352" s="41">
        <f>AC349*Assumptions!$B$133</f>
        <v/>
      </c>
      <c r="AD352" s="41">
        <f>AD349*Assumptions!$B$133</f>
        <v/>
      </c>
      <c r="AE352" s="41">
        <f>AE349*Assumptions!$B$133</f>
        <v/>
      </c>
      <c r="AF352" s="41">
        <f>AF349*Assumptions!$B$133</f>
        <v/>
      </c>
      <c r="AG352" s="41">
        <f>AG349*Assumptions!$B$133</f>
        <v/>
      </c>
      <c r="AH352" s="41">
        <f>AH349*Assumptions!$B$133</f>
        <v/>
      </c>
      <c r="AI352" s="41">
        <f>AI349*Assumptions!$B$133</f>
        <v/>
      </c>
      <c r="AJ352" s="41">
        <f>AJ349*Assumptions!$B$133</f>
        <v/>
      </c>
      <c r="AK352" s="41">
        <f>AK349*Assumptions!$B$133</f>
        <v/>
      </c>
      <c r="AL352" s="41">
        <f>AL349*Assumptions!$B$133</f>
        <v/>
      </c>
      <c r="AM352" s="41">
        <f>AM349*Assumptions!$B$133</f>
        <v/>
      </c>
      <c r="AN352" s="41">
        <f>AN349*Assumptions!$B$133</f>
        <v/>
      </c>
      <c r="AO352" s="41">
        <f>AO349*Assumptions!$B$133</f>
        <v/>
      </c>
      <c r="AP352" s="41">
        <f>AP349*Assumptions!$B$133</f>
        <v/>
      </c>
      <c r="AQ352" s="41">
        <f>AQ349*Assumptions!$B$133</f>
        <v/>
      </c>
      <c r="AR352" s="41">
        <f>AR349*Assumptions!$B$133</f>
        <v/>
      </c>
      <c r="AS352" s="41">
        <f>AS349*Assumptions!$B$133</f>
        <v/>
      </c>
      <c r="AT352" s="41">
        <f>AT349*Assumptions!$B$133</f>
        <v/>
      </c>
      <c r="AU352" s="41">
        <f>AU349*Assumptions!$B$133</f>
        <v/>
      </c>
      <c r="AV352" s="41">
        <f>AV349*Assumptions!$B$133</f>
        <v/>
      </c>
      <c r="AW352" s="41">
        <f>AW349*Assumptions!$B$133</f>
        <v/>
      </c>
      <c r="AX352" s="41">
        <f>AX349*Assumptions!$B$133</f>
        <v/>
      </c>
      <c r="AY352" s="41">
        <f>AY349*Assumptions!$B$133</f>
        <v/>
      </c>
      <c r="AZ352" s="41">
        <f>AZ349*Assumptions!$B$133</f>
        <v/>
      </c>
      <c r="BA352" s="41">
        <f>BA349*Assumptions!$B$133</f>
        <v/>
      </c>
      <c r="BB352" s="41">
        <f>BB349*Assumptions!$B$133</f>
        <v/>
      </c>
      <c r="BC352" s="41">
        <f>BC349*Assumptions!$B$133</f>
        <v/>
      </c>
      <c r="BD352" s="41">
        <f>BD349*Assumptions!$B$133</f>
        <v/>
      </c>
      <c r="BE352" s="41">
        <f>BE349*Assumptions!$B$133</f>
        <v/>
      </c>
      <c r="BF352" s="41">
        <f>BF349*Assumptions!$B$133</f>
        <v/>
      </c>
      <c r="BG352" s="41">
        <f>BG349*Assumptions!$B$133</f>
        <v/>
      </c>
      <c r="BH352" s="41">
        <f>BH349*Assumptions!$B$133</f>
        <v/>
      </c>
      <c r="BI352" s="41">
        <f>BI349*Assumptions!$B$133</f>
        <v/>
      </c>
      <c r="BJ352" s="41">
        <f>BJ349*Assumptions!$B$133</f>
        <v/>
      </c>
    </row>
    <row r="353">
      <c r="A353" s="3" t="inlineStr">
        <is>
          <t>Botswana &amp; Namibia: SME: Growth (direct or upgraded): closing</t>
        </is>
      </c>
      <c r="B353" s="17" t="inlineStr">
        <is>
          <t>workspaces</t>
        </is>
      </c>
      <c r="C353" s="44">
        <f>C349+C350-C351-C352</f>
        <v/>
      </c>
      <c r="D353" s="44">
        <f>D349+D350-D351-D352</f>
        <v/>
      </c>
      <c r="E353" s="44">
        <f>E349+E350-E351-E352</f>
        <v/>
      </c>
      <c r="F353" s="44">
        <f>F349+F350-F351-F352</f>
        <v/>
      </c>
      <c r="G353" s="44">
        <f>G349+G350-G351-G352</f>
        <v/>
      </c>
      <c r="H353" s="44">
        <f>H349+H350-H351-H352</f>
        <v/>
      </c>
      <c r="I353" s="44">
        <f>I349+I350-I351-I352</f>
        <v/>
      </c>
      <c r="J353" s="44">
        <f>J349+J350-J351-J352</f>
        <v/>
      </c>
      <c r="K353" s="44">
        <f>K349+K350-K351-K352</f>
        <v/>
      </c>
      <c r="L353" s="44">
        <f>L349+L350-L351-L352</f>
        <v/>
      </c>
      <c r="M353" s="44">
        <f>M349+M350-M351-M352</f>
        <v/>
      </c>
      <c r="N353" s="44">
        <f>N349+N350-N351-N352</f>
        <v/>
      </c>
      <c r="O353" s="44">
        <f>O349+O350-O351-O352</f>
        <v/>
      </c>
      <c r="P353" s="44">
        <f>P349+P350-P351-P352</f>
        <v/>
      </c>
      <c r="Q353" s="44">
        <f>Q349+Q350-Q351-Q352</f>
        <v/>
      </c>
      <c r="R353" s="44">
        <f>R349+R350-R351-R352</f>
        <v/>
      </c>
      <c r="S353" s="44">
        <f>S349+S350-S351-S352</f>
        <v/>
      </c>
      <c r="T353" s="44">
        <f>T349+T350-T351-T352</f>
        <v/>
      </c>
      <c r="U353" s="44">
        <f>U349+U350-U351-U352</f>
        <v/>
      </c>
      <c r="V353" s="44">
        <f>V349+V350-V351-V352</f>
        <v/>
      </c>
      <c r="W353" s="44">
        <f>W349+W350-W351-W352</f>
        <v/>
      </c>
      <c r="X353" s="44">
        <f>X349+X350-X351-X352</f>
        <v/>
      </c>
      <c r="Y353" s="44">
        <f>Y349+Y350-Y351-Y352</f>
        <v/>
      </c>
      <c r="Z353" s="44">
        <f>Z349+Z350-Z351-Z352</f>
        <v/>
      </c>
      <c r="AA353" s="44">
        <f>AA349+AA350-AA351-AA352</f>
        <v/>
      </c>
      <c r="AB353" s="44">
        <f>AB349+AB350-AB351-AB352</f>
        <v/>
      </c>
      <c r="AC353" s="44">
        <f>AC349+AC350-AC351-AC352</f>
        <v/>
      </c>
      <c r="AD353" s="44">
        <f>AD349+AD350-AD351-AD352</f>
        <v/>
      </c>
      <c r="AE353" s="44">
        <f>AE349+AE350-AE351-AE352</f>
        <v/>
      </c>
      <c r="AF353" s="44">
        <f>AF349+AF350-AF351-AF352</f>
        <v/>
      </c>
      <c r="AG353" s="44">
        <f>AG349+AG350-AG351-AG352</f>
        <v/>
      </c>
      <c r="AH353" s="44">
        <f>AH349+AH350-AH351-AH352</f>
        <v/>
      </c>
      <c r="AI353" s="44">
        <f>AI349+AI350-AI351-AI352</f>
        <v/>
      </c>
      <c r="AJ353" s="44">
        <f>AJ349+AJ350-AJ351-AJ352</f>
        <v/>
      </c>
      <c r="AK353" s="44">
        <f>AK349+AK350-AK351-AK352</f>
        <v/>
      </c>
      <c r="AL353" s="44">
        <f>AL349+AL350-AL351-AL352</f>
        <v/>
      </c>
      <c r="AM353" s="44">
        <f>AM349+AM350-AM351-AM352</f>
        <v/>
      </c>
      <c r="AN353" s="44">
        <f>AN349+AN350-AN351-AN352</f>
        <v/>
      </c>
      <c r="AO353" s="44">
        <f>AO349+AO350-AO351-AO352</f>
        <v/>
      </c>
      <c r="AP353" s="44">
        <f>AP349+AP350-AP351-AP352</f>
        <v/>
      </c>
      <c r="AQ353" s="44">
        <f>AQ349+AQ350-AQ351-AQ352</f>
        <v/>
      </c>
      <c r="AR353" s="44">
        <f>AR349+AR350-AR351-AR352</f>
        <v/>
      </c>
      <c r="AS353" s="44">
        <f>AS349+AS350-AS351-AS352</f>
        <v/>
      </c>
      <c r="AT353" s="44">
        <f>AT349+AT350-AT351-AT352</f>
        <v/>
      </c>
      <c r="AU353" s="44">
        <f>AU349+AU350-AU351-AU352</f>
        <v/>
      </c>
      <c r="AV353" s="44">
        <f>AV349+AV350-AV351-AV352</f>
        <v/>
      </c>
      <c r="AW353" s="44">
        <f>AW349+AW350-AW351-AW352</f>
        <v/>
      </c>
      <c r="AX353" s="44">
        <f>AX349+AX350-AX351-AX352</f>
        <v/>
      </c>
      <c r="AY353" s="44">
        <f>AY349+AY350-AY351-AY352</f>
        <v/>
      </c>
      <c r="AZ353" s="44">
        <f>AZ349+AZ350-AZ351-AZ352</f>
        <v/>
      </c>
      <c r="BA353" s="44">
        <f>BA349+BA350-BA351-BA352</f>
        <v/>
      </c>
      <c r="BB353" s="44">
        <f>BB349+BB350-BB351-BB352</f>
        <v/>
      </c>
      <c r="BC353" s="44">
        <f>BC349+BC350-BC351-BC352</f>
        <v/>
      </c>
      <c r="BD353" s="44">
        <f>BD349+BD350-BD351-BD352</f>
        <v/>
      </c>
      <c r="BE353" s="44">
        <f>BE349+BE350-BE351-BE352</f>
        <v/>
      </c>
      <c r="BF353" s="44">
        <f>BF349+BF350-BF351-BF352</f>
        <v/>
      </c>
      <c r="BG353" s="44">
        <f>BG349+BG350-BG351-BG352</f>
        <v/>
      </c>
      <c r="BH353" s="44">
        <f>BH349+BH350-BH351-BH352</f>
        <v/>
      </c>
      <c r="BI353" s="44">
        <f>BI349+BI350-BI351-BI352</f>
        <v/>
      </c>
      <c r="BJ353" s="44">
        <f>BJ349+BJ350-BJ351-BJ352</f>
        <v/>
      </c>
    </row>
    <row r="354">
      <c r="A354" s="4" t="inlineStr">
        <is>
          <t>Botswana &amp; Namibia: SME: Scale (direct or upgraded): opening</t>
        </is>
      </c>
      <c r="B354" s="17" t="inlineStr">
        <is>
          <t>workspaces</t>
        </is>
      </c>
      <c r="C354" s="41">
        <f>0</f>
        <v/>
      </c>
      <c r="D354" s="41">
        <f>C357</f>
        <v/>
      </c>
      <c r="E354" s="41">
        <f>D357</f>
        <v/>
      </c>
      <c r="F354" s="41">
        <f>E357</f>
        <v/>
      </c>
      <c r="G354" s="41">
        <f>F357</f>
        <v/>
      </c>
      <c r="H354" s="41">
        <f>G357</f>
        <v/>
      </c>
      <c r="I354" s="41">
        <f>H357</f>
        <v/>
      </c>
      <c r="J354" s="41">
        <f>I357</f>
        <v/>
      </c>
      <c r="K354" s="41">
        <f>J357</f>
        <v/>
      </c>
      <c r="L354" s="41">
        <f>K357</f>
        <v/>
      </c>
      <c r="M354" s="41">
        <f>L357</f>
        <v/>
      </c>
      <c r="N354" s="41">
        <f>M357</f>
        <v/>
      </c>
      <c r="O354" s="41">
        <f>N357</f>
        <v/>
      </c>
      <c r="P354" s="41">
        <f>O357</f>
        <v/>
      </c>
      <c r="Q354" s="41">
        <f>P357</f>
        <v/>
      </c>
      <c r="R354" s="41">
        <f>Q357</f>
        <v/>
      </c>
      <c r="S354" s="41">
        <f>R357</f>
        <v/>
      </c>
      <c r="T354" s="41">
        <f>S357</f>
        <v/>
      </c>
      <c r="U354" s="41">
        <f>T357</f>
        <v/>
      </c>
      <c r="V354" s="41">
        <f>U357</f>
        <v/>
      </c>
      <c r="W354" s="41">
        <f>V357</f>
        <v/>
      </c>
      <c r="X354" s="41">
        <f>W357</f>
        <v/>
      </c>
      <c r="Y354" s="41">
        <f>X357</f>
        <v/>
      </c>
      <c r="Z354" s="41">
        <f>Y357</f>
        <v/>
      </c>
      <c r="AA354" s="41">
        <f>Z357</f>
        <v/>
      </c>
      <c r="AB354" s="41">
        <f>AA357</f>
        <v/>
      </c>
      <c r="AC354" s="41">
        <f>AB357</f>
        <v/>
      </c>
      <c r="AD354" s="41">
        <f>AC357</f>
        <v/>
      </c>
      <c r="AE354" s="41">
        <f>AD357</f>
        <v/>
      </c>
      <c r="AF354" s="41">
        <f>AE357</f>
        <v/>
      </c>
      <c r="AG354" s="41">
        <f>AF357</f>
        <v/>
      </c>
      <c r="AH354" s="41">
        <f>AG357</f>
        <v/>
      </c>
      <c r="AI354" s="41">
        <f>AH357</f>
        <v/>
      </c>
      <c r="AJ354" s="41">
        <f>AI357</f>
        <v/>
      </c>
      <c r="AK354" s="41">
        <f>AJ357</f>
        <v/>
      </c>
      <c r="AL354" s="41">
        <f>AK357</f>
        <v/>
      </c>
      <c r="AM354" s="41">
        <f>AL357</f>
        <v/>
      </c>
      <c r="AN354" s="41">
        <f>AM357</f>
        <v/>
      </c>
      <c r="AO354" s="41">
        <f>AN357</f>
        <v/>
      </c>
      <c r="AP354" s="41">
        <f>AO357</f>
        <v/>
      </c>
      <c r="AQ354" s="41">
        <f>AP357</f>
        <v/>
      </c>
      <c r="AR354" s="41">
        <f>AQ357</f>
        <v/>
      </c>
      <c r="AS354" s="41">
        <f>AR357</f>
        <v/>
      </c>
      <c r="AT354" s="41">
        <f>AS357</f>
        <v/>
      </c>
      <c r="AU354" s="41">
        <f>AT357</f>
        <v/>
      </c>
      <c r="AV354" s="41">
        <f>AU357</f>
        <v/>
      </c>
      <c r="AW354" s="41">
        <f>AV357</f>
        <v/>
      </c>
      <c r="AX354" s="41">
        <f>AW357</f>
        <v/>
      </c>
      <c r="AY354" s="41">
        <f>AX357</f>
        <v/>
      </c>
      <c r="AZ354" s="41">
        <f>AY357</f>
        <v/>
      </c>
      <c r="BA354" s="41">
        <f>AZ357</f>
        <v/>
      </c>
      <c r="BB354" s="41">
        <f>BA357</f>
        <v/>
      </c>
      <c r="BC354" s="41">
        <f>BB357</f>
        <v/>
      </c>
      <c r="BD354" s="41">
        <f>BC357</f>
        <v/>
      </c>
      <c r="BE354" s="41">
        <f>BD357</f>
        <v/>
      </c>
      <c r="BF354" s="41">
        <f>BE357</f>
        <v/>
      </c>
      <c r="BG354" s="41">
        <f>BF357</f>
        <v/>
      </c>
      <c r="BH354" s="41">
        <f>BG357</f>
        <v/>
      </c>
      <c r="BI354" s="41">
        <f>BH357</f>
        <v/>
      </c>
      <c r="BJ354" s="41">
        <f>BI357</f>
        <v/>
      </c>
    </row>
    <row r="355">
      <c r="A355" s="4" t="inlineStr">
        <is>
          <t>Botswana &amp; Namibia: SME: Scale (direct or upgraded): new</t>
        </is>
      </c>
      <c r="B355" s="17" t="inlineStr">
        <is>
          <t>workspaces</t>
        </is>
      </c>
      <c r="C355" s="41">
        <f>C157*Assumptions!$B$129+C352</f>
        <v/>
      </c>
      <c r="D355" s="41">
        <f>D157*Assumptions!$B$129+D352</f>
        <v/>
      </c>
      <c r="E355" s="41">
        <f>E157*Assumptions!$B$129+E352</f>
        <v/>
      </c>
      <c r="F355" s="41">
        <f>F157*Assumptions!$B$129+F352</f>
        <v/>
      </c>
      <c r="G355" s="41">
        <f>G157*Assumptions!$B$129+G352</f>
        <v/>
      </c>
      <c r="H355" s="41">
        <f>H157*Assumptions!$B$129+H352</f>
        <v/>
      </c>
      <c r="I355" s="41">
        <f>I157*Assumptions!$B$129+I352</f>
        <v/>
      </c>
      <c r="J355" s="41">
        <f>J157*Assumptions!$B$129+J352</f>
        <v/>
      </c>
      <c r="K355" s="41">
        <f>K157*Assumptions!$B$129+K352</f>
        <v/>
      </c>
      <c r="L355" s="41">
        <f>L157*Assumptions!$B$129+L352</f>
        <v/>
      </c>
      <c r="M355" s="41">
        <f>M157*Assumptions!$B$129+M352</f>
        <v/>
      </c>
      <c r="N355" s="41">
        <f>N157*Assumptions!$B$129+N352</f>
        <v/>
      </c>
      <c r="O355" s="41">
        <f>O157*Assumptions!$B$129+O352</f>
        <v/>
      </c>
      <c r="P355" s="41">
        <f>P157*Assumptions!$B$129+P352</f>
        <v/>
      </c>
      <c r="Q355" s="41">
        <f>Q157*Assumptions!$B$129+Q352</f>
        <v/>
      </c>
      <c r="R355" s="41">
        <f>R157*Assumptions!$B$129+R352</f>
        <v/>
      </c>
      <c r="S355" s="41">
        <f>S157*Assumptions!$B$129+S352</f>
        <v/>
      </c>
      <c r="T355" s="41">
        <f>T157*Assumptions!$B$129+T352</f>
        <v/>
      </c>
      <c r="U355" s="41">
        <f>U157*Assumptions!$B$129+U352</f>
        <v/>
      </c>
      <c r="V355" s="41">
        <f>V157*Assumptions!$B$129+V352</f>
        <v/>
      </c>
      <c r="W355" s="41">
        <f>W157*Assumptions!$B$129+W352</f>
        <v/>
      </c>
      <c r="X355" s="41">
        <f>X157*Assumptions!$B$129+X352</f>
        <v/>
      </c>
      <c r="Y355" s="41">
        <f>Y157*Assumptions!$B$129+Y352</f>
        <v/>
      </c>
      <c r="Z355" s="41">
        <f>Z157*Assumptions!$B$129+Z352</f>
        <v/>
      </c>
      <c r="AA355" s="41">
        <f>AA157*Assumptions!$B$129+AA352</f>
        <v/>
      </c>
      <c r="AB355" s="41">
        <f>AB157*Assumptions!$B$129+AB352</f>
        <v/>
      </c>
      <c r="AC355" s="41">
        <f>AC157*Assumptions!$B$129+AC352</f>
        <v/>
      </c>
      <c r="AD355" s="41">
        <f>AD157*Assumptions!$B$129+AD352</f>
        <v/>
      </c>
      <c r="AE355" s="41">
        <f>AE157*Assumptions!$B$129+AE352</f>
        <v/>
      </c>
      <c r="AF355" s="41">
        <f>AF157*Assumptions!$B$129+AF352</f>
        <v/>
      </c>
      <c r="AG355" s="41">
        <f>AG157*Assumptions!$B$129+AG352</f>
        <v/>
      </c>
      <c r="AH355" s="41">
        <f>AH157*Assumptions!$B$129+AH352</f>
        <v/>
      </c>
      <c r="AI355" s="41">
        <f>AI157*Assumptions!$B$129+AI352</f>
        <v/>
      </c>
      <c r="AJ355" s="41">
        <f>AJ157*Assumptions!$B$129+AJ352</f>
        <v/>
      </c>
      <c r="AK355" s="41">
        <f>AK157*Assumptions!$B$129+AK352</f>
        <v/>
      </c>
      <c r="AL355" s="41">
        <f>AL157*Assumptions!$B$129+AL352</f>
        <v/>
      </c>
      <c r="AM355" s="41">
        <f>AM157*Assumptions!$B$129+AM352</f>
        <v/>
      </c>
      <c r="AN355" s="41">
        <f>AN157*Assumptions!$B$129+AN352</f>
        <v/>
      </c>
      <c r="AO355" s="41">
        <f>AO157*Assumptions!$B$129+AO352</f>
        <v/>
      </c>
      <c r="AP355" s="41">
        <f>AP157*Assumptions!$B$129+AP352</f>
        <v/>
      </c>
      <c r="AQ355" s="41">
        <f>AQ157*Assumptions!$B$129+AQ352</f>
        <v/>
      </c>
      <c r="AR355" s="41">
        <f>AR157*Assumptions!$B$129+AR352</f>
        <v/>
      </c>
      <c r="AS355" s="41">
        <f>AS157*Assumptions!$B$129+AS352</f>
        <v/>
      </c>
      <c r="AT355" s="41">
        <f>AT157*Assumptions!$B$129+AT352</f>
        <v/>
      </c>
      <c r="AU355" s="41">
        <f>AU157*Assumptions!$B$129+AU352</f>
        <v/>
      </c>
      <c r="AV355" s="41">
        <f>AV157*Assumptions!$B$129+AV352</f>
        <v/>
      </c>
      <c r="AW355" s="41">
        <f>AW157*Assumptions!$B$129+AW352</f>
        <v/>
      </c>
      <c r="AX355" s="41">
        <f>AX157*Assumptions!$B$129+AX352</f>
        <v/>
      </c>
      <c r="AY355" s="41">
        <f>AY157*Assumptions!$B$129+AY352</f>
        <v/>
      </c>
      <c r="AZ355" s="41">
        <f>AZ157*Assumptions!$B$129+AZ352</f>
        <v/>
      </c>
      <c r="BA355" s="41">
        <f>BA157*Assumptions!$B$129+BA352</f>
        <v/>
      </c>
      <c r="BB355" s="41">
        <f>BB157*Assumptions!$B$129+BB352</f>
        <v/>
      </c>
      <c r="BC355" s="41">
        <f>BC157*Assumptions!$B$129+BC352</f>
        <v/>
      </c>
      <c r="BD355" s="41">
        <f>BD157*Assumptions!$B$129+BD352</f>
        <v/>
      </c>
      <c r="BE355" s="41">
        <f>BE157*Assumptions!$B$129+BE352</f>
        <v/>
      </c>
      <c r="BF355" s="41">
        <f>BF157*Assumptions!$B$129+BF352</f>
        <v/>
      </c>
      <c r="BG355" s="41">
        <f>BG157*Assumptions!$B$129+BG352</f>
        <v/>
      </c>
      <c r="BH355" s="41">
        <f>BH157*Assumptions!$B$129+BH352</f>
        <v/>
      </c>
      <c r="BI355" s="41">
        <f>BI157*Assumptions!$B$129+BI352</f>
        <v/>
      </c>
      <c r="BJ355" s="41">
        <f>BJ157*Assumptions!$B$129+BJ352</f>
        <v/>
      </c>
    </row>
    <row r="356">
      <c r="A356" s="4" t="inlineStr">
        <is>
          <t>Botswana &amp; Namibia: SME: Scale (direct or upgraded): churned</t>
        </is>
      </c>
      <c r="B356" s="17" t="inlineStr">
        <is>
          <t>workspaces</t>
        </is>
      </c>
      <c r="C356" s="41">
        <f>C354*Assumptions!$B$142*Assumptions!$B$46*Assumptions!$B$30*Assumptions!$B$102</f>
        <v/>
      </c>
      <c r="D356" s="41">
        <f>D354*Assumptions!$B$142*Assumptions!$B$46*Assumptions!$B$30*Assumptions!$B$102</f>
        <v/>
      </c>
      <c r="E356" s="41">
        <f>E354*Assumptions!$B$142*Assumptions!$B$46*Assumptions!$B$30*Assumptions!$B$102</f>
        <v/>
      </c>
      <c r="F356" s="41">
        <f>F354*Assumptions!$B$142*Assumptions!$B$46*Assumptions!$B$30*Assumptions!$B$102</f>
        <v/>
      </c>
      <c r="G356" s="41">
        <f>G354*Assumptions!$B$142*Assumptions!$B$46*Assumptions!$B$30*Assumptions!$B$102</f>
        <v/>
      </c>
      <c r="H356" s="41">
        <f>H354*Assumptions!$B$142*Assumptions!$B$46*Assumptions!$B$30*Assumptions!$B$102</f>
        <v/>
      </c>
      <c r="I356" s="41">
        <f>I354*Assumptions!$B$142*Assumptions!$B$46*Assumptions!$B$30*Assumptions!$B$102</f>
        <v/>
      </c>
      <c r="J356" s="41">
        <f>J354*Assumptions!$B$142*Assumptions!$B$46*Assumptions!$B$30*Assumptions!$B$102</f>
        <v/>
      </c>
      <c r="K356" s="41">
        <f>K354*Assumptions!$B$142*Assumptions!$B$46*Assumptions!$B$30*Assumptions!$B$102</f>
        <v/>
      </c>
      <c r="L356" s="41">
        <f>L354*Assumptions!$B$142*Assumptions!$B$46*Assumptions!$B$30*Assumptions!$B$102</f>
        <v/>
      </c>
      <c r="M356" s="41">
        <f>M354*Assumptions!$B$142*Assumptions!$B$46*Assumptions!$B$30*Assumptions!$B$102</f>
        <v/>
      </c>
      <c r="N356" s="41">
        <f>N354*Assumptions!$B$142*Assumptions!$B$46*Assumptions!$B$30*Assumptions!$B$102</f>
        <v/>
      </c>
      <c r="O356" s="41">
        <f>O354*Assumptions!$B$142*Assumptions!$B$46*Assumptions!$B$30*Assumptions!$B$102</f>
        <v/>
      </c>
      <c r="P356" s="41">
        <f>P354*Assumptions!$B$142*Assumptions!$B$46*Assumptions!$B$30*Assumptions!$B$102</f>
        <v/>
      </c>
      <c r="Q356" s="41">
        <f>Q354*Assumptions!$B$142*Assumptions!$B$46*Assumptions!$B$30*Assumptions!$B$102</f>
        <v/>
      </c>
      <c r="R356" s="41">
        <f>R354*Assumptions!$B$142*Assumptions!$B$46*Assumptions!$B$30*Assumptions!$B$102</f>
        <v/>
      </c>
      <c r="S356" s="41">
        <f>S354*Assumptions!$B$142*Assumptions!$B$46*Assumptions!$B$30*Assumptions!$B$102</f>
        <v/>
      </c>
      <c r="T356" s="41">
        <f>T354*Assumptions!$B$142*Assumptions!$B$46*Assumptions!$B$30*Assumptions!$B$102</f>
        <v/>
      </c>
      <c r="U356" s="41">
        <f>U354*Assumptions!$B$142*Assumptions!$B$46*Assumptions!$B$30*Assumptions!$B$102</f>
        <v/>
      </c>
      <c r="V356" s="41">
        <f>V354*Assumptions!$B$142*Assumptions!$B$46*Assumptions!$B$30*Assumptions!$B$102</f>
        <v/>
      </c>
      <c r="W356" s="41">
        <f>W354*Assumptions!$B$142*Assumptions!$B$46*Assumptions!$B$30*Assumptions!$B$102</f>
        <v/>
      </c>
      <c r="X356" s="41">
        <f>X354*Assumptions!$B$142*Assumptions!$B$46*Assumptions!$B$30*Assumptions!$B$102</f>
        <v/>
      </c>
      <c r="Y356" s="41">
        <f>Y354*Assumptions!$B$142*Assumptions!$B$46*Assumptions!$B$30*Assumptions!$B$102</f>
        <v/>
      </c>
      <c r="Z356" s="41">
        <f>Z354*Assumptions!$B$142*Assumptions!$B$46*Assumptions!$B$30*Assumptions!$B$102</f>
        <v/>
      </c>
      <c r="AA356" s="41">
        <f>AA354*Assumptions!$B$142*Assumptions!$B$46*Assumptions!$B$30*Assumptions!$B$102</f>
        <v/>
      </c>
      <c r="AB356" s="41">
        <f>AB354*Assumptions!$B$142*Assumptions!$B$46*Assumptions!$B$30*Assumptions!$B$102</f>
        <v/>
      </c>
      <c r="AC356" s="41">
        <f>AC354*Assumptions!$B$142*Assumptions!$B$46*Assumptions!$B$30*Assumptions!$B$102</f>
        <v/>
      </c>
      <c r="AD356" s="41">
        <f>AD354*Assumptions!$B$142*Assumptions!$B$46*Assumptions!$B$30*Assumptions!$B$102</f>
        <v/>
      </c>
      <c r="AE356" s="41">
        <f>AE354*Assumptions!$B$142*Assumptions!$B$46*Assumptions!$B$30*Assumptions!$B$102</f>
        <v/>
      </c>
      <c r="AF356" s="41">
        <f>AF354*Assumptions!$B$142*Assumptions!$B$46*Assumptions!$B$30*Assumptions!$B$102</f>
        <v/>
      </c>
      <c r="AG356" s="41">
        <f>AG354*Assumptions!$B$142*Assumptions!$B$46*Assumptions!$B$30*Assumptions!$B$102</f>
        <v/>
      </c>
      <c r="AH356" s="41">
        <f>AH354*Assumptions!$B$142*Assumptions!$B$46*Assumptions!$B$30*Assumptions!$B$102</f>
        <v/>
      </c>
      <c r="AI356" s="41">
        <f>AI354*Assumptions!$B$142*Assumptions!$B$46*Assumptions!$B$30*Assumptions!$B$102</f>
        <v/>
      </c>
      <c r="AJ356" s="41">
        <f>AJ354*Assumptions!$B$142*Assumptions!$B$46*Assumptions!$B$30*Assumptions!$B$102</f>
        <v/>
      </c>
      <c r="AK356" s="41">
        <f>AK354*Assumptions!$B$142*Assumptions!$B$46*Assumptions!$B$30*Assumptions!$B$102</f>
        <v/>
      </c>
      <c r="AL356" s="41">
        <f>AL354*Assumptions!$B$142*Assumptions!$B$46*Assumptions!$B$30*Assumptions!$B$102</f>
        <v/>
      </c>
      <c r="AM356" s="41">
        <f>AM354*Assumptions!$B$142*Assumptions!$B$46*Assumptions!$B$30*Assumptions!$B$102</f>
        <v/>
      </c>
      <c r="AN356" s="41">
        <f>AN354*Assumptions!$B$142*Assumptions!$B$46*Assumptions!$B$30*Assumptions!$B$102</f>
        <v/>
      </c>
      <c r="AO356" s="41">
        <f>AO354*Assumptions!$B$142*Assumptions!$B$46*Assumptions!$B$30*Assumptions!$B$102</f>
        <v/>
      </c>
      <c r="AP356" s="41">
        <f>AP354*Assumptions!$B$142*Assumptions!$B$46*Assumptions!$B$30*Assumptions!$B$102</f>
        <v/>
      </c>
      <c r="AQ356" s="41">
        <f>AQ354*Assumptions!$B$142*Assumptions!$B$46*Assumptions!$B$30*Assumptions!$B$102</f>
        <v/>
      </c>
      <c r="AR356" s="41">
        <f>AR354*Assumptions!$B$142*Assumptions!$B$46*Assumptions!$B$30*Assumptions!$B$102</f>
        <v/>
      </c>
      <c r="AS356" s="41">
        <f>AS354*Assumptions!$B$142*Assumptions!$B$46*Assumptions!$B$30*Assumptions!$B$102</f>
        <v/>
      </c>
      <c r="AT356" s="41">
        <f>AT354*Assumptions!$B$142*Assumptions!$B$46*Assumptions!$B$30*Assumptions!$B$102</f>
        <v/>
      </c>
      <c r="AU356" s="41">
        <f>AU354*Assumptions!$B$142*Assumptions!$B$46*Assumptions!$B$30*Assumptions!$B$102</f>
        <v/>
      </c>
      <c r="AV356" s="41">
        <f>AV354*Assumptions!$B$142*Assumptions!$B$46*Assumptions!$B$30*Assumptions!$B$102</f>
        <v/>
      </c>
      <c r="AW356" s="41">
        <f>AW354*Assumptions!$B$142*Assumptions!$B$46*Assumptions!$B$30*Assumptions!$B$102</f>
        <v/>
      </c>
      <c r="AX356" s="41">
        <f>AX354*Assumptions!$B$142*Assumptions!$B$46*Assumptions!$B$30*Assumptions!$B$102</f>
        <v/>
      </c>
      <c r="AY356" s="41">
        <f>AY354*Assumptions!$B$142*Assumptions!$B$46*Assumptions!$B$30*Assumptions!$B$102</f>
        <v/>
      </c>
      <c r="AZ356" s="41">
        <f>AZ354*Assumptions!$B$142*Assumptions!$B$46*Assumptions!$B$30*Assumptions!$B$102</f>
        <v/>
      </c>
      <c r="BA356" s="41">
        <f>BA354*Assumptions!$B$142*Assumptions!$B$46*Assumptions!$B$30*Assumptions!$B$102</f>
        <v/>
      </c>
      <c r="BB356" s="41">
        <f>BB354*Assumptions!$B$142*Assumptions!$B$46*Assumptions!$B$30*Assumptions!$B$102</f>
        <v/>
      </c>
      <c r="BC356" s="41">
        <f>BC354*Assumptions!$B$142*Assumptions!$B$46*Assumptions!$B$30*Assumptions!$B$102</f>
        <v/>
      </c>
      <c r="BD356" s="41">
        <f>BD354*Assumptions!$B$142*Assumptions!$B$46*Assumptions!$B$30*Assumptions!$B$102</f>
        <v/>
      </c>
      <c r="BE356" s="41">
        <f>BE354*Assumptions!$B$142*Assumptions!$B$46*Assumptions!$B$30*Assumptions!$B$102</f>
        <v/>
      </c>
      <c r="BF356" s="41">
        <f>BF354*Assumptions!$B$142*Assumptions!$B$46*Assumptions!$B$30*Assumptions!$B$102</f>
        <v/>
      </c>
      <c r="BG356" s="41">
        <f>BG354*Assumptions!$B$142*Assumptions!$B$46*Assumptions!$B$30*Assumptions!$B$102</f>
        <v/>
      </c>
      <c r="BH356" s="41">
        <f>BH354*Assumptions!$B$142*Assumptions!$B$46*Assumptions!$B$30*Assumptions!$B$102</f>
        <v/>
      </c>
      <c r="BI356" s="41">
        <f>BI354*Assumptions!$B$142*Assumptions!$B$46*Assumptions!$B$30*Assumptions!$B$102</f>
        <v/>
      </c>
      <c r="BJ356" s="41">
        <f>BJ354*Assumptions!$B$142*Assumptions!$B$46*Assumptions!$B$30*Assumptions!$B$102</f>
        <v/>
      </c>
    </row>
    <row r="357">
      <c r="A357" s="3" t="inlineStr">
        <is>
          <t>Botswana &amp; Namibia: SME: Scale (direct or upgraded): closing</t>
        </is>
      </c>
      <c r="B357" s="17" t="inlineStr">
        <is>
          <t>workspaces</t>
        </is>
      </c>
      <c r="C357" s="44">
        <f>C354+C355-C356</f>
        <v/>
      </c>
      <c r="D357" s="44">
        <f>D354+D355-D356</f>
        <v/>
      </c>
      <c r="E357" s="44">
        <f>E354+E355-E356</f>
        <v/>
      </c>
      <c r="F357" s="44">
        <f>F354+F355-F356</f>
        <v/>
      </c>
      <c r="G357" s="44">
        <f>G354+G355-G356</f>
        <v/>
      </c>
      <c r="H357" s="44">
        <f>H354+H355-H356</f>
        <v/>
      </c>
      <c r="I357" s="44">
        <f>I354+I355-I356</f>
        <v/>
      </c>
      <c r="J357" s="44">
        <f>J354+J355-J356</f>
        <v/>
      </c>
      <c r="K357" s="44">
        <f>K354+K355-K356</f>
        <v/>
      </c>
      <c r="L357" s="44">
        <f>L354+L355-L356</f>
        <v/>
      </c>
      <c r="M357" s="44">
        <f>M354+M355-M356</f>
        <v/>
      </c>
      <c r="N357" s="44">
        <f>N354+N355-N356</f>
        <v/>
      </c>
      <c r="O357" s="44">
        <f>O354+O355-O356</f>
        <v/>
      </c>
      <c r="P357" s="44">
        <f>P354+P355-P356</f>
        <v/>
      </c>
      <c r="Q357" s="44">
        <f>Q354+Q355-Q356</f>
        <v/>
      </c>
      <c r="R357" s="44">
        <f>R354+R355-R356</f>
        <v/>
      </c>
      <c r="S357" s="44">
        <f>S354+S355-S356</f>
        <v/>
      </c>
      <c r="T357" s="44">
        <f>T354+T355-T356</f>
        <v/>
      </c>
      <c r="U357" s="44">
        <f>U354+U355-U356</f>
        <v/>
      </c>
      <c r="V357" s="44">
        <f>V354+V355-V356</f>
        <v/>
      </c>
      <c r="W357" s="44">
        <f>W354+W355-W356</f>
        <v/>
      </c>
      <c r="X357" s="44">
        <f>X354+X355-X356</f>
        <v/>
      </c>
      <c r="Y357" s="44">
        <f>Y354+Y355-Y356</f>
        <v/>
      </c>
      <c r="Z357" s="44">
        <f>Z354+Z355-Z356</f>
        <v/>
      </c>
      <c r="AA357" s="44">
        <f>AA354+AA355-AA356</f>
        <v/>
      </c>
      <c r="AB357" s="44">
        <f>AB354+AB355-AB356</f>
        <v/>
      </c>
      <c r="AC357" s="44">
        <f>AC354+AC355-AC356</f>
        <v/>
      </c>
      <c r="AD357" s="44">
        <f>AD354+AD355-AD356</f>
        <v/>
      </c>
      <c r="AE357" s="44">
        <f>AE354+AE355-AE356</f>
        <v/>
      </c>
      <c r="AF357" s="44">
        <f>AF354+AF355-AF356</f>
        <v/>
      </c>
      <c r="AG357" s="44">
        <f>AG354+AG355-AG356</f>
        <v/>
      </c>
      <c r="AH357" s="44">
        <f>AH354+AH355-AH356</f>
        <v/>
      </c>
      <c r="AI357" s="44">
        <f>AI354+AI355-AI356</f>
        <v/>
      </c>
      <c r="AJ357" s="44">
        <f>AJ354+AJ355-AJ356</f>
        <v/>
      </c>
      <c r="AK357" s="44">
        <f>AK354+AK355-AK356</f>
        <v/>
      </c>
      <c r="AL357" s="44">
        <f>AL354+AL355-AL356</f>
        <v/>
      </c>
      <c r="AM357" s="44">
        <f>AM354+AM355-AM356</f>
        <v/>
      </c>
      <c r="AN357" s="44">
        <f>AN354+AN355-AN356</f>
        <v/>
      </c>
      <c r="AO357" s="44">
        <f>AO354+AO355-AO356</f>
        <v/>
      </c>
      <c r="AP357" s="44">
        <f>AP354+AP355-AP356</f>
        <v/>
      </c>
      <c r="AQ357" s="44">
        <f>AQ354+AQ355-AQ356</f>
        <v/>
      </c>
      <c r="AR357" s="44">
        <f>AR354+AR355-AR356</f>
        <v/>
      </c>
      <c r="AS357" s="44">
        <f>AS354+AS355-AS356</f>
        <v/>
      </c>
      <c r="AT357" s="44">
        <f>AT354+AT355-AT356</f>
        <v/>
      </c>
      <c r="AU357" s="44">
        <f>AU354+AU355-AU356</f>
        <v/>
      </c>
      <c r="AV357" s="44">
        <f>AV354+AV355-AV356</f>
        <v/>
      </c>
      <c r="AW357" s="44">
        <f>AW354+AW355-AW356</f>
        <v/>
      </c>
      <c r="AX357" s="44">
        <f>AX354+AX355-AX356</f>
        <v/>
      </c>
      <c r="AY357" s="44">
        <f>AY354+AY355-AY356</f>
        <v/>
      </c>
      <c r="AZ357" s="44">
        <f>AZ354+AZ355-AZ356</f>
        <v/>
      </c>
      <c r="BA357" s="44">
        <f>BA354+BA355-BA356</f>
        <v/>
      </c>
      <c r="BB357" s="44">
        <f>BB354+BB355-BB356</f>
        <v/>
      </c>
      <c r="BC357" s="44">
        <f>BC354+BC355-BC356</f>
        <v/>
      </c>
      <c r="BD357" s="44">
        <f>BD354+BD355-BD356</f>
        <v/>
      </c>
      <c r="BE357" s="44">
        <f>BE354+BE355-BE356</f>
        <v/>
      </c>
      <c r="BF357" s="44">
        <f>BF354+BF355-BF356</f>
        <v/>
      </c>
      <c r="BG357" s="44">
        <f>BG354+BG355-BG356</f>
        <v/>
      </c>
      <c r="BH357" s="44">
        <f>BH354+BH355-BH356</f>
        <v/>
      </c>
      <c r="BI357" s="44">
        <f>BI354+BI355-BI356</f>
        <v/>
      </c>
      <c r="BJ357" s="44">
        <f>BJ354+BJ355-BJ356</f>
        <v/>
      </c>
    </row>
    <row r="358"/>
    <row r="359">
      <c r="A359" s="19" t="inlineStr">
        <is>
          <t>Paying workspaces: by market, segment and tier</t>
        </is>
      </c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  <c r="AI359" s="19" t="n"/>
      <c r="AJ359" s="19" t="n"/>
      <c r="AK359" s="19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19" t="n"/>
      <c r="BA359" s="19" t="n"/>
      <c r="BB359" s="19" t="n"/>
      <c r="BC359" s="19" t="n"/>
      <c r="BD359" s="19" t="n"/>
      <c r="BE359" s="19" t="n"/>
      <c r="BF359" s="19" t="n"/>
      <c r="BG359" s="19" t="n"/>
      <c r="BH359" s="19" t="n"/>
      <c r="BI359" s="19" t="n"/>
      <c r="BJ359" s="19" t="n"/>
    </row>
    <row r="360">
      <c r="A360" s="3" t="inlineStr">
        <is>
          <t>Paying workspaces: South Africa</t>
        </is>
      </c>
      <c r="B360" s="17" t="inlineStr">
        <is>
          <t>workspaces</t>
        </is>
      </c>
      <c r="C360" s="40">
        <f>C170+C175+C179+C184+C189+C193+C197+C201+C205</f>
        <v/>
      </c>
      <c r="D360" s="40">
        <f>D170+D175+D179+D184+D189+D193+D197+D201+D205</f>
        <v/>
      </c>
      <c r="E360" s="40">
        <f>E170+E175+E179+E184+E189+E193+E197+E201+E205</f>
        <v/>
      </c>
      <c r="F360" s="40">
        <f>F170+F175+F179+F184+F189+F193+F197+F201+F205</f>
        <v/>
      </c>
      <c r="G360" s="40">
        <f>G170+G175+G179+G184+G189+G193+G197+G201+G205</f>
        <v/>
      </c>
      <c r="H360" s="40">
        <f>H170+H175+H179+H184+H189+H193+H197+H201+H205</f>
        <v/>
      </c>
      <c r="I360" s="40">
        <f>I170+I175+I179+I184+I189+I193+I197+I201+I205</f>
        <v/>
      </c>
      <c r="J360" s="40">
        <f>J170+J175+J179+J184+J189+J193+J197+J201+J205</f>
        <v/>
      </c>
      <c r="K360" s="40">
        <f>K170+K175+K179+K184+K189+K193+K197+K201+K205</f>
        <v/>
      </c>
      <c r="L360" s="40">
        <f>L170+L175+L179+L184+L189+L193+L197+L201+L205</f>
        <v/>
      </c>
      <c r="M360" s="40">
        <f>M170+M175+M179+M184+M189+M193+M197+M201+M205</f>
        <v/>
      </c>
      <c r="N360" s="40">
        <f>N170+N175+N179+N184+N189+N193+N197+N201+N205</f>
        <v/>
      </c>
      <c r="O360" s="40">
        <f>O170+O175+O179+O184+O189+O193+O197+O201+O205</f>
        <v/>
      </c>
      <c r="P360" s="40">
        <f>P170+P175+P179+P184+P189+P193+P197+P201+P205</f>
        <v/>
      </c>
      <c r="Q360" s="40">
        <f>Q170+Q175+Q179+Q184+Q189+Q193+Q197+Q201+Q205</f>
        <v/>
      </c>
      <c r="R360" s="40">
        <f>R170+R175+R179+R184+R189+R193+R197+R201+R205</f>
        <v/>
      </c>
      <c r="S360" s="40">
        <f>S170+S175+S179+S184+S189+S193+S197+S201+S205</f>
        <v/>
      </c>
      <c r="T360" s="40">
        <f>T170+T175+T179+T184+T189+T193+T197+T201+T205</f>
        <v/>
      </c>
      <c r="U360" s="40">
        <f>U170+U175+U179+U184+U189+U193+U197+U201+U205</f>
        <v/>
      </c>
      <c r="V360" s="40">
        <f>V170+V175+V179+V184+V189+V193+V197+V201+V205</f>
        <v/>
      </c>
      <c r="W360" s="40">
        <f>W170+W175+W179+W184+W189+W193+W197+W201+W205</f>
        <v/>
      </c>
      <c r="X360" s="40">
        <f>X170+X175+X179+X184+X189+X193+X197+X201+X205</f>
        <v/>
      </c>
      <c r="Y360" s="40">
        <f>Y170+Y175+Y179+Y184+Y189+Y193+Y197+Y201+Y205</f>
        <v/>
      </c>
      <c r="Z360" s="40">
        <f>Z170+Z175+Z179+Z184+Z189+Z193+Z197+Z201+Z205</f>
        <v/>
      </c>
      <c r="AA360" s="40">
        <f>AA170+AA175+AA179+AA184+AA189+AA193+AA197+AA201+AA205</f>
        <v/>
      </c>
      <c r="AB360" s="40">
        <f>AB170+AB175+AB179+AB184+AB189+AB193+AB197+AB201+AB205</f>
        <v/>
      </c>
      <c r="AC360" s="40">
        <f>AC170+AC175+AC179+AC184+AC189+AC193+AC197+AC201+AC205</f>
        <v/>
      </c>
      <c r="AD360" s="40">
        <f>AD170+AD175+AD179+AD184+AD189+AD193+AD197+AD201+AD205</f>
        <v/>
      </c>
      <c r="AE360" s="40">
        <f>AE170+AE175+AE179+AE184+AE189+AE193+AE197+AE201+AE205</f>
        <v/>
      </c>
      <c r="AF360" s="40">
        <f>AF170+AF175+AF179+AF184+AF189+AF193+AF197+AF201+AF205</f>
        <v/>
      </c>
      <c r="AG360" s="40">
        <f>AG170+AG175+AG179+AG184+AG189+AG193+AG197+AG201+AG205</f>
        <v/>
      </c>
      <c r="AH360" s="40">
        <f>AH170+AH175+AH179+AH184+AH189+AH193+AH197+AH201+AH205</f>
        <v/>
      </c>
      <c r="AI360" s="40">
        <f>AI170+AI175+AI179+AI184+AI189+AI193+AI197+AI201+AI205</f>
        <v/>
      </c>
      <c r="AJ360" s="40">
        <f>AJ170+AJ175+AJ179+AJ184+AJ189+AJ193+AJ197+AJ201+AJ205</f>
        <v/>
      </c>
      <c r="AK360" s="40">
        <f>AK170+AK175+AK179+AK184+AK189+AK193+AK197+AK201+AK205</f>
        <v/>
      </c>
      <c r="AL360" s="40">
        <f>AL170+AL175+AL179+AL184+AL189+AL193+AL197+AL201+AL205</f>
        <v/>
      </c>
      <c r="AM360" s="40">
        <f>AM170+AM175+AM179+AM184+AM189+AM193+AM197+AM201+AM205</f>
        <v/>
      </c>
      <c r="AN360" s="40">
        <f>AN170+AN175+AN179+AN184+AN189+AN193+AN197+AN201+AN205</f>
        <v/>
      </c>
      <c r="AO360" s="40">
        <f>AO170+AO175+AO179+AO184+AO189+AO193+AO197+AO201+AO205</f>
        <v/>
      </c>
      <c r="AP360" s="40">
        <f>AP170+AP175+AP179+AP184+AP189+AP193+AP197+AP201+AP205</f>
        <v/>
      </c>
      <c r="AQ360" s="40">
        <f>AQ170+AQ175+AQ179+AQ184+AQ189+AQ193+AQ197+AQ201+AQ205</f>
        <v/>
      </c>
      <c r="AR360" s="40">
        <f>AR170+AR175+AR179+AR184+AR189+AR193+AR197+AR201+AR205</f>
        <v/>
      </c>
      <c r="AS360" s="40">
        <f>AS170+AS175+AS179+AS184+AS189+AS193+AS197+AS201+AS205</f>
        <v/>
      </c>
      <c r="AT360" s="40">
        <f>AT170+AT175+AT179+AT184+AT189+AT193+AT197+AT201+AT205</f>
        <v/>
      </c>
      <c r="AU360" s="40">
        <f>AU170+AU175+AU179+AU184+AU189+AU193+AU197+AU201+AU205</f>
        <v/>
      </c>
      <c r="AV360" s="40">
        <f>AV170+AV175+AV179+AV184+AV189+AV193+AV197+AV201+AV205</f>
        <v/>
      </c>
      <c r="AW360" s="40">
        <f>AW170+AW175+AW179+AW184+AW189+AW193+AW197+AW201+AW205</f>
        <v/>
      </c>
      <c r="AX360" s="40">
        <f>AX170+AX175+AX179+AX184+AX189+AX193+AX197+AX201+AX205</f>
        <v/>
      </c>
      <c r="AY360" s="40">
        <f>AY170+AY175+AY179+AY184+AY189+AY193+AY197+AY201+AY205</f>
        <v/>
      </c>
      <c r="AZ360" s="40">
        <f>AZ170+AZ175+AZ179+AZ184+AZ189+AZ193+AZ197+AZ201+AZ205</f>
        <v/>
      </c>
      <c r="BA360" s="40">
        <f>BA170+BA175+BA179+BA184+BA189+BA193+BA197+BA201+BA205</f>
        <v/>
      </c>
      <c r="BB360" s="40">
        <f>BB170+BB175+BB179+BB184+BB189+BB193+BB197+BB201+BB205</f>
        <v/>
      </c>
      <c r="BC360" s="40">
        <f>BC170+BC175+BC179+BC184+BC189+BC193+BC197+BC201+BC205</f>
        <v/>
      </c>
      <c r="BD360" s="40">
        <f>BD170+BD175+BD179+BD184+BD189+BD193+BD197+BD201+BD205</f>
        <v/>
      </c>
      <c r="BE360" s="40">
        <f>BE170+BE175+BE179+BE184+BE189+BE193+BE197+BE201+BE205</f>
        <v/>
      </c>
      <c r="BF360" s="40">
        <f>BF170+BF175+BF179+BF184+BF189+BF193+BF197+BF201+BF205</f>
        <v/>
      </c>
      <c r="BG360" s="40">
        <f>BG170+BG175+BG179+BG184+BG189+BG193+BG197+BG201+BG205</f>
        <v/>
      </c>
      <c r="BH360" s="40">
        <f>BH170+BH175+BH179+BH184+BH189+BH193+BH197+BH201+BH205</f>
        <v/>
      </c>
      <c r="BI360" s="40">
        <f>BI170+BI175+BI179+BI184+BI189+BI193+BI197+BI201+BI205</f>
        <v/>
      </c>
      <c r="BJ360" s="40">
        <f>BJ170+BJ175+BJ179+BJ184+BJ189+BJ193+BJ197+BJ201+BJ205</f>
        <v/>
      </c>
    </row>
    <row r="361">
      <c r="A361" s="3" t="inlineStr">
        <is>
          <t>Paying workspaces: Nigeria</t>
        </is>
      </c>
      <c r="B361" s="17" t="inlineStr">
        <is>
          <t>workspaces</t>
        </is>
      </c>
      <c r="C361" s="40">
        <f>C210+C215+C219+C224+C229+C233+C237</f>
        <v/>
      </c>
      <c r="D361" s="40">
        <f>D210+D215+D219+D224+D229+D233+D237</f>
        <v/>
      </c>
      <c r="E361" s="40">
        <f>E210+E215+E219+E224+E229+E233+E237</f>
        <v/>
      </c>
      <c r="F361" s="40">
        <f>F210+F215+F219+F224+F229+F233+F237</f>
        <v/>
      </c>
      <c r="G361" s="40">
        <f>G210+G215+G219+G224+G229+G233+G237</f>
        <v/>
      </c>
      <c r="H361" s="40">
        <f>H210+H215+H219+H224+H229+H233+H237</f>
        <v/>
      </c>
      <c r="I361" s="40">
        <f>I210+I215+I219+I224+I229+I233+I237</f>
        <v/>
      </c>
      <c r="J361" s="40">
        <f>J210+J215+J219+J224+J229+J233+J237</f>
        <v/>
      </c>
      <c r="K361" s="40">
        <f>K210+K215+K219+K224+K229+K233+K237</f>
        <v/>
      </c>
      <c r="L361" s="40">
        <f>L210+L215+L219+L224+L229+L233+L237</f>
        <v/>
      </c>
      <c r="M361" s="40">
        <f>M210+M215+M219+M224+M229+M233+M237</f>
        <v/>
      </c>
      <c r="N361" s="40">
        <f>N210+N215+N219+N224+N229+N233+N237</f>
        <v/>
      </c>
      <c r="O361" s="40">
        <f>O210+O215+O219+O224+O229+O233+O237</f>
        <v/>
      </c>
      <c r="P361" s="40">
        <f>P210+P215+P219+P224+P229+P233+P237</f>
        <v/>
      </c>
      <c r="Q361" s="40">
        <f>Q210+Q215+Q219+Q224+Q229+Q233+Q237</f>
        <v/>
      </c>
      <c r="R361" s="40">
        <f>R210+R215+R219+R224+R229+R233+R237</f>
        <v/>
      </c>
      <c r="S361" s="40">
        <f>S210+S215+S219+S224+S229+S233+S237</f>
        <v/>
      </c>
      <c r="T361" s="40">
        <f>T210+T215+T219+T224+T229+T233+T237</f>
        <v/>
      </c>
      <c r="U361" s="40">
        <f>U210+U215+U219+U224+U229+U233+U237</f>
        <v/>
      </c>
      <c r="V361" s="40">
        <f>V210+V215+V219+V224+V229+V233+V237</f>
        <v/>
      </c>
      <c r="W361" s="40">
        <f>W210+W215+W219+W224+W229+W233+W237</f>
        <v/>
      </c>
      <c r="X361" s="40">
        <f>X210+X215+X219+X224+X229+X233+X237</f>
        <v/>
      </c>
      <c r="Y361" s="40">
        <f>Y210+Y215+Y219+Y224+Y229+Y233+Y237</f>
        <v/>
      </c>
      <c r="Z361" s="40">
        <f>Z210+Z215+Z219+Z224+Z229+Z233+Z237</f>
        <v/>
      </c>
      <c r="AA361" s="40">
        <f>AA210+AA215+AA219+AA224+AA229+AA233+AA237</f>
        <v/>
      </c>
      <c r="AB361" s="40">
        <f>AB210+AB215+AB219+AB224+AB229+AB233+AB237</f>
        <v/>
      </c>
      <c r="AC361" s="40">
        <f>AC210+AC215+AC219+AC224+AC229+AC233+AC237</f>
        <v/>
      </c>
      <c r="AD361" s="40">
        <f>AD210+AD215+AD219+AD224+AD229+AD233+AD237</f>
        <v/>
      </c>
      <c r="AE361" s="40">
        <f>AE210+AE215+AE219+AE224+AE229+AE233+AE237</f>
        <v/>
      </c>
      <c r="AF361" s="40">
        <f>AF210+AF215+AF219+AF224+AF229+AF233+AF237</f>
        <v/>
      </c>
      <c r="AG361" s="40">
        <f>AG210+AG215+AG219+AG224+AG229+AG233+AG237</f>
        <v/>
      </c>
      <c r="AH361" s="40">
        <f>AH210+AH215+AH219+AH224+AH229+AH233+AH237</f>
        <v/>
      </c>
      <c r="AI361" s="40">
        <f>AI210+AI215+AI219+AI224+AI229+AI233+AI237</f>
        <v/>
      </c>
      <c r="AJ361" s="40">
        <f>AJ210+AJ215+AJ219+AJ224+AJ229+AJ233+AJ237</f>
        <v/>
      </c>
      <c r="AK361" s="40">
        <f>AK210+AK215+AK219+AK224+AK229+AK233+AK237</f>
        <v/>
      </c>
      <c r="AL361" s="40">
        <f>AL210+AL215+AL219+AL224+AL229+AL233+AL237</f>
        <v/>
      </c>
      <c r="AM361" s="40">
        <f>AM210+AM215+AM219+AM224+AM229+AM233+AM237</f>
        <v/>
      </c>
      <c r="AN361" s="40">
        <f>AN210+AN215+AN219+AN224+AN229+AN233+AN237</f>
        <v/>
      </c>
      <c r="AO361" s="40">
        <f>AO210+AO215+AO219+AO224+AO229+AO233+AO237</f>
        <v/>
      </c>
      <c r="AP361" s="40">
        <f>AP210+AP215+AP219+AP224+AP229+AP233+AP237</f>
        <v/>
      </c>
      <c r="AQ361" s="40">
        <f>AQ210+AQ215+AQ219+AQ224+AQ229+AQ233+AQ237</f>
        <v/>
      </c>
      <c r="AR361" s="40">
        <f>AR210+AR215+AR219+AR224+AR229+AR233+AR237</f>
        <v/>
      </c>
      <c r="AS361" s="40">
        <f>AS210+AS215+AS219+AS224+AS229+AS233+AS237</f>
        <v/>
      </c>
      <c r="AT361" s="40">
        <f>AT210+AT215+AT219+AT224+AT229+AT233+AT237</f>
        <v/>
      </c>
      <c r="AU361" s="40">
        <f>AU210+AU215+AU219+AU224+AU229+AU233+AU237</f>
        <v/>
      </c>
      <c r="AV361" s="40">
        <f>AV210+AV215+AV219+AV224+AV229+AV233+AV237</f>
        <v/>
      </c>
      <c r="AW361" s="40">
        <f>AW210+AW215+AW219+AW224+AW229+AW233+AW237</f>
        <v/>
      </c>
      <c r="AX361" s="40">
        <f>AX210+AX215+AX219+AX224+AX229+AX233+AX237</f>
        <v/>
      </c>
      <c r="AY361" s="40">
        <f>AY210+AY215+AY219+AY224+AY229+AY233+AY237</f>
        <v/>
      </c>
      <c r="AZ361" s="40">
        <f>AZ210+AZ215+AZ219+AZ224+AZ229+AZ233+AZ237</f>
        <v/>
      </c>
      <c r="BA361" s="40">
        <f>BA210+BA215+BA219+BA224+BA229+BA233+BA237</f>
        <v/>
      </c>
      <c r="BB361" s="40">
        <f>BB210+BB215+BB219+BB224+BB229+BB233+BB237</f>
        <v/>
      </c>
      <c r="BC361" s="40">
        <f>BC210+BC215+BC219+BC224+BC229+BC233+BC237</f>
        <v/>
      </c>
      <c r="BD361" s="40">
        <f>BD210+BD215+BD219+BD224+BD229+BD233+BD237</f>
        <v/>
      </c>
      <c r="BE361" s="40">
        <f>BE210+BE215+BE219+BE224+BE229+BE233+BE237</f>
        <v/>
      </c>
      <c r="BF361" s="40">
        <f>BF210+BF215+BF219+BF224+BF229+BF233+BF237</f>
        <v/>
      </c>
      <c r="BG361" s="40">
        <f>BG210+BG215+BG219+BG224+BG229+BG233+BG237</f>
        <v/>
      </c>
      <c r="BH361" s="40">
        <f>BH210+BH215+BH219+BH224+BH229+BH233+BH237</f>
        <v/>
      </c>
      <c r="BI361" s="40">
        <f>BI210+BI215+BI219+BI224+BI229+BI233+BI237</f>
        <v/>
      </c>
      <c r="BJ361" s="40">
        <f>BJ210+BJ215+BJ219+BJ224+BJ229+BJ233+BJ237</f>
        <v/>
      </c>
    </row>
    <row r="362">
      <c r="A362" s="3" t="inlineStr">
        <is>
          <t>Paying workspaces: Kenya</t>
        </is>
      </c>
      <c r="B362" s="17" t="inlineStr">
        <is>
          <t>workspaces</t>
        </is>
      </c>
      <c r="C362" s="40">
        <f>C242+C247+C251+C256+C261+C265+C269</f>
        <v/>
      </c>
      <c r="D362" s="40">
        <f>D242+D247+D251+D256+D261+D265+D269</f>
        <v/>
      </c>
      <c r="E362" s="40">
        <f>E242+E247+E251+E256+E261+E265+E269</f>
        <v/>
      </c>
      <c r="F362" s="40">
        <f>F242+F247+F251+F256+F261+F265+F269</f>
        <v/>
      </c>
      <c r="G362" s="40">
        <f>G242+G247+G251+G256+G261+G265+G269</f>
        <v/>
      </c>
      <c r="H362" s="40">
        <f>H242+H247+H251+H256+H261+H265+H269</f>
        <v/>
      </c>
      <c r="I362" s="40">
        <f>I242+I247+I251+I256+I261+I265+I269</f>
        <v/>
      </c>
      <c r="J362" s="40">
        <f>J242+J247+J251+J256+J261+J265+J269</f>
        <v/>
      </c>
      <c r="K362" s="40">
        <f>K242+K247+K251+K256+K261+K265+K269</f>
        <v/>
      </c>
      <c r="L362" s="40">
        <f>L242+L247+L251+L256+L261+L265+L269</f>
        <v/>
      </c>
      <c r="M362" s="40">
        <f>M242+M247+M251+M256+M261+M265+M269</f>
        <v/>
      </c>
      <c r="N362" s="40">
        <f>N242+N247+N251+N256+N261+N265+N269</f>
        <v/>
      </c>
      <c r="O362" s="40">
        <f>O242+O247+O251+O256+O261+O265+O269</f>
        <v/>
      </c>
      <c r="P362" s="40">
        <f>P242+P247+P251+P256+P261+P265+P269</f>
        <v/>
      </c>
      <c r="Q362" s="40">
        <f>Q242+Q247+Q251+Q256+Q261+Q265+Q269</f>
        <v/>
      </c>
      <c r="R362" s="40">
        <f>R242+R247+R251+R256+R261+R265+R269</f>
        <v/>
      </c>
      <c r="S362" s="40">
        <f>S242+S247+S251+S256+S261+S265+S269</f>
        <v/>
      </c>
      <c r="T362" s="40">
        <f>T242+T247+T251+T256+T261+T265+T269</f>
        <v/>
      </c>
      <c r="U362" s="40">
        <f>U242+U247+U251+U256+U261+U265+U269</f>
        <v/>
      </c>
      <c r="V362" s="40">
        <f>V242+V247+V251+V256+V261+V265+V269</f>
        <v/>
      </c>
      <c r="W362" s="40">
        <f>W242+W247+W251+W256+W261+W265+W269</f>
        <v/>
      </c>
      <c r="X362" s="40">
        <f>X242+X247+X251+X256+X261+X265+X269</f>
        <v/>
      </c>
      <c r="Y362" s="40">
        <f>Y242+Y247+Y251+Y256+Y261+Y265+Y269</f>
        <v/>
      </c>
      <c r="Z362" s="40">
        <f>Z242+Z247+Z251+Z256+Z261+Z265+Z269</f>
        <v/>
      </c>
      <c r="AA362" s="40">
        <f>AA242+AA247+AA251+AA256+AA261+AA265+AA269</f>
        <v/>
      </c>
      <c r="AB362" s="40">
        <f>AB242+AB247+AB251+AB256+AB261+AB265+AB269</f>
        <v/>
      </c>
      <c r="AC362" s="40">
        <f>AC242+AC247+AC251+AC256+AC261+AC265+AC269</f>
        <v/>
      </c>
      <c r="AD362" s="40">
        <f>AD242+AD247+AD251+AD256+AD261+AD265+AD269</f>
        <v/>
      </c>
      <c r="AE362" s="40">
        <f>AE242+AE247+AE251+AE256+AE261+AE265+AE269</f>
        <v/>
      </c>
      <c r="AF362" s="40">
        <f>AF242+AF247+AF251+AF256+AF261+AF265+AF269</f>
        <v/>
      </c>
      <c r="AG362" s="40">
        <f>AG242+AG247+AG251+AG256+AG261+AG265+AG269</f>
        <v/>
      </c>
      <c r="AH362" s="40">
        <f>AH242+AH247+AH251+AH256+AH261+AH265+AH269</f>
        <v/>
      </c>
      <c r="AI362" s="40">
        <f>AI242+AI247+AI251+AI256+AI261+AI265+AI269</f>
        <v/>
      </c>
      <c r="AJ362" s="40">
        <f>AJ242+AJ247+AJ251+AJ256+AJ261+AJ265+AJ269</f>
        <v/>
      </c>
      <c r="AK362" s="40">
        <f>AK242+AK247+AK251+AK256+AK261+AK265+AK269</f>
        <v/>
      </c>
      <c r="AL362" s="40">
        <f>AL242+AL247+AL251+AL256+AL261+AL265+AL269</f>
        <v/>
      </c>
      <c r="AM362" s="40">
        <f>AM242+AM247+AM251+AM256+AM261+AM265+AM269</f>
        <v/>
      </c>
      <c r="AN362" s="40">
        <f>AN242+AN247+AN251+AN256+AN261+AN265+AN269</f>
        <v/>
      </c>
      <c r="AO362" s="40">
        <f>AO242+AO247+AO251+AO256+AO261+AO265+AO269</f>
        <v/>
      </c>
      <c r="AP362" s="40">
        <f>AP242+AP247+AP251+AP256+AP261+AP265+AP269</f>
        <v/>
      </c>
      <c r="AQ362" s="40">
        <f>AQ242+AQ247+AQ251+AQ256+AQ261+AQ265+AQ269</f>
        <v/>
      </c>
      <c r="AR362" s="40">
        <f>AR242+AR247+AR251+AR256+AR261+AR265+AR269</f>
        <v/>
      </c>
      <c r="AS362" s="40">
        <f>AS242+AS247+AS251+AS256+AS261+AS265+AS269</f>
        <v/>
      </c>
      <c r="AT362" s="40">
        <f>AT242+AT247+AT251+AT256+AT261+AT265+AT269</f>
        <v/>
      </c>
      <c r="AU362" s="40">
        <f>AU242+AU247+AU251+AU256+AU261+AU265+AU269</f>
        <v/>
      </c>
      <c r="AV362" s="40">
        <f>AV242+AV247+AV251+AV256+AV261+AV265+AV269</f>
        <v/>
      </c>
      <c r="AW362" s="40">
        <f>AW242+AW247+AW251+AW256+AW261+AW265+AW269</f>
        <v/>
      </c>
      <c r="AX362" s="40">
        <f>AX242+AX247+AX251+AX256+AX261+AX265+AX269</f>
        <v/>
      </c>
      <c r="AY362" s="40">
        <f>AY242+AY247+AY251+AY256+AY261+AY265+AY269</f>
        <v/>
      </c>
      <c r="AZ362" s="40">
        <f>AZ242+AZ247+AZ251+AZ256+AZ261+AZ265+AZ269</f>
        <v/>
      </c>
      <c r="BA362" s="40">
        <f>BA242+BA247+BA251+BA256+BA261+BA265+BA269</f>
        <v/>
      </c>
      <c r="BB362" s="40">
        <f>BB242+BB247+BB251+BB256+BB261+BB265+BB269</f>
        <v/>
      </c>
      <c r="BC362" s="40">
        <f>BC242+BC247+BC251+BC256+BC261+BC265+BC269</f>
        <v/>
      </c>
      <c r="BD362" s="40">
        <f>BD242+BD247+BD251+BD256+BD261+BD265+BD269</f>
        <v/>
      </c>
      <c r="BE362" s="40">
        <f>BE242+BE247+BE251+BE256+BE261+BE265+BE269</f>
        <v/>
      </c>
      <c r="BF362" s="40">
        <f>BF242+BF247+BF251+BF256+BF261+BF265+BF269</f>
        <v/>
      </c>
      <c r="BG362" s="40">
        <f>BG242+BG247+BG251+BG256+BG261+BG265+BG269</f>
        <v/>
      </c>
      <c r="BH362" s="40">
        <f>BH242+BH247+BH251+BH256+BH261+BH265+BH269</f>
        <v/>
      </c>
      <c r="BI362" s="40">
        <f>BI242+BI247+BI251+BI256+BI261+BI265+BI269</f>
        <v/>
      </c>
      <c r="BJ362" s="40">
        <f>BJ242+BJ247+BJ251+BJ256+BJ261+BJ265+BJ269</f>
        <v/>
      </c>
    </row>
    <row r="363">
      <c r="A363" s="3" t="inlineStr">
        <is>
          <t>Paying workspaces: Ghana</t>
        </is>
      </c>
      <c r="B363" s="17" t="inlineStr">
        <is>
          <t>workspaces</t>
        </is>
      </c>
      <c r="C363" s="40">
        <f>C274+C279+C283+C288+C293+C297+C301</f>
        <v/>
      </c>
      <c r="D363" s="40">
        <f>D274+D279+D283+D288+D293+D297+D301</f>
        <v/>
      </c>
      <c r="E363" s="40">
        <f>E274+E279+E283+E288+E293+E297+E301</f>
        <v/>
      </c>
      <c r="F363" s="40">
        <f>F274+F279+F283+F288+F293+F297+F301</f>
        <v/>
      </c>
      <c r="G363" s="40">
        <f>G274+G279+G283+G288+G293+G297+G301</f>
        <v/>
      </c>
      <c r="H363" s="40">
        <f>H274+H279+H283+H288+H293+H297+H301</f>
        <v/>
      </c>
      <c r="I363" s="40">
        <f>I274+I279+I283+I288+I293+I297+I301</f>
        <v/>
      </c>
      <c r="J363" s="40">
        <f>J274+J279+J283+J288+J293+J297+J301</f>
        <v/>
      </c>
      <c r="K363" s="40">
        <f>K274+K279+K283+K288+K293+K297+K301</f>
        <v/>
      </c>
      <c r="L363" s="40">
        <f>L274+L279+L283+L288+L293+L297+L301</f>
        <v/>
      </c>
      <c r="M363" s="40">
        <f>M274+M279+M283+M288+M293+M297+M301</f>
        <v/>
      </c>
      <c r="N363" s="40">
        <f>N274+N279+N283+N288+N293+N297+N301</f>
        <v/>
      </c>
      <c r="O363" s="40">
        <f>O274+O279+O283+O288+O293+O297+O301</f>
        <v/>
      </c>
      <c r="P363" s="40">
        <f>P274+P279+P283+P288+P293+P297+P301</f>
        <v/>
      </c>
      <c r="Q363" s="40">
        <f>Q274+Q279+Q283+Q288+Q293+Q297+Q301</f>
        <v/>
      </c>
      <c r="R363" s="40">
        <f>R274+R279+R283+R288+R293+R297+R301</f>
        <v/>
      </c>
      <c r="S363" s="40">
        <f>S274+S279+S283+S288+S293+S297+S301</f>
        <v/>
      </c>
      <c r="T363" s="40">
        <f>T274+T279+T283+T288+T293+T297+T301</f>
        <v/>
      </c>
      <c r="U363" s="40">
        <f>U274+U279+U283+U288+U293+U297+U301</f>
        <v/>
      </c>
      <c r="V363" s="40">
        <f>V274+V279+V283+V288+V293+V297+V301</f>
        <v/>
      </c>
      <c r="W363" s="40">
        <f>W274+W279+W283+W288+W293+W297+W301</f>
        <v/>
      </c>
      <c r="X363" s="40">
        <f>X274+X279+X283+X288+X293+X297+X301</f>
        <v/>
      </c>
      <c r="Y363" s="40">
        <f>Y274+Y279+Y283+Y288+Y293+Y297+Y301</f>
        <v/>
      </c>
      <c r="Z363" s="40">
        <f>Z274+Z279+Z283+Z288+Z293+Z297+Z301</f>
        <v/>
      </c>
      <c r="AA363" s="40">
        <f>AA274+AA279+AA283+AA288+AA293+AA297+AA301</f>
        <v/>
      </c>
      <c r="AB363" s="40">
        <f>AB274+AB279+AB283+AB288+AB293+AB297+AB301</f>
        <v/>
      </c>
      <c r="AC363" s="40">
        <f>AC274+AC279+AC283+AC288+AC293+AC297+AC301</f>
        <v/>
      </c>
      <c r="AD363" s="40">
        <f>AD274+AD279+AD283+AD288+AD293+AD297+AD301</f>
        <v/>
      </c>
      <c r="AE363" s="40">
        <f>AE274+AE279+AE283+AE288+AE293+AE297+AE301</f>
        <v/>
      </c>
      <c r="AF363" s="40">
        <f>AF274+AF279+AF283+AF288+AF293+AF297+AF301</f>
        <v/>
      </c>
      <c r="AG363" s="40">
        <f>AG274+AG279+AG283+AG288+AG293+AG297+AG301</f>
        <v/>
      </c>
      <c r="AH363" s="40">
        <f>AH274+AH279+AH283+AH288+AH293+AH297+AH301</f>
        <v/>
      </c>
      <c r="AI363" s="40">
        <f>AI274+AI279+AI283+AI288+AI293+AI297+AI301</f>
        <v/>
      </c>
      <c r="AJ363" s="40">
        <f>AJ274+AJ279+AJ283+AJ288+AJ293+AJ297+AJ301</f>
        <v/>
      </c>
      <c r="AK363" s="40">
        <f>AK274+AK279+AK283+AK288+AK293+AK297+AK301</f>
        <v/>
      </c>
      <c r="AL363" s="40">
        <f>AL274+AL279+AL283+AL288+AL293+AL297+AL301</f>
        <v/>
      </c>
      <c r="AM363" s="40">
        <f>AM274+AM279+AM283+AM288+AM293+AM297+AM301</f>
        <v/>
      </c>
      <c r="AN363" s="40">
        <f>AN274+AN279+AN283+AN288+AN293+AN297+AN301</f>
        <v/>
      </c>
      <c r="AO363" s="40">
        <f>AO274+AO279+AO283+AO288+AO293+AO297+AO301</f>
        <v/>
      </c>
      <c r="AP363" s="40">
        <f>AP274+AP279+AP283+AP288+AP293+AP297+AP301</f>
        <v/>
      </c>
      <c r="AQ363" s="40">
        <f>AQ274+AQ279+AQ283+AQ288+AQ293+AQ297+AQ301</f>
        <v/>
      </c>
      <c r="AR363" s="40">
        <f>AR274+AR279+AR283+AR288+AR293+AR297+AR301</f>
        <v/>
      </c>
      <c r="AS363" s="40">
        <f>AS274+AS279+AS283+AS288+AS293+AS297+AS301</f>
        <v/>
      </c>
      <c r="AT363" s="40">
        <f>AT274+AT279+AT283+AT288+AT293+AT297+AT301</f>
        <v/>
      </c>
      <c r="AU363" s="40">
        <f>AU274+AU279+AU283+AU288+AU293+AU297+AU301</f>
        <v/>
      </c>
      <c r="AV363" s="40">
        <f>AV274+AV279+AV283+AV288+AV293+AV297+AV301</f>
        <v/>
      </c>
      <c r="AW363" s="40">
        <f>AW274+AW279+AW283+AW288+AW293+AW297+AW301</f>
        <v/>
      </c>
      <c r="AX363" s="40">
        <f>AX274+AX279+AX283+AX288+AX293+AX297+AX301</f>
        <v/>
      </c>
      <c r="AY363" s="40">
        <f>AY274+AY279+AY283+AY288+AY293+AY297+AY301</f>
        <v/>
      </c>
      <c r="AZ363" s="40">
        <f>AZ274+AZ279+AZ283+AZ288+AZ293+AZ297+AZ301</f>
        <v/>
      </c>
      <c r="BA363" s="40">
        <f>BA274+BA279+BA283+BA288+BA293+BA297+BA301</f>
        <v/>
      </c>
      <c r="BB363" s="40">
        <f>BB274+BB279+BB283+BB288+BB293+BB297+BB301</f>
        <v/>
      </c>
      <c r="BC363" s="40">
        <f>BC274+BC279+BC283+BC288+BC293+BC297+BC301</f>
        <v/>
      </c>
      <c r="BD363" s="40">
        <f>BD274+BD279+BD283+BD288+BD293+BD297+BD301</f>
        <v/>
      </c>
      <c r="BE363" s="40">
        <f>BE274+BE279+BE283+BE288+BE293+BE297+BE301</f>
        <v/>
      </c>
      <c r="BF363" s="40">
        <f>BF274+BF279+BF283+BF288+BF293+BF297+BF301</f>
        <v/>
      </c>
      <c r="BG363" s="40">
        <f>BG274+BG279+BG283+BG288+BG293+BG297+BG301</f>
        <v/>
      </c>
      <c r="BH363" s="40">
        <f>BH274+BH279+BH283+BH288+BH293+BH297+BH301</f>
        <v/>
      </c>
      <c r="BI363" s="40">
        <f>BI274+BI279+BI283+BI288+BI293+BI297+BI301</f>
        <v/>
      </c>
      <c r="BJ363" s="40">
        <f>BJ274+BJ279+BJ283+BJ288+BJ293+BJ297+BJ301</f>
        <v/>
      </c>
    </row>
    <row r="364">
      <c r="A364" s="3" t="inlineStr">
        <is>
          <t>Paying workspaces: Rest of Africa (USD)</t>
        </is>
      </c>
      <c r="B364" s="17" t="inlineStr">
        <is>
          <t>workspaces</t>
        </is>
      </c>
      <c r="C364" s="40">
        <f>C306+C311+C315+C320+C325+C329</f>
        <v/>
      </c>
      <c r="D364" s="40">
        <f>D306+D311+D315+D320+D325+D329</f>
        <v/>
      </c>
      <c r="E364" s="40">
        <f>E306+E311+E315+E320+E325+E329</f>
        <v/>
      </c>
      <c r="F364" s="40">
        <f>F306+F311+F315+F320+F325+F329</f>
        <v/>
      </c>
      <c r="G364" s="40">
        <f>G306+G311+G315+G320+G325+G329</f>
        <v/>
      </c>
      <c r="H364" s="40">
        <f>H306+H311+H315+H320+H325+H329</f>
        <v/>
      </c>
      <c r="I364" s="40">
        <f>I306+I311+I315+I320+I325+I329</f>
        <v/>
      </c>
      <c r="J364" s="40">
        <f>J306+J311+J315+J320+J325+J329</f>
        <v/>
      </c>
      <c r="K364" s="40">
        <f>K306+K311+K315+K320+K325+K329</f>
        <v/>
      </c>
      <c r="L364" s="40">
        <f>L306+L311+L315+L320+L325+L329</f>
        <v/>
      </c>
      <c r="M364" s="40">
        <f>M306+M311+M315+M320+M325+M329</f>
        <v/>
      </c>
      <c r="N364" s="40">
        <f>N306+N311+N315+N320+N325+N329</f>
        <v/>
      </c>
      <c r="O364" s="40">
        <f>O306+O311+O315+O320+O325+O329</f>
        <v/>
      </c>
      <c r="P364" s="40">
        <f>P306+P311+P315+P320+P325+P329</f>
        <v/>
      </c>
      <c r="Q364" s="40">
        <f>Q306+Q311+Q315+Q320+Q325+Q329</f>
        <v/>
      </c>
      <c r="R364" s="40">
        <f>R306+R311+R315+R320+R325+R329</f>
        <v/>
      </c>
      <c r="S364" s="40">
        <f>S306+S311+S315+S320+S325+S329</f>
        <v/>
      </c>
      <c r="T364" s="40">
        <f>T306+T311+T315+T320+T325+T329</f>
        <v/>
      </c>
      <c r="U364" s="40">
        <f>U306+U311+U315+U320+U325+U329</f>
        <v/>
      </c>
      <c r="V364" s="40">
        <f>V306+V311+V315+V320+V325+V329</f>
        <v/>
      </c>
      <c r="W364" s="40">
        <f>W306+W311+W315+W320+W325+W329</f>
        <v/>
      </c>
      <c r="X364" s="40">
        <f>X306+X311+X315+X320+X325+X329</f>
        <v/>
      </c>
      <c r="Y364" s="40">
        <f>Y306+Y311+Y315+Y320+Y325+Y329</f>
        <v/>
      </c>
      <c r="Z364" s="40">
        <f>Z306+Z311+Z315+Z320+Z325+Z329</f>
        <v/>
      </c>
      <c r="AA364" s="40">
        <f>AA306+AA311+AA315+AA320+AA325+AA329</f>
        <v/>
      </c>
      <c r="AB364" s="40">
        <f>AB306+AB311+AB315+AB320+AB325+AB329</f>
        <v/>
      </c>
      <c r="AC364" s="40">
        <f>AC306+AC311+AC315+AC320+AC325+AC329</f>
        <v/>
      </c>
      <c r="AD364" s="40">
        <f>AD306+AD311+AD315+AD320+AD325+AD329</f>
        <v/>
      </c>
      <c r="AE364" s="40">
        <f>AE306+AE311+AE315+AE320+AE325+AE329</f>
        <v/>
      </c>
      <c r="AF364" s="40">
        <f>AF306+AF311+AF315+AF320+AF325+AF329</f>
        <v/>
      </c>
      <c r="AG364" s="40">
        <f>AG306+AG311+AG315+AG320+AG325+AG329</f>
        <v/>
      </c>
      <c r="AH364" s="40">
        <f>AH306+AH311+AH315+AH320+AH325+AH329</f>
        <v/>
      </c>
      <c r="AI364" s="40">
        <f>AI306+AI311+AI315+AI320+AI325+AI329</f>
        <v/>
      </c>
      <c r="AJ364" s="40">
        <f>AJ306+AJ311+AJ315+AJ320+AJ325+AJ329</f>
        <v/>
      </c>
      <c r="AK364" s="40">
        <f>AK306+AK311+AK315+AK320+AK325+AK329</f>
        <v/>
      </c>
      <c r="AL364" s="40">
        <f>AL306+AL311+AL315+AL320+AL325+AL329</f>
        <v/>
      </c>
      <c r="AM364" s="40">
        <f>AM306+AM311+AM315+AM320+AM325+AM329</f>
        <v/>
      </c>
      <c r="AN364" s="40">
        <f>AN306+AN311+AN315+AN320+AN325+AN329</f>
        <v/>
      </c>
      <c r="AO364" s="40">
        <f>AO306+AO311+AO315+AO320+AO325+AO329</f>
        <v/>
      </c>
      <c r="AP364" s="40">
        <f>AP306+AP311+AP315+AP320+AP325+AP329</f>
        <v/>
      </c>
      <c r="AQ364" s="40">
        <f>AQ306+AQ311+AQ315+AQ320+AQ325+AQ329</f>
        <v/>
      </c>
      <c r="AR364" s="40">
        <f>AR306+AR311+AR315+AR320+AR325+AR329</f>
        <v/>
      </c>
      <c r="AS364" s="40">
        <f>AS306+AS311+AS315+AS320+AS325+AS329</f>
        <v/>
      </c>
      <c r="AT364" s="40">
        <f>AT306+AT311+AT315+AT320+AT325+AT329</f>
        <v/>
      </c>
      <c r="AU364" s="40">
        <f>AU306+AU311+AU315+AU320+AU325+AU329</f>
        <v/>
      </c>
      <c r="AV364" s="40">
        <f>AV306+AV311+AV315+AV320+AV325+AV329</f>
        <v/>
      </c>
      <c r="AW364" s="40">
        <f>AW306+AW311+AW315+AW320+AW325+AW329</f>
        <v/>
      </c>
      <c r="AX364" s="40">
        <f>AX306+AX311+AX315+AX320+AX325+AX329</f>
        <v/>
      </c>
      <c r="AY364" s="40">
        <f>AY306+AY311+AY315+AY320+AY325+AY329</f>
        <v/>
      </c>
      <c r="AZ364" s="40">
        <f>AZ306+AZ311+AZ315+AZ320+AZ325+AZ329</f>
        <v/>
      </c>
      <c r="BA364" s="40">
        <f>BA306+BA311+BA315+BA320+BA325+BA329</f>
        <v/>
      </c>
      <c r="BB364" s="40">
        <f>BB306+BB311+BB315+BB320+BB325+BB329</f>
        <v/>
      </c>
      <c r="BC364" s="40">
        <f>BC306+BC311+BC315+BC320+BC325+BC329</f>
        <v/>
      </c>
      <c r="BD364" s="40">
        <f>BD306+BD311+BD315+BD320+BD325+BD329</f>
        <v/>
      </c>
      <c r="BE364" s="40">
        <f>BE306+BE311+BE315+BE320+BE325+BE329</f>
        <v/>
      </c>
      <c r="BF364" s="40">
        <f>BF306+BF311+BF315+BF320+BF325+BF329</f>
        <v/>
      </c>
      <c r="BG364" s="40">
        <f>BG306+BG311+BG315+BG320+BG325+BG329</f>
        <v/>
      </c>
      <c r="BH364" s="40">
        <f>BH306+BH311+BH315+BH320+BH325+BH329</f>
        <v/>
      </c>
      <c r="BI364" s="40">
        <f>BI306+BI311+BI315+BI320+BI325+BI329</f>
        <v/>
      </c>
      <c r="BJ364" s="40">
        <f>BJ306+BJ311+BJ315+BJ320+BJ325+BJ329</f>
        <v/>
      </c>
    </row>
    <row r="365">
      <c r="A365" s="3" t="inlineStr">
        <is>
          <t>Paying workspaces: Botswana &amp; Namibia</t>
        </is>
      </c>
      <c r="B365" s="17" t="inlineStr">
        <is>
          <t>workspaces</t>
        </is>
      </c>
      <c r="C365" s="40">
        <f>C334+C339+C343+C348+C353+C357</f>
        <v/>
      </c>
      <c r="D365" s="40">
        <f>D334+D339+D343+D348+D353+D357</f>
        <v/>
      </c>
      <c r="E365" s="40">
        <f>E334+E339+E343+E348+E353+E357</f>
        <v/>
      </c>
      <c r="F365" s="40">
        <f>F334+F339+F343+F348+F353+F357</f>
        <v/>
      </c>
      <c r="G365" s="40">
        <f>G334+G339+G343+G348+G353+G357</f>
        <v/>
      </c>
      <c r="H365" s="40">
        <f>H334+H339+H343+H348+H353+H357</f>
        <v/>
      </c>
      <c r="I365" s="40">
        <f>I334+I339+I343+I348+I353+I357</f>
        <v/>
      </c>
      <c r="J365" s="40">
        <f>J334+J339+J343+J348+J353+J357</f>
        <v/>
      </c>
      <c r="K365" s="40">
        <f>K334+K339+K343+K348+K353+K357</f>
        <v/>
      </c>
      <c r="L365" s="40">
        <f>L334+L339+L343+L348+L353+L357</f>
        <v/>
      </c>
      <c r="M365" s="40">
        <f>M334+M339+M343+M348+M353+M357</f>
        <v/>
      </c>
      <c r="N365" s="40">
        <f>N334+N339+N343+N348+N353+N357</f>
        <v/>
      </c>
      <c r="O365" s="40">
        <f>O334+O339+O343+O348+O353+O357</f>
        <v/>
      </c>
      <c r="P365" s="40">
        <f>P334+P339+P343+P348+P353+P357</f>
        <v/>
      </c>
      <c r="Q365" s="40">
        <f>Q334+Q339+Q343+Q348+Q353+Q357</f>
        <v/>
      </c>
      <c r="R365" s="40">
        <f>R334+R339+R343+R348+R353+R357</f>
        <v/>
      </c>
      <c r="S365" s="40">
        <f>S334+S339+S343+S348+S353+S357</f>
        <v/>
      </c>
      <c r="T365" s="40">
        <f>T334+T339+T343+T348+T353+T357</f>
        <v/>
      </c>
      <c r="U365" s="40">
        <f>U334+U339+U343+U348+U353+U357</f>
        <v/>
      </c>
      <c r="V365" s="40">
        <f>V334+V339+V343+V348+V353+V357</f>
        <v/>
      </c>
      <c r="W365" s="40">
        <f>W334+W339+W343+W348+W353+W357</f>
        <v/>
      </c>
      <c r="X365" s="40">
        <f>X334+X339+X343+X348+X353+X357</f>
        <v/>
      </c>
      <c r="Y365" s="40">
        <f>Y334+Y339+Y343+Y348+Y353+Y357</f>
        <v/>
      </c>
      <c r="Z365" s="40">
        <f>Z334+Z339+Z343+Z348+Z353+Z357</f>
        <v/>
      </c>
      <c r="AA365" s="40">
        <f>AA334+AA339+AA343+AA348+AA353+AA357</f>
        <v/>
      </c>
      <c r="AB365" s="40">
        <f>AB334+AB339+AB343+AB348+AB353+AB357</f>
        <v/>
      </c>
      <c r="AC365" s="40">
        <f>AC334+AC339+AC343+AC348+AC353+AC357</f>
        <v/>
      </c>
      <c r="AD365" s="40">
        <f>AD334+AD339+AD343+AD348+AD353+AD357</f>
        <v/>
      </c>
      <c r="AE365" s="40">
        <f>AE334+AE339+AE343+AE348+AE353+AE357</f>
        <v/>
      </c>
      <c r="AF365" s="40">
        <f>AF334+AF339+AF343+AF348+AF353+AF357</f>
        <v/>
      </c>
      <c r="AG365" s="40">
        <f>AG334+AG339+AG343+AG348+AG353+AG357</f>
        <v/>
      </c>
      <c r="AH365" s="40">
        <f>AH334+AH339+AH343+AH348+AH353+AH357</f>
        <v/>
      </c>
      <c r="AI365" s="40">
        <f>AI334+AI339+AI343+AI348+AI353+AI357</f>
        <v/>
      </c>
      <c r="AJ365" s="40">
        <f>AJ334+AJ339+AJ343+AJ348+AJ353+AJ357</f>
        <v/>
      </c>
      <c r="AK365" s="40">
        <f>AK334+AK339+AK343+AK348+AK353+AK357</f>
        <v/>
      </c>
      <c r="AL365" s="40">
        <f>AL334+AL339+AL343+AL348+AL353+AL357</f>
        <v/>
      </c>
      <c r="AM365" s="40">
        <f>AM334+AM339+AM343+AM348+AM353+AM357</f>
        <v/>
      </c>
      <c r="AN365" s="40">
        <f>AN334+AN339+AN343+AN348+AN353+AN357</f>
        <v/>
      </c>
      <c r="AO365" s="40">
        <f>AO334+AO339+AO343+AO348+AO353+AO357</f>
        <v/>
      </c>
      <c r="AP365" s="40">
        <f>AP334+AP339+AP343+AP348+AP353+AP357</f>
        <v/>
      </c>
      <c r="AQ365" s="40">
        <f>AQ334+AQ339+AQ343+AQ348+AQ353+AQ357</f>
        <v/>
      </c>
      <c r="AR365" s="40">
        <f>AR334+AR339+AR343+AR348+AR353+AR357</f>
        <v/>
      </c>
      <c r="AS365" s="40">
        <f>AS334+AS339+AS343+AS348+AS353+AS357</f>
        <v/>
      </c>
      <c r="AT365" s="40">
        <f>AT334+AT339+AT343+AT348+AT353+AT357</f>
        <v/>
      </c>
      <c r="AU365" s="40">
        <f>AU334+AU339+AU343+AU348+AU353+AU357</f>
        <v/>
      </c>
      <c r="AV365" s="40">
        <f>AV334+AV339+AV343+AV348+AV353+AV357</f>
        <v/>
      </c>
      <c r="AW365" s="40">
        <f>AW334+AW339+AW343+AW348+AW353+AW357</f>
        <v/>
      </c>
      <c r="AX365" s="40">
        <f>AX334+AX339+AX343+AX348+AX353+AX357</f>
        <v/>
      </c>
      <c r="AY365" s="40">
        <f>AY334+AY339+AY343+AY348+AY353+AY357</f>
        <v/>
      </c>
      <c r="AZ365" s="40">
        <f>AZ334+AZ339+AZ343+AZ348+AZ353+AZ357</f>
        <v/>
      </c>
      <c r="BA365" s="40">
        <f>BA334+BA339+BA343+BA348+BA353+BA357</f>
        <v/>
      </c>
      <c r="BB365" s="40">
        <f>BB334+BB339+BB343+BB348+BB353+BB357</f>
        <v/>
      </c>
      <c r="BC365" s="40">
        <f>BC334+BC339+BC343+BC348+BC353+BC357</f>
        <v/>
      </c>
      <c r="BD365" s="40">
        <f>BD334+BD339+BD343+BD348+BD353+BD357</f>
        <v/>
      </c>
      <c r="BE365" s="40">
        <f>BE334+BE339+BE343+BE348+BE353+BE357</f>
        <v/>
      </c>
      <c r="BF365" s="40">
        <f>BF334+BF339+BF343+BF348+BF353+BF357</f>
        <v/>
      </c>
      <c r="BG365" s="40">
        <f>BG334+BG339+BG343+BG348+BG353+BG357</f>
        <v/>
      </c>
      <c r="BH365" s="40">
        <f>BH334+BH339+BH343+BH348+BH353+BH357</f>
        <v/>
      </c>
      <c r="BI365" s="40">
        <f>BI334+BI339+BI343+BI348+BI353+BI357</f>
        <v/>
      </c>
      <c r="BJ365" s="40">
        <f>BJ334+BJ339+BJ343+BJ348+BJ353+BJ357</f>
        <v/>
      </c>
    </row>
    <row r="366">
      <c r="A366" s="4" t="inlineStr">
        <is>
          <t>Solo: opening</t>
        </is>
      </c>
      <c r="B366" s="17" t="inlineStr">
        <is>
          <t>workspaces</t>
        </is>
      </c>
      <c r="C366" s="41">
        <f>C166+C171+C176+C206+C211+C216+C238+C243+C248+C270+C275+C280+C302+C307+C312+C330+C335+C340</f>
        <v/>
      </c>
      <c r="D366" s="41">
        <f>D166+D171+D176+D206+D211+D216+D238+D243+D248+D270+D275+D280+D302+D307+D312+D330+D335+D340</f>
        <v/>
      </c>
      <c r="E366" s="41">
        <f>E166+E171+E176+E206+E211+E216+E238+E243+E248+E270+E275+E280+E302+E307+E312+E330+E335+E340</f>
        <v/>
      </c>
      <c r="F366" s="41">
        <f>F166+F171+F176+F206+F211+F216+F238+F243+F248+F270+F275+F280+F302+F307+F312+F330+F335+F340</f>
        <v/>
      </c>
      <c r="G366" s="41">
        <f>G166+G171+G176+G206+G211+G216+G238+G243+G248+G270+G275+G280+G302+G307+G312+G330+G335+G340</f>
        <v/>
      </c>
      <c r="H366" s="41">
        <f>H166+H171+H176+H206+H211+H216+H238+H243+H248+H270+H275+H280+H302+H307+H312+H330+H335+H340</f>
        <v/>
      </c>
      <c r="I366" s="41">
        <f>I166+I171+I176+I206+I211+I216+I238+I243+I248+I270+I275+I280+I302+I307+I312+I330+I335+I340</f>
        <v/>
      </c>
      <c r="J366" s="41">
        <f>J166+J171+J176+J206+J211+J216+J238+J243+J248+J270+J275+J280+J302+J307+J312+J330+J335+J340</f>
        <v/>
      </c>
      <c r="K366" s="41">
        <f>K166+K171+K176+K206+K211+K216+K238+K243+K248+K270+K275+K280+K302+K307+K312+K330+K335+K340</f>
        <v/>
      </c>
      <c r="L366" s="41">
        <f>L166+L171+L176+L206+L211+L216+L238+L243+L248+L270+L275+L280+L302+L307+L312+L330+L335+L340</f>
        <v/>
      </c>
      <c r="M366" s="41">
        <f>M166+M171+M176+M206+M211+M216+M238+M243+M248+M270+M275+M280+M302+M307+M312+M330+M335+M340</f>
        <v/>
      </c>
      <c r="N366" s="41">
        <f>N166+N171+N176+N206+N211+N216+N238+N243+N248+N270+N275+N280+N302+N307+N312+N330+N335+N340</f>
        <v/>
      </c>
      <c r="O366" s="41">
        <f>O166+O171+O176+O206+O211+O216+O238+O243+O248+O270+O275+O280+O302+O307+O312+O330+O335+O340</f>
        <v/>
      </c>
      <c r="P366" s="41">
        <f>P166+P171+P176+P206+P211+P216+P238+P243+P248+P270+P275+P280+P302+P307+P312+P330+P335+P340</f>
        <v/>
      </c>
      <c r="Q366" s="41">
        <f>Q166+Q171+Q176+Q206+Q211+Q216+Q238+Q243+Q248+Q270+Q275+Q280+Q302+Q307+Q312+Q330+Q335+Q340</f>
        <v/>
      </c>
      <c r="R366" s="41">
        <f>R166+R171+R176+R206+R211+R216+R238+R243+R248+R270+R275+R280+R302+R307+R312+R330+R335+R340</f>
        <v/>
      </c>
      <c r="S366" s="41">
        <f>S166+S171+S176+S206+S211+S216+S238+S243+S248+S270+S275+S280+S302+S307+S312+S330+S335+S340</f>
        <v/>
      </c>
      <c r="T366" s="41">
        <f>T166+T171+T176+T206+T211+T216+T238+T243+T248+T270+T275+T280+T302+T307+T312+T330+T335+T340</f>
        <v/>
      </c>
      <c r="U366" s="41">
        <f>U166+U171+U176+U206+U211+U216+U238+U243+U248+U270+U275+U280+U302+U307+U312+U330+U335+U340</f>
        <v/>
      </c>
      <c r="V366" s="41">
        <f>V166+V171+V176+V206+V211+V216+V238+V243+V248+V270+V275+V280+V302+V307+V312+V330+V335+V340</f>
        <v/>
      </c>
      <c r="W366" s="41">
        <f>W166+W171+W176+W206+W211+W216+W238+W243+W248+W270+W275+W280+W302+W307+W312+W330+W335+W340</f>
        <v/>
      </c>
      <c r="X366" s="41">
        <f>X166+X171+X176+X206+X211+X216+X238+X243+X248+X270+X275+X280+X302+X307+X312+X330+X335+X340</f>
        <v/>
      </c>
      <c r="Y366" s="41">
        <f>Y166+Y171+Y176+Y206+Y211+Y216+Y238+Y243+Y248+Y270+Y275+Y280+Y302+Y307+Y312+Y330+Y335+Y340</f>
        <v/>
      </c>
      <c r="Z366" s="41">
        <f>Z166+Z171+Z176+Z206+Z211+Z216+Z238+Z243+Z248+Z270+Z275+Z280+Z302+Z307+Z312+Z330+Z335+Z340</f>
        <v/>
      </c>
      <c r="AA366" s="41">
        <f>AA166+AA171+AA176+AA206+AA211+AA216+AA238+AA243+AA248+AA270+AA275+AA280+AA302+AA307+AA312+AA330+AA335+AA340</f>
        <v/>
      </c>
      <c r="AB366" s="41">
        <f>AB166+AB171+AB176+AB206+AB211+AB216+AB238+AB243+AB248+AB270+AB275+AB280+AB302+AB307+AB312+AB330+AB335+AB340</f>
        <v/>
      </c>
      <c r="AC366" s="41">
        <f>AC166+AC171+AC176+AC206+AC211+AC216+AC238+AC243+AC248+AC270+AC275+AC280+AC302+AC307+AC312+AC330+AC335+AC340</f>
        <v/>
      </c>
      <c r="AD366" s="41">
        <f>AD166+AD171+AD176+AD206+AD211+AD216+AD238+AD243+AD248+AD270+AD275+AD280+AD302+AD307+AD312+AD330+AD335+AD340</f>
        <v/>
      </c>
      <c r="AE366" s="41">
        <f>AE166+AE171+AE176+AE206+AE211+AE216+AE238+AE243+AE248+AE270+AE275+AE280+AE302+AE307+AE312+AE330+AE335+AE340</f>
        <v/>
      </c>
      <c r="AF366" s="41">
        <f>AF166+AF171+AF176+AF206+AF211+AF216+AF238+AF243+AF248+AF270+AF275+AF280+AF302+AF307+AF312+AF330+AF335+AF340</f>
        <v/>
      </c>
      <c r="AG366" s="41">
        <f>AG166+AG171+AG176+AG206+AG211+AG216+AG238+AG243+AG248+AG270+AG275+AG280+AG302+AG307+AG312+AG330+AG335+AG340</f>
        <v/>
      </c>
      <c r="AH366" s="41">
        <f>AH166+AH171+AH176+AH206+AH211+AH216+AH238+AH243+AH248+AH270+AH275+AH280+AH302+AH307+AH312+AH330+AH335+AH340</f>
        <v/>
      </c>
      <c r="AI366" s="41">
        <f>AI166+AI171+AI176+AI206+AI211+AI216+AI238+AI243+AI248+AI270+AI275+AI280+AI302+AI307+AI312+AI330+AI335+AI340</f>
        <v/>
      </c>
      <c r="AJ366" s="41">
        <f>AJ166+AJ171+AJ176+AJ206+AJ211+AJ216+AJ238+AJ243+AJ248+AJ270+AJ275+AJ280+AJ302+AJ307+AJ312+AJ330+AJ335+AJ340</f>
        <v/>
      </c>
      <c r="AK366" s="41">
        <f>AK166+AK171+AK176+AK206+AK211+AK216+AK238+AK243+AK248+AK270+AK275+AK280+AK302+AK307+AK312+AK330+AK335+AK340</f>
        <v/>
      </c>
      <c r="AL366" s="41">
        <f>AL166+AL171+AL176+AL206+AL211+AL216+AL238+AL243+AL248+AL270+AL275+AL280+AL302+AL307+AL312+AL330+AL335+AL340</f>
        <v/>
      </c>
      <c r="AM366" s="41">
        <f>AM166+AM171+AM176+AM206+AM211+AM216+AM238+AM243+AM248+AM270+AM275+AM280+AM302+AM307+AM312+AM330+AM335+AM340</f>
        <v/>
      </c>
      <c r="AN366" s="41">
        <f>AN166+AN171+AN176+AN206+AN211+AN216+AN238+AN243+AN248+AN270+AN275+AN280+AN302+AN307+AN312+AN330+AN335+AN340</f>
        <v/>
      </c>
      <c r="AO366" s="41">
        <f>AO166+AO171+AO176+AO206+AO211+AO216+AO238+AO243+AO248+AO270+AO275+AO280+AO302+AO307+AO312+AO330+AO335+AO340</f>
        <v/>
      </c>
      <c r="AP366" s="41">
        <f>AP166+AP171+AP176+AP206+AP211+AP216+AP238+AP243+AP248+AP270+AP275+AP280+AP302+AP307+AP312+AP330+AP335+AP340</f>
        <v/>
      </c>
      <c r="AQ366" s="41">
        <f>AQ166+AQ171+AQ176+AQ206+AQ211+AQ216+AQ238+AQ243+AQ248+AQ270+AQ275+AQ280+AQ302+AQ307+AQ312+AQ330+AQ335+AQ340</f>
        <v/>
      </c>
      <c r="AR366" s="41">
        <f>AR166+AR171+AR176+AR206+AR211+AR216+AR238+AR243+AR248+AR270+AR275+AR280+AR302+AR307+AR312+AR330+AR335+AR340</f>
        <v/>
      </c>
      <c r="AS366" s="41">
        <f>AS166+AS171+AS176+AS206+AS211+AS216+AS238+AS243+AS248+AS270+AS275+AS280+AS302+AS307+AS312+AS330+AS335+AS340</f>
        <v/>
      </c>
      <c r="AT366" s="41">
        <f>AT166+AT171+AT176+AT206+AT211+AT216+AT238+AT243+AT248+AT270+AT275+AT280+AT302+AT307+AT312+AT330+AT335+AT340</f>
        <v/>
      </c>
      <c r="AU366" s="41">
        <f>AU166+AU171+AU176+AU206+AU211+AU216+AU238+AU243+AU248+AU270+AU275+AU280+AU302+AU307+AU312+AU330+AU335+AU340</f>
        <v/>
      </c>
      <c r="AV366" s="41">
        <f>AV166+AV171+AV176+AV206+AV211+AV216+AV238+AV243+AV248+AV270+AV275+AV280+AV302+AV307+AV312+AV330+AV335+AV340</f>
        <v/>
      </c>
      <c r="AW366" s="41">
        <f>AW166+AW171+AW176+AW206+AW211+AW216+AW238+AW243+AW248+AW270+AW275+AW280+AW302+AW307+AW312+AW330+AW335+AW340</f>
        <v/>
      </c>
      <c r="AX366" s="41">
        <f>AX166+AX171+AX176+AX206+AX211+AX216+AX238+AX243+AX248+AX270+AX275+AX280+AX302+AX307+AX312+AX330+AX335+AX340</f>
        <v/>
      </c>
      <c r="AY366" s="41">
        <f>AY166+AY171+AY176+AY206+AY211+AY216+AY238+AY243+AY248+AY270+AY275+AY280+AY302+AY307+AY312+AY330+AY335+AY340</f>
        <v/>
      </c>
      <c r="AZ366" s="41">
        <f>AZ166+AZ171+AZ176+AZ206+AZ211+AZ216+AZ238+AZ243+AZ248+AZ270+AZ275+AZ280+AZ302+AZ307+AZ312+AZ330+AZ335+AZ340</f>
        <v/>
      </c>
      <c r="BA366" s="41">
        <f>BA166+BA171+BA176+BA206+BA211+BA216+BA238+BA243+BA248+BA270+BA275+BA280+BA302+BA307+BA312+BA330+BA335+BA340</f>
        <v/>
      </c>
      <c r="BB366" s="41">
        <f>BB166+BB171+BB176+BB206+BB211+BB216+BB238+BB243+BB248+BB270+BB275+BB280+BB302+BB307+BB312+BB330+BB335+BB340</f>
        <v/>
      </c>
      <c r="BC366" s="41">
        <f>BC166+BC171+BC176+BC206+BC211+BC216+BC238+BC243+BC248+BC270+BC275+BC280+BC302+BC307+BC312+BC330+BC335+BC340</f>
        <v/>
      </c>
      <c r="BD366" s="41">
        <f>BD166+BD171+BD176+BD206+BD211+BD216+BD238+BD243+BD248+BD270+BD275+BD280+BD302+BD307+BD312+BD330+BD335+BD340</f>
        <v/>
      </c>
      <c r="BE366" s="41">
        <f>BE166+BE171+BE176+BE206+BE211+BE216+BE238+BE243+BE248+BE270+BE275+BE280+BE302+BE307+BE312+BE330+BE335+BE340</f>
        <v/>
      </c>
      <c r="BF366" s="41">
        <f>BF166+BF171+BF176+BF206+BF211+BF216+BF238+BF243+BF248+BF270+BF275+BF280+BF302+BF307+BF312+BF330+BF335+BF340</f>
        <v/>
      </c>
      <c r="BG366" s="41">
        <f>BG166+BG171+BG176+BG206+BG211+BG216+BG238+BG243+BG248+BG270+BG275+BG280+BG302+BG307+BG312+BG330+BG335+BG340</f>
        <v/>
      </c>
      <c r="BH366" s="41">
        <f>BH166+BH171+BH176+BH206+BH211+BH216+BH238+BH243+BH248+BH270+BH275+BH280+BH302+BH307+BH312+BH330+BH335+BH340</f>
        <v/>
      </c>
      <c r="BI366" s="41">
        <f>BI166+BI171+BI176+BI206+BI211+BI216+BI238+BI243+BI248+BI270+BI275+BI280+BI302+BI307+BI312+BI330+BI335+BI340</f>
        <v/>
      </c>
      <c r="BJ366" s="41">
        <f>BJ166+BJ171+BJ176+BJ206+BJ211+BJ216+BJ238+BJ243+BJ248+BJ270+BJ275+BJ280+BJ302+BJ307+BJ312+BJ330+BJ335+BJ340</f>
        <v/>
      </c>
    </row>
    <row r="367">
      <c r="A367" s="3" t="inlineStr">
        <is>
          <t>Solo: closing</t>
        </is>
      </c>
      <c r="B367" s="17" t="inlineStr">
        <is>
          <t>workspaces</t>
        </is>
      </c>
      <c r="C367" s="44">
        <f>C170+C175+C179+C210+C215+C219+C242+C247+C251+C274+C279+C283+C306+C311+C315+C334+C339+C343</f>
        <v/>
      </c>
      <c r="D367" s="44">
        <f>D170+D175+D179+D210+D215+D219+D242+D247+D251+D274+D279+D283+D306+D311+D315+D334+D339+D343</f>
        <v/>
      </c>
      <c r="E367" s="44">
        <f>E170+E175+E179+E210+E215+E219+E242+E247+E251+E274+E279+E283+E306+E311+E315+E334+E339+E343</f>
        <v/>
      </c>
      <c r="F367" s="44">
        <f>F170+F175+F179+F210+F215+F219+F242+F247+F251+F274+F279+F283+F306+F311+F315+F334+F339+F343</f>
        <v/>
      </c>
      <c r="G367" s="44">
        <f>G170+G175+G179+G210+G215+G219+G242+G247+G251+G274+G279+G283+G306+G311+G315+G334+G339+G343</f>
        <v/>
      </c>
      <c r="H367" s="44">
        <f>H170+H175+H179+H210+H215+H219+H242+H247+H251+H274+H279+H283+H306+H311+H315+H334+H339+H343</f>
        <v/>
      </c>
      <c r="I367" s="44">
        <f>I170+I175+I179+I210+I215+I219+I242+I247+I251+I274+I279+I283+I306+I311+I315+I334+I339+I343</f>
        <v/>
      </c>
      <c r="J367" s="44">
        <f>J170+J175+J179+J210+J215+J219+J242+J247+J251+J274+J279+J283+J306+J311+J315+J334+J339+J343</f>
        <v/>
      </c>
      <c r="K367" s="44">
        <f>K170+K175+K179+K210+K215+K219+K242+K247+K251+K274+K279+K283+K306+K311+K315+K334+K339+K343</f>
        <v/>
      </c>
      <c r="L367" s="44">
        <f>L170+L175+L179+L210+L215+L219+L242+L247+L251+L274+L279+L283+L306+L311+L315+L334+L339+L343</f>
        <v/>
      </c>
      <c r="M367" s="44">
        <f>M170+M175+M179+M210+M215+M219+M242+M247+M251+M274+M279+M283+M306+M311+M315+M334+M339+M343</f>
        <v/>
      </c>
      <c r="N367" s="44">
        <f>N170+N175+N179+N210+N215+N219+N242+N247+N251+N274+N279+N283+N306+N311+N315+N334+N339+N343</f>
        <v/>
      </c>
      <c r="O367" s="44">
        <f>O170+O175+O179+O210+O215+O219+O242+O247+O251+O274+O279+O283+O306+O311+O315+O334+O339+O343</f>
        <v/>
      </c>
      <c r="P367" s="44">
        <f>P170+P175+P179+P210+P215+P219+P242+P247+P251+P274+P279+P283+P306+P311+P315+P334+P339+P343</f>
        <v/>
      </c>
      <c r="Q367" s="44">
        <f>Q170+Q175+Q179+Q210+Q215+Q219+Q242+Q247+Q251+Q274+Q279+Q283+Q306+Q311+Q315+Q334+Q339+Q343</f>
        <v/>
      </c>
      <c r="R367" s="44">
        <f>R170+R175+R179+R210+R215+R219+R242+R247+R251+R274+R279+R283+R306+R311+R315+R334+R339+R343</f>
        <v/>
      </c>
      <c r="S367" s="44">
        <f>S170+S175+S179+S210+S215+S219+S242+S247+S251+S274+S279+S283+S306+S311+S315+S334+S339+S343</f>
        <v/>
      </c>
      <c r="T367" s="44">
        <f>T170+T175+T179+T210+T215+T219+T242+T247+T251+T274+T279+T283+T306+T311+T315+T334+T339+T343</f>
        <v/>
      </c>
      <c r="U367" s="44">
        <f>U170+U175+U179+U210+U215+U219+U242+U247+U251+U274+U279+U283+U306+U311+U315+U334+U339+U343</f>
        <v/>
      </c>
      <c r="V367" s="44">
        <f>V170+V175+V179+V210+V215+V219+V242+V247+V251+V274+V279+V283+V306+V311+V315+V334+V339+V343</f>
        <v/>
      </c>
      <c r="W367" s="44">
        <f>W170+W175+W179+W210+W215+W219+W242+W247+W251+W274+W279+W283+W306+W311+W315+W334+W339+W343</f>
        <v/>
      </c>
      <c r="X367" s="44">
        <f>X170+X175+X179+X210+X215+X219+X242+X247+X251+X274+X279+X283+X306+X311+X315+X334+X339+X343</f>
        <v/>
      </c>
      <c r="Y367" s="44">
        <f>Y170+Y175+Y179+Y210+Y215+Y219+Y242+Y247+Y251+Y274+Y279+Y283+Y306+Y311+Y315+Y334+Y339+Y343</f>
        <v/>
      </c>
      <c r="Z367" s="44">
        <f>Z170+Z175+Z179+Z210+Z215+Z219+Z242+Z247+Z251+Z274+Z279+Z283+Z306+Z311+Z315+Z334+Z339+Z343</f>
        <v/>
      </c>
      <c r="AA367" s="44">
        <f>AA170+AA175+AA179+AA210+AA215+AA219+AA242+AA247+AA251+AA274+AA279+AA283+AA306+AA311+AA315+AA334+AA339+AA343</f>
        <v/>
      </c>
      <c r="AB367" s="44">
        <f>AB170+AB175+AB179+AB210+AB215+AB219+AB242+AB247+AB251+AB274+AB279+AB283+AB306+AB311+AB315+AB334+AB339+AB343</f>
        <v/>
      </c>
      <c r="AC367" s="44">
        <f>AC170+AC175+AC179+AC210+AC215+AC219+AC242+AC247+AC251+AC274+AC279+AC283+AC306+AC311+AC315+AC334+AC339+AC343</f>
        <v/>
      </c>
      <c r="AD367" s="44">
        <f>AD170+AD175+AD179+AD210+AD215+AD219+AD242+AD247+AD251+AD274+AD279+AD283+AD306+AD311+AD315+AD334+AD339+AD343</f>
        <v/>
      </c>
      <c r="AE367" s="44">
        <f>AE170+AE175+AE179+AE210+AE215+AE219+AE242+AE247+AE251+AE274+AE279+AE283+AE306+AE311+AE315+AE334+AE339+AE343</f>
        <v/>
      </c>
      <c r="AF367" s="44">
        <f>AF170+AF175+AF179+AF210+AF215+AF219+AF242+AF247+AF251+AF274+AF279+AF283+AF306+AF311+AF315+AF334+AF339+AF343</f>
        <v/>
      </c>
      <c r="AG367" s="44">
        <f>AG170+AG175+AG179+AG210+AG215+AG219+AG242+AG247+AG251+AG274+AG279+AG283+AG306+AG311+AG315+AG334+AG339+AG343</f>
        <v/>
      </c>
      <c r="AH367" s="44">
        <f>AH170+AH175+AH179+AH210+AH215+AH219+AH242+AH247+AH251+AH274+AH279+AH283+AH306+AH311+AH315+AH334+AH339+AH343</f>
        <v/>
      </c>
      <c r="AI367" s="44">
        <f>AI170+AI175+AI179+AI210+AI215+AI219+AI242+AI247+AI251+AI274+AI279+AI283+AI306+AI311+AI315+AI334+AI339+AI343</f>
        <v/>
      </c>
      <c r="AJ367" s="44">
        <f>AJ170+AJ175+AJ179+AJ210+AJ215+AJ219+AJ242+AJ247+AJ251+AJ274+AJ279+AJ283+AJ306+AJ311+AJ315+AJ334+AJ339+AJ343</f>
        <v/>
      </c>
      <c r="AK367" s="44">
        <f>AK170+AK175+AK179+AK210+AK215+AK219+AK242+AK247+AK251+AK274+AK279+AK283+AK306+AK311+AK315+AK334+AK339+AK343</f>
        <v/>
      </c>
      <c r="AL367" s="44">
        <f>AL170+AL175+AL179+AL210+AL215+AL219+AL242+AL247+AL251+AL274+AL279+AL283+AL306+AL311+AL315+AL334+AL339+AL343</f>
        <v/>
      </c>
      <c r="AM367" s="44">
        <f>AM170+AM175+AM179+AM210+AM215+AM219+AM242+AM247+AM251+AM274+AM279+AM283+AM306+AM311+AM315+AM334+AM339+AM343</f>
        <v/>
      </c>
      <c r="AN367" s="44">
        <f>AN170+AN175+AN179+AN210+AN215+AN219+AN242+AN247+AN251+AN274+AN279+AN283+AN306+AN311+AN315+AN334+AN339+AN343</f>
        <v/>
      </c>
      <c r="AO367" s="44">
        <f>AO170+AO175+AO179+AO210+AO215+AO219+AO242+AO247+AO251+AO274+AO279+AO283+AO306+AO311+AO315+AO334+AO339+AO343</f>
        <v/>
      </c>
      <c r="AP367" s="44">
        <f>AP170+AP175+AP179+AP210+AP215+AP219+AP242+AP247+AP251+AP274+AP279+AP283+AP306+AP311+AP315+AP334+AP339+AP343</f>
        <v/>
      </c>
      <c r="AQ367" s="44">
        <f>AQ170+AQ175+AQ179+AQ210+AQ215+AQ219+AQ242+AQ247+AQ251+AQ274+AQ279+AQ283+AQ306+AQ311+AQ315+AQ334+AQ339+AQ343</f>
        <v/>
      </c>
      <c r="AR367" s="44">
        <f>AR170+AR175+AR179+AR210+AR215+AR219+AR242+AR247+AR251+AR274+AR279+AR283+AR306+AR311+AR315+AR334+AR339+AR343</f>
        <v/>
      </c>
      <c r="AS367" s="44">
        <f>AS170+AS175+AS179+AS210+AS215+AS219+AS242+AS247+AS251+AS274+AS279+AS283+AS306+AS311+AS315+AS334+AS339+AS343</f>
        <v/>
      </c>
      <c r="AT367" s="44">
        <f>AT170+AT175+AT179+AT210+AT215+AT219+AT242+AT247+AT251+AT274+AT279+AT283+AT306+AT311+AT315+AT334+AT339+AT343</f>
        <v/>
      </c>
      <c r="AU367" s="44">
        <f>AU170+AU175+AU179+AU210+AU215+AU219+AU242+AU247+AU251+AU274+AU279+AU283+AU306+AU311+AU315+AU334+AU339+AU343</f>
        <v/>
      </c>
      <c r="AV367" s="44">
        <f>AV170+AV175+AV179+AV210+AV215+AV219+AV242+AV247+AV251+AV274+AV279+AV283+AV306+AV311+AV315+AV334+AV339+AV343</f>
        <v/>
      </c>
      <c r="AW367" s="44">
        <f>AW170+AW175+AW179+AW210+AW215+AW219+AW242+AW247+AW251+AW274+AW279+AW283+AW306+AW311+AW315+AW334+AW339+AW343</f>
        <v/>
      </c>
      <c r="AX367" s="44">
        <f>AX170+AX175+AX179+AX210+AX215+AX219+AX242+AX247+AX251+AX274+AX279+AX283+AX306+AX311+AX315+AX334+AX339+AX343</f>
        <v/>
      </c>
      <c r="AY367" s="44">
        <f>AY170+AY175+AY179+AY210+AY215+AY219+AY242+AY247+AY251+AY274+AY279+AY283+AY306+AY311+AY315+AY334+AY339+AY343</f>
        <v/>
      </c>
      <c r="AZ367" s="44">
        <f>AZ170+AZ175+AZ179+AZ210+AZ215+AZ219+AZ242+AZ247+AZ251+AZ274+AZ279+AZ283+AZ306+AZ311+AZ315+AZ334+AZ339+AZ343</f>
        <v/>
      </c>
      <c r="BA367" s="44">
        <f>BA170+BA175+BA179+BA210+BA215+BA219+BA242+BA247+BA251+BA274+BA279+BA283+BA306+BA311+BA315+BA334+BA339+BA343</f>
        <v/>
      </c>
      <c r="BB367" s="44">
        <f>BB170+BB175+BB179+BB210+BB215+BB219+BB242+BB247+BB251+BB274+BB279+BB283+BB306+BB311+BB315+BB334+BB339+BB343</f>
        <v/>
      </c>
      <c r="BC367" s="44">
        <f>BC170+BC175+BC179+BC210+BC215+BC219+BC242+BC247+BC251+BC274+BC279+BC283+BC306+BC311+BC315+BC334+BC339+BC343</f>
        <v/>
      </c>
      <c r="BD367" s="44">
        <f>BD170+BD175+BD179+BD210+BD215+BD219+BD242+BD247+BD251+BD274+BD279+BD283+BD306+BD311+BD315+BD334+BD339+BD343</f>
        <v/>
      </c>
      <c r="BE367" s="44">
        <f>BE170+BE175+BE179+BE210+BE215+BE219+BE242+BE247+BE251+BE274+BE279+BE283+BE306+BE311+BE315+BE334+BE339+BE343</f>
        <v/>
      </c>
      <c r="BF367" s="44">
        <f>BF170+BF175+BF179+BF210+BF215+BF219+BF242+BF247+BF251+BF274+BF279+BF283+BF306+BF311+BF315+BF334+BF339+BF343</f>
        <v/>
      </c>
      <c r="BG367" s="44">
        <f>BG170+BG175+BG179+BG210+BG215+BG219+BG242+BG247+BG251+BG274+BG279+BG283+BG306+BG311+BG315+BG334+BG339+BG343</f>
        <v/>
      </c>
      <c r="BH367" s="44">
        <f>BH170+BH175+BH179+BH210+BH215+BH219+BH242+BH247+BH251+BH274+BH279+BH283+BH306+BH311+BH315+BH334+BH339+BH343</f>
        <v/>
      </c>
      <c r="BI367" s="44">
        <f>BI170+BI175+BI179+BI210+BI215+BI219+BI242+BI247+BI251+BI274+BI279+BI283+BI306+BI311+BI315+BI334+BI339+BI343</f>
        <v/>
      </c>
      <c r="BJ367" s="44">
        <f>BJ170+BJ175+BJ179+BJ210+BJ215+BJ219+BJ242+BJ247+BJ251+BJ274+BJ279+BJ283+BJ306+BJ311+BJ315+BJ334+BJ339+BJ343</f>
        <v/>
      </c>
    </row>
    <row r="368">
      <c r="A368" s="4" t="inlineStr">
        <is>
          <t>Solo: churned</t>
        </is>
      </c>
      <c r="B368" s="17" t="inlineStr">
        <is>
          <t>workspaces</t>
        </is>
      </c>
      <c r="C368" s="41">
        <f>C168+C173+C178+C208+C213+C218+C240+C245+C250+C272+C277+C282+C304+C309+C314+C332+C337+C342</f>
        <v/>
      </c>
      <c r="D368" s="41">
        <f>D168+D173+D178+D208+D213+D218+D240+D245+D250+D272+D277+D282+D304+D309+D314+D332+D337+D342</f>
        <v/>
      </c>
      <c r="E368" s="41">
        <f>E168+E173+E178+E208+E213+E218+E240+E245+E250+E272+E277+E282+E304+E309+E314+E332+E337+E342</f>
        <v/>
      </c>
      <c r="F368" s="41">
        <f>F168+F173+F178+F208+F213+F218+F240+F245+F250+F272+F277+F282+F304+F309+F314+F332+F337+F342</f>
        <v/>
      </c>
      <c r="G368" s="41">
        <f>G168+G173+G178+G208+G213+G218+G240+G245+G250+G272+G277+G282+G304+G309+G314+G332+G337+G342</f>
        <v/>
      </c>
      <c r="H368" s="41">
        <f>H168+H173+H178+H208+H213+H218+H240+H245+H250+H272+H277+H282+H304+H309+H314+H332+H337+H342</f>
        <v/>
      </c>
      <c r="I368" s="41">
        <f>I168+I173+I178+I208+I213+I218+I240+I245+I250+I272+I277+I282+I304+I309+I314+I332+I337+I342</f>
        <v/>
      </c>
      <c r="J368" s="41">
        <f>J168+J173+J178+J208+J213+J218+J240+J245+J250+J272+J277+J282+J304+J309+J314+J332+J337+J342</f>
        <v/>
      </c>
      <c r="K368" s="41">
        <f>K168+K173+K178+K208+K213+K218+K240+K245+K250+K272+K277+K282+K304+K309+K314+K332+K337+K342</f>
        <v/>
      </c>
      <c r="L368" s="41">
        <f>L168+L173+L178+L208+L213+L218+L240+L245+L250+L272+L277+L282+L304+L309+L314+L332+L337+L342</f>
        <v/>
      </c>
      <c r="M368" s="41">
        <f>M168+M173+M178+M208+M213+M218+M240+M245+M250+M272+M277+M282+M304+M309+M314+M332+M337+M342</f>
        <v/>
      </c>
      <c r="N368" s="41">
        <f>N168+N173+N178+N208+N213+N218+N240+N245+N250+N272+N277+N282+N304+N309+N314+N332+N337+N342</f>
        <v/>
      </c>
      <c r="O368" s="41">
        <f>O168+O173+O178+O208+O213+O218+O240+O245+O250+O272+O277+O282+O304+O309+O314+O332+O337+O342</f>
        <v/>
      </c>
      <c r="P368" s="41">
        <f>P168+P173+P178+P208+P213+P218+P240+P245+P250+P272+P277+P282+P304+P309+P314+P332+P337+P342</f>
        <v/>
      </c>
      <c r="Q368" s="41">
        <f>Q168+Q173+Q178+Q208+Q213+Q218+Q240+Q245+Q250+Q272+Q277+Q282+Q304+Q309+Q314+Q332+Q337+Q342</f>
        <v/>
      </c>
      <c r="R368" s="41">
        <f>R168+R173+R178+R208+R213+R218+R240+R245+R250+R272+R277+R282+R304+R309+R314+R332+R337+R342</f>
        <v/>
      </c>
      <c r="S368" s="41">
        <f>S168+S173+S178+S208+S213+S218+S240+S245+S250+S272+S277+S282+S304+S309+S314+S332+S337+S342</f>
        <v/>
      </c>
      <c r="T368" s="41">
        <f>T168+T173+T178+T208+T213+T218+T240+T245+T250+T272+T277+T282+T304+T309+T314+T332+T337+T342</f>
        <v/>
      </c>
      <c r="U368" s="41">
        <f>U168+U173+U178+U208+U213+U218+U240+U245+U250+U272+U277+U282+U304+U309+U314+U332+U337+U342</f>
        <v/>
      </c>
      <c r="V368" s="41">
        <f>V168+V173+V178+V208+V213+V218+V240+V245+V250+V272+V277+V282+V304+V309+V314+V332+V337+V342</f>
        <v/>
      </c>
      <c r="W368" s="41">
        <f>W168+W173+W178+W208+W213+W218+W240+W245+W250+W272+W277+W282+W304+W309+W314+W332+W337+W342</f>
        <v/>
      </c>
      <c r="X368" s="41">
        <f>X168+X173+X178+X208+X213+X218+X240+X245+X250+X272+X277+X282+X304+X309+X314+X332+X337+X342</f>
        <v/>
      </c>
      <c r="Y368" s="41">
        <f>Y168+Y173+Y178+Y208+Y213+Y218+Y240+Y245+Y250+Y272+Y277+Y282+Y304+Y309+Y314+Y332+Y337+Y342</f>
        <v/>
      </c>
      <c r="Z368" s="41">
        <f>Z168+Z173+Z178+Z208+Z213+Z218+Z240+Z245+Z250+Z272+Z277+Z282+Z304+Z309+Z314+Z332+Z337+Z342</f>
        <v/>
      </c>
      <c r="AA368" s="41">
        <f>AA168+AA173+AA178+AA208+AA213+AA218+AA240+AA245+AA250+AA272+AA277+AA282+AA304+AA309+AA314+AA332+AA337+AA342</f>
        <v/>
      </c>
      <c r="AB368" s="41">
        <f>AB168+AB173+AB178+AB208+AB213+AB218+AB240+AB245+AB250+AB272+AB277+AB282+AB304+AB309+AB314+AB332+AB337+AB342</f>
        <v/>
      </c>
      <c r="AC368" s="41">
        <f>AC168+AC173+AC178+AC208+AC213+AC218+AC240+AC245+AC250+AC272+AC277+AC282+AC304+AC309+AC314+AC332+AC337+AC342</f>
        <v/>
      </c>
      <c r="AD368" s="41">
        <f>AD168+AD173+AD178+AD208+AD213+AD218+AD240+AD245+AD250+AD272+AD277+AD282+AD304+AD309+AD314+AD332+AD337+AD342</f>
        <v/>
      </c>
      <c r="AE368" s="41">
        <f>AE168+AE173+AE178+AE208+AE213+AE218+AE240+AE245+AE250+AE272+AE277+AE282+AE304+AE309+AE314+AE332+AE337+AE342</f>
        <v/>
      </c>
      <c r="AF368" s="41">
        <f>AF168+AF173+AF178+AF208+AF213+AF218+AF240+AF245+AF250+AF272+AF277+AF282+AF304+AF309+AF314+AF332+AF337+AF342</f>
        <v/>
      </c>
      <c r="AG368" s="41">
        <f>AG168+AG173+AG178+AG208+AG213+AG218+AG240+AG245+AG250+AG272+AG277+AG282+AG304+AG309+AG314+AG332+AG337+AG342</f>
        <v/>
      </c>
      <c r="AH368" s="41">
        <f>AH168+AH173+AH178+AH208+AH213+AH218+AH240+AH245+AH250+AH272+AH277+AH282+AH304+AH309+AH314+AH332+AH337+AH342</f>
        <v/>
      </c>
      <c r="AI368" s="41">
        <f>AI168+AI173+AI178+AI208+AI213+AI218+AI240+AI245+AI250+AI272+AI277+AI282+AI304+AI309+AI314+AI332+AI337+AI342</f>
        <v/>
      </c>
      <c r="AJ368" s="41">
        <f>AJ168+AJ173+AJ178+AJ208+AJ213+AJ218+AJ240+AJ245+AJ250+AJ272+AJ277+AJ282+AJ304+AJ309+AJ314+AJ332+AJ337+AJ342</f>
        <v/>
      </c>
      <c r="AK368" s="41">
        <f>AK168+AK173+AK178+AK208+AK213+AK218+AK240+AK245+AK250+AK272+AK277+AK282+AK304+AK309+AK314+AK332+AK337+AK342</f>
        <v/>
      </c>
      <c r="AL368" s="41">
        <f>AL168+AL173+AL178+AL208+AL213+AL218+AL240+AL245+AL250+AL272+AL277+AL282+AL304+AL309+AL314+AL332+AL337+AL342</f>
        <v/>
      </c>
      <c r="AM368" s="41">
        <f>AM168+AM173+AM178+AM208+AM213+AM218+AM240+AM245+AM250+AM272+AM277+AM282+AM304+AM309+AM314+AM332+AM337+AM342</f>
        <v/>
      </c>
      <c r="AN368" s="41">
        <f>AN168+AN173+AN178+AN208+AN213+AN218+AN240+AN245+AN250+AN272+AN277+AN282+AN304+AN309+AN314+AN332+AN337+AN342</f>
        <v/>
      </c>
      <c r="AO368" s="41">
        <f>AO168+AO173+AO178+AO208+AO213+AO218+AO240+AO245+AO250+AO272+AO277+AO282+AO304+AO309+AO314+AO332+AO337+AO342</f>
        <v/>
      </c>
      <c r="AP368" s="41">
        <f>AP168+AP173+AP178+AP208+AP213+AP218+AP240+AP245+AP250+AP272+AP277+AP282+AP304+AP309+AP314+AP332+AP337+AP342</f>
        <v/>
      </c>
      <c r="AQ368" s="41">
        <f>AQ168+AQ173+AQ178+AQ208+AQ213+AQ218+AQ240+AQ245+AQ250+AQ272+AQ277+AQ282+AQ304+AQ309+AQ314+AQ332+AQ337+AQ342</f>
        <v/>
      </c>
      <c r="AR368" s="41">
        <f>AR168+AR173+AR178+AR208+AR213+AR218+AR240+AR245+AR250+AR272+AR277+AR282+AR304+AR309+AR314+AR332+AR337+AR342</f>
        <v/>
      </c>
      <c r="AS368" s="41">
        <f>AS168+AS173+AS178+AS208+AS213+AS218+AS240+AS245+AS250+AS272+AS277+AS282+AS304+AS309+AS314+AS332+AS337+AS342</f>
        <v/>
      </c>
      <c r="AT368" s="41">
        <f>AT168+AT173+AT178+AT208+AT213+AT218+AT240+AT245+AT250+AT272+AT277+AT282+AT304+AT309+AT314+AT332+AT337+AT342</f>
        <v/>
      </c>
      <c r="AU368" s="41">
        <f>AU168+AU173+AU178+AU208+AU213+AU218+AU240+AU245+AU250+AU272+AU277+AU282+AU304+AU309+AU314+AU332+AU337+AU342</f>
        <v/>
      </c>
      <c r="AV368" s="41">
        <f>AV168+AV173+AV178+AV208+AV213+AV218+AV240+AV245+AV250+AV272+AV277+AV282+AV304+AV309+AV314+AV332+AV337+AV342</f>
        <v/>
      </c>
      <c r="AW368" s="41">
        <f>AW168+AW173+AW178+AW208+AW213+AW218+AW240+AW245+AW250+AW272+AW277+AW282+AW304+AW309+AW314+AW332+AW337+AW342</f>
        <v/>
      </c>
      <c r="AX368" s="41">
        <f>AX168+AX173+AX178+AX208+AX213+AX218+AX240+AX245+AX250+AX272+AX277+AX282+AX304+AX309+AX314+AX332+AX337+AX342</f>
        <v/>
      </c>
      <c r="AY368" s="41">
        <f>AY168+AY173+AY178+AY208+AY213+AY218+AY240+AY245+AY250+AY272+AY277+AY282+AY304+AY309+AY314+AY332+AY337+AY342</f>
        <v/>
      </c>
      <c r="AZ368" s="41">
        <f>AZ168+AZ173+AZ178+AZ208+AZ213+AZ218+AZ240+AZ245+AZ250+AZ272+AZ277+AZ282+AZ304+AZ309+AZ314+AZ332+AZ337+AZ342</f>
        <v/>
      </c>
      <c r="BA368" s="41">
        <f>BA168+BA173+BA178+BA208+BA213+BA218+BA240+BA245+BA250+BA272+BA277+BA282+BA304+BA309+BA314+BA332+BA337+BA342</f>
        <v/>
      </c>
      <c r="BB368" s="41">
        <f>BB168+BB173+BB178+BB208+BB213+BB218+BB240+BB245+BB250+BB272+BB277+BB282+BB304+BB309+BB314+BB332+BB337+BB342</f>
        <v/>
      </c>
      <c r="BC368" s="41">
        <f>BC168+BC173+BC178+BC208+BC213+BC218+BC240+BC245+BC250+BC272+BC277+BC282+BC304+BC309+BC314+BC332+BC337+BC342</f>
        <v/>
      </c>
      <c r="BD368" s="41">
        <f>BD168+BD173+BD178+BD208+BD213+BD218+BD240+BD245+BD250+BD272+BD277+BD282+BD304+BD309+BD314+BD332+BD337+BD342</f>
        <v/>
      </c>
      <c r="BE368" s="41">
        <f>BE168+BE173+BE178+BE208+BE213+BE218+BE240+BE245+BE250+BE272+BE277+BE282+BE304+BE309+BE314+BE332+BE337+BE342</f>
        <v/>
      </c>
      <c r="BF368" s="41">
        <f>BF168+BF173+BF178+BF208+BF213+BF218+BF240+BF245+BF250+BF272+BF277+BF282+BF304+BF309+BF314+BF332+BF337+BF342</f>
        <v/>
      </c>
      <c r="BG368" s="41">
        <f>BG168+BG173+BG178+BG208+BG213+BG218+BG240+BG245+BG250+BG272+BG277+BG282+BG304+BG309+BG314+BG332+BG337+BG342</f>
        <v/>
      </c>
      <c r="BH368" s="41">
        <f>BH168+BH173+BH178+BH208+BH213+BH218+BH240+BH245+BH250+BH272+BH277+BH282+BH304+BH309+BH314+BH332+BH337+BH342</f>
        <v/>
      </c>
      <c r="BI368" s="41">
        <f>BI168+BI173+BI178+BI208+BI213+BI218+BI240+BI245+BI250+BI272+BI277+BI282+BI304+BI309+BI314+BI332+BI337+BI342</f>
        <v/>
      </c>
      <c r="BJ368" s="41">
        <f>BJ168+BJ173+BJ178+BJ208+BJ213+BJ218+BJ240+BJ245+BJ250+BJ272+BJ277+BJ282+BJ304+BJ309+BJ314+BJ332+BJ337+BJ342</f>
        <v/>
      </c>
    </row>
    <row r="369">
      <c r="A369" s="4" t="inlineStr">
        <is>
          <t>Solo: new customers acquired (excl. upgrades)</t>
        </is>
      </c>
      <c r="B369" s="17" t="inlineStr">
        <is>
          <t>workspaces</t>
        </is>
      </c>
      <c r="C369" s="41">
        <f>C167+C172+C177+C207+C212+C217+C239+C244+C249+C271+C276+C281+C303+C308+C313+C331+C336+C341-C169-C174-C209-C214-C241-C246-C273-C278-C305-C310-C333-C338</f>
        <v/>
      </c>
      <c r="D369" s="41">
        <f>D167+D172+D177+D207+D212+D217+D239+D244+D249+D271+D276+D281+D303+D308+D313+D331+D336+D341-D169-D174-D209-D214-D241-D246-D273-D278-D305-D310-D333-D338</f>
        <v/>
      </c>
      <c r="E369" s="41">
        <f>E167+E172+E177+E207+E212+E217+E239+E244+E249+E271+E276+E281+E303+E308+E313+E331+E336+E341-E169-E174-E209-E214-E241-E246-E273-E278-E305-E310-E333-E338</f>
        <v/>
      </c>
      <c r="F369" s="41">
        <f>F167+F172+F177+F207+F212+F217+F239+F244+F249+F271+F276+F281+F303+F308+F313+F331+F336+F341-F169-F174-F209-F214-F241-F246-F273-F278-F305-F310-F333-F338</f>
        <v/>
      </c>
      <c r="G369" s="41">
        <f>G167+G172+G177+G207+G212+G217+G239+G244+G249+G271+G276+G281+G303+G308+G313+G331+G336+G341-G169-G174-G209-G214-G241-G246-G273-G278-G305-G310-G333-G338</f>
        <v/>
      </c>
      <c r="H369" s="41">
        <f>H167+H172+H177+H207+H212+H217+H239+H244+H249+H271+H276+H281+H303+H308+H313+H331+H336+H341-H169-H174-H209-H214-H241-H246-H273-H278-H305-H310-H333-H338</f>
        <v/>
      </c>
      <c r="I369" s="41">
        <f>I167+I172+I177+I207+I212+I217+I239+I244+I249+I271+I276+I281+I303+I308+I313+I331+I336+I341-I169-I174-I209-I214-I241-I246-I273-I278-I305-I310-I333-I338</f>
        <v/>
      </c>
      <c r="J369" s="41">
        <f>J167+J172+J177+J207+J212+J217+J239+J244+J249+J271+J276+J281+J303+J308+J313+J331+J336+J341-J169-J174-J209-J214-J241-J246-J273-J278-J305-J310-J333-J338</f>
        <v/>
      </c>
      <c r="K369" s="41">
        <f>K167+K172+K177+K207+K212+K217+K239+K244+K249+K271+K276+K281+K303+K308+K313+K331+K336+K341-K169-K174-K209-K214-K241-K246-K273-K278-K305-K310-K333-K338</f>
        <v/>
      </c>
      <c r="L369" s="41">
        <f>L167+L172+L177+L207+L212+L217+L239+L244+L249+L271+L276+L281+L303+L308+L313+L331+L336+L341-L169-L174-L209-L214-L241-L246-L273-L278-L305-L310-L333-L338</f>
        <v/>
      </c>
      <c r="M369" s="41">
        <f>M167+M172+M177+M207+M212+M217+M239+M244+M249+M271+M276+M281+M303+M308+M313+M331+M336+M341-M169-M174-M209-M214-M241-M246-M273-M278-M305-M310-M333-M338</f>
        <v/>
      </c>
      <c r="N369" s="41">
        <f>N167+N172+N177+N207+N212+N217+N239+N244+N249+N271+N276+N281+N303+N308+N313+N331+N336+N341-N169-N174-N209-N214-N241-N246-N273-N278-N305-N310-N333-N338</f>
        <v/>
      </c>
      <c r="O369" s="41">
        <f>O167+O172+O177+O207+O212+O217+O239+O244+O249+O271+O276+O281+O303+O308+O313+O331+O336+O341-O169-O174-O209-O214-O241-O246-O273-O278-O305-O310-O333-O338</f>
        <v/>
      </c>
      <c r="P369" s="41">
        <f>P167+P172+P177+P207+P212+P217+P239+P244+P249+P271+P276+P281+P303+P308+P313+P331+P336+P341-P169-P174-P209-P214-P241-P246-P273-P278-P305-P310-P333-P338</f>
        <v/>
      </c>
      <c r="Q369" s="41">
        <f>Q167+Q172+Q177+Q207+Q212+Q217+Q239+Q244+Q249+Q271+Q276+Q281+Q303+Q308+Q313+Q331+Q336+Q341-Q169-Q174-Q209-Q214-Q241-Q246-Q273-Q278-Q305-Q310-Q333-Q338</f>
        <v/>
      </c>
      <c r="R369" s="41">
        <f>R167+R172+R177+R207+R212+R217+R239+R244+R249+R271+R276+R281+R303+R308+R313+R331+R336+R341-R169-R174-R209-R214-R241-R246-R273-R278-R305-R310-R333-R338</f>
        <v/>
      </c>
      <c r="S369" s="41">
        <f>S167+S172+S177+S207+S212+S217+S239+S244+S249+S271+S276+S281+S303+S308+S313+S331+S336+S341-S169-S174-S209-S214-S241-S246-S273-S278-S305-S310-S333-S338</f>
        <v/>
      </c>
      <c r="T369" s="41">
        <f>T167+T172+T177+T207+T212+T217+T239+T244+T249+T271+T276+T281+T303+T308+T313+T331+T336+T341-T169-T174-T209-T214-T241-T246-T273-T278-T305-T310-T333-T338</f>
        <v/>
      </c>
      <c r="U369" s="41">
        <f>U167+U172+U177+U207+U212+U217+U239+U244+U249+U271+U276+U281+U303+U308+U313+U331+U336+U341-U169-U174-U209-U214-U241-U246-U273-U278-U305-U310-U333-U338</f>
        <v/>
      </c>
      <c r="V369" s="41">
        <f>V167+V172+V177+V207+V212+V217+V239+V244+V249+V271+V276+V281+V303+V308+V313+V331+V336+V341-V169-V174-V209-V214-V241-V246-V273-V278-V305-V310-V333-V338</f>
        <v/>
      </c>
      <c r="W369" s="41">
        <f>W167+W172+W177+W207+W212+W217+W239+W244+W249+W271+W276+W281+W303+W308+W313+W331+W336+W341-W169-W174-W209-W214-W241-W246-W273-W278-W305-W310-W333-W338</f>
        <v/>
      </c>
      <c r="X369" s="41">
        <f>X167+X172+X177+X207+X212+X217+X239+X244+X249+X271+X276+X281+X303+X308+X313+X331+X336+X341-X169-X174-X209-X214-X241-X246-X273-X278-X305-X310-X333-X338</f>
        <v/>
      </c>
      <c r="Y369" s="41">
        <f>Y167+Y172+Y177+Y207+Y212+Y217+Y239+Y244+Y249+Y271+Y276+Y281+Y303+Y308+Y313+Y331+Y336+Y341-Y169-Y174-Y209-Y214-Y241-Y246-Y273-Y278-Y305-Y310-Y333-Y338</f>
        <v/>
      </c>
      <c r="Z369" s="41">
        <f>Z167+Z172+Z177+Z207+Z212+Z217+Z239+Z244+Z249+Z271+Z276+Z281+Z303+Z308+Z313+Z331+Z336+Z341-Z169-Z174-Z209-Z214-Z241-Z246-Z273-Z278-Z305-Z310-Z333-Z338</f>
        <v/>
      </c>
      <c r="AA369" s="41">
        <f>AA167+AA172+AA177+AA207+AA212+AA217+AA239+AA244+AA249+AA271+AA276+AA281+AA303+AA308+AA313+AA331+AA336+AA341-AA169-AA174-AA209-AA214-AA241-AA246-AA273-AA278-AA305-AA310-AA333-AA338</f>
        <v/>
      </c>
      <c r="AB369" s="41">
        <f>AB167+AB172+AB177+AB207+AB212+AB217+AB239+AB244+AB249+AB271+AB276+AB281+AB303+AB308+AB313+AB331+AB336+AB341-AB169-AB174-AB209-AB214-AB241-AB246-AB273-AB278-AB305-AB310-AB333-AB338</f>
        <v/>
      </c>
      <c r="AC369" s="41">
        <f>AC167+AC172+AC177+AC207+AC212+AC217+AC239+AC244+AC249+AC271+AC276+AC281+AC303+AC308+AC313+AC331+AC336+AC341-AC169-AC174-AC209-AC214-AC241-AC246-AC273-AC278-AC305-AC310-AC333-AC338</f>
        <v/>
      </c>
      <c r="AD369" s="41">
        <f>AD167+AD172+AD177+AD207+AD212+AD217+AD239+AD244+AD249+AD271+AD276+AD281+AD303+AD308+AD313+AD331+AD336+AD341-AD169-AD174-AD209-AD214-AD241-AD246-AD273-AD278-AD305-AD310-AD333-AD338</f>
        <v/>
      </c>
      <c r="AE369" s="41">
        <f>AE167+AE172+AE177+AE207+AE212+AE217+AE239+AE244+AE249+AE271+AE276+AE281+AE303+AE308+AE313+AE331+AE336+AE341-AE169-AE174-AE209-AE214-AE241-AE246-AE273-AE278-AE305-AE310-AE333-AE338</f>
        <v/>
      </c>
      <c r="AF369" s="41">
        <f>AF167+AF172+AF177+AF207+AF212+AF217+AF239+AF244+AF249+AF271+AF276+AF281+AF303+AF308+AF313+AF331+AF336+AF341-AF169-AF174-AF209-AF214-AF241-AF246-AF273-AF278-AF305-AF310-AF333-AF338</f>
        <v/>
      </c>
      <c r="AG369" s="41">
        <f>AG167+AG172+AG177+AG207+AG212+AG217+AG239+AG244+AG249+AG271+AG276+AG281+AG303+AG308+AG313+AG331+AG336+AG341-AG169-AG174-AG209-AG214-AG241-AG246-AG273-AG278-AG305-AG310-AG333-AG338</f>
        <v/>
      </c>
      <c r="AH369" s="41">
        <f>AH167+AH172+AH177+AH207+AH212+AH217+AH239+AH244+AH249+AH271+AH276+AH281+AH303+AH308+AH313+AH331+AH336+AH341-AH169-AH174-AH209-AH214-AH241-AH246-AH273-AH278-AH305-AH310-AH333-AH338</f>
        <v/>
      </c>
      <c r="AI369" s="41">
        <f>AI167+AI172+AI177+AI207+AI212+AI217+AI239+AI244+AI249+AI271+AI276+AI281+AI303+AI308+AI313+AI331+AI336+AI341-AI169-AI174-AI209-AI214-AI241-AI246-AI273-AI278-AI305-AI310-AI333-AI338</f>
        <v/>
      </c>
      <c r="AJ369" s="41">
        <f>AJ167+AJ172+AJ177+AJ207+AJ212+AJ217+AJ239+AJ244+AJ249+AJ271+AJ276+AJ281+AJ303+AJ308+AJ313+AJ331+AJ336+AJ341-AJ169-AJ174-AJ209-AJ214-AJ241-AJ246-AJ273-AJ278-AJ305-AJ310-AJ333-AJ338</f>
        <v/>
      </c>
      <c r="AK369" s="41">
        <f>AK167+AK172+AK177+AK207+AK212+AK217+AK239+AK244+AK249+AK271+AK276+AK281+AK303+AK308+AK313+AK331+AK336+AK341-AK169-AK174-AK209-AK214-AK241-AK246-AK273-AK278-AK305-AK310-AK333-AK338</f>
        <v/>
      </c>
      <c r="AL369" s="41">
        <f>AL167+AL172+AL177+AL207+AL212+AL217+AL239+AL244+AL249+AL271+AL276+AL281+AL303+AL308+AL313+AL331+AL336+AL341-AL169-AL174-AL209-AL214-AL241-AL246-AL273-AL278-AL305-AL310-AL333-AL338</f>
        <v/>
      </c>
      <c r="AM369" s="41">
        <f>AM167+AM172+AM177+AM207+AM212+AM217+AM239+AM244+AM249+AM271+AM276+AM281+AM303+AM308+AM313+AM331+AM336+AM341-AM169-AM174-AM209-AM214-AM241-AM246-AM273-AM278-AM305-AM310-AM333-AM338</f>
        <v/>
      </c>
      <c r="AN369" s="41">
        <f>AN167+AN172+AN177+AN207+AN212+AN217+AN239+AN244+AN249+AN271+AN276+AN281+AN303+AN308+AN313+AN331+AN336+AN341-AN169-AN174-AN209-AN214-AN241-AN246-AN273-AN278-AN305-AN310-AN333-AN338</f>
        <v/>
      </c>
      <c r="AO369" s="41">
        <f>AO167+AO172+AO177+AO207+AO212+AO217+AO239+AO244+AO249+AO271+AO276+AO281+AO303+AO308+AO313+AO331+AO336+AO341-AO169-AO174-AO209-AO214-AO241-AO246-AO273-AO278-AO305-AO310-AO333-AO338</f>
        <v/>
      </c>
      <c r="AP369" s="41">
        <f>AP167+AP172+AP177+AP207+AP212+AP217+AP239+AP244+AP249+AP271+AP276+AP281+AP303+AP308+AP313+AP331+AP336+AP341-AP169-AP174-AP209-AP214-AP241-AP246-AP273-AP278-AP305-AP310-AP333-AP338</f>
        <v/>
      </c>
      <c r="AQ369" s="41">
        <f>AQ167+AQ172+AQ177+AQ207+AQ212+AQ217+AQ239+AQ244+AQ249+AQ271+AQ276+AQ281+AQ303+AQ308+AQ313+AQ331+AQ336+AQ341-AQ169-AQ174-AQ209-AQ214-AQ241-AQ246-AQ273-AQ278-AQ305-AQ310-AQ333-AQ338</f>
        <v/>
      </c>
      <c r="AR369" s="41">
        <f>AR167+AR172+AR177+AR207+AR212+AR217+AR239+AR244+AR249+AR271+AR276+AR281+AR303+AR308+AR313+AR331+AR336+AR341-AR169-AR174-AR209-AR214-AR241-AR246-AR273-AR278-AR305-AR310-AR333-AR338</f>
        <v/>
      </c>
      <c r="AS369" s="41">
        <f>AS167+AS172+AS177+AS207+AS212+AS217+AS239+AS244+AS249+AS271+AS276+AS281+AS303+AS308+AS313+AS331+AS336+AS341-AS169-AS174-AS209-AS214-AS241-AS246-AS273-AS278-AS305-AS310-AS333-AS338</f>
        <v/>
      </c>
      <c r="AT369" s="41">
        <f>AT167+AT172+AT177+AT207+AT212+AT217+AT239+AT244+AT249+AT271+AT276+AT281+AT303+AT308+AT313+AT331+AT336+AT341-AT169-AT174-AT209-AT214-AT241-AT246-AT273-AT278-AT305-AT310-AT333-AT338</f>
        <v/>
      </c>
      <c r="AU369" s="41">
        <f>AU167+AU172+AU177+AU207+AU212+AU217+AU239+AU244+AU249+AU271+AU276+AU281+AU303+AU308+AU313+AU331+AU336+AU341-AU169-AU174-AU209-AU214-AU241-AU246-AU273-AU278-AU305-AU310-AU333-AU338</f>
        <v/>
      </c>
      <c r="AV369" s="41">
        <f>AV167+AV172+AV177+AV207+AV212+AV217+AV239+AV244+AV249+AV271+AV276+AV281+AV303+AV308+AV313+AV331+AV336+AV341-AV169-AV174-AV209-AV214-AV241-AV246-AV273-AV278-AV305-AV310-AV333-AV338</f>
        <v/>
      </c>
      <c r="AW369" s="41">
        <f>AW167+AW172+AW177+AW207+AW212+AW217+AW239+AW244+AW249+AW271+AW276+AW281+AW303+AW308+AW313+AW331+AW336+AW341-AW169-AW174-AW209-AW214-AW241-AW246-AW273-AW278-AW305-AW310-AW333-AW338</f>
        <v/>
      </c>
      <c r="AX369" s="41">
        <f>AX167+AX172+AX177+AX207+AX212+AX217+AX239+AX244+AX249+AX271+AX276+AX281+AX303+AX308+AX313+AX331+AX336+AX341-AX169-AX174-AX209-AX214-AX241-AX246-AX273-AX278-AX305-AX310-AX333-AX338</f>
        <v/>
      </c>
      <c r="AY369" s="41">
        <f>AY167+AY172+AY177+AY207+AY212+AY217+AY239+AY244+AY249+AY271+AY276+AY281+AY303+AY308+AY313+AY331+AY336+AY341-AY169-AY174-AY209-AY214-AY241-AY246-AY273-AY278-AY305-AY310-AY333-AY338</f>
        <v/>
      </c>
      <c r="AZ369" s="41">
        <f>AZ167+AZ172+AZ177+AZ207+AZ212+AZ217+AZ239+AZ244+AZ249+AZ271+AZ276+AZ281+AZ303+AZ308+AZ313+AZ331+AZ336+AZ341-AZ169-AZ174-AZ209-AZ214-AZ241-AZ246-AZ273-AZ278-AZ305-AZ310-AZ333-AZ338</f>
        <v/>
      </c>
      <c r="BA369" s="41">
        <f>BA167+BA172+BA177+BA207+BA212+BA217+BA239+BA244+BA249+BA271+BA276+BA281+BA303+BA308+BA313+BA331+BA336+BA341-BA169-BA174-BA209-BA214-BA241-BA246-BA273-BA278-BA305-BA310-BA333-BA338</f>
        <v/>
      </c>
      <c r="BB369" s="41">
        <f>BB167+BB172+BB177+BB207+BB212+BB217+BB239+BB244+BB249+BB271+BB276+BB281+BB303+BB308+BB313+BB331+BB336+BB341-BB169-BB174-BB209-BB214-BB241-BB246-BB273-BB278-BB305-BB310-BB333-BB338</f>
        <v/>
      </c>
      <c r="BC369" s="41">
        <f>BC167+BC172+BC177+BC207+BC212+BC217+BC239+BC244+BC249+BC271+BC276+BC281+BC303+BC308+BC313+BC331+BC336+BC341-BC169-BC174-BC209-BC214-BC241-BC246-BC273-BC278-BC305-BC310-BC333-BC338</f>
        <v/>
      </c>
      <c r="BD369" s="41">
        <f>BD167+BD172+BD177+BD207+BD212+BD217+BD239+BD244+BD249+BD271+BD276+BD281+BD303+BD308+BD313+BD331+BD336+BD341-BD169-BD174-BD209-BD214-BD241-BD246-BD273-BD278-BD305-BD310-BD333-BD338</f>
        <v/>
      </c>
      <c r="BE369" s="41">
        <f>BE167+BE172+BE177+BE207+BE212+BE217+BE239+BE244+BE249+BE271+BE276+BE281+BE303+BE308+BE313+BE331+BE336+BE341-BE169-BE174-BE209-BE214-BE241-BE246-BE273-BE278-BE305-BE310-BE333-BE338</f>
        <v/>
      </c>
      <c r="BF369" s="41">
        <f>BF167+BF172+BF177+BF207+BF212+BF217+BF239+BF244+BF249+BF271+BF276+BF281+BF303+BF308+BF313+BF331+BF336+BF341-BF169-BF174-BF209-BF214-BF241-BF246-BF273-BF278-BF305-BF310-BF333-BF338</f>
        <v/>
      </c>
      <c r="BG369" s="41">
        <f>BG167+BG172+BG177+BG207+BG212+BG217+BG239+BG244+BG249+BG271+BG276+BG281+BG303+BG308+BG313+BG331+BG336+BG341-BG169-BG174-BG209-BG214-BG241-BG246-BG273-BG278-BG305-BG310-BG333-BG338</f>
        <v/>
      </c>
      <c r="BH369" s="41">
        <f>BH167+BH172+BH177+BH207+BH212+BH217+BH239+BH244+BH249+BH271+BH276+BH281+BH303+BH308+BH313+BH331+BH336+BH341-BH169-BH174-BH209-BH214-BH241-BH246-BH273-BH278-BH305-BH310-BH333-BH338</f>
        <v/>
      </c>
      <c r="BI369" s="41">
        <f>BI167+BI172+BI177+BI207+BI212+BI217+BI239+BI244+BI249+BI271+BI276+BI281+BI303+BI308+BI313+BI331+BI336+BI341-BI169-BI174-BI209-BI214-BI241-BI246-BI273-BI278-BI305-BI310-BI333-BI338</f>
        <v/>
      </c>
      <c r="BJ369" s="41">
        <f>BJ167+BJ172+BJ177+BJ207+BJ212+BJ217+BJ239+BJ244+BJ249+BJ271+BJ276+BJ281+BJ303+BJ308+BJ313+BJ331+BJ336+BJ341-BJ169-BJ174-BJ209-BJ214-BJ241-BJ246-BJ273-BJ278-BJ305-BJ310-BJ333-BJ338</f>
        <v/>
      </c>
    </row>
    <row r="370">
      <c r="A370" s="4" t="inlineStr">
        <is>
          <t>SMEs: opening</t>
        </is>
      </c>
      <c r="B370" s="17" t="inlineStr">
        <is>
          <t>workspaces</t>
        </is>
      </c>
      <c r="C370" s="41">
        <f>C180+C185+C190+C220+C225+C230+C252+C257+C262+C284+C289+C294+C316+C321+C326+C344+C349+C354</f>
        <v/>
      </c>
      <c r="D370" s="41">
        <f>D180+D185+D190+D220+D225+D230+D252+D257+D262+D284+D289+D294+D316+D321+D326+D344+D349+D354</f>
        <v/>
      </c>
      <c r="E370" s="41">
        <f>E180+E185+E190+E220+E225+E230+E252+E257+E262+E284+E289+E294+E316+E321+E326+E344+E349+E354</f>
        <v/>
      </c>
      <c r="F370" s="41">
        <f>F180+F185+F190+F220+F225+F230+F252+F257+F262+F284+F289+F294+F316+F321+F326+F344+F349+F354</f>
        <v/>
      </c>
      <c r="G370" s="41">
        <f>G180+G185+G190+G220+G225+G230+G252+G257+G262+G284+G289+G294+G316+G321+G326+G344+G349+G354</f>
        <v/>
      </c>
      <c r="H370" s="41">
        <f>H180+H185+H190+H220+H225+H230+H252+H257+H262+H284+H289+H294+H316+H321+H326+H344+H349+H354</f>
        <v/>
      </c>
      <c r="I370" s="41">
        <f>I180+I185+I190+I220+I225+I230+I252+I257+I262+I284+I289+I294+I316+I321+I326+I344+I349+I354</f>
        <v/>
      </c>
      <c r="J370" s="41">
        <f>J180+J185+J190+J220+J225+J230+J252+J257+J262+J284+J289+J294+J316+J321+J326+J344+J349+J354</f>
        <v/>
      </c>
      <c r="K370" s="41">
        <f>K180+K185+K190+K220+K225+K230+K252+K257+K262+K284+K289+K294+K316+K321+K326+K344+K349+K354</f>
        <v/>
      </c>
      <c r="L370" s="41">
        <f>L180+L185+L190+L220+L225+L230+L252+L257+L262+L284+L289+L294+L316+L321+L326+L344+L349+L354</f>
        <v/>
      </c>
      <c r="M370" s="41">
        <f>M180+M185+M190+M220+M225+M230+M252+M257+M262+M284+M289+M294+M316+M321+M326+M344+M349+M354</f>
        <v/>
      </c>
      <c r="N370" s="41">
        <f>N180+N185+N190+N220+N225+N230+N252+N257+N262+N284+N289+N294+N316+N321+N326+N344+N349+N354</f>
        <v/>
      </c>
      <c r="O370" s="41">
        <f>O180+O185+O190+O220+O225+O230+O252+O257+O262+O284+O289+O294+O316+O321+O326+O344+O349+O354</f>
        <v/>
      </c>
      <c r="P370" s="41">
        <f>P180+P185+P190+P220+P225+P230+P252+P257+P262+P284+P289+P294+P316+P321+P326+P344+P349+P354</f>
        <v/>
      </c>
      <c r="Q370" s="41">
        <f>Q180+Q185+Q190+Q220+Q225+Q230+Q252+Q257+Q262+Q284+Q289+Q294+Q316+Q321+Q326+Q344+Q349+Q354</f>
        <v/>
      </c>
      <c r="R370" s="41">
        <f>R180+R185+R190+R220+R225+R230+R252+R257+R262+R284+R289+R294+R316+R321+R326+R344+R349+R354</f>
        <v/>
      </c>
      <c r="S370" s="41">
        <f>S180+S185+S190+S220+S225+S230+S252+S257+S262+S284+S289+S294+S316+S321+S326+S344+S349+S354</f>
        <v/>
      </c>
      <c r="T370" s="41">
        <f>T180+T185+T190+T220+T225+T230+T252+T257+T262+T284+T289+T294+T316+T321+T326+T344+T349+T354</f>
        <v/>
      </c>
      <c r="U370" s="41">
        <f>U180+U185+U190+U220+U225+U230+U252+U257+U262+U284+U289+U294+U316+U321+U326+U344+U349+U354</f>
        <v/>
      </c>
      <c r="V370" s="41">
        <f>V180+V185+V190+V220+V225+V230+V252+V257+V262+V284+V289+V294+V316+V321+V326+V344+V349+V354</f>
        <v/>
      </c>
      <c r="W370" s="41">
        <f>W180+W185+W190+W220+W225+W230+W252+W257+W262+W284+W289+W294+W316+W321+W326+W344+W349+W354</f>
        <v/>
      </c>
      <c r="X370" s="41">
        <f>X180+X185+X190+X220+X225+X230+X252+X257+X262+X284+X289+X294+X316+X321+X326+X344+X349+X354</f>
        <v/>
      </c>
      <c r="Y370" s="41">
        <f>Y180+Y185+Y190+Y220+Y225+Y230+Y252+Y257+Y262+Y284+Y289+Y294+Y316+Y321+Y326+Y344+Y349+Y354</f>
        <v/>
      </c>
      <c r="Z370" s="41">
        <f>Z180+Z185+Z190+Z220+Z225+Z230+Z252+Z257+Z262+Z284+Z289+Z294+Z316+Z321+Z326+Z344+Z349+Z354</f>
        <v/>
      </c>
      <c r="AA370" s="41">
        <f>AA180+AA185+AA190+AA220+AA225+AA230+AA252+AA257+AA262+AA284+AA289+AA294+AA316+AA321+AA326+AA344+AA349+AA354</f>
        <v/>
      </c>
      <c r="AB370" s="41">
        <f>AB180+AB185+AB190+AB220+AB225+AB230+AB252+AB257+AB262+AB284+AB289+AB294+AB316+AB321+AB326+AB344+AB349+AB354</f>
        <v/>
      </c>
      <c r="AC370" s="41">
        <f>AC180+AC185+AC190+AC220+AC225+AC230+AC252+AC257+AC262+AC284+AC289+AC294+AC316+AC321+AC326+AC344+AC349+AC354</f>
        <v/>
      </c>
      <c r="AD370" s="41">
        <f>AD180+AD185+AD190+AD220+AD225+AD230+AD252+AD257+AD262+AD284+AD289+AD294+AD316+AD321+AD326+AD344+AD349+AD354</f>
        <v/>
      </c>
      <c r="AE370" s="41">
        <f>AE180+AE185+AE190+AE220+AE225+AE230+AE252+AE257+AE262+AE284+AE289+AE294+AE316+AE321+AE326+AE344+AE349+AE354</f>
        <v/>
      </c>
      <c r="AF370" s="41">
        <f>AF180+AF185+AF190+AF220+AF225+AF230+AF252+AF257+AF262+AF284+AF289+AF294+AF316+AF321+AF326+AF344+AF349+AF354</f>
        <v/>
      </c>
      <c r="AG370" s="41">
        <f>AG180+AG185+AG190+AG220+AG225+AG230+AG252+AG257+AG262+AG284+AG289+AG294+AG316+AG321+AG326+AG344+AG349+AG354</f>
        <v/>
      </c>
      <c r="AH370" s="41">
        <f>AH180+AH185+AH190+AH220+AH225+AH230+AH252+AH257+AH262+AH284+AH289+AH294+AH316+AH321+AH326+AH344+AH349+AH354</f>
        <v/>
      </c>
      <c r="AI370" s="41">
        <f>AI180+AI185+AI190+AI220+AI225+AI230+AI252+AI257+AI262+AI284+AI289+AI294+AI316+AI321+AI326+AI344+AI349+AI354</f>
        <v/>
      </c>
      <c r="AJ370" s="41">
        <f>AJ180+AJ185+AJ190+AJ220+AJ225+AJ230+AJ252+AJ257+AJ262+AJ284+AJ289+AJ294+AJ316+AJ321+AJ326+AJ344+AJ349+AJ354</f>
        <v/>
      </c>
      <c r="AK370" s="41">
        <f>AK180+AK185+AK190+AK220+AK225+AK230+AK252+AK257+AK262+AK284+AK289+AK294+AK316+AK321+AK326+AK344+AK349+AK354</f>
        <v/>
      </c>
      <c r="AL370" s="41">
        <f>AL180+AL185+AL190+AL220+AL225+AL230+AL252+AL257+AL262+AL284+AL289+AL294+AL316+AL321+AL326+AL344+AL349+AL354</f>
        <v/>
      </c>
      <c r="AM370" s="41">
        <f>AM180+AM185+AM190+AM220+AM225+AM230+AM252+AM257+AM262+AM284+AM289+AM294+AM316+AM321+AM326+AM344+AM349+AM354</f>
        <v/>
      </c>
      <c r="AN370" s="41">
        <f>AN180+AN185+AN190+AN220+AN225+AN230+AN252+AN257+AN262+AN284+AN289+AN294+AN316+AN321+AN326+AN344+AN349+AN354</f>
        <v/>
      </c>
      <c r="AO370" s="41">
        <f>AO180+AO185+AO190+AO220+AO225+AO230+AO252+AO257+AO262+AO284+AO289+AO294+AO316+AO321+AO326+AO344+AO349+AO354</f>
        <v/>
      </c>
      <c r="AP370" s="41">
        <f>AP180+AP185+AP190+AP220+AP225+AP230+AP252+AP257+AP262+AP284+AP289+AP294+AP316+AP321+AP326+AP344+AP349+AP354</f>
        <v/>
      </c>
      <c r="AQ370" s="41">
        <f>AQ180+AQ185+AQ190+AQ220+AQ225+AQ230+AQ252+AQ257+AQ262+AQ284+AQ289+AQ294+AQ316+AQ321+AQ326+AQ344+AQ349+AQ354</f>
        <v/>
      </c>
      <c r="AR370" s="41">
        <f>AR180+AR185+AR190+AR220+AR225+AR230+AR252+AR257+AR262+AR284+AR289+AR294+AR316+AR321+AR326+AR344+AR349+AR354</f>
        <v/>
      </c>
      <c r="AS370" s="41">
        <f>AS180+AS185+AS190+AS220+AS225+AS230+AS252+AS257+AS262+AS284+AS289+AS294+AS316+AS321+AS326+AS344+AS349+AS354</f>
        <v/>
      </c>
      <c r="AT370" s="41">
        <f>AT180+AT185+AT190+AT220+AT225+AT230+AT252+AT257+AT262+AT284+AT289+AT294+AT316+AT321+AT326+AT344+AT349+AT354</f>
        <v/>
      </c>
      <c r="AU370" s="41">
        <f>AU180+AU185+AU190+AU220+AU225+AU230+AU252+AU257+AU262+AU284+AU289+AU294+AU316+AU321+AU326+AU344+AU349+AU354</f>
        <v/>
      </c>
      <c r="AV370" s="41">
        <f>AV180+AV185+AV190+AV220+AV225+AV230+AV252+AV257+AV262+AV284+AV289+AV294+AV316+AV321+AV326+AV344+AV349+AV354</f>
        <v/>
      </c>
      <c r="AW370" s="41">
        <f>AW180+AW185+AW190+AW220+AW225+AW230+AW252+AW257+AW262+AW284+AW289+AW294+AW316+AW321+AW326+AW344+AW349+AW354</f>
        <v/>
      </c>
      <c r="AX370" s="41">
        <f>AX180+AX185+AX190+AX220+AX225+AX230+AX252+AX257+AX262+AX284+AX289+AX294+AX316+AX321+AX326+AX344+AX349+AX354</f>
        <v/>
      </c>
      <c r="AY370" s="41">
        <f>AY180+AY185+AY190+AY220+AY225+AY230+AY252+AY257+AY262+AY284+AY289+AY294+AY316+AY321+AY326+AY344+AY349+AY354</f>
        <v/>
      </c>
      <c r="AZ370" s="41">
        <f>AZ180+AZ185+AZ190+AZ220+AZ225+AZ230+AZ252+AZ257+AZ262+AZ284+AZ289+AZ294+AZ316+AZ321+AZ326+AZ344+AZ349+AZ354</f>
        <v/>
      </c>
      <c r="BA370" s="41">
        <f>BA180+BA185+BA190+BA220+BA225+BA230+BA252+BA257+BA262+BA284+BA289+BA294+BA316+BA321+BA326+BA344+BA349+BA354</f>
        <v/>
      </c>
      <c r="BB370" s="41">
        <f>BB180+BB185+BB190+BB220+BB225+BB230+BB252+BB257+BB262+BB284+BB289+BB294+BB316+BB321+BB326+BB344+BB349+BB354</f>
        <v/>
      </c>
      <c r="BC370" s="41">
        <f>BC180+BC185+BC190+BC220+BC225+BC230+BC252+BC257+BC262+BC284+BC289+BC294+BC316+BC321+BC326+BC344+BC349+BC354</f>
        <v/>
      </c>
      <c r="BD370" s="41">
        <f>BD180+BD185+BD190+BD220+BD225+BD230+BD252+BD257+BD262+BD284+BD289+BD294+BD316+BD321+BD326+BD344+BD349+BD354</f>
        <v/>
      </c>
      <c r="BE370" s="41">
        <f>BE180+BE185+BE190+BE220+BE225+BE230+BE252+BE257+BE262+BE284+BE289+BE294+BE316+BE321+BE326+BE344+BE349+BE354</f>
        <v/>
      </c>
      <c r="BF370" s="41">
        <f>BF180+BF185+BF190+BF220+BF225+BF230+BF252+BF257+BF262+BF284+BF289+BF294+BF316+BF321+BF326+BF344+BF349+BF354</f>
        <v/>
      </c>
      <c r="BG370" s="41">
        <f>BG180+BG185+BG190+BG220+BG225+BG230+BG252+BG257+BG262+BG284+BG289+BG294+BG316+BG321+BG326+BG344+BG349+BG354</f>
        <v/>
      </c>
      <c r="BH370" s="41">
        <f>BH180+BH185+BH190+BH220+BH225+BH230+BH252+BH257+BH262+BH284+BH289+BH294+BH316+BH321+BH326+BH344+BH349+BH354</f>
        <v/>
      </c>
      <c r="BI370" s="41">
        <f>BI180+BI185+BI190+BI220+BI225+BI230+BI252+BI257+BI262+BI284+BI289+BI294+BI316+BI321+BI326+BI344+BI349+BI354</f>
        <v/>
      </c>
      <c r="BJ370" s="41">
        <f>BJ180+BJ185+BJ190+BJ220+BJ225+BJ230+BJ252+BJ257+BJ262+BJ284+BJ289+BJ294+BJ316+BJ321+BJ326+BJ344+BJ349+BJ354</f>
        <v/>
      </c>
    </row>
    <row r="371">
      <c r="A371" s="3" t="inlineStr">
        <is>
          <t>SMEs: closing</t>
        </is>
      </c>
      <c r="B371" s="17" t="inlineStr">
        <is>
          <t>workspaces</t>
        </is>
      </c>
      <c r="C371" s="44">
        <f>C184+C189+C193+C224+C229+C233+C256+C261+C265+C288+C293+C297+C320+C325+C329+C348+C353+C357</f>
        <v/>
      </c>
      <c r="D371" s="44">
        <f>D184+D189+D193+D224+D229+D233+D256+D261+D265+D288+D293+D297+D320+D325+D329+D348+D353+D357</f>
        <v/>
      </c>
      <c r="E371" s="44">
        <f>E184+E189+E193+E224+E229+E233+E256+E261+E265+E288+E293+E297+E320+E325+E329+E348+E353+E357</f>
        <v/>
      </c>
      <c r="F371" s="44">
        <f>F184+F189+F193+F224+F229+F233+F256+F261+F265+F288+F293+F297+F320+F325+F329+F348+F353+F357</f>
        <v/>
      </c>
      <c r="G371" s="44">
        <f>G184+G189+G193+G224+G229+G233+G256+G261+G265+G288+G293+G297+G320+G325+G329+G348+G353+G357</f>
        <v/>
      </c>
      <c r="H371" s="44">
        <f>H184+H189+H193+H224+H229+H233+H256+H261+H265+H288+H293+H297+H320+H325+H329+H348+H353+H357</f>
        <v/>
      </c>
      <c r="I371" s="44">
        <f>I184+I189+I193+I224+I229+I233+I256+I261+I265+I288+I293+I297+I320+I325+I329+I348+I353+I357</f>
        <v/>
      </c>
      <c r="J371" s="44">
        <f>J184+J189+J193+J224+J229+J233+J256+J261+J265+J288+J293+J297+J320+J325+J329+J348+J353+J357</f>
        <v/>
      </c>
      <c r="K371" s="44">
        <f>K184+K189+K193+K224+K229+K233+K256+K261+K265+K288+K293+K297+K320+K325+K329+K348+K353+K357</f>
        <v/>
      </c>
      <c r="L371" s="44">
        <f>L184+L189+L193+L224+L229+L233+L256+L261+L265+L288+L293+L297+L320+L325+L329+L348+L353+L357</f>
        <v/>
      </c>
      <c r="M371" s="44">
        <f>M184+M189+M193+M224+M229+M233+M256+M261+M265+M288+M293+M297+M320+M325+M329+M348+M353+M357</f>
        <v/>
      </c>
      <c r="N371" s="44">
        <f>N184+N189+N193+N224+N229+N233+N256+N261+N265+N288+N293+N297+N320+N325+N329+N348+N353+N357</f>
        <v/>
      </c>
      <c r="O371" s="44">
        <f>O184+O189+O193+O224+O229+O233+O256+O261+O265+O288+O293+O297+O320+O325+O329+O348+O353+O357</f>
        <v/>
      </c>
      <c r="P371" s="44">
        <f>P184+P189+P193+P224+P229+P233+P256+P261+P265+P288+P293+P297+P320+P325+P329+P348+P353+P357</f>
        <v/>
      </c>
      <c r="Q371" s="44">
        <f>Q184+Q189+Q193+Q224+Q229+Q233+Q256+Q261+Q265+Q288+Q293+Q297+Q320+Q325+Q329+Q348+Q353+Q357</f>
        <v/>
      </c>
      <c r="R371" s="44">
        <f>R184+R189+R193+R224+R229+R233+R256+R261+R265+R288+R293+R297+R320+R325+R329+R348+R353+R357</f>
        <v/>
      </c>
      <c r="S371" s="44">
        <f>S184+S189+S193+S224+S229+S233+S256+S261+S265+S288+S293+S297+S320+S325+S329+S348+S353+S357</f>
        <v/>
      </c>
      <c r="T371" s="44">
        <f>T184+T189+T193+T224+T229+T233+T256+T261+T265+T288+T293+T297+T320+T325+T329+T348+T353+T357</f>
        <v/>
      </c>
      <c r="U371" s="44">
        <f>U184+U189+U193+U224+U229+U233+U256+U261+U265+U288+U293+U297+U320+U325+U329+U348+U353+U357</f>
        <v/>
      </c>
      <c r="V371" s="44">
        <f>V184+V189+V193+V224+V229+V233+V256+V261+V265+V288+V293+V297+V320+V325+V329+V348+V353+V357</f>
        <v/>
      </c>
      <c r="W371" s="44">
        <f>W184+W189+W193+W224+W229+W233+W256+W261+W265+W288+W293+W297+W320+W325+W329+W348+W353+W357</f>
        <v/>
      </c>
      <c r="X371" s="44">
        <f>X184+X189+X193+X224+X229+X233+X256+X261+X265+X288+X293+X297+X320+X325+X329+X348+X353+X357</f>
        <v/>
      </c>
      <c r="Y371" s="44">
        <f>Y184+Y189+Y193+Y224+Y229+Y233+Y256+Y261+Y265+Y288+Y293+Y297+Y320+Y325+Y329+Y348+Y353+Y357</f>
        <v/>
      </c>
      <c r="Z371" s="44">
        <f>Z184+Z189+Z193+Z224+Z229+Z233+Z256+Z261+Z265+Z288+Z293+Z297+Z320+Z325+Z329+Z348+Z353+Z357</f>
        <v/>
      </c>
      <c r="AA371" s="44">
        <f>AA184+AA189+AA193+AA224+AA229+AA233+AA256+AA261+AA265+AA288+AA293+AA297+AA320+AA325+AA329+AA348+AA353+AA357</f>
        <v/>
      </c>
      <c r="AB371" s="44">
        <f>AB184+AB189+AB193+AB224+AB229+AB233+AB256+AB261+AB265+AB288+AB293+AB297+AB320+AB325+AB329+AB348+AB353+AB357</f>
        <v/>
      </c>
      <c r="AC371" s="44">
        <f>AC184+AC189+AC193+AC224+AC229+AC233+AC256+AC261+AC265+AC288+AC293+AC297+AC320+AC325+AC329+AC348+AC353+AC357</f>
        <v/>
      </c>
      <c r="AD371" s="44">
        <f>AD184+AD189+AD193+AD224+AD229+AD233+AD256+AD261+AD265+AD288+AD293+AD297+AD320+AD325+AD329+AD348+AD353+AD357</f>
        <v/>
      </c>
      <c r="AE371" s="44">
        <f>AE184+AE189+AE193+AE224+AE229+AE233+AE256+AE261+AE265+AE288+AE293+AE297+AE320+AE325+AE329+AE348+AE353+AE357</f>
        <v/>
      </c>
      <c r="AF371" s="44">
        <f>AF184+AF189+AF193+AF224+AF229+AF233+AF256+AF261+AF265+AF288+AF293+AF297+AF320+AF325+AF329+AF348+AF353+AF357</f>
        <v/>
      </c>
      <c r="AG371" s="44">
        <f>AG184+AG189+AG193+AG224+AG229+AG233+AG256+AG261+AG265+AG288+AG293+AG297+AG320+AG325+AG329+AG348+AG353+AG357</f>
        <v/>
      </c>
      <c r="AH371" s="44">
        <f>AH184+AH189+AH193+AH224+AH229+AH233+AH256+AH261+AH265+AH288+AH293+AH297+AH320+AH325+AH329+AH348+AH353+AH357</f>
        <v/>
      </c>
      <c r="AI371" s="44">
        <f>AI184+AI189+AI193+AI224+AI229+AI233+AI256+AI261+AI265+AI288+AI293+AI297+AI320+AI325+AI329+AI348+AI353+AI357</f>
        <v/>
      </c>
      <c r="AJ371" s="44">
        <f>AJ184+AJ189+AJ193+AJ224+AJ229+AJ233+AJ256+AJ261+AJ265+AJ288+AJ293+AJ297+AJ320+AJ325+AJ329+AJ348+AJ353+AJ357</f>
        <v/>
      </c>
      <c r="AK371" s="44">
        <f>AK184+AK189+AK193+AK224+AK229+AK233+AK256+AK261+AK265+AK288+AK293+AK297+AK320+AK325+AK329+AK348+AK353+AK357</f>
        <v/>
      </c>
      <c r="AL371" s="44">
        <f>AL184+AL189+AL193+AL224+AL229+AL233+AL256+AL261+AL265+AL288+AL293+AL297+AL320+AL325+AL329+AL348+AL353+AL357</f>
        <v/>
      </c>
      <c r="AM371" s="44">
        <f>AM184+AM189+AM193+AM224+AM229+AM233+AM256+AM261+AM265+AM288+AM293+AM297+AM320+AM325+AM329+AM348+AM353+AM357</f>
        <v/>
      </c>
      <c r="AN371" s="44">
        <f>AN184+AN189+AN193+AN224+AN229+AN233+AN256+AN261+AN265+AN288+AN293+AN297+AN320+AN325+AN329+AN348+AN353+AN357</f>
        <v/>
      </c>
      <c r="AO371" s="44">
        <f>AO184+AO189+AO193+AO224+AO229+AO233+AO256+AO261+AO265+AO288+AO293+AO297+AO320+AO325+AO329+AO348+AO353+AO357</f>
        <v/>
      </c>
      <c r="AP371" s="44">
        <f>AP184+AP189+AP193+AP224+AP229+AP233+AP256+AP261+AP265+AP288+AP293+AP297+AP320+AP325+AP329+AP348+AP353+AP357</f>
        <v/>
      </c>
      <c r="AQ371" s="44">
        <f>AQ184+AQ189+AQ193+AQ224+AQ229+AQ233+AQ256+AQ261+AQ265+AQ288+AQ293+AQ297+AQ320+AQ325+AQ329+AQ348+AQ353+AQ357</f>
        <v/>
      </c>
      <c r="AR371" s="44">
        <f>AR184+AR189+AR193+AR224+AR229+AR233+AR256+AR261+AR265+AR288+AR293+AR297+AR320+AR325+AR329+AR348+AR353+AR357</f>
        <v/>
      </c>
      <c r="AS371" s="44">
        <f>AS184+AS189+AS193+AS224+AS229+AS233+AS256+AS261+AS265+AS288+AS293+AS297+AS320+AS325+AS329+AS348+AS353+AS357</f>
        <v/>
      </c>
      <c r="AT371" s="44">
        <f>AT184+AT189+AT193+AT224+AT229+AT233+AT256+AT261+AT265+AT288+AT293+AT297+AT320+AT325+AT329+AT348+AT353+AT357</f>
        <v/>
      </c>
      <c r="AU371" s="44">
        <f>AU184+AU189+AU193+AU224+AU229+AU233+AU256+AU261+AU265+AU288+AU293+AU297+AU320+AU325+AU329+AU348+AU353+AU357</f>
        <v/>
      </c>
      <c r="AV371" s="44">
        <f>AV184+AV189+AV193+AV224+AV229+AV233+AV256+AV261+AV265+AV288+AV293+AV297+AV320+AV325+AV329+AV348+AV353+AV357</f>
        <v/>
      </c>
      <c r="AW371" s="44">
        <f>AW184+AW189+AW193+AW224+AW229+AW233+AW256+AW261+AW265+AW288+AW293+AW297+AW320+AW325+AW329+AW348+AW353+AW357</f>
        <v/>
      </c>
      <c r="AX371" s="44">
        <f>AX184+AX189+AX193+AX224+AX229+AX233+AX256+AX261+AX265+AX288+AX293+AX297+AX320+AX325+AX329+AX348+AX353+AX357</f>
        <v/>
      </c>
      <c r="AY371" s="44">
        <f>AY184+AY189+AY193+AY224+AY229+AY233+AY256+AY261+AY265+AY288+AY293+AY297+AY320+AY325+AY329+AY348+AY353+AY357</f>
        <v/>
      </c>
      <c r="AZ371" s="44">
        <f>AZ184+AZ189+AZ193+AZ224+AZ229+AZ233+AZ256+AZ261+AZ265+AZ288+AZ293+AZ297+AZ320+AZ325+AZ329+AZ348+AZ353+AZ357</f>
        <v/>
      </c>
      <c r="BA371" s="44">
        <f>BA184+BA189+BA193+BA224+BA229+BA233+BA256+BA261+BA265+BA288+BA293+BA297+BA320+BA325+BA329+BA348+BA353+BA357</f>
        <v/>
      </c>
      <c r="BB371" s="44">
        <f>BB184+BB189+BB193+BB224+BB229+BB233+BB256+BB261+BB265+BB288+BB293+BB297+BB320+BB325+BB329+BB348+BB353+BB357</f>
        <v/>
      </c>
      <c r="BC371" s="44">
        <f>BC184+BC189+BC193+BC224+BC229+BC233+BC256+BC261+BC265+BC288+BC293+BC297+BC320+BC325+BC329+BC348+BC353+BC357</f>
        <v/>
      </c>
      <c r="BD371" s="44">
        <f>BD184+BD189+BD193+BD224+BD229+BD233+BD256+BD261+BD265+BD288+BD293+BD297+BD320+BD325+BD329+BD348+BD353+BD357</f>
        <v/>
      </c>
      <c r="BE371" s="44">
        <f>BE184+BE189+BE193+BE224+BE229+BE233+BE256+BE261+BE265+BE288+BE293+BE297+BE320+BE325+BE329+BE348+BE353+BE357</f>
        <v/>
      </c>
      <c r="BF371" s="44">
        <f>BF184+BF189+BF193+BF224+BF229+BF233+BF256+BF261+BF265+BF288+BF293+BF297+BF320+BF325+BF329+BF348+BF353+BF357</f>
        <v/>
      </c>
      <c r="BG371" s="44">
        <f>BG184+BG189+BG193+BG224+BG229+BG233+BG256+BG261+BG265+BG288+BG293+BG297+BG320+BG325+BG329+BG348+BG353+BG357</f>
        <v/>
      </c>
      <c r="BH371" s="44">
        <f>BH184+BH189+BH193+BH224+BH229+BH233+BH256+BH261+BH265+BH288+BH293+BH297+BH320+BH325+BH329+BH348+BH353+BH357</f>
        <v/>
      </c>
      <c r="BI371" s="44">
        <f>BI184+BI189+BI193+BI224+BI229+BI233+BI256+BI261+BI265+BI288+BI293+BI297+BI320+BI325+BI329+BI348+BI353+BI357</f>
        <v/>
      </c>
      <c r="BJ371" s="44">
        <f>BJ184+BJ189+BJ193+BJ224+BJ229+BJ233+BJ256+BJ261+BJ265+BJ288+BJ293+BJ297+BJ320+BJ325+BJ329+BJ348+BJ353+BJ357</f>
        <v/>
      </c>
    </row>
    <row r="372">
      <c r="A372" s="4" t="inlineStr">
        <is>
          <t>SMEs: churned</t>
        </is>
      </c>
      <c r="B372" s="17" t="inlineStr">
        <is>
          <t>workspaces</t>
        </is>
      </c>
      <c r="C372" s="41">
        <f>C182+C187+C192+C222+C227+C232+C254+C259+C264+C286+C291+C296+C318+C323+C328+C346+C351+C356</f>
        <v/>
      </c>
      <c r="D372" s="41">
        <f>D182+D187+D192+D222+D227+D232+D254+D259+D264+D286+D291+D296+D318+D323+D328+D346+D351+D356</f>
        <v/>
      </c>
      <c r="E372" s="41">
        <f>E182+E187+E192+E222+E227+E232+E254+E259+E264+E286+E291+E296+E318+E323+E328+E346+E351+E356</f>
        <v/>
      </c>
      <c r="F372" s="41">
        <f>F182+F187+F192+F222+F227+F232+F254+F259+F264+F286+F291+F296+F318+F323+F328+F346+F351+F356</f>
        <v/>
      </c>
      <c r="G372" s="41">
        <f>G182+G187+G192+G222+G227+G232+G254+G259+G264+G286+G291+G296+G318+G323+G328+G346+G351+G356</f>
        <v/>
      </c>
      <c r="H372" s="41">
        <f>H182+H187+H192+H222+H227+H232+H254+H259+H264+H286+H291+H296+H318+H323+H328+H346+H351+H356</f>
        <v/>
      </c>
      <c r="I372" s="41">
        <f>I182+I187+I192+I222+I227+I232+I254+I259+I264+I286+I291+I296+I318+I323+I328+I346+I351+I356</f>
        <v/>
      </c>
      <c r="J372" s="41">
        <f>J182+J187+J192+J222+J227+J232+J254+J259+J264+J286+J291+J296+J318+J323+J328+J346+J351+J356</f>
        <v/>
      </c>
      <c r="K372" s="41">
        <f>K182+K187+K192+K222+K227+K232+K254+K259+K264+K286+K291+K296+K318+K323+K328+K346+K351+K356</f>
        <v/>
      </c>
      <c r="L372" s="41">
        <f>L182+L187+L192+L222+L227+L232+L254+L259+L264+L286+L291+L296+L318+L323+L328+L346+L351+L356</f>
        <v/>
      </c>
      <c r="M372" s="41">
        <f>M182+M187+M192+M222+M227+M232+M254+M259+M264+M286+M291+M296+M318+M323+M328+M346+M351+M356</f>
        <v/>
      </c>
      <c r="N372" s="41">
        <f>N182+N187+N192+N222+N227+N232+N254+N259+N264+N286+N291+N296+N318+N323+N328+N346+N351+N356</f>
        <v/>
      </c>
      <c r="O372" s="41">
        <f>O182+O187+O192+O222+O227+O232+O254+O259+O264+O286+O291+O296+O318+O323+O328+O346+O351+O356</f>
        <v/>
      </c>
      <c r="P372" s="41">
        <f>P182+P187+P192+P222+P227+P232+P254+P259+P264+P286+P291+P296+P318+P323+P328+P346+P351+P356</f>
        <v/>
      </c>
      <c r="Q372" s="41">
        <f>Q182+Q187+Q192+Q222+Q227+Q232+Q254+Q259+Q264+Q286+Q291+Q296+Q318+Q323+Q328+Q346+Q351+Q356</f>
        <v/>
      </c>
      <c r="R372" s="41">
        <f>R182+R187+R192+R222+R227+R232+R254+R259+R264+R286+R291+R296+R318+R323+R328+R346+R351+R356</f>
        <v/>
      </c>
      <c r="S372" s="41">
        <f>S182+S187+S192+S222+S227+S232+S254+S259+S264+S286+S291+S296+S318+S323+S328+S346+S351+S356</f>
        <v/>
      </c>
      <c r="T372" s="41">
        <f>T182+T187+T192+T222+T227+T232+T254+T259+T264+T286+T291+T296+T318+T323+T328+T346+T351+T356</f>
        <v/>
      </c>
      <c r="U372" s="41">
        <f>U182+U187+U192+U222+U227+U232+U254+U259+U264+U286+U291+U296+U318+U323+U328+U346+U351+U356</f>
        <v/>
      </c>
      <c r="V372" s="41">
        <f>V182+V187+V192+V222+V227+V232+V254+V259+V264+V286+V291+V296+V318+V323+V328+V346+V351+V356</f>
        <v/>
      </c>
      <c r="W372" s="41">
        <f>W182+W187+W192+W222+W227+W232+W254+W259+W264+W286+W291+W296+W318+W323+W328+W346+W351+W356</f>
        <v/>
      </c>
      <c r="X372" s="41">
        <f>X182+X187+X192+X222+X227+X232+X254+X259+X264+X286+X291+X296+X318+X323+X328+X346+X351+X356</f>
        <v/>
      </c>
      <c r="Y372" s="41">
        <f>Y182+Y187+Y192+Y222+Y227+Y232+Y254+Y259+Y264+Y286+Y291+Y296+Y318+Y323+Y328+Y346+Y351+Y356</f>
        <v/>
      </c>
      <c r="Z372" s="41">
        <f>Z182+Z187+Z192+Z222+Z227+Z232+Z254+Z259+Z264+Z286+Z291+Z296+Z318+Z323+Z328+Z346+Z351+Z356</f>
        <v/>
      </c>
      <c r="AA372" s="41">
        <f>AA182+AA187+AA192+AA222+AA227+AA232+AA254+AA259+AA264+AA286+AA291+AA296+AA318+AA323+AA328+AA346+AA351+AA356</f>
        <v/>
      </c>
      <c r="AB372" s="41">
        <f>AB182+AB187+AB192+AB222+AB227+AB232+AB254+AB259+AB264+AB286+AB291+AB296+AB318+AB323+AB328+AB346+AB351+AB356</f>
        <v/>
      </c>
      <c r="AC372" s="41">
        <f>AC182+AC187+AC192+AC222+AC227+AC232+AC254+AC259+AC264+AC286+AC291+AC296+AC318+AC323+AC328+AC346+AC351+AC356</f>
        <v/>
      </c>
      <c r="AD372" s="41">
        <f>AD182+AD187+AD192+AD222+AD227+AD232+AD254+AD259+AD264+AD286+AD291+AD296+AD318+AD323+AD328+AD346+AD351+AD356</f>
        <v/>
      </c>
      <c r="AE372" s="41">
        <f>AE182+AE187+AE192+AE222+AE227+AE232+AE254+AE259+AE264+AE286+AE291+AE296+AE318+AE323+AE328+AE346+AE351+AE356</f>
        <v/>
      </c>
      <c r="AF372" s="41">
        <f>AF182+AF187+AF192+AF222+AF227+AF232+AF254+AF259+AF264+AF286+AF291+AF296+AF318+AF323+AF328+AF346+AF351+AF356</f>
        <v/>
      </c>
      <c r="AG372" s="41">
        <f>AG182+AG187+AG192+AG222+AG227+AG232+AG254+AG259+AG264+AG286+AG291+AG296+AG318+AG323+AG328+AG346+AG351+AG356</f>
        <v/>
      </c>
      <c r="AH372" s="41">
        <f>AH182+AH187+AH192+AH222+AH227+AH232+AH254+AH259+AH264+AH286+AH291+AH296+AH318+AH323+AH328+AH346+AH351+AH356</f>
        <v/>
      </c>
      <c r="AI372" s="41">
        <f>AI182+AI187+AI192+AI222+AI227+AI232+AI254+AI259+AI264+AI286+AI291+AI296+AI318+AI323+AI328+AI346+AI351+AI356</f>
        <v/>
      </c>
      <c r="AJ372" s="41">
        <f>AJ182+AJ187+AJ192+AJ222+AJ227+AJ232+AJ254+AJ259+AJ264+AJ286+AJ291+AJ296+AJ318+AJ323+AJ328+AJ346+AJ351+AJ356</f>
        <v/>
      </c>
      <c r="AK372" s="41">
        <f>AK182+AK187+AK192+AK222+AK227+AK232+AK254+AK259+AK264+AK286+AK291+AK296+AK318+AK323+AK328+AK346+AK351+AK356</f>
        <v/>
      </c>
      <c r="AL372" s="41">
        <f>AL182+AL187+AL192+AL222+AL227+AL232+AL254+AL259+AL264+AL286+AL291+AL296+AL318+AL323+AL328+AL346+AL351+AL356</f>
        <v/>
      </c>
      <c r="AM372" s="41">
        <f>AM182+AM187+AM192+AM222+AM227+AM232+AM254+AM259+AM264+AM286+AM291+AM296+AM318+AM323+AM328+AM346+AM351+AM356</f>
        <v/>
      </c>
      <c r="AN372" s="41">
        <f>AN182+AN187+AN192+AN222+AN227+AN232+AN254+AN259+AN264+AN286+AN291+AN296+AN318+AN323+AN328+AN346+AN351+AN356</f>
        <v/>
      </c>
      <c r="AO372" s="41">
        <f>AO182+AO187+AO192+AO222+AO227+AO232+AO254+AO259+AO264+AO286+AO291+AO296+AO318+AO323+AO328+AO346+AO351+AO356</f>
        <v/>
      </c>
      <c r="AP372" s="41">
        <f>AP182+AP187+AP192+AP222+AP227+AP232+AP254+AP259+AP264+AP286+AP291+AP296+AP318+AP323+AP328+AP346+AP351+AP356</f>
        <v/>
      </c>
      <c r="AQ372" s="41">
        <f>AQ182+AQ187+AQ192+AQ222+AQ227+AQ232+AQ254+AQ259+AQ264+AQ286+AQ291+AQ296+AQ318+AQ323+AQ328+AQ346+AQ351+AQ356</f>
        <v/>
      </c>
      <c r="AR372" s="41">
        <f>AR182+AR187+AR192+AR222+AR227+AR232+AR254+AR259+AR264+AR286+AR291+AR296+AR318+AR323+AR328+AR346+AR351+AR356</f>
        <v/>
      </c>
      <c r="AS372" s="41">
        <f>AS182+AS187+AS192+AS222+AS227+AS232+AS254+AS259+AS264+AS286+AS291+AS296+AS318+AS323+AS328+AS346+AS351+AS356</f>
        <v/>
      </c>
      <c r="AT372" s="41">
        <f>AT182+AT187+AT192+AT222+AT227+AT232+AT254+AT259+AT264+AT286+AT291+AT296+AT318+AT323+AT328+AT346+AT351+AT356</f>
        <v/>
      </c>
      <c r="AU372" s="41">
        <f>AU182+AU187+AU192+AU222+AU227+AU232+AU254+AU259+AU264+AU286+AU291+AU296+AU318+AU323+AU328+AU346+AU351+AU356</f>
        <v/>
      </c>
      <c r="AV372" s="41">
        <f>AV182+AV187+AV192+AV222+AV227+AV232+AV254+AV259+AV264+AV286+AV291+AV296+AV318+AV323+AV328+AV346+AV351+AV356</f>
        <v/>
      </c>
      <c r="AW372" s="41">
        <f>AW182+AW187+AW192+AW222+AW227+AW232+AW254+AW259+AW264+AW286+AW291+AW296+AW318+AW323+AW328+AW346+AW351+AW356</f>
        <v/>
      </c>
      <c r="AX372" s="41">
        <f>AX182+AX187+AX192+AX222+AX227+AX232+AX254+AX259+AX264+AX286+AX291+AX296+AX318+AX323+AX328+AX346+AX351+AX356</f>
        <v/>
      </c>
      <c r="AY372" s="41">
        <f>AY182+AY187+AY192+AY222+AY227+AY232+AY254+AY259+AY264+AY286+AY291+AY296+AY318+AY323+AY328+AY346+AY351+AY356</f>
        <v/>
      </c>
      <c r="AZ372" s="41">
        <f>AZ182+AZ187+AZ192+AZ222+AZ227+AZ232+AZ254+AZ259+AZ264+AZ286+AZ291+AZ296+AZ318+AZ323+AZ328+AZ346+AZ351+AZ356</f>
        <v/>
      </c>
      <c r="BA372" s="41">
        <f>BA182+BA187+BA192+BA222+BA227+BA232+BA254+BA259+BA264+BA286+BA291+BA296+BA318+BA323+BA328+BA346+BA351+BA356</f>
        <v/>
      </c>
      <c r="BB372" s="41">
        <f>BB182+BB187+BB192+BB222+BB227+BB232+BB254+BB259+BB264+BB286+BB291+BB296+BB318+BB323+BB328+BB346+BB351+BB356</f>
        <v/>
      </c>
      <c r="BC372" s="41">
        <f>BC182+BC187+BC192+BC222+BC227+BC232+BC254+BC259+BC264+BC286+BC291+BC296+BC318+BC323+BC328+BC346+BC351+BC356</f>
        <v/>
      </c>
      <c r="BD372" s="41">
        <f>BD182+BD187+BD192+BD222+BD227+BD232+BD254+BD259+BD264+BD286+BD291+BD296+BD318+BD323+BD328+BD346+BD351+BD356</f>
        <v/>
      </c>
      <c r="BE372" s="41">
        <f>BE182+BE187+BE192+BE222+BE227+BE232+BE254+BE259+BE264+BE286+BE291+BE296+BE318+BE323+BE328+BE346+BE351+BE356</f>
        <v/>
      </c>
      <c r="BF372" s="41">
        <f>BF182+BF187+BF192+BF222+BF227+BF232+BF254+BF259+BF264+BF286+BF291+BF296+BF318+BF323+BF328+BF346+BF351+BF356</f>
        <v/>
      </c>
      <c r="BG372" s="41">
        <f>BG182+BG187+BG192+BG222+BG227+BG232+BG254+BG259+BG264+BG286+BG291+BG296+BG318+BG323+BG328+BG346+BG351+BG356</f>
        <v/>
      </c>
      <c r="BH372" s="41">
        <f>BH182+BH187+BH192+BH222+BH227+BH232+BH254+BH259+BH264+BH286+BH291+BH296+BH318+BH323+BH328+BH346+BH351+BH356</f>
        <v/>
      </c>
      <c r="BI372" s="41">
        <f>BI182+BI187+BI192+BI222+BI227+BI232+BI254+BI259+BI264+BI286+BI291+BI296+BI318+BI323+BI328+BI346+BI351+BI356</f>
        <v/>
      </c>
      <c r="BJ372" s="41">
        <f>BJ182+BJ187+BJ192+BJ222+BJ227+BJ232+BJ254+BJ259+BJ264+BJ286+BJ291+BJ296+BJ318+BJ323+BJ328+BJ346+BJ351+BJ356</f>
        <v/>
      </c>
    </row>
    <row r="373">
      <c r="A373" s="4" t="inlineStr">
        <is>
          <t>SMEs: new customers acquired (excl. upgrades)</t>
        </is>
      </c>
      <c r="B373" s="17" t="inlineStr">
        <is>
          <t>workspaces</t>
        </is>
      </c>
      <c r="C373" s="41">
        <f>C181+C186+C191+C221+C226+C231+C253+C258+C263+C285+C290+C295+C317+C322+C327+C345+C350+C355-C183-C188-C223-C228-C255-C260-C287-C292-C319-C324-C347-C352</f>
        <v/>
      </c>
      <c r="D373" s="41">
        <f>D181+D186+D191+D221+D226+D231+D253+D258+D263+D285+D290+D295+D317+D322+D327+D345+D350+D355-D183-D188-D223-D228-D255-D260-D287-D292-D319-D324-D347-D352</f>
        <v/>
      </c>
      <c r="E373" s="41">
        <f>E181+E186+E191+E221+E226+E231+E253+E258+E263+E285+E290+E295+E317+E322+E327+E345+E350+E355-E183-E188-E223-E228-E255-E260-E287-E292-E319-E324-E347-E352</f>
        <v/>
      </c>
      <c r="F373" s="41">
        <f>F181+F186+F191+F221+F226+F231+F253+F258+F263+F285+F290+F295+F317+F322+F327+F345+F350+F355-F183-F188-F223-F228-F255-F260-F287-F292-F319-F324-F347-F352</f>
        <v/>
      </c>
      <c r="G373" s="41">
        <f>G181+G186+G191+G221+G226+G231+G253+G258+G263+G285+G290+G295+G317+G322+G327+G345+G350+G355-G183-G188-G223-G228-G255-G260-G287-G292-G319-G324-G347-G352</f>
        <v/>
      </c>
      <c r="H373" s="41">
        <f>H181+H186+H191+H221+H226+H231+H253+H258+H263+H285+H290+H295+H317+H322+H327+H345+H350+H355-H183-H188-H223-H228-H255-H260-H287-H292-H319-H324-H347-H352</f>
        <v/>
      </c>
      <c r="I373" s="41">
        <f>I181+I186+I191+I221+I226+I231+I253+I258+I263+I285+I290+I295+I317+I322+I327+I345+I350+I355-I183-I188-I223-I228-I255-I260-I287-I292-I319-I324-I347-I352</f>
        <v/>
      </c>
      <c r="J373" s="41">
        <f>J181+J186+J191+J221+J226+J231+J253+J258+J263+J285+J290+J295+J317+J322+J327+J345+J350+J355-J183-J188-J223-J228-J255-J260-J287-J292-J319-J324-J347-J352</f>
        <v/>
      </c>
      <c r="K373" s="41">
        <f>K181+K186+K191+K221+K226+K231+K253+K258+K263+K285+K290+K295+K317+K322+K327+K345+K350+K355-K183-K188-K223-K228-K255-K260-K287-K292-K319-K324-K347-K352</f>
        <v/>
      </c>
      <c r="L373" s="41">
        <f>L181+L186+L191+L221+L226+L231+L253+L258+L263+L285+L290+L295+L317+L322+L327+L345+L350+L355-L183-L188-L223-L228-L255-L260-L287-L292-L319-L324-L347-L352</f>
        <v/>
      </c>
      <c r="M373" s="41">
        <f>M181+M186+M191+M221+M226+M231+M253+M258+M263+M285+M290+M295+M317+M322+M327+M345+M350+M355-M183-M188-M223-M228-M255-M260-M287-M292-M319-M324-M347-M352</f>
        <v/>
      </c>
      <c r="N373" s="41">
        <f>N181+N186+N191+N221+N226+N231+N253+N258+N263+N285+N290+N295+N317+N322+N327+N345+N350+N355-N183-N188-N223-N228-N255-N260-N287-N292-N319-N324-N347-N352</f>
        <v/>
      </c>
      <c r="O373" s="41">
        <f>O181+O186+O191+O221+O226+O231+O253+O258+O263+O285+O290+O295+O317+O322+O327+O345+O350+O355-O183-O188-O223-O228-O255-O260-O287-O292-O319-O324-O347-O352</f>
        <v/>
      </c>
      <c r="P373" s="41">
        <f>P181+P186+P191+P221+P226+P231+P253+P258+P263+P285+P290+P295+P317+P322+P327+P345+P350+P355-P183-P188-P223-P228-P255-P260-P287-P292-P319-P324-P347-P352</f>
        <v/>
      </c>
      <c r="Q373" s="41">
        <f>Q181+Q186+Q191+Q221+Q226+Q231+Q253+Q258+Q263+Q285+Q290+Q295+Q317+Q322+Q327+Q345+Q350+Q355-Q183-Q188-Q223-Q228-Q255-Q260-Q287-Q292-Q319-Q324-Q347-Q352</f>
        <v/>
      </c>
      <c r="R373" s="41">
        <f>R181+R186+R191+R221+R226+R231+R253+R258+R263+R285+R290+R295+R317+R322+R327+R345+R350+R355-R183-R188-R223-R228-R255-R260-R287-R292-R319-R324-R347-R352</f>
        <v/>
      </c>
      <c r="S373" s="41">
        <f>S181+S186+S191+S221+S226+S231+S253+S258+S263+S285+S290+S295+S317+S322+S327+S345+S350+S355-S183-S188-S223-S228-S255-S260-S287-S292-S319-S324-S347-S352</f>
        <v/>
      </c>
      <c r="T373" s="41">
        <f>T181+T186+T191+T221+T226+T231+T253+T258+T263+T285+T290+T295+T317+T322+T327+T345+T350+T355-T183-T188-T223-T228-T255-T260-T287-T292-T319-T324-T347-T352</f>
        <v/>
      </c>
      <c r="U373" s="41">
        <f>U181+U186+U191+U221+U226+U231+U253+U258+U263+U285+U290+U295+U317+U322+U327+U345+U350+U355-U183-U188-U223-U228-U255-U260-U287-U292-U319-U324-U347-U352</f>
        <v/>
      </c>
      <c r="V373" s="41">
        <f>V181+V186+V191+V221+V226+V231+V253+V258+V263+V285+V290+V295+V317+V322+V327+V345+V350+V355-V183-V188-V223-V228-V255-V260-V287-V292-V319-V324-V347-V352</f>
        <v/>
      </c>
      <c r="W373" s="41">
        <f>W181+W186+W191+W221+W226+W231+W253+W258+W263+W285+W290+W295+W317+W322+W327+W345+W350+W355-W183-W188-W223-W228-W255-W260-W287-W292-W319-W324-W347-W352</f>
        <v/>
      </c>
      <c r="X373" s="41">
        <f>X181+X186+X191+X221+X226+X231+X253+X258+X263+X285+X290+X295+X317+X322+X327+X345+X350+X355-X183-X188-X223-X228-X255-X260-X287-X292-X319-X324-X347-X352</f>
        <v/>
      </c>
      <c r="Y373" s="41">
        <f>Y181+Y186+Y191+Y221+Y226+Y231+Y253+Y258+Y263+Y285+Y290+Y295+Y317+Y322+Y327+Y345+Y350+Y355-Y183-Y188-Y223-Y228-Y255-Y260-Y287-Y292-Y319-Y324-Y347-Y352</f>
        <v/>
      </c>
      <c r="Z373" s="41">
        <f>Z181+Z186+Z191+Z221+Z226+Z231+Z253+Z258+Z263+Z285+Z290+Z295+Z317+Z322+Z327+Z345+Z350+Z355-Z183-Z188-Z223-Z228-Z255-Z260-Z287-Z292-Z319-Z324-Z347-Z352</f>
        <v/>
      </c>
      <c r="AA373" s="41">
        <f>AA181+AA186+AA191+AA221+AA226+AA231+AA253+AA258+AA263+AA285+AA290+AA295+AA317+AA322+AA327+AA345+AA350+AA355-AA183-AA188-AA223-AA228-AA255-AA260-AA287-AA292-AA319-AA324-AA347-AA352</f>
        <v/>
      </c>
      <c r="AB373" s="41">
        <f>AB181+AB186+AB191+AB221+AB226+AB231+AB253+AB258+AB263+AB285+AB290+AB295+AB317+AB322+AB327+AB345+AB350+AB355-AB183-AB188-AB223-AB228-AB255-AB260-AB287-AB292-AB319-AB324-AB347-AB352</f>
        <v/>
      </c>
      <c r="AC373" s="41">
        <f>AC181+AC186+AC191+AC221+AC226+AC231+AC253+AC258+AC263+AC285+AC290+AC295+AC317+AC322+AC327+AC345+AC350+AC355-AC183-AC188-AC223-AC228-AC255-AC260-AC287-AC292-AC319-AC324-AC347-AC352</f>
        <v/>
      </c>
      <c r="AD373" s="41">
        <f>AD181+AD186+AD191+AD221+AD226+AD231+AD253+AD258+AD263+AD285+AD290+AD295+AD317+AD322+AD327+AD345+AD350+AD355-AD183-AD188-AD223-AD228-AD255-AD260-AD287-AD292-AD319-AD324-AD347-AD352</f>
        <v/>
      </c>
      <c r="AE373" s="41">
        <f>AE181+AE186+AE191+AE221+AE226+AE231+AE253+AE258+AE263+AE285+AE290+AE295+AE317+AE322+AE327+AE345+AE350+AE355-AE183-AE188-AE223-AE228-AE255-AE260-AE287-AE292-AE319-AE324-AE347-AE352</f>
        <v/>
      </c>
      <c r="AF373" s="41">
        <f>AF181+AF186+AF191+AF221+AF226+AF231+AF253+AF258+AF263+AF285+AF290+AF295+AF317+AF322+AF327+AF345+AF350+AF355-AF183-AF188-AF223-AF228-AF255-AF260-AF287-AF292-AF319-AF324-AF347-AF352</f>
        <v/>
      </c>
      <c r="AG373" s="41">
        <f>AG181+AG186+AG191+AG221+AG226+AG231+AG253+AG258+AG263+AG285+AG290+AG295+AG317+AG322+AG327+AG345+AG350+AG355-AG183-AG188-AG223-AG228-AG255-AG260-AG287-AG292-AG319-AG324-AG347-AG352</f>
        <v/>
      </c>
      <c r="AH373" s="41">
        <f>AH181+AH186+AH191+AH221+AH226+AH231+AH253+AH258+AH263+AH285+AH290+AH295+AH317+AH322+AH327+AH345+AH350+AH355-AH183-AH188-AH223-AH228-AH255-AH260-AH287-AH292-AH319-AH324-AH347-AH352</f>
        <v/>
      </c>
      <c r="AI373" s="41">
        <f>AI181+AI186+AI191+AI221+AI226+AI231+AI253+AI258+AI263+AI285+AI290+AI295+AI317+AI322+AI327+AI345+AI350+AI355-AI183-AI188-AI223-AI228-AI255-AI260-AI287-AI292-AI319-AI324-AI347-AI352</f>
        <v/>
      </c>
      <c r="AJ373" s="41">
        <f>AJ181+AJ186+AJ191+AJ221+AJ226+AJ231+AJ253+AJ258+AJ263+AJ285+AJ290+AJ295+AJ317+AJ322+AJ327+AJ345+AJ350+AJ355-AJ183-AJ188-AJ223-AJ228-AJ255-AJ260-AJ287-AJ292-AJ319-AJ324-AJ347-AJ352</f>
        <v/>
      </c>
      <c r="AK373" s="41">
        <f>AK181+AK186+AK191+AK221+AK226+AK231+AK253+AK258+AK263+AK285+AK290+AK295+AK317+AK322+AK327+AK345+AK350+AK355-AK183-AK188-AK223-AK228-AK255-AK260-AK287-AK292-AK319-AK324-AK347-AK352</f>
        <v/>
      </c>
      <c r="AL373" s="41">
        <f>AL181+AL186+AL191+AL221+AL226+AL231+AL253+AL258+AL263+AL285+AL290+AL295+AL317+AL322+AL327+AL345+AL350+AL355-AL183-AL188-AL223-AL228-AL255-AL260-AL287-AL292-AL319-AL324-AL347-AL352</f>
        <v/>
      </c>
      <c r="AM373" s="41">
        <f>AM181+AM186+AM191+AM221+AM226+AM231+AM253+AM258+AM263+AM285+AM290+AM295+AM317+AM322+AM327+AM345+AM350+AM355-AM183-AM188-AM223-AM228-AM255-AM260-AM287-AM292-AM319-AM324-AM347-AM352</f>
        <v/>
      </c>
      <c r="AN373" s="41">
        <f>AN181+AN186+AN191+AN221+AN226+AN231+AN253+AN258+AN263+AN285+AN290+AN295+AN317+AN322+AN327+AN345+AN350+AN355-AN183-AN188-AN223-AN228-AN255-AN260-AN287-AN292-AN319-AN324-AN347-AN352</f>
        <v/>
      </c>
      <c r="AO373" s="41">
        <f>AO181+AO186+AO191+AO221+AO226+AO231+AO253+AO258+AO263+AO285+AO290+AO295+AO317+AO322+AO327+AO345+AO350+AO355-AO183-AO188-AO223-AO228-AO255-AO260-AO287-AO292-AO319-AO324-AO347-AO352</f>
        <v/>
      </c>
      <c r="AP373" s="41">
        <f>AP181+AP186+AP191+AP221+AP226+AP231+AP253+AP258+AP263+AP285+AP290+AP295+AP317+AP322+AP327+AP345+AP350+AP355-AP183-AP188-AP223-AP228-AP255-AP260-AP287-AP292-AP319-AP324-AP347-AP352</f>
        <v/>
      </c>
      <c r="AQ373" s="41">
        <f>AQ181+AQ186+AQ191+AQ221+AQ226+AQ231+AQ253+AQ258+AQ263+AQ285+AQ290+AQ295+AQ317+AQ322+AQ327+AQ345+AQ350+AQ355-AQ183-AQ188-AQ223-AQ228-AQ255-AQ260-AQ287-AQ292-AQ319-AQ324-AQ347-AQ352</f>
        <v/>
      </c>
      <c r="AR373" s="41">
        <f>AR181+AR186+AR191+AR221+AR226+AR231+AR253+AR258+AR263+AR285+AR290+AR295+AR317+AR322+AR327+AR345+AR350+AR355-AR183-AR188-AR223-AR228-AR255-AR260-AR287-AR292-AR319-AR324-AR347-AR352</f>
        <v/>
      </c>
      <c r="AS373" s="41">
        <f>AS181+AS186+AS191+AS221+AS226+AS231+AS253+AS258+AS263+AS285+AS290+AS295+AS317+AS322+AS327+AS345+AS350+AS355-AS183-AS188-AS223-AS228-AS255-AS260-AS287-AS292-AS319-AS324-AS347-AS352</f>
        <v/>
      </c>
      <c r="AT373" s="41">
        <f>AT181+AT186+AT191+AT221+AT226+AT231+AT253+AT258+AT263+AT285+AT290+AT295+AT317+AT322+AT327+AT345+AT350+AT355-AT183-AT188-AT223-AT228-AT255-AT260-AT287-AT292-AT319-AT324-AT347-AT352</f>
        <v/>
      </c>
      <c r="AU373" s="41">
        <f>AU181+AU186+AU191+AU221+AU226+AU231+AU253+AU258+AU263+AU285+AU290+AU295+AU317+AU322+AU327+AU345+AU350+AU355-AU183-AU188-AU223-AU228-AU255-AU260-AU287-AU292-AU319-AU324-AU347-AU352</f>
        <v/>
      </c>
      <c r="AV373" s="41">
        <f>AV181+AV186+AV191+AV221+AV226+AV231+AV253+AV258+AV263+AV285+AV290+AV295+AV317+AV322+AV327+AV345+AV350+AV355-AV183-AV188-AV223-AV228-AV255-AV260-AV287-AV292-AV319-AV324-AV347-AV352</f>
        <v/>
      </c>
      <c r="AW373" s="41">
        <f>AW181+AW186+AW191+AW221+AW226+AW231+AW253+AW258+AW263+AW285+AW290+AW295+AW317+AW322+AW327+AW345+AW350+AW355-AW183-AW188-AW223-AW228-AW255-AW260-AW287-AW292-AW319-AW324-AW347-AW352</f>
        <v/>
      </c>
      <c r="AX373" s="41">
        <f>AX181+AX186+AX191+AX221+AX226+AX231+AX253+AX258+AX263+AX285+AX290+AX295+AX317+AX322+AX327+AX345+AX350+AX355-AX183-AX188-AX223-AX228-AX255-AX260-AX287-AX292-AX319-AX324-AX347-AX352</f>
        <v/>
      </c>
      <c r="AY373" s="41">
        <f>AY181+AY186+AY191+AY221+AY226+AY231+AY253+AY258+AY263+AY285+AY290+AY295+AY317+AY322+AY327+AY345+AY350+AY355-AY183-AY188-AY223-AY228-AY255-AY260-AY287-AY292-AY319-AY324-AY347-AY352</f>
        <v/>
      </c>
      <c r="AZ373" s="41">
        <f>AZ181+AZ186+AZ191+AZ221+AZ226+AZ231+AZ253+AZ258+AZ263+AZ285+AZ290+AZ295+AZ317+AZ322+AZ327+AZ345+AZ350+AZ355-AZ183-AZ188-AZ223-AZ228-AZ255-AZ260-AZ287-AZ292-AZ319-AZ324-AZ347-AZ352</f>
        <v/>
      </c>
      <c r="BA373" s="41">
        <f>BA181+BA186+BA191+BA221+BA226+BA231+BA253+BA258+BA263+BA285+BA290+BA295+BA317+BA322+BA327+BA345+BA350+BA355-BA183-BA188-BA223-BA228-BA255-BA260-BA287-BA292-BA319-BA324-BA347-BA352</f>
        <v/>
      </c>
      <c r="BB373" s="41">
        <f>BB181+BB186+BB191+BB221+BB226+BB231+BB253+BB258+BB263+BB285+BB290+BB295+BB317+BB322+BB327+BB345+BB350+BB355-BB183-BB188-BB223-BB228-BB255-BB260-BB287-BB292-BB319-BB324-BB347-BB352</f>
        <v/>
      </c>
      <c r="BC373" s="41">
        <f>BC181+BC186+BC191+BC221+BC226+BC231+BC253+BC258+BC263+BC285+BC290+BC295+BC317+BC322+BC327+BC345+BC350+BC355-BC183-BC188-BC223-BC228-BC255-BC260-BC287-BC292-BC319-BC324-BC347-BC352</f>
        <v/>
      </c>
      <c r="BD373" s="41">
        <f>BD181+BD186+BD191+BD221+BD226+BD231+BD253+BD258+BD263+BD285+BD290+BD295+BD317+BD322+BD327+BD345+BD350+BD355-BD183-BD188-BD223-BD228-BD255-BD260-BD287-BD292-BD319-BD324-BD347-BD352</f>
        <v/>
      </c>
      <c r="BE373" s="41">
        <f>BE181+BE186+BE191+BE221+BE226+BE231+BE253+BE258+BE263+BE285+BE290+BE295+BE317+BE322+BE327+BE345+BE350+BE355-BE183-BE188-BE223-BE228-BE255-BE260-BE287-BE292-BE319-BE324-BE347-BE352</f>
        <v/>
      </c>
      <c r="BF373" s="41">
        <f>BF181+BF186+BF191+BF221+BF226+BF231+BF253+BF258+BF263+BF285+BF290+BF295+BF317+BF322+BF327+BF345+BF350+BF355-BF183-BF188-BF223-BF228-BF255-BF260-BF287-BF292-BF319-BF324-BF347-BF352</f>
        <v/>
      </c>
      <c r="BG373" s="41">
        <f>BG181+BG186+BG191+BG221+BG226+BG231+BG253+BG258+BG263+BG285+BG290+BG295+BG317+BG322+BG327+BG345+BG350+BG355-BG183-BG188-BG223-BG228-BG255-BG260-BG287-BG292-BG319-BG324-BG347-BG352</f>
        <v/>
      </c>
      <c r="BH373" s="41">
        <f>BH181+BH186+BH191+BH221+BH226+BH231+BH253+BH258+BH263+BH285+BH290+BH295+BH317+BH322+BH327+BH345+BH350+BH355-BH183-BH188-BH223-BH228-BH255-BH260-BH287-BH292-BH319-BH324-BH347-BH352</f>
        <v/>
      </c>
      <c r="BI373" s="41">
        <f>BI181+BI186+BI191+BI221+BI226+BI231+BI253+BI258+BI263+BI285+BI290+BI295+BI317+BI322+BI327+BI345+BI350+BI355-BI183-BI188-BI223-BI228-BI255-BI260-BI287-BI292-BI319-BI324-BI347-BI352</f>
        <v/>
      </c>
      <c r="BJ373" s="41">
        <f>BJ181+BJ186+BJ191+BJ221+BJ226+BJ231+BJ253+BJ258+BJ263+BJ285+BJ290+BJ295+BJ317+BJ322+BJ327+BJ345+BJ350+BJ355-BJ183-BJ188-BJ223-BJ228-BJ255-BJ260-BJ287-BJ292-BJ319-BJ324-BJ347-BJ352</f>
        <v/>
      </c>
    </row>
    <row r="374">
      <c r="A374" s="4" t="inlineStr">
        <is>
          <t>Agencies: opening</t>
        </is>
      </c>
      <c r="B374" s="17" t="inlineStr">
        <is>
          <t>workspaces</t>
        </is>
      </c>
      <c r="C374" s="41">
        <f>C194+C234+C266+C298</f>
        <v/>
      </c>
      <c r="D374" s="41">
        <f>D194+D234+D266+D298</f>
        <v/>
      </c>
      <c r="E374" s="41">
        <f>E194+E234+E266+E298</f>
        <v/>
      </c>
      <c r="F374" s="41">
        <f>F194+F234+F266+F298</f>
        <v/>
      </c>
      <c r="G374" s="41">
        <f>G194+G234+G266+G298</f>
        <v/>
      </c>
      <c r="H374" s="41">
        <f>H194+H234+H266+H298</f>
        <v/>
      </c>
      <c r="I374" s="41">
        <f>I194+I234+I266+I298</f>
        <v/>
      </c>
      <c r="J374" s="41">
        <f>J194+J234+J266+J298</f>
        <v/>
      </c>
      <c r="K374" s="41">
        <f>K194+K234+K266+K298</f>
        <v/>
      </c>
      <c r="L374" s="41">
        <f>L194+L234+L266+L298</f>
        <v/>
      </c>
      <c r="M374" s="41">
        <f>M194+M234+M266+M298</f>
        <v/>
      </c>
      <c r="N374" s="41">
        <f>N194+N234+N266+N298</f>
        <v/>
      </c>
      <c r="O374" s="41">
        <f>O194+O234+O266+O298</f>
        <v/>
      </c>
      <c r="P374" s="41">
        <f>P194+P234+P266+P298</f>
        <v/>
      </c>
      <c r="Q374" s="41">
        <f>Q194+Q234+Q266+Q298</f>
        <v/>
      </c>
      <c r="R374" s="41">
        <f>R194+R234+R266+R298</f>
        <v/>
      </c>
      <c r="S374" s="41">
        <f>S194+S234+S266+S298</f>
        <v/>
      </c>
      <c r="T374" s="41">
        <f>T194+T234+T266+T298</f>
        <v/>
      </c>
      <c r="U374" s="41">
        <f>U194+U234+U266+U298</f>
        <v/>
      </c>
      <c r="V374" s="41">
        <f>V194+V234+V266+V298</f>
        <v/>
      </c>
      <c r="W374" s="41">
        <f>W194+W234+W266+W298</f>
        <v/>
      </c>
      <c r="X374" s="41">
        <f>X194+X234+X266+X298</f>
        <v/>
      </c>
      <c r="Y374" s="41">
        <f>Y194+Y234+Y266+Y298</f>
        <v/>
      </c>
      <c r="Z374" s="41">
        <f>Z194+Z234+Z266+Z298</f>
        <v/>
      </c>
      <c r="AA374" s="41">
        <f>AA194+AA234+AA266+AA298</f>
        <v/>
      </c>
      <c r="AB374" s="41">
        <f>AB194+AB234+AB266+AB298</f>
        <v/>
      </c>
      <c r="AC374" s="41">
        <f>AC194+AC234+AC266+AC298</f>
        <v/>
      </c>
      <c r="AD374" s="41">
        <f>AD194+AD234+AD266+AD298</f>
        <v/>
      </c>
      <c r="AE374" s="41">
        <f>AE194+AE234+AE266+AE298</f>
        <v/>
      </c>
      <c r="AF374" s="41">
        <f>AF194+AF234+AF266+AF298</f>
        <v/>
      </c>
      <c r="AG374" s="41">
        <f>AG194+AG234+AG266+AG298</f>
        <v/>
      </c>
      <c r="AH374" s="41">
        <f>AH194+AH234+AH266+AH298</f>
        <v/>
      </c>
      <c r="AI374" s="41">
        <f>AI194+AI234+AI266+AI298</f>
        <v/>
      </c>
      <c r="AJ374" s="41">
        <f>AJ194+AJ234+AJ266+AJ298</f>
        <v/>
      </c>
      <c r="AK374" s="41">
        <f>AK194+AK234+AK266+AK298</f>
        <v/>
      </c>
      <c r="AL374" s="41">
        <f>AL194+AL234+AL266+AL298</f>
        <v/>
      </c>
      <c r="AM374" s="41">
        <f>AM194+AM234+AM266+AM298</f>
        <v/>
      </c>
      <c r="AN374" s="41">
        <f>AN194+AN234+AN266+AN298</f>
        <v/>
      </c>
      <c r="AO374" s="41">
        <f>AO194+AO234+AO266+AO298</f>
        <v/>
      </c>
      <c r="AP374" s="41">
        <f>AP194+AP234+AP266+AP298</f>
        <v/>
      </c>
      <c r="AQ374" s="41">
        <f>AQ194+AQ234+AQ266+AQ298</f>
        <v/>
      </c>
      <c r="AR374" s="41">
        <f>AR194+AR234+AR266+AR298</f>
        <v/>
      </c>
      <c r="AS374" s="41">
        <f>AS194+AS234+AS266+AS298</f>
        <v/>
      </c>
      <c r="AT374" s="41">
        <f>AT194+AT234+AT266+AT298</f>
        <v/>
      </c>
      <c r="AU374" s="41">
        <f>AU194+AU234+AU266+AU298</f>
        <v/>
      </c>
      <c r="AV374" s="41">
        <f>AV194+AV234+AV266+AV298</f>
        <v/>
      </c>
      <c r="AW374" s="41">
        <f>AW194+AW234+AW266+AW298</f>
        <v/>
      </c>
      <c r="AX374" s="41">
        <f>AX194+AX234+AX266+AX298</f>
        <v/>
      </c>
      <c r="AY374" s="41">
        <f>AY194+AY234+AY266+AY298</f>
        <v/>
      </c>
      <c r="AZ374" s="41">
        <f>AZ194+AZ234+AZ266+AZ298</f>
        <v/>
      </c>
      <c r="BA374" s="41">
        <f>BA194+BA234+BA266+BA298</f>
        <v/>
      </c>
      <c r="BB374" s="41">
        <f>BB194+BB234+BB266+BB298</f>
        <v/>
      </c>
      <c r="BC374" s="41">
        <f>BC194+BC234+BC266+BC298</f>
        <v/>
      </c>
      <c r="BD374" s="41">
        <f>BD194+BD234+BD266+BD298</f>
        <v/>
      </c>
      <c r="BE374" s="41">
        <f>BE194+BE234+BE266+BE298</f>
        <v/>
      </c>
      <c r="BF374" s="41">
        <f>BF194+BF234+BF266+BF298</f>
        <v/>
      </c>
      <c r="BG374" s="41">
        <f>BG194+BG234+BG266+BG298</f>
        <v/>
      </c>
      <c r="BH374" s="41">
        <f>BH194+BH234+BH266+BH298</f>
        <v/>
      </c>
      <c r="BI374" s="41">
        <f>BI194+BI234+BI266+BI298</f>
        <v/>
      </c>
      <c r="BJ374" s="41">
        <f>BJ194+BJ234+BJ266+BJ298</f>
        <v/>
      </c>
    </row>
    <row r="375">
      <c r="A375" s="3" t="inlineStr">
        <is>
          <t>Agencies: closing</t>
        </is>
      </c>
      <c r="B375" s="17" t="inlineStr">
        <is>
          <t>workspaces</t>
        </is>
      </c>
      <c r="C375" s="44">
        <f>C197+C237+C269+C301</f>
        <v/>
      </c>
      <c r="D375" s="44">
        <f>D197+D237+D269+D301</f>
        <v/>
      </c>
      <c r="E375" s="44">
        <f>E197+E237+E269+E301</f>
        <v/>
      </c>
      <c r="F375" s="44">
        <f>F197+F237+F269+F301</f>
        <v/>
      </c>
      <c r="G375" s="44">
        <f>G197+G237+G269+G301</f>
        <v/>
      </c>
      <c r="H375" s="44">
        <f>H197+H237+H269+H301</f>
        <v/>
      </c>
      <c r="I375" s="44">
        <f>I197+I237+I269+I301</f>
        <v/>
      </c>
      <c r="J375" s="44">
        <f>J197+J237+J269+J301</f>
        <v/>
      </c>
      <c r="K375" s="44">
        <f>K197+K237+K269+K301</f>
        <v/>
      </c>
      <c r="L375" s="44">
        <f>L197+L237+L269+L301</f>
        <v/>
      </c>
      <c r="M375" s="44">
        <f>M197+M237+M269+M301</f>
        <v/>
      </c>
      <c r="N375" s="44">
        <f>N197+N237+N269+N301</f>
        <v/>
      </c>
      <c r="O375" s="44">
        <f>O197+O237+O269+O301</f>
        <v/>
      </c>
      <c r="P375" s="44">
        <f>P197+P237+P269+P301</f>
        <v/>
      </c>
      <c r="Q375" s="44">
        <f>Q197+Q237+Q269+Q301</f>
        <v/>
      </c>
      <c r="R375" s="44">
        <f>R197+R237+R269+R301</f>
        <v/>
      </c>
      <c r="S375" s="44">
        <f>S197+S237+S269+S301</f>
        <v/>
      </c>
      <c r="T375" s="44">
        <f>T197+T237+T269+T301</f>
        <v/>
      </c>
      <c r="U375" s="44">
        <f>U197+U237+U269+U301</f>
        <v/>
      </c>
      <c r="V375" s="44">
        <f>V197+V237+V269+V301</f>
        <v/>
      </c>
      <c r="W375" s="44">
        <f>W197+W237+W269+W301</f>
        <v/>
      </c>
      <c r="X375" s="44">
        <f>X197+X237+X269+X301</f>
        <v/>
      </c>
      <c r="Y375" s="44">
        <f>Y197+Y237+Y269+Y301</f>
        <v/>
      </c>
      <c r="Z375" s="44">
        <f>Z197+Z237+Z269+Z301</f>
        <v/>
      </c>
      <c r="AA375" s="44">
        <f>AA197+AA237+AA269+AA301</f>
        <v/>
      </c>
      <c r="AB375" s="44">
        <f>AB197+AB237+AB269+AB301</f>
        <v/>
      </c>
      <c r="AC375" s="44">
        <f>AC197+AC237+AC269+AC301</f>
        <v/>
      </c>
      <c r="AD375" s="44">
        <f>AD197+AD237+AD269+AD301</f>
        <v/>
      </c>
      <c r="AE375" s="44">
        <f>AE197+AE237+AE269+AE301</f>
        <v/>
      </c>
      <c r="AF375" s="44">
        <f>AF197+AF237+AF269+AF301</f>
        <v/>
      </c>
      <c r="AG375" s="44">
        <f>AG197+AG237+AG269+AG301</f>
        <v/>
      </c>
      <c r="AH375" s="44">
        <f>AH197+AH237+AH269+AH301</f>
        <v/>
      </c>
      <c r="AI375" s="44">
        <f>AI197+AI237+AI269+AI301</f>
        <v/>
      </c>
      <c r="AJ375" s="44">
        <f>AJ197+AJ237+AJ269+AJ301</f>
        <v/>
      </c>
      <c r="AK375" s="44">
        <f>AK197+AK237+AK269+AK301</f>
        <v/>
      </c>
      <c r="AL375" s="44">
        <f>AL197+AL237+AL269+AL301</f>
        <v/>
      </c>
      <c r="AM375" s="44">
        <f>AM197+AM237+AM269+AM301</f>
        <v/>
      </c>
      <c r="AN375" s="44">
        <f>AN197+AN237+AN269+AN301</f>
        <v/>
      </c>
      <c r="AO375" s="44">
        <f>AO197+AO237+AO269+AO301</f>
        <v/>
      </c>
      <c r="AP375" s="44">
        <f>AP197+AP237+AP269+AP301</f>
        <v/>
      </c>
      <c r="AQ375" s="44">
        <f>AQ197+AQ237+AQ269+AQ301</f>
        <v/>
      </c>
      <c r="AR375" s="44">
        <f>AR197+AR237+AR269+AR301</f>
        <v/>
      </c>
      <c r="AS375" s="44">
        <f>AS197+AS237+AS269+AS301</f>
        <v/>
      </c>
      <c r="AT375" s="44">
        <f>AT197+AT237+AT269+AT301</f>
        <v/>
      </c>
      <c r="AU375" s="44">
        <f>AU197+AU237+AU269+AU301</f>
        <v/>
      </c>
      <c r="AV375" s="44">
        <f>AV197+AV237+AV269+AV301</f>
        <v/>
      </c>
      <c r="AW375" s="44">
        <f>AW197+AW237+AW269+AW301</f>
        <v/>
      </c>
      <c r="AX375" s="44">
        <f>AX197+AX237+AX269+AX301</f>
        <v/>
      </c>
      <c r="AY375" s="44">
        <f>AY197+AY237+AY269+AY301</f>
        <v/>
      </c>
      <c r="AZ375" s="44">
        <f>AZ197+AZ237+AZ269+AZ301</f>
        <v/>
      </c>
      <c r="BA375" s="44">
        <f>BA197+BA237+BA269+BA301</f>
        <v/>
      </c>
      <c r="BB375" s="44">
        <f>BB197+BB237+BB269+BB301</f>
        <v/>
      </c>
      <c r="BC375" s="44">
        <f>BC197+BC237+BC269+BC301</f>
        <v/>
      </c>
      <c r="BD375" s="44">
        <f>BD197+BD237+BD269+BD301</f>
        <v/>
      </c>
      <c r="BE375" s="44">
        <f>BE197+BE237+BE269+BE301</f>
        <v/>
      </c>
      <c r="BF375" s="44">
        <f>BF197+BF237+BF269+BF301</f>
        <v/>
      </c>
      <c r="BG375" s="44">
        <f>BG197+BG237+BG269+BG301</f>
        <v/>
      </c>
      <c r="BH375" s="44">
        <f>BH197+BH237+BH269+BH301</f>
        <v/>
      </c>
      <c r="BI375" s="44">
        <f>BI197+BI237+BI269+BI301</f>
        <v/>
      </c>
      <c r="BJ375" s="44">
        <f>BJ197+BJ237+BJ269+BJ301</f>
        <v/>
      </c>
    </row>
    <row r="376">
      <c r="A376" s="4" t="inlineStr">
        <is>
          <t>Agencies: churned</t>
        </is>
      </c>
      <c r="B376" s="17" t="inlineStr">
        <is>
          <t>workspaces</t>
        </is>
      </c>
      <c r="C376" s="41">
        <f>C196+C236+C268+C300</f>
        <v/>
      </c>
      <c r="D376" s="41">
        <f>D196+D236+D268+D300</f>
        <v/>
      </c>
      <c r="E376" s="41">
        <f>E196+E236+E268+E300</f>
        <v/>
      </c>
      <c r="F376" s="41">
        <f>F196+F236+F268+F300</f>
        <v/>
      </c>
      <c r="G376" s="41">
        <f>G196+G236+G268+G300</f>
        <v/>
      </c>
      <c r="H376" s="41">
        <f>H196+H236+H268+H300</f>
        <v/>
      </c>
      <c r="I376" s="41">
        <f>I196+I236+I268+I300</f>
        <v/>
      </c>
      <c r="J376" s="41">
        <f>J196+J236+J268+J300</f>
        <v/>
      </c>
      <c r="K376" s="41">
        <f>K196+K236+K268+K300</f>
        <v/>
      </c>
      <c r="L376" s="41">
        <f>L196+L236+L268+L300</f>
        <v/>
      </c>
      <c r="M376" s="41">
        <f>M196+M236+M268+M300</f>
        <v/>
      </c>
      <c r="N376" s="41">
        <f>N196+N236+N268+N300</f>
        <v/>
      </c>
      <c r="O376" s="41">
        <f>O196+O236+O268+O300</f>
        <v/>
      </c>
      <c r="P376" s="41">
        <f>P196+P236+P268+P300</f>
        <v/>
      </c>
      <c r="Q376" s="41">
        <f>Q196+Q236+Q268+Q300</f>
        <v/>
      </c>
      <c r="R376" s="41">
        <f>R196+R236+R268+R300</f>
        <v/>
      </c>
      <c r="S376" s="41">
        <f>S196+S236+S268+S300</f>
        <v/>
      </c>
      <c r="T376" s="41">
        <f>T196+T236+T268+T300</f>
        <v/>
      </c>
      <c r="U376" s="41">
        <f>U196+U236+U268+U300</f>
        <v/>
      </c>
      <c r="V376" s="41">
        <f>V196+V236+V268+V300</f>
        <v/>
      </c>
      <c r="W376" s="41">
        <f>W196+W236+W268+W300</f>
        <v/>
      </c>
      <c r="X376" s="41">
        <f>X196+X236+X268+X300</f>
        <v/>
      </c>
      <c r="Y376" s="41">
        <f>Y196+Y236+Y268+Y300</f>
        <v/>
      </c>
      <c r="Z376" s="41">
        <f>Z196+Z236+Z268+Z300</f>
        <v/>
      </c>
      <c r="AA376" s="41">
        <f>AA196+AA236+AA268+AA300</f>
        <v/>
      </c>
      <c r="AB376" s="41">
        <f>AB196+AB236+AB268+AB300</f>
        <v/>
      </c>
      <c r="AC376" s="41">
        <f>AC196+AC236+AC268+AC300</f>
        <v/>
      </c>
      <c r="AD376" s="41">
        <f>AD196+AD236+AD268+AD300</f>
        <v/>
      </c>
      <c r="AE376" s="41">
        <f>AE196+AE236+AE268+AE300</f>
        <v/>
      </c>
      <c r="AF376" s="41">
        <f>AF196+AF236+AF268+AF300</f>
        <v/>
      </c>
      <c r="AG376" s="41">
        <f>AG196+AG236+AG268+AG300</f>
        <v/>
      </c>
      <c r="AH376" s="41">
        <f>AH196+AH236+AH268+AH300</f>
        <v/>
      </c>
      <c r="AI376" s="41">
        <f>AI196+AI236+AI268+AI300</f>
        <v/>
      </c>
      <c r="AJ376" s="41">
        <f>AJ196+AJ236+AJ268+AJ300</f>
        <v/>
      </c>
      <c r="AK376" s="41">
        <f>AK196+AK236+AK268+AK300</f>
        <v/>
      </c>
      <c r="AL376" s="41">
        <f>AL196+AL236+AL268+AL300</f>
        <v/>
      </c>
      <c r="AM376" s="41">
        <f>AM196+AM236+AM268+AM300</f>
        <v/>
      </c>
      <c r="AN376" s="41">
        <f>AN196+AN236+AN268+AN300</f>
        <v/>
      </c>
      <c r="AO376" s="41">
        <f>AO196+AO236+AO268+AO300</f>
        <v/>
      </c>
      <c r="AP376" s="41">
        <f>AP196+AP236+AP268+AP300</f>
        <v/>
      </c>
      <c r="AQ376" s="41">
        <f>AQ196+AQ236+AQ268+AQ300</f>
        <v/>
      </c>
      <c r="AR376" s="41">
        <f>AR196+AR236+AR268+AR300</f>
        <v/>
      </c>
      <c r="AS376" s="41">
        <f>AS196+AS236+AS268+AS300</f>
        <v/>
      </c>
      <c r="AT376" s="41">
        <f>AT196+AT236+AT268+AT300</f>
        <v/>
      </c>
      <c r="AU376" s="41">
        <f>AU196+AU236+AU268+AU300</f>
        <v/>
      </c>
      <c r="AV376" s="41">
        <f>AV196+AV236+AV268+AV300</f>
        <v/>
      </c>
      <c r="AW376" s="41">
        <f>AW196+AW236+AW268+AW300</f>
        <v/>
      </c>
      <c r="AX376" s="41">
        <f>AX196+AX236+AX268+AX300</f>
        <v/>
      </c>
      <c r="AY376" s="41">
        <f>AY196+AY236+AY268+AY300</f>
        <v/>
      </c>
      <c r="AZ376" s="41">
        <f>AZ196+AZ236+AZ268+AZ300</f>
        <v/>
      </c>
      <c r="BA376" s="41">
        <f>BA196+BA236+BA268+BA300</f>
        <v/>
      </c>
      <c r="BB376" s="41">
        <f>BB196+BB236+BB268+BB300</f>
        <v/>
      </c>
      <c r="BC376" s="41">
        <f>BC196+BC236+BC268+BC300</f>
        <v/>
      </c>
      <c r="BD376" s="41">
        <f>BD196+BD236+BD268+BD300</f>
        <v/>
      </c>
      <c r="BE376" s="41">
        <f>BE196+BE236+BE268+BE300</f>
        <v/>
      </c>
      <c r="BF376" s="41">
        <f>BF196+BF236+BF268+BF300</f>
        <v/>
      </c>
      <c r="BG376" s="41">
        <f>BG196+BG236+BG268+BG300</f>
        <v/>
      </c>
      <c r="BH376" s="41">
        <f>BH196+BH236+BH268+BH300</f>
        <v/>
      </c>
      <c r="BI376" s="41">
        <f>BI196+BI236+BI268+BI300</f>
        <v/>
      </c>
      <c r="BJ376" s="41">
        <f>BJ196+BJ236+BJ268+BJ300</f>
        <v/>
      </c>
    </row>
    <row r="377">
      <c r="A377" s="4" t="inlineStr">
        <is>
          <t>Agencies: new customers acquired (excl. upgrades)</t>
        </is>
      </c>
      <c r="B377" s="17" t="inlineStr">
        <is>
          <t>workspaces</t>
        </is>
      </c>
      <c r="C377" s="41">
        <f>C195+C235+C267+C299</f>
        <v/>
      </c>
      <c r="D377" s="41">
        <f>D195+D235+D267+D299</f>
        <v/>
      </c>
      <c r="E377" s="41">
        <f>E195+E235+E267+E299</f>
        <v/>
      </c>
      <c r="F377" s="41">
        <f>F195+F235+F267+F299</f>
        <v/>
      </c>
      <c r="G377" s="41">
        <f>G195+G235+G267+G299</f>
        <v/>
      </c>
      <c r="H377" s="41">
        <f>H195+H235+H267+H299</f>
        <v/>
      </c>
      <c r="I377" s="41">
        <f>I195+I235+I267+I299</f>
        <v/>
      </c>
      <c r="J377" s="41">
        <f>J195+J235+J267+J299</f>
        <v/>
      </c>
      <c r="K377" s="41">
        <f>K195+K235+K267+K299</f>
        <v/>
      </c>
      <c r="L377" s="41">
        <f>L195+L235+L267+L299</f>
        <v/>
      </c>
      <c r="M377" s="41">
        <f>M195+M235+M267+M299</f>
        <v/>
      </c>
      <c r="N377" s="41">
        <f>N195+N235+N267+N299</f>
        <v/>
      </c>
      <c r="O377" s="41">
        <f>O195+O235+O267+O299</f>
        <v/>
      </c>
      <c r="P377" s="41">
        <f>P195+P235+P267+P299</f>
        <v/>
      </c>
      <c r="Q377" s="41">
        <f>Q195+Q235+Q267+Q299</f>
        <v/>
      </c>
      <c r="R377" s="41">
        <f>R195+R235+R267+R299</f>
        <v/>
      </c>
      <c r="S377" s="41">
        <f>S195+S235+S267+S299</f>
        <v/>
      </c>
      <c r="T377" s="41">
        <f>T195+T235+T267+T299</f>
        <v/>
      </c>
      <c r="U377" s="41">
        <f>U195+U235+U267+U299</f>
        <v/>
      </c>
      <c r="V377" s="41">
        <f>V195+V235+V267+V299</f>
        <v/>
      </c>
      <c r="W377" s="41">
        <f>W195+W235+W267+W299</f>
        <v/>
      </c>
      <c r="X377" s="41">
        <f>X195+X235+X267+X299</f>
        <v/>
      </c>
      <c r="Y377" s="41">
        <f>Y195+Y235+Y267+Y299</f>
        <v/>
      </c>
      <c r="Z377" s="41">
        <f>Z195+Z235+Z267+Z299</f>
        <v/>
      </c>
      <c r="AA377" s="41">
        <f>AA195+AA235+AA267+AA299</f>
        <v/>
      </c>
      <c r="AB377" s="41">
        <f>AB195+AB235+AB267+AB299</f>
        <v/>
      </c>
      <c r="AC377" s="41">
        <f>AC195+AC235+AC267+AC299</f>
        <v/>
      </c>
      <c r="AD377" s="41">
        <f>AD195+AD235+AD267+AD299</f>
        <v/>
      </c>
      <c r="AE377" s="41">
        <f>AE195+AE235+AE267+AE299</f>
        <v/>
      </c>
      <c r="AF377" s="41">
        <f>AF195+AF235+AF267+AF299</f>
        <v/>
      </c>
      <c r="AG377" s="41">
        <f>AG195+AG235+AG267+AG299</f>
        <v/>
      </c>
      <c r="AH377" s="41">
        <f>AH195+AH235+AH267+AH299</f>
        <v/>
      </c>
      <c r="AI377" s="41">
        <f>AI195+AI235+AI267+AI299</f>
        <v/>
      </c>
      <c r="AJ377" s="41">
        <f>AJ195+AJ235+AJ267+AJ299</f>
        <v/>
      </c>
      <c r="AK377" s="41">
        <f>AK195+AK235+AK267+AK299</f>
        <v/>
      </c>
      <c r="AL377" s="41">
        <f>AL195+AL235+AL267+AL299</f>
        <v/>
      </c>
      <c r="AM377" s="41">
        <f>AM195+AM235+AM267+AM299</f>
        <v/>
      </c>
      <c r="AN377" s="41">
        <f>AN195+AN235+AN267+AN299</f>
        <v/>
      </c>
      <c r="AO377" s="41">
        <f>AO195+AO235+AO267+AO299</f>
        <v/>
      </c>
      <c r="AP377" s="41">
        <f>AP195+AP235+AP267+AP299</f>
        <v/>
      </c>
      <c r="AQ377" s="41">
        <f>AQ195+AQ235+AQ267+AQ299</f>
        <v/>
      </c>
      <c r="AR377" s="41">
        <f>AR195+AR235+AR267+AR299</f>
        <v/>
      </c>
      <c r="AS377" s="41">
        <f>AS195+AS235+AS267+AS299</f>
        <v/>
      </c>
      <c r="AT377" s="41">
        <f>AT195+AT235+AT267+AT299</f>
        <v/>
      </c>
      <c r="AU377" s="41">
        <f>AU195+AU235+AU267+AU299</f>
        <v/>
      </c>
      <c r="AV377" s="41">
        <f>AV195+AV235+AV267+AV299</f>
        <v/>
      </c>
      <c r="AW377" s="41">
        <f>AW195+AW235+AW267+AW299</f>
        <v/>
      </c>
      <c r="AX377" s="41">
        <f>AX195+AX235+AX267+AX299</f>
        <v/>
      </c>
      <c r="AY377" s="41">
        <f>AY195+AY235+AY267+AY299</f>
        <v/>
      </c>
      <c r="AZ377" s="41">
        <f>AZ195+AZ235+AZ267+AZ299</f>
        <v/>
      </c>
      <c r="BA377" s="41">
        <f>BA195+BA235+BA267+BA299</f>
        <v/>
      </c>
      <c r="BB377" s="41">
        <f>BB195+BB235+BB267+BB299</f>
        <v/>
      </c>
      <c r="BC377" s="41">
        <f>BC195+BC235+BC267+BC299</f>
        <v/>
      </c>
      <c r="BD377" s="41">
        <f>BD195+BD235+BD267+BD299</f>
        <v/>
      </c>
      <c r="BE377" s="41">
        <f>BE195+BE235+BE267+BE299</f>
        <v/>
      </c>
      <c r="BF377" s="41">
        <f>BF195+BF235+BF267+BF299</f>
        <v/>
      </c>
      <c r="BG377" s="41">
        <f>BG195+BG235+BG267+BG299</f>
        <v/>
      </c>
      <c r="BH377" s="41">
        <f>BH195+BH235+BH267+BH299</f>
        <v/>
      </c>
      <c r="BI377" s="41">
        <f>BI195+BI235+BI267+BI299</f>
        <v/>
      </c>
      <c r="BJ377" s="41">
        <f>BJ195+BJ235+BJ267+BJ299</f>
        <v/>
      </c>
    </row>
    <row r="378">
      <c r="A378" s="4" t="inlineStr">
        <is>
          <t>Corporate: opening</t>
        </is>
      </c>
      <c r="B378" s="17" t="inlineStr">
        <is>
          <t>workspaces</t>
        </is>
      </c>
      <c r="C378" s="41">
        <f>C198</f>
        <v/>
      </c>
      <c r="D378" s="41">
        <f>D198</f>
        <v/>
      </c>
      <c r="E378" s="41">
        <f>E198</f>
        <v/>
      </c>
      <c r="F378" s="41">
        <f>F198</f>
        <v/>
      </c>
      <c r="G378" s="41">
        <f>G198</f>
        <v/>
      </c>
      <c r="H378" s="41">
        <f>H198</f>
        <v/>
      </c>
      <c r="I378" s="41">
        <f>I198</f>
        <v/>
      </c>
      <c r="J378" s="41">
        <f>J198</f>
        <v/>
      </c>
      <c r="K378" s="41">
        <f>K198</f>
        <v/>
      </c>
      <c r="L378" s="41">
        <f>L198</f>
        <v/>
      </c>
      <c r="M378" s="41">
        <f>M198</f>
        <v/>
      </c>
      <c r="N378" s="41">
        <f>N198</f>
        <v/>
      </c>
      <c r="O378" s="41">
        <f>O198</f>
        <v/>
      </c>
      <c r="P378" s="41">
        <f>P198</f>
        <v/>
      </c>
      <c r="Q378" s="41">
        <f>Q198</f>
        <v/>
      </c>
      <c r="R378" s="41">
        <f>R198</f>
        <v/>
      </c>
      <c r="S378" s="41">
        <f>S198</f>
        <v/>
      </c>
      <c r="T378" s="41">
        <f>T198</f>
        <v/>
      </c>
      <c r="U378" s="41">
        <f>U198</f>
        <v/>
      </c>
      <c r="V378" s="41">
        <f>V198</f>
        <v/>
      </c>
      <c r="W378" s="41">
        <f>W198</f>
        <v/>
      </c>
      <c r="X378" s="41">
        <f>X198</f>
        <v/>
      </c>
      <c r="Y378" s="41">
        <f>Y198</f>
        <v/>
      </c>
      <c r="Z378" s="41">
        <f>Z198</f>
        <v/>
      </c>
      <c r="AA378" s="41">
        <f>AA198</f>
        <v/>
      </c>
      <c r="AB378" s="41">
        <f>AB198</f>
        <v/>
      </c>
      <c r="AC378" s="41">
        <f>AC198</f>
        <v/>
      </c>
      <c r="AD378" s="41">
        <f>AD198</f>
        <v/>
      </c>
      <c r="AE378" s="41">
        <f>AE198</f>
        <v/>
      </c>
      <c r="AF378" s="41">
        <f>AF198</f>
        <v/>
      </c>
      <c r="AG378" s="41">
        <f>AG198</f>
        <v/>
      </c>
      <c r="AH378" s="41">
        <f>AH198</f>
        <v/>
      </c>
      <c r="AI378" s="41">
        <f>AI198</f>
        <v/>
      </c>
      <c r="AJ378" s="41">
        <f>AJ198</f>
        <v/>
      </c>
      <c r="AK378" s="41">
        <f>AK198</f>
        <v/>
      </c>
      <c r="AL378" s="41">
        <f>AL198</f>
        <v/>
      </c>
      <c r="AM378" s="41">
        <f>AM198</f>
        <v/>
      </c>
      <c r="AN378" s="41">
        <f>AN198</f>
        <v/>
      </c>
      <c r="AO378" s="41">
        <f>AO198</f>
        <v/>
      </c>
      <c r="AP378" s="41">
        <f>AP198</f>
        <v/>
      </c>
      <c r="AQ378" s="41">
        <f>AQ198</f>
        <v/>
      </c>
      <c r="AR378" s="41">
        <f>AR198</f>
        <v/>
      </c>
      <c r="AS378" s="41">
        <f>AS198</f>
        <v/>
      </c>
      <c r="AT378" s="41">
        <f>AT198</f>
        <v/>
      </c>
      <c r="AU378" s="41">
        <f>AU198</f>
        <v/>
      </c>
      <c r="AV378" s="41">
        <f>AV198</f>
        <v/>
      </c>
      <c r="AW378" s="41">
        <f>AW198</f>
        <v/>
      </c>
      <c r="AX378" s="41">
        <f>AX198</f>
        <v/>
      </c>
      <c r="AY378" s="41">
        <f>AY198</f>
        <v/>
      </c>
      <c r="AZ378" s="41">
        <f>AZ198</f>
        <v/>
      </c>
      <c r="BA378" s="41">
        <f>BA198</f>
        <v/>
      </c>
      <c r="BB378" s="41">
        <f>BB198</f>
        <v/>
      </c>
      <c r="BC378" s="41">
        <f>BC198</f>
        <v/>
      </c>
      <c r="BD378" s="41">
        <f>BD198</f>
        <v/>
      </c>
      <c r="BE378" s="41">
        <f>BE198</f>
        <v/>
      </c>
      <c r="BF378" s="41">
        <f>BF198</f>
        <v/>
      </c>
      <c r="BG378" s="41">
        <f>BG198</f>
        <v/>
      </c>
      <c r="BH378" s="41">
        <f>BH198</f>
        <v/>
      </c>
      <c r="BI378" s="41">
        <f>BI198</f>
        <v/>
      </c>
      <c r="BJ378" s="41">
        <f>BJ198</f>
        <v/>
      </c>
    </row>
    <row r="379">
      <c r="A379" s="3" t="inlineStr">
        <is>
          <t>Corporate: closing</t>
        </is>
      </c>
      <c r="B379" s="17" t="inlineStr">
        <is>
          <t>workspaces</t>
        </is>
      </c>
      <c r="C379" s="44">
        <f>C201</f>
        <v/>
      </c>
      <c r="D379" s="44">
        <f>D201</f>
        <v/>
      </c>
      <c r="E379" s="44">
        <f>E201</f>
        <v/>
      </c>
      <c r="F379" s="44">
        <f>F201</f>
        <v/>
      </c>
      <c r="G379" s="44">
        <f>G201</f>
        <v/>
      </c>
      <c r="H379" s="44">
        <f>H201</f>
        <v/>
      </c>
      <c r="I379" s="44">
        <f>I201</f>
        <v/>
      </c>
      <c r="J379" s="44">
        <f>J201</f>
        <v/>
      </c>
      <c r="K379" s="44">
        <f>K201</f>
        <v/>
      </c>
      <c r="L379" s="44">
        <f>L201</f>
        <v/>
      </c>
      <c r="M379" s="44">
        <f>M201</f>
        <v/>
      </c>
      <c r="N379" s="44">
        <f>N201</f>
        <v/>
      </c>
      <c r="O379" s="44">
        <f>O201</f>
        <v/>
      </c>
      <c r="P379" s="44">
        <f>P201</f>
        <v/>
      </c>
      <c r="Q379" s="44">
        <f>Q201</f>
        <v/>
      </c>
      <c r="R379" s="44">
        <f>R201</f>
        <v/>
      </c>
      <c r="S379" s="44">
        <f>S201</f>
        <v/>
      </c>
      <c r="T379" s="44">
        <f>T201</f>
        <v/>
      </c>
      <c r="U379" s="44">
        <f>U201</f>
        <v/>
      </c>
      <c r="V379" s="44">
        <f>V201</f>
        <v/>
      </c>
      <c r="W379" s="44">
        <f>W201</f>
        <v/>
      </c>
      <c r="X379" s="44">
        <f>X201</f>
        <v/>
      </c>
      <c r="Y379" s="44">
        <f>Y201</f>
        <v/>
      </c>
      <c r="Z379" s="44">
        <f>Z201</f>
        <v/>
      </c>
      <c r="AA379" s="44">
        <f>AA201</f>
        <v/>
      </c>
      <c r="AB379" s="44">
        <f>AB201</f>
        <v/>
      </c>
      <c r="AC379" s="44">
        <f>AC201</f>
        <v/>
      </c>
      <c r="AD379" s="44">
        <f>AD201</f>
        <v/>
      </c>
      <c r="AE379" s="44">
        <f>AE201</f>
        <v/>
      </c>
      <c r="AF379" s="44">
        <f>AF201</f>
        <v/>
      </c>
      <c r="AG379" s="44">
        <f>AG201</f>
        <v/>
      </c>
      <c r="AH379" s="44">
        <f>AH201</f>
        <v/>
      </c>
      <c r="AI379" s="44">
        <f>AI201</f>
        <v/>
      </c>
      <c r="AJ379" s="44">
        <f>AJ201</f>
        <v/>
      </c>
      <c r="AK379" s="44">
        <f>AK201</f>
        <v/>
      </c>
      <c r="AL379" s="44">
        <f>AL201</f>
        <v/>
      </c>
      <c r="AM379" s="44">
        <f>AM201</f>
        <v/>
      </c>
      <c r="AN379" s="44">
        <f>AN201</f>
        <v/>
      </c>
      <c r="AO379" s="44">
        <f>AO201</f>
        <v/>
      </c>
      <c r="AP379" s="44">
        <f>AP201</f>
        <v/>
      </c>
      <c r="AQ379" s="44">
        <f>AQ201</f>
        <v/>
      </c>
      <c r="AR379" s="44">
        <f>AR201</f>
        <v/>
      </c>
      <c r="AS379" s="44">
        <f>AS201</f>
        <v/>
      </c>
      <c r="AT379" s="44">
        <f>AT201</f>
        <v/>
      </c>
      <c r="AU379" s="44">
        <f>AU201</f>
        <v/>
      </c>
      <c r="AV379" s="44">
        <f>AV201</f>
        <v/>
      </c>
      <c r="AW379" s="44">
        <f>AW201</f>
        <v/>
      </c>
      <c r="AX379" s="44">
        <f>AX201</f>
        <v/>
      </c>
      <c r="AY379" s="44">
        <f>AY201</f>
        <v/>
      </c>
      <c r="AZ379" s="44">
        <f>AZ201</f>
        <v/>
      </c>
      <c r="BA379" s="44">
        <f>BA201</f>
        <v/>
      </c>
      <c r="BB379" s="44">
        <f>BB201</f>
        <v/>
      </c>
      <c r="BC379" s="44">
        <f>BC201</f>
        <v/>
      </c>
      <c r="BD379" s="44">
        <f>BD201</f>
        <v/>
      </c>
      <c r="BE379" s="44">
        <f>BE201</f>
        <v/>
      </c>
      <c r="BF379" s="44">
        <f>BF201</f>
        <v/>
      </c>
      <c r="BG379" s="44">
        <f>BG201</f>
        <v/>
      </c>
      <c r="BH379" s="44">
        <f>BH201</f>
        <v/>
      </c>
      <c r="BI379" s="44">
        <f>BI201</f>
        <v/>
      </c>
      <c r="BJ379" s="44">
        <f>BJ201</f>
        <v/>
      </c>
    </row>
    <row r="380">
      <c r="A380" s="4" t="inlineStr">
        <is>
          <t>Corporate: churned</t>
        </is>
      </c>
      <c r="B380" s="17" t="inlineStr">
        <is>
          <t>workspaces</t>
        </is>
      </c>
      <c r="C380" s="41">
        <f>C200</f>
        <v/>
      </c>
      <c r="D380" s="41">
        <f>D200</f>
        <v/>
      </c>
      <c r="E380" s="41">
        <f>E200</f>
        <v/>
      </c>
      <c r="F380" s="41">
        <f>F200</f>
        <v/>
      </c>
      <c r="G380" s="41">
        <f>G200</f>
        <v/>
      </c>
      <c r="H380" s="41">
        <f>H200</f>
        <v/>
      </c>
      <c r="I380" s="41">
        <f>I200</f>
        <v/>
      </c>
      <c r="J380" s="41">
        <f>J200</f>
        <v/>
      </c>
      <c r="K380" s="41">
        <f>K200</f>
        <v/>
      </c>
      <c r="L380" s="41">
        <f>L200</f>
        <v/>
      </c>
      <c r="M380" s="41">
        <f>M200</f>
        <v/>
      </c>
      <c r="N380" s="41">
        <f>N200</f>
        <v/>
      </c>
      <c r="O380" s="41">
        <f>O200</f>
        <v/>
      </c>
      <c r="P380" s="41">
        <f>P200</f>
        <v/>
      </c>
      <c r="Q380" s="41">
        <f>Q200</f>
        <v/>
      </c>
      <c r="R380" s="41">
        <f>R200</f>
        <v/>
      </c>
      <c r="S380" s="41">
        <f>S200</f>
        <v/>
      </c>
      <c r="T380" s="41">
        <f>T200</f>
        <v/>
      </c>
      <c r="U380" s="41">
        <f>U200</f>
        <v/>
      </c>
      <c r="V380" s="41">
        <f>V200</f>
        <v/>
      </c>
      <c r="W380" s="41">
        <f>W200</f>
        <v/>
      </c>
      <c r="X380" s="41">
        <f>X200</f>
        <v/>
      </c>
      <c r="Y380" s="41">
        <f>Y200</f>
        <v/>
      </c>
      <c r="Z380" s="41">
        <f>Z200</f>
        <v/>
      </c>
      <c r="AA380" s="41">
        <f>AA200</f>
        <v/>
      </c>
      <c r="AB380" s="41">
        <f>AB200</f>
        <v/>
      </c>
      <c r="AC380" s="41">
        <f>AC200</f>
        <v/>
      </c>
      <c r="AD380" s="41">
        <f>AD200</f>
        <v/>
      </c>
      <c r="AE380" s="41">
        <f>AE200</f>
        <v/>
      </c>
      <c r="AF380" s="41">
        <f>AF200</f>
        <v/>
      </c>
      <c r="AG380" s="41">
        <f>AG200</f>
        <v/>
      </c>
      <c r="AH380" s="41">
        <f>AH200</f>
        <v/>
      </c>
      <c r="AI380" s="41">
        <f>AI200</f>
        <v/>
      </c>
      <c r="AJ380" s="41">
        <f>AJ200</f>
        <v/>
      </c>
      <c r="AK380" s="41">
        <f>AK200</f>
        <v/>
      </c>
      <c r="AL380" s="41">
        <f>AL200</f>
        <v/>
      </c>
      <c r="AM380" s="41">
        <f>AM200</f>
        <v/>
      </c>
      <c r="AN380" s="41">
        <f>AN200</f>
        <v/>
      </c>
      <c r="AO380" s="41">
        <f>AO200</f>
        <v/>
      </c>
      <c r="AP380" s="41">
        <f>AP200</f>
        <v/>
      </c>
      <c r="AQ380" s="41">
        <f>AQ200</f>
        <v/>
      </c>
      <c r="AR380" s="41">
        <f>AR200</f>
        <v/>
      </c>
      <c r="AS380" s="41">
        <f>AS200</f>
        <v/>
      </c>
      <c r="AT380" s="41">
        <f>AT200</f>
        <v/>
      </c>
      <c r="AU380" s="41">
        <f>AU200</f>
        <v/>
      </c>
      <c r="AV380" s="41">
        <f>AV200</f>
        <v/>
      </c>
      <c r="AW380" s="41">
        <f>AW200</f>
        <v/>
      </c>
      <c r="AX380" s="41">
        <f>AX200</f>
        <v/>
      </c>
      <c r="AY380" s="41">
        <f>AY200</f>
        <v/>
      </c>
      <c r="AZ380" s="41">
        <f>AZ200</f>
        <v/>
      </c>
      <c r="BA380" s="41">
        <f>BA200</f>
        <v/>
      </c>
      <c r="BB380" s="41">
        <f>BB200</f>
        <v/>
      </c>
      <c r="BC380" s="41">
        <f>BC200</f>
        <v/>
      </c>
      <c r="BD380" s="41">
        <f>BD200</f>
        <v/>
      </c>
      <c r="BE380" s="41">
        <f>BE200</f>
        <v/>
      </c>
      <c r="BF380" s="41">
        <f>BF200</f>
        <v/>
      </c>
      <c r="BG380" s="41">
        <f>BG200</f>
        <v/>
      </c>
      <c r="BH380" s="41">
        <f>BH200</f>
        <v/>
      </c>
      <c r="BI380" s="41">
        <f>BI200</f>
        <v/>
      </c>
      <c r="BJ380" s="41">
        <f>BJ200</f>
        <v/>
      </c>
    </row>
    <row r="381">
      <c r="A381" s="4" t="inlineStr">
        <is>
          <t>Corporate: new customers acquired (excl. upgrades)</t>
        </is>
      </c>
      <c r="B381" s="17" t="inlineStr">
        <is>
          <t>workspaces</t>
        </is>
      </c>
      <c r="C381" s="41">
        <f>C199</f>
        <v/>
      </c>
      <c r="D381" s="41">
        <f>D199</f>
        <v/>
      </c>
      <c r="E381" s="41">
        <f>E199</f>
        <v/>
      </c>
      <c r="F381" s="41">
        <f>F199</f>
        <v/>
      </c>
      <c r="G381" s="41">
        <f>G199</f>
        <v/>
      </c>
      <c r="H381" s="41">
        <f>H199</f>
        <v/>
      </c>
      <c r="I381" s="41">
        <f>I199</f>
        <v/>
      </c>
      <c r="J381" s="41">
        <f>J199</f>
        <v/>
      </c>
      <c r="K381" s="41">
        <f>K199</f>
        <v/>
      </c>
      <c r="L381" s="41">
        <f>L199</f>
        <v/>
      </c>
      <c r="M381" s="41">
        <f>M199</f>
        <v/>
      </c>
      <c r="N381" s="41">
        <f>N199</f>
        <v/>
      </c>
      <c r="O381" s="41">
        <f>O199</f>
        <v/>
      </c>
      <c r="P381" s="41">
        <f>P199</f>
        <v/>
      </c>
      <c r="Q381" s="41">
        <f>Q199</f>
        <v/>
      </c>
      <c r="R381" s="41">
        <f>R199</f>
        <v/>
      </c>
      <c r="S381" s="41">
        <f>S199</f>
        <v/>
      </c>
      <c r="T381" s="41">
        <f>T199</f>
        <v/>
      </c>
      <c r="U381" s="41">
        <f>U199</f>
        <v/>
      </c>
      <c r="V381" s="41">
        <f>V199</f>
        <v/>
      </c>
      <c r="W381" s="41">
        <f>W199</f>
        <v/>
      </c>
      <c r="X381" s="41">
        <f>X199</f>
        <v/>
      </c>
      <c r="Y381" s="41">
        <f>Y199</f>
        <v/>
      </c>
      <c r="Z381" s="41">
        <f>Z199</f>
        <v/>
      </c>
      <c r="AA381" s="41">
        <f>AA199</f>
        <v/>
      </c>
      <c r="AB381" s="41">
        <f>AB199</f>
        <v/>
      </c>
      <c r="AC381" s="41">
        <f>AC199</f>
        <v/>
      </c>
      <c r="AD381" s="41">
        <f>AD199</f>
        <v/>
      </c>
      <c r="AE381" s="41">
        <f>AE199</f>
        <v/>
      </c>
      <c r="AF381" s="41">
        <f>AF199</f>
        <v/>
      </c>
      <c r="AG381" s="41">
        <f>AG199</f>
        <v/>
      </c>
      <c r="AH381" s="41">
        <f>AH199</f>
        <v/>
      </c>
      <c r="AI381" s="41">
        <f>AI199</f>
        <v/>
      </c>
      <c r="AJ381" s="41">
        <f>AJ199</f>
        <v/>
      </c>
      <c r="AK381" s="41">
        <f>AK199</f>
        <v/>
      </c>
      <c r="AL381" s="41">
        <f>AL199</f>
        <v/>
      </c>
      <c r="AM381" s="41">
        <f>AM199</f>
        <v/>
      </c>
      <c r="AN381" s="41">
        <f>AN199</f>
        <v/>
      </c>
      <c r="AO381" s="41">
        <f>AO199</f>
        <v/>
      </c>
      <c r="AP381" s="41">
        <f>AP199</f>
        <v/>
      </c>
      <c r="AQ381" s="41">
        <f>AQ199</f>
        <v/>
      </c>
      <c r="AR381" s="41">
        <f>AR199</f>
        <v/>
      </c>
      <c r="AS381" s="41">
        <f>AS199</f>
        <v/>
      </c>
      <c r="AT381" s="41">
        <f>AT199</f>
        <v/>
      </c>
      <c r="AU381" s="41">
        <f>AU199</f>
        <v/>
      </c>
      <c r="AV381" s="41">
        <f>AV199</f>
        <v/>
      </c>
      <c r="AW381" s="41">
        <f>AW199</f>
        <v/>
      </c>
      <c r="AX381" s="41">
        <f>AX199</f>
        <v/>
      </c>
      <c r="AY381" s="41">
        <f>AY199</f>
        <v/>
      </c>
      <c r="AZ381" s="41">
        <f>AZ199</f>
        <v/>
      </c>
      <c r="BA381" s="41">
        <f>BA199</f>
        <v/>
      </c>
      <c r="BB381" s="41">
        <f>BB199</f>
        <v/>
      </c>
      <c r="BC381" s="41">
        <f>BC199</f>
        <v/>
      </c>
      <c r="BD381" s="41">
        <f>BD199</f>
        <v/>
      </c>
      <c r="BE381" s="41">
        <f>BE199</f>
        <v/>
      </c>
      <c r="BF381" s="41">
        <f>BF199</f>
        <v/>
      </c>
      <c r="BG381" s="41">
        <f>BG199</f>
        <v/>
      </c>
      <c r="BH381" s="41">
        <f>BH199</f>
        <v/>
      </c>
      <c r="BI381" s="41">
        <f>BI199</f>
        <v/>
      </c>
      <c r="BJ381" s="41">
        <f>BJ199</f>
        <v/>
      </c>
    </row>
    <row r="382">
      <c r="A382" s="4" t="inlineStr">
        <is>
          <t>Enterprise: opening</t>
        </is>
      </c>
      <c r="B382" s="17" t="inlineStr">
        <is>
          <t>workspaces</t>
        </is>
      </c>
      <c r="C382" s="41">
        <f>C202</f>
        <v/>
      </c>
      <c r="D382" s="41">
        <f>D202</f>
        <v/>
      </c>
      <c r="E382" s="41">
        <f>E202</f>
        <v/>
      </c>
      <c r="F382" s="41">
        <f>F202</f>
        <v/>
      </c>
      <c r="G382" s="41">
        <f>G202</f>
        <v/>
      </c>
      <c r="H382" s="41">
        <f>H202</f>
        <v/>
      </c>
      <c r="I382" s="41">
        <f>I202</f>
        <v/>
      </c>
      <c r="J382" s="41">
        <f>J202</f>
        <v/>
      </c>
      <c r="K382" s="41">
        <f>K202</f>
        <v/>
      </c>
      <c r="L382" s="41">
        <f>L202</f>
        <v/>
      </c>
      <c r="M382" s="41">
        <f>M202</f>
        <v/>
      </c>
      <c r="N382" s="41">
        <f>N202</f>
        <v/>
      </c>
      <c r="O382" s="41">
        <f>O202</f>
        <v/>
      </c>
      <c r="P382" s="41">
        <f>P202</f>
        <v/>
      </c>
      <c r="Q382" s="41">
        <f>Q202</f>
        <v/>
      </c>
      <c r="R382" s="41">
        <f>R202</f>
        <v/>
      </c>
      <c r="S382" s="41">
        <f>S202</f>
        <v/>
      </c>
      <c r="T382" s="41">
        <f>T202</f>
        <v/>
      </c>
      <c r="U382" s="41">
        <f>U202</f>
        <v/>
      </c>
      <c r="V382" s="41">
        <f>V202</f>
        <v/>
      </c>
      <c r="W382" s="41">
        <f>W202</f>
        <v/>
      </c>
      <c r="X382" s="41">
        <f>X202</f>
        <v/>
      </c>
      <c r="Y382" s="41">
        <f>Y202</f>
        <v/>
      </c>
      <c r="Z382" s="41">
        <f>Z202</f>
        <v/>
      </c>
      <c r="AA382" s="41">
        <f>AA202</f>
        <v/>
      </c>
      <c r="AB382" s="41">
        <f>AB202</f>
        <v/>
      </c>
      <c r="AC382" s="41">
        <f>AC202</f>
        <v/>
      </c>
      <c r="AD382" s="41">
        <f>AD202</f>
        <v/>
      </c>
      <c r="AE382" s="41">
        <f>AE202</f>
        <v/>
      </c>
      <c r="AF382" s="41">
        <f>AF202</f>
        <v/>
      </c>
      <c r="AG382" s="41">
        <f>AG202</f>
        <v/>
      </c>
      <c r="AH382" s="41">
        <f>AH202</f>
        <v/>
      </c>
      <c r="AI382" s="41">
        <f>AI202</f>
        <v/>
      </c>
      <c r="AJ382" s="41">
        <f>AJ202</f>
        <v/>
      </c>
      <c r="AK382" s="41">
        <f>AK202</f>
        <v/>
      </c>
      <c r="AL382" s="41">
        <f>AL202</f>
        <v/>
      </c>
      <c r="AM382" s="41">
        <f>AM202</f>
        <v/>
      </c>
      <c r="AN382" s="41">
        <f>AN202</f>
        <v/>
      </c>
      <c r="AO382" s="41">
        <f>AO202</f>
        <v/>
      </c>
      <c r="AP382" s="41">
        <f>AP202</f>
        <v/>
      </c>
      <c r="AQ382" s="41">
        <f>AQ202</f>
        <v/>
      </c>
      <c r="AR382" s="41">
        <f>AR202</f>
        <v/>
      </c>
      <c r="AS382" s="41">
        <f>AS202</f>
        <v/>
      </c>
      <c r="AT382" s="41">
        <f>AT202</f>
        <v/>
      </c>
      <c r="AU382" s="41">
        <f>AU202</f>
        <v/>
      </c>
      <c r="AV382" s="41">
        <f>AV202</f>
        <v/>
      </c>
      <c r="AW382" s="41">
        <f>AW202</f>
        <v/>
      </c>
      <c r="AX382" s="41">
        <f>AX202</f>
        <v/>
      </c>
      <c r="AY382" s="41">
        <f>AY202</f>
        <v/>
      </c>
      <c r="AZ382" s="41">
        <f>AZ202</f>
        <v/>
      </c>
      <c r="BA382" s="41">
        <f>BA202</f>
        <v/>
      </c>
      <c r="BB382" s="41">
        <f>BB202</f>
        <v/>
      </c>
      <c r="BC382" s="41">
        <f>BC202</f>
        <v/>
      </c>
      <c r="BD382" s="41">
        <f>BD202</f>
        <v/>
      </c>
      <c r="BE382" s="41">
        <f>BE202</f>
        <v/>
      </c>
      <c r="BF382" s="41">
        <f>BF202</f>
        <v/>
      </c>
      <c r="BG382" s="41">
        <f>BG202</f>
        <v/>
      </c>
      <c r="BH382" s="41">
        <f>BH202</f>
        <v/>
      </c>
      <c r="BI382" s="41">
        <f>BI202</f>
        <v/>
      </c>
      <c r="BJ382" s="41">
        <f>BJ202</f>
        <v/>
      </c>
    </row>
    <row r="383">
      <c r="A383" s="3" t="inlineStr">
        <is>
          <t>Enterprise: closing</t>
        </is>
      </c>
      <c r="B383" s="17" t="inlineStr">
        <is>
          <t>workspaces</t>
        </is>
      </c>
      <c r="C383" s="44">
        <f>C205</f>
        <v/>
      </c>
      <c r="D383" s="44">
        <f>D205</f>
        <v/>
      </c>
      <c r="E383" s="44">
        <f>E205</f>
        <v/>
      </c>
      <c r="F383" s="44">
        <f>F205</f>
        <v/>
      </c>
      <c r="G383" s="44">
        <f>G205</f>
        <v/>
      </c>
      <c r="H383" s="44">
        <f>H205</f>
        <v/>
      </c>
      <c r="I383" s="44">
        <f>I205</f>
        <v/>
      </c>
      <c r="J383" s="44">
        <f>J205</f>
        <v/>
      </c>
      <c r="K383" s="44">
        <f>K205</f>
        <v/>
      </c>
      <c r="L383" s="44">
        <f>L205</f>
        <v/>
      </c>
      <c r="M383" s="44">
        <f>M205</f>
        <v/>
      </c>
      <c r="N383" s="44">
        <f>N205</f>
        <v/>
      </c>
      <c r="O383" s="44">
        <f>O205</f>
        <v/>
      </c>
      <c r="P383" s="44">
        <f>P205</f>
        <v/>
      </c>
      <c r="Q383" s="44">
        <f>Q205</f>
        <v/>
      </c>
      <c r="R383" s="44">
        <f>R205</f>
        <v/>
      </c>
      <c r="S383" s="44">
        <f>S205</f>
        <v/>
      </c>
      <c r="T383" s="44">
        <f>T205</f>
        <v/>
      </c>
      <c r="U383" s="44">
        <f>U205</f>
        <v/>
      </c>
      <c r="V383" s="44">
        <f>V205</f>
        <v/>
      </c>
      <c r="W383" s="44">
        <f>W205</f>
        <v/>
      </c>
      <c r="X383" s="44">
        <f>X205</f>
        <v/>
      </c>
      <c r="Y383" s="44">
        <f>Y205</f>
        <v/>
      </c>
      <c r="Z383" s="44">
        <f>Z205</f>
        <v/>
      </c>
      <c r="AA383" s="44">
        <f>AA205</f>
        <v/>
      </c>
      <c r="AB383" s="44">
        <f>AB205</f>
        <v/>
      </c>
      <c r="AC383" s="44">
        <f>AC205</f>
        <v/>
      </c>
      <c r="AD383" s="44">
        <f>AD205</f>
        <v/>
      </c>
      <c r="AE383" s="44">
        <f>AE205</f>
        <v/>
      </c>
      <c r="AF383" s="44">
        <f>AF205</f>
        <v/>
      </c>
      <c r="AG383" s="44">
        <f>AG205</f>
        <v/>
      </c>
      <c r="AH383" s="44">
        <f>AH205</f>
        <v/>
      </c>
      <c r="AI383" s="44">
        <f>AI205</f>
        <v/>
      </c>
      <c r="AJ383" s="44">
        <f>AJ205</f>
        <v/>
      </c>
      <c r="AK383" s="44">
        <f>AK205</f>
        <v/>
      </c>
      <c r="AL383" s="44">
        <f>AL205</f>
        <v/>
      </c>
      <c r="AM383" s="44">
        <f>AM205</f>
        <v/>
      </c>
      <c r="AN383" s="44">
        <f>AN205</f>
        <v/>
      </c>
      <c r="AO383" s="44">
        <f>AO205</f>
        <v/>
      </c>
      <c r="AP383" s="44">
        <f>AP205</f>
        <v/>
      </c>
      <c r="AQ383" s="44">
        <f>AQ205</f>
        <v/>
      </c>
      <c r="AR383" s="44">
        <f>AR205</f>
        <v/>
      </c>
      <c r="AS383" s="44">
        <f>AS205</f>
        <v/>
      </c>
      <c r="AT383" s="44">
        <f>AT205</f>
        <v/>
      </c>
      <c r="AU383" s="44">
        <f>AU205</f>
        <v/>
      </c>
      <c r="AV383" s="44">
        <f>AV205</f>
        <v/>
      </c>
      <c r="AW383" s="44">
        <f>AW205</f>
        <v/>
      </c>
      <c r="AX383" s="44">
        <f>AX205</f>
        <v/>
      </c>
      <c r="AY383" s="44">
        <f>AY205</f>
        <v/>
      </c>
      <c r="AZ383" s="44">
        <f>AZ205</f>
        <v/>
      </c>
      <c r="BA383" s="44">
        <f>BA205</f>
        <v/>
      </c>
      <c r="BB383" s="44">
        <f>BB205</f>
        <v/>
      </c>
      <c r="BC383" s="44">
        <f>BC205</f>
        <v/>
      </c>
      <c r="BD383" s="44">
        <f>BD205</f>
        <v/>
      </c>
      <c r="BE383" s="44">
        <f>BE205</f>
        <v/>
      </c>
      <c r="BF383" s="44">
        <f>BF205</f>
        <v/>
      </c>
      <c r="BG383" s="44">
        <f>BG205</f>
        <v/>
      </c>
      <c r="BH383" s="44">
        <f>BH205</f>
        <v/>
      </c>
      <c r="BI383" s="44">
        <f>BI205</f>
        <v/>
      </c>
      <c r="BJ383" s="44">
        <f>BJ205</f>
        <v/>
      </c>
    </row>
    <row r="384">
      <c r="A384" s="4" t="inlineStr">
        <is>
          <t>Enterprise: churned</t>
        </is>
      </c>
      <c r="B384" s="17" t="inlineStr">
        <is>
          <t>workspaces</t>
        </is>
      </c>
      <c r="C384" s="41">
        <f>C204</f>
        <v/>
      </c>
      <c r="D384" s="41">
        <f>D204</f>
        <v/>
      </c>
      <c r="E384" s="41">
        <f>E204</f>
        <v/>
      </c>
      <c r="F384" s="41">
        <f>F204</f>
        <v/>
      </c>
      <c r="G384" s="41">
        <f>G204</f>
        <v/>
      </c>
      <c r="H384" s="41">
        <f>H204</f>
        <v/>
      </c>
      <c r="I384" s="41">
        <f>I204</f>
        <v/>
      </c>
      <c r="J384" s="41">
        <f>J204</f>
        <v/>
      </c>
      <c r="K384" s="41">
        <f>K204</f>
        <v/>
      </c>
      <c r="L384" s="41">
        <f>L204</f>
        <v/>
      </c>
      <c r="M384" s="41">
        <f>M204</f>
        <v/>
      </c>
      <c r="N384" s="41">
        <f>N204</f>
        <v/>
      </c>
      <c r="O384" s="41">
        <f>O204</f>
        <v/>
      </c>
      <c r="P384" s="41">
        <f>P204</f>
        <v/>
      </c>
      <c r="Q384" s="41">
        <f>Q204</f>
        <v/>
      </c>
      <c r="R384" s="41">
        <f>R204</f>
        <v/>
      </c>
      <c r="S384" s="41">
        <f>S204</f>
        <v/>
      </c>
      <c r="T384" s="41">
        <f>T204</f>
        <v/>
      </c>
      <c r="U384" s="41">
        <f>U204</f>
        <v/>
      </c>
      <c r="V384" s="41">
        <f>V204</f>
        <v/>
      </c>
      <c r="W384" s="41">
        <f>W204</f>
        <v/>
      </c>
      <c r="X384" s="41">
        <f>X204</f>
        <v/>
      </c>
      <c r="Y384" s="41">
        <f>Y204</f>
        <v/>
      </c>
      <c r="Z384" s="41">
        <f>Z204</f>
        <v/>
      </c>
      <c r="AA384" s="41">
        <f>AA204</f>
        <v/>
      </c>
      <c r="AB384" s="41">
        <f>AB204</f>
        <v/>
      </c>
      <c r="AC384" s="41">
        <f>AC204</f>
        <v/>
      </c>
      <c r="AD384" s="41">
        <f>AD204</f>
        <v/>
      </c>
      <c r="AE384" s="41">
        <f>AE204</f>
        <v/>
      </c>
      <c r="AF384" s="41">
        <f>AF204</f>
        <v/>
      </c>
      <c r="AG384" s="41">
        <f>AG204</f>
        <v/>
      </c>
      <c r="AH384" s="41">
        <f>AH204</f>
        <v/>
      </c>
      <c r="AI384" s="41">
        <f>AI204</f>
        <v/>
      </c>
      <c r="AJ384" s="41">
        <f>AJ204</f>
        <v/>
      </c>
      <c r="AK384" s="41">
        <f>AK204</f>
        <v/>
      </c>
      <c r="AL384" s="41">
        <f>AL204</f>
        <v/>
      </c>
      <c r="AM384" s="41">
        <f>AM204</f>
        <v/>
      </c>
      <c r="AN384" s="41">
        <f>AN204</f>
        <v/>
      </c>
      <c r="AO384" s="41">
        <f>AO204</f>
        <v/>
      </c>
      <c r="AP384" s="41">
        <f>AP204</f>
        <v/>
      </c>
      <c r="AQ384" s="41">
        <f>AQ204</f>
        <v/>
      </c>
      <c r="AR384" s="41">
        <f>AR204</f>
        <v/>
      </c>
      <c r="AS384" s="41">
        <f>AS204</f>
        <v/>
      </c>
      <c r="AT384" s="41">
        <f>AT204</f>
        <v/>
      </c>
      <c r="AU384" s="41">
        <f>AU204</f>
        <v/>
      </c>
      <c r="AV384" s="41">
        <f>AV204</f>
        <v/>
      </c>
      <c r="AW384" s="41">
        <f>AW204</f>
        <v/>
      </c>
      <c r="AX384" s="41">
        <f>AX204</f>
        <v/>
      </c>
      <c r="AY384" s="41">
        <f>AY204</f>
        <v/>
      </c>
      <c r="AZ384" s="41">
        <f>AZ204</f>
        <v/>
      </c>
      <c r="BA384" s="41">
        <f>BA204</f>
        <v/>
      </c>
      <c r="BB384" s="41">
        <f>BB204</f>
        <v/>
      </c>
      <c r="BC384" s="41">
        <f>BC204</f>
        <v/>
      </c>
      <c r="BD384" s="41">
        <f>BD204</f>
        <v/>
      </c>
      <c r="BE384" s="41">
        <f>BE204</f>
        <v/>
      </c>
      <c r="BF384" s="41">
        <f>BF204</f>
        <v/>
      </c>
      <c r="BG384" s="41">
        <f>BG204</f>
        <v/>
      </c>
      <c r="BH384" s="41">
        <f>BH204</f>
        <v/>
      </c>
      <c r="BI384" s="41">
        <f>BI204</f>
        <v/>
      </c>
      <c r="BJ384" s="41">
        <f>BJ204</f>
        <v/>
      </c>
    </row>
    <row r="385">
      <c r="A385" s="4" t="inlineStr">
        <is>
          <t>Enterprise: new customers acquired (excl. upgrades)</t>
        </is>
      </c>
      <c r="B385" s="17" t="inlineStr">
        <is>
          <t>workspaces</t>
        </is>
      </c>
      <c r="C385" s="41">
        <f>C203</f>
        <v/>
      </c>
      <c r="D385" s="41">
        <f>D203</f>
        <v/>
      </c>
      <c r="E385" s="41">
        <f>E203</f>
        <v/>
      </c>
      <c r="F385" s="41">
        <f>F203</f>
        <v/>
      </c>
      <c r="G385" s="41">
        <f>G203</f>
        <v/>
      </c>
      <c r="H385" s="41">
        <f>H203</f>
        <v/>
      </c>
      <c r="I385" s="41">
        <f>I203</f>
        <v/>
      </c>
      <c r="J385" s="41">
        <f>J203</f>
        <v/>
      </c>
      <c r="K385" s="41">
        <f>K203</f>
        <v/>
      </c>
      <c r="L385" s="41">
        <f>L203</f>
        <v/>
      </c>
      <c r="M385" s="41">
        <f>M203</f>
        <v/>
      </c>
      <c r="N385" s="41">
        <f>N203</f>
        <v/>
      </c>
      <c r="O385" s="41">
        <f>O203</f>
        <v/>
      </c>
      <c r="P385" s="41">
        <f>P203</f>
        <v/>
      </c>
      <c r="Q385" s="41">
        <f>Q203</f>
        <v/>
      </c>
      <c r="R385" s="41">
        <f>R203</f>
        <v/>
      </c>
      <c r="S385" s="41">
        <f>S203</f>
        <v/>
      </c>
      <c r="T385" s="41">
        <f>T203</f>
        <v/>
      </c>
      <c r="U385" s="41">
        <f>U203</f>
        <v/>
      </c>
      <c r="V385" s="41">
        <f>V203</f>
        <v/>
      </c>
      <c r="W385" s="41">
        <f>W203</f>
        <v/>
      </c>
      <c r="X385" s="41">
        <f>X203</f>
        <v/>
      </c>
      <c r="Y385" s="41">
        <f>Y203</f>
        <v/>
      </c>
      <c r="Z385" s="41">
        <f>Z203</f>
        <v/>
      </c>
      <c r="AA385" s="41">
        <f>AA203</f>
        <v/>
      </c>
      <c r="AB385" s="41">
        <f>AB203</f>
        <v/>
      </c>
      <c r="AC385" s="41">
        <f>AC203</f>
        <v/>
      </c>
      <c r="AD385" s="41">
        <f>AD203</f>
        <v/>
      </c>
      <c r="AE385" s="41">
        <f>AE203</f>
        <v/>
      </c>
      <c r="AF385" s="41">
        <f>AF203</f>
        <v/>
      </c>
      <c r="AG385" s="41">
        <f>AG203</f>
        <v/>
      </c>
      <c r="AH385" s="41">
        <f>AH203</f>
        <v/>
      </c>
      <c r="AI385" s="41">
        <f>AI203</f>
        <v/>
      </c>
      <c r="AJ385" s="41">
        <f>AJ203</f>
        <v/>
      </c>
      <c r="AK385" s="41">
        <f>AK203</f>
        <v/>
      </c>
      <c r="AL385" s="41">
        <f>AL203</f>
        <v/>
      </c>
      <c r="AM385" s="41">
        <f>AM203</f>
        <v/>
      </c>
      <c r="AN385" s="41">
        <f>AN203</f>
        <v/>
      </c>
      <c r="AO385" s="41">
        <f>AO203</f>
        <v/>
      </c>
      <c r="AP385" s="41">
        <f>AP203</f>
        <v/>
      </c>
      <c r="AQ385" s="41">
        <f>AQ203</f>
        <v/>
      </c>
      <c r="AR385" s="41">
        <f>AR203</f>
        <v/>
      </c>
      <c r="AS385" s="41">
        <f>AS203</f>
        <v/>
      </c>
      <c r="AT385" s="41">
        <f>AT203</f>
        <v/>
      </c>
      <c r="AU385" s="41">
        <f>AU203</f>
        <v/>
      </c>
      <c r="AV385" s="41">
        <f>AV203</f>
        <v/>
      </c>
      <c r="AW385" s="41">
        <f>AW203</f>
        <v/>
      </c>
      <c r="AX385" s="41">
        <f>AX203</f>
        <v/>
      </c>
      <c r="AY385" s="41">
        <f>AY203</f>
        <v/>
      </c>
      <c r="AZ385" s="41">
        <f>AZ203</f>
        <v/>
      </c>
      <c r="BA385" s="41">
        <f>BA203</f>
        <v/>
      </c>
      <c r="BB385" s="41">
        <f>BB203</f>
        <v/>
      </c>
      <c r="BC385" s="41">
        <f>BC203</f>
        <v/>
      </c>
      <c r="BD385" s="41">
        <f>BD203</f>
        <v/>
      </c>
      <c r="BE385" s="41">
        <f>BE203</f>
        <v/>
      </c>
      <c r="BF385" s="41">
        <f>BF203</f>
        <v/>
      </c>
      <c r="BG385" s="41">
        <f>BG203</f>
        <v/>
      </c>
      <c r="BH385" s="41">
        <f>BH203</f>
        <v/>
      </c>
      <c r="BI385" s="41">
        <f>BI203</f>
        <v/>
      </c>
      <c r="BJ385" s="41">
        <f>BJ203</f>
        <v/>
      </c>
    </row>
    <row r="386">
      <c r="A386" s="4" t="inlineStr">
        <is>
          <t>Nano tier: opening</t>
        </is>
      </c>
      <c r="B386" s="17" t="inlineStr">
        <is>
          <t>workspaces</t>
        </is>
      </c>
      <c r="C386" s="41">
        <f>C166+C206+C238+C270+C302+C330</f>
        <v/>
      </c>
      <c r="D386" s="41">
        <f>D166+D206+D238+D270+D302+D330</f>
        <v/>
      </c>
      <c r="E386" s="41">
        <f>E166+E206+E238+E270+E302+E330</f>
        <v/>
      </c>
      <c r="F386" s="41">
        <f>F166+F206+F238+F270+F302+F330</f>
        <v/>
      </c>
      <c r="G386" s="41">
        <f>G166+G206+G238+G270+G302+G330</f>
        <v/>
      </c>
      <c r="H386" s="41">
        <f>H166+H206+H238+H270+H302+H330</f>
        <v/>
      </c>
      <c r="I386" s="41">
        <f>I166+I206+I238+I270+I302+I330</f>
        <v/>
      </c>
      <c r="J386" s="41">
        <f>J166+J206+J238+J270+J302+J330</f>
        <v/>
      </c>
      <c r="K386" s="41">
        <f>K166+K206+K238+K270+K302+K330</f>
        <v/>
      </c>
      <c r="L386" s="41">
        <f>L166+L206+L238+L270+L302+L330</f>
        <v/>
      </c>
      <c r="M386" s="41">
        <f>M166+M206+M238+M270+M302+M330</f>
        <v/>
      </c>
      <c r="N386" s="41">
        <f>N166+N206+N238+N270+N302+N330</f>
        <v/>
      </c>
      <c r="O386" s="41">
        <f>O166+O206+O238+O270+O302+O330</f>
        <v/>
      </c>
      <c r="P386" s="41">
        <f>P166+P206+P238+P270+P302+P330</f>
        <v/>
      </c>
      <c r="Q386" s="41">
        <f>Q166+Q206+Q238+Q270+Q302+Q330</f>
        <v/>
      </c>
      <c r="R386" s="41">
        <f>R166+R206+R238+R270+R302+R330</f>
        <v/>
      </c>
      <c r="S386" s="41">
        <f>S166+S206+S238+S270+S302+S330</f>
        <v/>
      </c>
      <c r="T386" s="41">
        <f>T166+T206+T238+T270+T302+T330</f>
        <v/>
      </c>
      <c r="U386" s="41">
        <f>U166+U206+U238+U270+U302+U330</f>
        <v/>
      </c>
      <c r="V386" s="41">
        <f>V166+V206+V238+V270+V302+V330</f>
        <v/>
      </c>
      <c r="W386" s="41">
        <f>W166+W206+W238+W270+W302+W330</f>
        <v/>
      </c>
      <c r="X386" s="41">
        <f>X166+X206+X238+X270+X302+X330</f>
        <v/>
      </c>
      <c r="Y386" s="41">
        <f>Y166+Y206+Y238+Y270+Y302+Y330</f>
        <v/>
      </c>
      <c r="Z386" s="41">
        <f>Z166+Z206+Z238+Z270+Z302+Z330</f>
        <v/>
      </c>
      <c r="AA386" s="41">
        <f>AA166+AA206+AA238+AA270+AA302+AA330</f>
        <v/>
      </c>
      <c r="AB386" s="41">
        <f>AB166+AB206+AB238+AB270+AB302+AB330</f>
        <v/>
      </c>
      <c r="AC386" s="41">
        <f>AC166+AC206+AC238+AC270+AC302+AC330</f>
        <v/>
      </c>
      <c r="AD386" s="41">
        <f>AD166+AD206+AD238+AD270+AD302+AD330</f>
        <v/>
      </c>
      <c r="AE386" s="41">
        <f>AE166+AE206+AE238+AE270+AE302+AE330</f>
        <v/>
      </c>
      <c r="AF386" s="41">
        <f>AF166+AF206+AF238+AF270+AF302+AF330</f>
        <v/>
      </c>
      <c r="AG386" s="41">
        <f>AG166+AG206+AG238+AG270+AG302+AG330</f>
        <v/>
      </c>
      <c r="AH386" s="41">
        <f>AH166+AH206+AH238+AH270+AH302+AH330</f>
        <v/>
      </c>
      <c r="AI386" s="41">
        <f>AI166+AI206+AI238+AI270+AI302+AI330</f>
        <v/>
      </c>
      <c r="AJ386" s="41">
        <f>AJ166+AJ206+AJ238+AJ270+AJ302+AJ330</f>
        <v/>
      </c>
      <c r="AK386" s="41">
        <f>AK166+AK206+AK238+AK270+AK302+AK330</f>
        <v/>
      </c>
      <c r="AL386" s="41">
        <f>AL166+AL206+AL238+AL270+AL302+AL330</f>
        <v/>
      </c>
      <c r="AM386" s="41">
        <f>AM166+AM206+AM238+AM270+AM302+AM330</f>
        <v/>
      </c>
      <c r="AN386" s="41">
        <f>AN166+AN206+AN238+AN270+AN302+AN330</f>
        <v/>
      </c>
      <c r="AO386" s="41">
        <f>AO166+AO206+AO238+AO270+AO302+AO330</f>
        <v/>
      </c>
      <c r="AP386" s="41">
        <f>AP166+AP206+AP238+AP270+AP302+AP330</f>
        <v/>
      </c>
      <c r="AQ386" s="41">
        <f>AQ166+AQ206+AQ238+AQ270+AQ302+AQ330</f>
        <v/>
      </c>
      <c r="AR386" s="41">
        <f>AR166+AR206+AR238+AR270+AR302+AR330</f>
        <v/>
      </c>
      <c r="AS386" s="41">
        <f>AS166+AS206+AS238+AS270+AS302+AS330</f>
        <v/>
      </c>
      <c r="AT386" s="41">
        <f>AT166+AT206+AT238+AT270+AT302+AT330</f>
        <v/>
      </c>
      <c r="AU386" s="41">
        <f>AU166+AU206+AU238+AU270+AU302+AU330</f>
        <v/>
      </c>
      <c r="AV386" s="41">
        <f>AV166+AV206+AV238+AV270+AV302+AV330</f>
        <v/>
      </c>
      <c r="AW386" s="41">
        <f>AW166+AW206+AW238+AW270+AW302+AW330</f>
        <v/>
      </c>
      <c r="AX386" s="41">
        <f>AX166+AX206+AX238+AX270+AX302+AX330</f>
        <v/>
      </c>
      <c r="AY386" s="41">
        <f>AY166+AY206+AY238+AY270+AY302+AY330</f>
        <v/>
      </c>
      <c r="AZ386" s="41">
        <f>AZ166+AZ206+AZ238+AZ270+AZ302+AZ330</f>
        <v/>
      </c>
      <c r="BA386" s="41">
        <f>BA166+BA206+BA238+BA270+BA302+BA330</f>
        <v/>
      </c>
      <c r="BB386" s="41">
        <f>BB166+BB206+BB238+BB270+BB302+BB330</f>
        <v/>
      </c>
      <c r="BC386" s="41">
        <f>BC166+BC206+BC238+BC270+BC302+BC330</f>
        <v/>
      </c>
      <c r="BD386" s="41">
        <f>BD166+BD206+BD238+BD270+BD302+BD330</f>
        <v/>
      </c>
      <c r="BE386" s="41">
        <f>BE166+BE206+BE238+BE270+BE302+BE330</f>
        <v/>
      </c>
      <c r="BF386" s="41">
        <f>BF166+BF206+BF238+BF270+BF302+BF330</f>
        <v/>
      </c>
      <c r="BG386" s="41">
        <f>BG166+BG206+BG238+BG270+BG302+BG330</f>
        <v/>
      </c>
      <c r="BH386" s="41">
        <f>BH166+BH206+BH238+BH270+BH302+BH330</f>
        <v/>
      </c>
      <c r="BI386" s="41">
        <f>BI166+BI206+BI238+BI270+BI302+BI330</f>
        <v/>
      </c>
      <c r="BJ386" s="41">
        <f>BJ166+BJ206+BJ238+BJ270+BJ302+BJ330</f>
        <v/>
      </c>
    </row>
    <row r="387">
      <c r="A387" s="4" t="inlineStr">
        <is>
          <t>Nano tier: closing</t>
        </is>
      </c>
      <c r="B387" s="17" t="inlineStr">
        <is>
          <t>workspaces</t>
        </is>
      </c>
      <c r="C387" s="41">
        <f>C170+C210+C242+C274+C306+C334</f>
        <v/>
      </c>
      <c r="D387" s="41">
        <f>D170+D210+D242+D274+D306+D334</f>
        <v/>
      </c>
      <c r="E387" s="41">
        <f>E170+E210+E242+E274+E306+E334</f>
        <v/>
      </c>
      <c r="F387" s="41">
        <f>F170+F210+F242+F274+F306+F334</f>
        <v/>
      </c>
      <c r="G387" s="41">
        <f>G170+G210+G242+G274+G306+G334</f>
        <v/>
      </c>
      <c r="H387" s="41">
        <f>H170+H210+H242+H274+H306+H334</f>
        <v/>
      </c>
      <c r="I387" s="41">
        <f>I170+I210+I242+I274+I306+I334</f>
        <v/>
      </c>
      <c r="J387" s="41">
        <f>J170+J210+J242+J274+J306+J334</f>
        <v/>
      </c>
      <c r="K387" s="41">
        <f>K170+K210+K242+K274+K306+K334</f>
        <v/>
      </c>
      <c r="L387" s="41">
        <f>L170+L210+L242+L274+L306+L334</f>
        <v/>
      </c>
      <c r="M387" s="41">
        <f>M170+M210+M242+M274+M306+M334</f>
        <v/>
      </c>
      <c r="N387" s="41">
        <f>N170+N210+N242+N274+N306+N334</f>
        <v/>
      </c>
      <c r="O387" s="41">
        <f>O170+O210+O242+O274+O306+O334</f>
        <v/>
      </c>
      <c r="P387" s="41">
        <f>P170+P210+P242+P274+P306+P334</f>
        <v/>
      </c>
      <c r="Q387" s="41">
        <f>Q170+Q210+Q242+Q274+Q306+Q334</f>
        <v/>
      </c>
      <c r="R387" s="41">
        <f>R170+R210+R242+R274+R306+R334</f>
        <v/>
      </c>
      <c r="S387" s="41">
        <f>S170+S210+S242+S274+S306+S334</f>
        <v/>
      </c>
      <c r="T387" s="41">
        <f>T170+T210+T242+T274+T306+T334</f>
        <v/>
      </c>
      <c r="U387" s="41">
        <f>U170+U210+U242+U274+U306+U334</f>
        <v/>
      </c>
      <c r="V387" s="41">
        <f>V170+V210+V242+V274+V306+V334</f>
        <v/>
      </c>
      <c r="W387" s="41">
        <f>W170+W210+W242+W274+W306+W334</f>
        <v/>
      </c>
      <c r="X387" s="41">
        <f>X170+X210+X242+X274+X306+X334</f>
        <v/>
      </c>
      <c r="Y387" s="41">
        <f>Y170+Y210+Y242+Y274+Y306+Y334</f>
        <v/>
      </c>
      <c r="Z387" s="41">
        <f>Z170+Z210+Z242+Z274+Z306+Z334</f>
        <v/>
      </c>
      <c r="AA387" s="41">
        <f>AA170+AA210+AA242+AA274+AA306+AA334</f>
        <v/>
      </c>
      <c r="AB387" s="41">
        <f>AB170+AB210+AB242+AB274+AB306+AB334</f>
        <v/>
      </c>
      <c r="AC387" s="41">
        <f>AC170+AC210+AC242+AC274+AC306+AC334</f>
        <v/>
      </c>
      <c r="AD387" s="41">
        <f>AD170+AD210+AD242+AD274+AD306+AD334</f>
        <v/>
      </c>
      <c r="AE387" s="41">
        <f>AE170+AE210+AE242+AE274+AE306+AE334</f>
        <v/>
      </c>
      <c r="AF387" s="41">
        <f>AF170+AF210+AF242+AF274+AF306+AF334</f>
        <v/>
      </c>
      <c r="AG387" s="41">
        <f>AG170+AG210+AG242+AG274+AG306+AG334</f>
        <v/>
      </c>
      <c r="AH387" s="41">
        <f>AH170+AH210+AH242+AH274+AH306+AH334</f>
        <v/>
      </c>
      <c r="AI387" s="41">
        <f>AI170+AI210+AI242+AI274+AI306+AI334</f>
        <v/>
      </c>
      <c r="AJ387" s="41">
        <f>AJ170+AJ210+AJ242+AJ274+AJ306+AJ334</f>
        <v/>
      </c>
      <c r="AK387" s="41">
        <f>AK170+AK210+AK242+AK274+AK306+AK334</f>
        <v/>
      </c>
      <c r="AL387" s="41">
        <f>AL170+AL210+AL242+AL274+AL306+AL334</f>
        <v/>
      </c>
      <c r="AM387" s="41">
        <f>AM170+AM210+AM242+AM274+AM306+AM334</f>
        <v/>
      </c>
      <c r="AN387" s="41">
        <f>AN170+AN210+AN242+AN274+AN306+AN334</f>
        <v/>
      </c>
      <c r="AO387" s="41">
        <f>AO170+AO210+AO242+AO274+AO306+AO334</f>
        <v/>
      </c>
      <c r="AP387" s="41">
        <f>AP170+AP210+AP242+AP274+AP306+AP334</f>
        <v/>
      </c>
      <c r="AQ387" s="41">
        <f>AQ170+AQ210+AQ242+AQ274+AQ306+AQ334</f>
        <v/>
      </c>
      <c r="AR387" s="41">
        <f>AR170+AR210+AR242+AR274+AR306+AR334</f>
        <v/>
      </c>
      <c r="AS387" s="41">
        <f>AS170+AS210+AS242+AS274+AS306+AS334</f>
        <v/>
      </c>
      <c r="AT387" s="41">
        <f>AT170+AT210+AT242+AT274+AT306+AT334</f>
        <v/>
      </c>
      <c r="AU387" s="41">
        <f>AU170+AU210+AU242+AU274+AU306+AU334</f>
        <v/>
      </c>
      <c r="AV387" s="41">
        <f>AV170+AV210+AV242+AV274+AV306+AV334</f>
        <v/>
      </c>
      <c r="AW387" s="41">
        <f>AW170+AW210+AW242+AW274+AW306+AW334</f>
        <v/>
      </c>
      <c r="AX387" s="41">
        <f>AX170+AX210+AX242+AX274+AX306+AX334</f>
        <v/>
      </c>
      <c r="AY387" s="41">
        <f>AY170+AY210+AY242+AY274+AY306+AY334</f>
        <v/>
      </c>
      <c r="AZ387" s="41">
        <f>AZ170+AZ210+AZ242+AZ274+AZ306+AZ334</f>
        <v/>
      </c>
      <c r="BA387" s="41">
        <f>BA170+BA210+BA242+BA274+BA306+BA334</f>
        <v/>
      </c>
      <c r="BB387" s="41">
        <f>BB170+BB210+BB242+BB274+BB306+BB334</f>
        <v/>
      </c>
      <c r="BC387" s="41">
        <f>BC170+BC210+BC242+BC274+BC306+BC334</f>
        <v/>
      </c>
      <c r="BD387" s="41">
        <f>BD170+BD210+BD242+BD274+BD306+BD334</f>
        <v/>
      </c>
      <c r="BE387" s="41">
        <f>BE170+BE210+BE242+BE274+BE306+BE334</f>
        <v/>
      </c>
      <c r="BF387" s="41">
        <f>BF170+BF210+BF242+BF274+BF306+BF334</f>
        <v/>
      </c>
      <c r="BG387" s="41">
        <f>BG170+BG210+BG242+BG274+BG306+BG334</f>
        <v/>
      </c>
      <c r="BH387" s="41">
        <f>BH170+BH210+BH242+BH274+BH306+BH334</f>
        <v/>
      </c>
      <c r="BI387" s="41">
        <f>BI170+BI210+BI242+BI274+BI306+BI334</f>
        <v/>
      </c>
      <c r="BJ387" s="41">
        <f>BJ170+BJ210+BJ242+BJ274+BJ306+BJ334</f>
        <v/>
      </c>
    </row>
    <row r="388">
      <c r="A388" s="4" t="inlineStr">
        <is>
          <t>Nano tier: churned</t>
        </is>
      </c>
      <c r="B388" s="17" t="inlineStr">
        <is>
          <t>workspaces</t>
        </is>
      </c>
      <c r="C388" s="41">
        <f>C168+C208+C240+C272+C304+C332</f>
        <v/>
      </c>
      <c r="D388" s="41">
        <f>D168+D208+D240+D272+D304+D332</f>
        <v/>
      </c>
      <c r="E388" s="41">
        <f>E168+E208+E240+E272+E304+E332</f>
        <v/>
      </c>
      <c r="F388" s="41">
        <f>F168+F208+F240+F272+F304+F332</f>
        <v/>
      </c>
      <c r="G388" s="41">
        <f>G168+G208+G240+G272+G304+G332</f>
        <v/>
      </c>
      <c r="H388" s="41">
        <f>H168+H208+H240+H272+H304+H332</f>
        <v/>
      </c>
      <c r="I388" s="41">
        <f>I168+I208+I240+I272+I304+I332</f>
        <v/>
      </c>
      <c r="J388" s="41">
        <f>J168+J208+J240+J272+J304+J332</f>
        <v/>
      </c>
      <c r="K388" s="41">
        <f>K168+K208+K240+K272+K304+K332</f>
        <v/>
      </c>
      <c r="L388" s="41">
        <f>L168+L208+L240+L272+L304+L332</f>
        <v/>
      </c>
      <c r="M388" s="41">
        <f>M168+M208+M240+M272+M304+M332</f>
        <v/>
      </c>
      <c r="N388" s="41">
        <f>N168+N208+N240+N272+N304+N332</f>
        <v/>
      </c>
      <c r="O388" s="41">
        <f>O168+O208+O240+O272+O304+O332</f>
        <v/>
      </c>
      <c r="P388" s="41">
        <f>P168+P208+P240+P272+P304+P332</f>
        <v/>
      </c>
      <c r="Q388" s="41">
        <f>Q168+Q208+Q240+Q272+Q304+Q332</f>
        <v/>
      </c>
      <c r="R388" s="41">
        <f>R168+R208+R240+R272+R304+R332</f>
        <v/>
      </c>
      <c r="S388" s="41">
        <f>S168+S208+S240+S272+S304+S332</f>
        <v/>
      </c>
      <c r="T388" s="41">
        <f>T168+T208+T240+T272+T304+T332</f>
        <v/>
      </c>
      <c r="U388" s="41">
        <f>U168+U208+U240+U272+U304+U332</f>
        <v/>
      </c>
      <c r="V388" s="41">
        <f>V168+V208+V240+V272+V304+V332</f>
        <v/>
      </c>
      <c r="W388" s="41">
        <f>W168+W208+W240+W272+W304+W332</f>
        <v/>
      </c>
      <c r="X388" s="41">
        <f>X168+X208+X240+X272+X304+X332</f>
        <v/>
      </c>
      <c r="Y388" s="41">
        <f>Y168+Y208+Y240+Y272+Y304+Y332</f>
        <v/>
      </c>
      <c r="Z388" s="41">
        <f>Z168+Z208+Z240+Z272+Z304+Z332</f>
        <v/>
      </c>
      <c r="AA388" s="41">
        <f>AA168+AA208+AA240+AA272+AA304+AA332</f>
        <v/>
      </c>
      <c r="AB388" s="41">
        <f>AB168+AB208+AB240+AB272+AB304+AB332</f>
        <v/>
      </c>
      <c r="AC388" s="41">
        <f>AC168+AC208+AC240+AC272+AC304+AC332</f>
        <v/>
      </c>
      <c r="AD388" s="41">
        <f>AD168+AD208+AD240+AD272+AD304+AD332</f>
        <v/>
      </c>
      <c r="AE388" s="41">
        <f>AE168+AE208+AE240+AE272+AE304+AE332</f>
        <v/>
      </c>
      <c r="AF388" s="41">
        <f>AF168+AF208+AF240+AF272+AF304+AF332</f>
        <v/>
      </c>
      <c r="AG388" s="41">
        <f>AG168+AG208+AG240+AG272+AG304+AG332</f>
        <v/>
      </c>
      <c r="AH388" s="41">
        <f>AH168+AH208+AH240+AH272+AH304+AH332</f>
        <v/>
      </c>
      <c r="AI388" s="41">
        <f>AI168+AI208+AI240+AI272+AI304+AI332</f>
        <v/>
      </c>
      <c r="AJ388" s="41">
        <f>AJ168+AJ208+AJ240+AJ272+AJ304+AJ332</f>
        <v/>
      </c>
      <c r="AK388" s="41">
        <f>AK168+AK208+AK240+AK272+AK304+AK332</f>
        <v/>
      </c>
      <c r="AL388" s="41">
        <f>AL168+AL208+AL240+AL272+AL304+AL332</f>
        <v/>
      </c>
      <c r="AM388" s="41">
        <f>AM168+AM208+AM240+AM272+AM304+AM332</f>
        <v/>
      </c>
      <c r="AN388" s="41">
        <f>AN168+AN208+AN240+AN272+AN304+AN332</f>
        <v/>
      </c>
      <c r="AO388" s="41">
        <f>AO168+AO208+AO240+AO272+AO304+AO332</f>
        <v/>
      </c>
      <c r="AP388" s="41">
        <f>AP168+AP208+AP240+AP272+AP304+AP332</f>
        <v/>
      </c>
      <c r="AQ388" s="41">
        <f>AQ168+AQ208+AQ240+AQ272+AQ304+AQ332</f>
        <v/>
      </c>
      <c r="AR388" s="41">
        <f>AR168+AR208+AR240+AR272+AR304+AR332</f>
        <v/>
      </c>
      <c r="AS388" s="41">
        <f>AS168+AS208+AS240+AS272+AS304+AS332</f>
        <v/>
      </c>
      <c r="AT388" s="41">
        <f>AT168+AT208+AT240+AT272+AT304+AT332</f>
        <v/>
      </c>
      <c r="AU388" s="41">
        <f>AU168+AU208+AU240+AU272+AU304+AU332</f>
        <v/>
      </c>
      <c r="AV388" s="41">
        <f>AV168+AV208+AV240+AV272+AV304+AV332</f>
        <v/>
      </c>
      <c r="AW388" s="41">
        <f>AW168+AW208+AW240+AW272+AW304+AW332</f>
        <v/>
      </c>
      <c r="AX388" s="41">
        <f>AX168+AX208+AX240+AX272+AX304+AX332</f>
        <v/>
      </c>
      <c r="AY388" s="41">
        <f>AY168+AY208+AY240+AY272+AY304+AY332</f>
        <v/>
      </c>
      <c r="AZ388" s="41">
        <f>AZ168+AZ208+AZ240+AZ272+AZ304+AZ332</f>
        <v/>
      </c>
      <c r="BA388" s="41">
        <f>BA168+BA208+BA240+BA272+BA304+BA332</f>
        <v/>
      </c>
      <c r="BB388" s="41">
        <f>BB168+BB208+BB240+BB272+BB304+BB332</f>
        <v/>
      </c>
      <c r="BC388" s="41">
        <f>BC168+BC208+BC240+BC272+BC304+BC332</f>
        <v/>
      </c>
      <c r="BD388" s="41">
        <f>BD168+BD208+BD240+BD272+BD304+BD332</f>
        <v/>
      </c>
      <c r="BE388" s="41">
        <f>BE168+BE208+BE240+BE272+BE304+BE332</f>
        <v/>
      </c>
      <c r="BF388" s="41">
        <f>BF168+BF208+BF240+BF272+BF304+BF332</f>
        <v/>
      </c>
      <c r="BG388" s="41">
        <f>BG168+BG208+BG240+BG272+BG304+BG332</f>
        <v/>
      </c>
      <c r="BH388" s="41">
        <f>BH168+BH208+BH240+BH272+BH304+BH332</f>
        <v/>
      </c>
      <c r="BI388" s="41">
        <f>BI168+BI208+BI240+BI272+BI304+BI332</f>
        <v/>
      </c>
      <c r="BJ388" s="41">
        <f>BJ168+BJ208+BJ240+BJ272+BJ304+BJ332</f>
        <v/>
      </c>
    </row>
    <row r="389">
      <c r="A389" s="4" t="inlineStr">
        <is>
          <t>Micro tier: opening</t>
        </is>
      </c>
      <c r="B389" s="17" t="inlineStr">
        <is>
          <t>workspaces</t>
        </is>
      </c>
      <c r="C389" s="41">
        <f>C171+C211+C243+C275+C307+C335</f>
        <v/>
      </c>
      <c r="D389" s="41">
        <f>D171+D211+D243+D275+D307+D335</f>
        <v/>
      </c>
      <c r="E389" s="41">
        <f>E171+E211+E243+E275+E307+E335</f>
        <v/>
      </c>
      <c r="F389" s="41">
        <f>F171+F211+F243+F275+F307+F335</f>
        <v/>
      </c>
      <c r="G389" s="41">
        <f>G171+G211+G243+G275+G307+G335</f>
        <v/>
      </c>
      <c r="H389" s="41">
        <f>H171+H211+H243+H275+H307+H335</f>
        <v/>
      </c>
      <c r="I389" s="41">
        <f>I171+I211+I243+I275+I307+I335</f>
        <v/>
      </c>
      <c r="J389" s="41">
        <f>J171+J211+J243+J275+J307+J335</f>
        <v/>
      </c>
      <c r="K389" s="41">
        <f>K171+K211+K243+K275+K307+K335</f>
        <v/>
      </c>
      <c r="L389" s="41">
        <f>L171+L211+L243+L275+L307+L335</f>
        <v/>
      </c>
      <c r="M389" s="41">
        <f>M171+M211+M243+M275+M307+M335</f>
        <v/>
      </c>
      <c r="N389" s="41">
        <f>N171+N211+N243+N275+N307+N335</f>
        <v/>
      </c>
      <c r="O389" s="41">
        <f>O171+O211+O243+O275+O307+O335</f>
        <v/>
      </c>
      <c r="P389" s="41">
        <f>P171+P211+P243+P275+P307+P335</f>
        <v/>
      </c>
      <c r="Q389" s="41">
        <f>Q171+Q211+Q243+Q275+Q307+Q335</f>
        <v/>
      </c>
      <c r="R389" s="41">
        <f>R171+R211+R243+R275+R307+R335</f>
        <v/>
      </c>
      <c r="S389" s="41">
        <f>S171+S211+S243+S275+S307+S335</f>
        <v/>
      </c>
      <c r="T389" s="41">
        <f>T171+T211+T243+T275+T307+T335</f>
        <v/>
      </c>
      <c r="U389" s="41">
        <f>U171+U211+U243+U275+U307+U335</f>
        <v/>
      </c>
      <c r="V389" s="41">
        <f>V171+V211+V243+V275+V307+V335</f>
        <v/>
      </c>
      <c r="W389" s="41">
        <f>W171+W211+W243+W275+W307+W335</f>
        <v/>
      </c>
      <c r="X389" s="41">
        <f>X171+X211+X243+X275+X307+X335</f>
        <v/>
      </c>
      <c r="Y389" s="41">
        <f>Y171+Y211+Y243+Y275+Y307+Y335</f>
        <v/>
      </c>
      <c r="Z389" s="41">
        <f>Z171+Z211+Z243+Z275+Z307+Z335</f>
        <v/>
      </c>
      <c r="AA389" s="41">
        <f>AA171+AA211+AA243+AA275+AA307+AA335</f>
        <v/>
      </c>
      <c r="AB389" s="41">
        <f>AB171+AB211+AB243+AB275+AB307+AB335</f>
        <v/>
      </c>
      <c r="AC389" s="41">
        <f>AC171+AC211+AC243+AC275+AC307+AC335</f>
        <v/>
      </c>
      <c r="AD389" s="41">
        <f>AD171+AD211+AD243+AD275+AD307+AD335</f>
        <v/>
      </c>
      <c r="AE389" s="41">
        <f>AE171+AE211+AE243+AE275+AE307+AE335</f>
        <v/>
      </c>
      <c r="AF389" s="41">
        <f>AF171+AF211+AF243+AF275+AF307+AF335</f>
        <v/>
      </c>
      <c r="AG389" s="41">
        <f>AG171+AG211+AG243+AG275+AG307+AG335</f>
        <v/>
      </c>
      <c r="AH389" s="41">
        <f>AH171+AH211+AH243+AH275+AH307+AH335</f>
        <v/>
      </c>
      <c r="AI389" s="41">
        <f>AI171+AI211+AI243+AI275+AI307+AI335</f>
        <v/>
      </c>
      <c r="AJ389" s="41">
        <f>AJ171+AJ211+AJ243+AJ275+AJ307+AJ335</f>
        <v/>
      </c>
      <c r="AK389" s="41">
        <f>AK171+AK211+AK243+AK275+AK307+AK335</f>
        <v/>
      </c>
      <c r="AL389" s="41">
        <f>AL171+AL211+AL243+AL275+AL307+AL335</f>
        <v/>
      </c>
      <c r="AM389" s="41">
        <f>AM171+AM211+AM243+AM275+AM307+AM335</f>
        <v/>
      </c>
      <c r="AN389" s="41">
        <f>AN171+AN211+AN243+AN275+AN307+AN335</f>
        <v/>
      </c>
      <c r="AO389" s="41">
        <f>AO171+AO211+AO243+AO275+AO307+AO335</f>
        <v/>
      </c>
      <c r="AP389" s="41">
        <f>AP171+AP211+AP243+AP275+AP307+AP335</f>
        <v/>
      </c>
      <c r="AQ389" s="41">
        <f>AQ171+AQ211+AQ243+AQ275+AQ307+AQ335</f>
        <v/>
      </c>
      <c r="AR389" s="41">
        <f>AR171+AR211+AR243+AR275+AR307+AR335</f>
        <v/>
      </c>
      <c r="AS389" s="41">
        <f>AS171+AS211+AS243+AS275+AS307+AS335</f>
        <v/>
      </c>
      <c r="AT389" s="41">
        <f>AT171+AT211+AT243+AT275+AT307+AT335</f>
        <v/>
      </c>
      <c r="AU389" s="41">
        <f>AU171+AU211+AU243+AU275+AU307+AU335</f>
        <v/>
      </c>
      <c r="AV389" s="41">
        <f>AV171+AV211+AV243+AV275+AV307+AV335</f>
        <v/>
      </c>
      <c r="AW389" s="41">
        <f>AW171+AW211+AW243+AW275+AW307+AW335</f>
        <v/>
      </c>
      <c r="AX389" s="41">
        <f>AX171+AX211+AX243+AX275+AX307+AX335</f>
        <v/>
      </c>
      <c r="AY389" s="41">
        <f>AY171+AY211+AY243+AY275+AY307+AY335</f>
        <v/>
      </c>
      <c r="AZ389" s="41">
        <f>AZ171+AZ211+AZ243+AZ275+AZ307+AZ335</f>
        <v/>
      </c>
      <c r="BA389" s="41">
        <f>BA171+BA211+BA243+BA275+BA307+BA335</f>
        <v/>
      </c>
      <c r="BB389" s="41">
        <f>BB171+BB211+BB243+BB275+BB307+BB335</f>
        <v/>
      </c>
      <c r="BC389" s="41">
        <f>BC171+BC211+BC243+BC275+BC307+BC335</f>
        <v/>
      </c>
      <c r="BD389" s="41">
        <f>BD171+BD211+BD243+BD275+BD307+BD335</f>
        <v/>
      </c>
      <c r="BE389" s="41">
        <f>BE171+BE211+BE243+BE275+BE307+BE335</f>
        <v/>
      </c>
      <c r="BF389" s="41">
        <f>BF171+BF211+BF243+BF275+BF307+BF335</f>
        <v/>
      </c>
      <c r="BG389" s="41">
        <f>BG171+BG211+BG243+BG275+BG307+BG335</f>
        <v/>
      </c>
      <c r="BH389" s="41">
        <f>BH171+BH211+BH243+BH275+BH307+BH335</f>
        <v/>
      </c>
      <c r="BI389" s="41">
        <f>BI171+BI211+BI243+BI275+BI307+BI335</f>
        <v/>
      </c>
      <c r="BJ389" s="41">
        <f>BJ171+BJ211+BJ243+BJ275+BJ307+BJ335</f>
        <v/>
      </c>
    </row>
    <row r="390">
      <c r="A390" s="4" t="inlineStr">
        <is>
          <t>Micro tier: closing</t>
        </is>
      </c>
      <c r="B390" s="17" t="inlineStr">
        <is>
          <t>workspaces</t>
        </is>
      </c>
      <c r="C390" s="41">
        <f>C175+C215+C247+C279+C311+C339</f>
        <v/>
      </c>
      <c r="D390" s="41">
        <f>D175+D215+D247+D279+D311+D339</f>
        <v/>
      </c>
      <c r="E390" s="41">
        <f>E175+E215+E247+E279+E311+E339</f>
        <v/>
      </c>
      <c r="F390" s="41">
        <f>F175+F215+F247+F279+F311+F339</f>
        <v/>
      </c>
      <c r="G390" s="41">
        <f>G175+G215+G247+G279+G311+G339</f>
        <v/>
      </c>
      <c r="H390" s="41">
        <f>H175+H215+H247+H279+H311+H339</f>
        <v/>
      </c>
      <c r="I390" s="41">
        <f>I175+I215+I247+I279+I311+I339</f>
        <v/>
      </c>
      <c r="J390" s="41">
        <f>J175+J215+J247+J279+J311+J339</f>
        <v/>
      </c>
      <c r="K390" s="41">
        <f>K175+K215+K247+K279+K311+K339</f>
        <v/>
      </c>
      <c r="L390" s="41">
        <f>L175+L215+L247+L279+L311+L339</f>
        <v/>
      </c>
      <c r="M390" s="41">
        <f>M175+M215+M247+M279+M311+M339</f>
        <v/>
      </c>
      <c r="N390" s="41">
        <f>N175+N215+N247+N279+N311+N339</f>
        <v/>
      </c>
      <c r="O390" s="41">
        <f>O175+O215+O247+O279+O311+O339</f>
        <v/>
      </c>
      <c r="P390" s="41">
        <f>P175+P215+P247+P279+P311+P339</f>
        <v/>
      </c>
      <c r="Q390" s="41">
        <f>Q175+Q215+Q247+Q279+Q311+Q339</f>
        <v/>
      </c>
      <c r="R390" s="41">
        <f>R175+R215+R247+R279+R311+R339</f>
        <v/>
      </c>
      <c r="S390" s="41">
        <f>S175+S215+S247+S279+S311+S339</f>
        <v/>
      </c>
      <c r="T390" s="41">
        <f>T175+T215+T247+T279+T311+T339</f>
        <v/>
      </c>
      <c r="U390" s="41">
        <f>U175+U215+U247+U279+U311+U339</f>
        <v/>
      </c>
      <c r="V390" s="41">
        <f>V175+V215+V247+V279+V311+V339</f>
        <v/>
      </c>
      <c r="W390" s="41">
        <f>W175+W215+W247+W279+W311+W339</f>
        <v/>
      </c>
      <c r="X390" s="41">
        <f>X175+X215+X247+X279+X311+X339</f>
        <v/>
      </c>
      <c r="Y390" s="41">
        <f>Y175+Y215+Y247+Y279+Y311+Y339</f>
        <v/>
      </c>
      <c r="Z390" s="41">
        <f>Z175+Z215+Z247+Z279+Z311+Z339</f>
        <v/>
      </c>
      <c r="AA390" s="41">
        <f>AA175+AA215+AA247+AA279+AA311+AA339</f>
        <v/>
      </c>
      <c r="AB390" s="41">
        <f>AB175+AB215+AB247+AB279+AB311+AB339</f>
        <v/>
      </c>
      <c r="AC390" s="41">
        <f>AC175+AC215+AC247+AC279+AC311+AC339</f>
        <v/>
      </c>
      <c r="AD390" s="41">
        <f>AD175+AD215+AD247+AD279+AD311+AD339</f>
        <v/>
      </c>
      <c r="AE390" s="41">
        <f>AE175+AE215+AE247+AE279+AE311+AE339</f>
        <v/>
      </c>
      <c r="AF390" s="41">
        <f>AF175+AF215+AF247+AF279+AF311+AF339</f>
        <v/>
      </c>
      <c r="AG390" s="41">
        <f>AG175+AG215+AG247+AG279+AG311+AG339</f>
        <v/>
      </c>
      <c r="AH390" s="41">
        <f>AH175+AH215+AH247+AH279+AH311+AH339</f>
        <v/>
      </c>
      <c r="AI390" s="41">
        <f>AI175+AI215+AI247+AI279+AI311+AI339</f>
        <v/>
      </c>
      <c r="AJ390" s="41">
        <f>AJ175+AJ215+AJ247+AJ279+AJ311+AJ339</f>
        <v/>
      </c>
      <c r="AK390" s="41">
        <f>AK175+AK215+AK247+AK279+AK311+AK339</f>
        <v/>
      </c>
      <c r="AL390" s="41">
        <f>AL175+AL215+AL247+AL279+AL311+AL339</f>
        <v/>
      </c>
      <c r="AM390" s="41">
        <f>AM175+AM215+AM247+AM279+AM311+AM339</f>
        <v/>
      </c>
      <c r="AN390" s="41">
        <f>AN175+AN215+AN247+AN279+AN311+AN339</f>
        <v/>
      </c>
      <c r="AO390" s="41">
        <f>AO175+AO215+AO247+AO279+AO311+AO339</f>
        <v/>
      </c>
      <c r="AP390" s="41">
        <f>AP175+AP215+AP247+AP279+AP311+AP339</f>
        <v/>
      </c>
      <c r="AQ390" s="41">
        <f>AQ175+AQ215+AQ247+AQ279+AQ311+AQ339</f>
        <v/>
      </c>
      <c r="AR390" s="41">
        <f>AR175+AR215+AR247+AR279+AR311+AR339</f>
        <v/>
      </c>
      <c r="AS390" s="41">
        <f>AS175+AS215+AS247+AS279+AS311+AS339</f>
        <v/>
      </c>
      <c r="AT390" s="41">
        <f>AT175+AT215+AT247+AT279+AT311+AT339</f>
        <v/>
      </c>
      <c r="AU390" s="41">
        <f>AU175+AU215+AU247+AU279+AU311+AU339</f>
        <v/>
      </c>
      <c r="AV390" s="41">
        <f>AV175+AV215+AV247+AV279+AV311+AV339</f>
        <v/>
      </c>
      <c r="AW390" s="41">
        <f>AW175+AW215+AW247+AW279+AW311+AW339</f>
        <v/>
      </c>
      <c r="AX390" s="41">
        <f>AX175+AX215+AX247+AX279+AX311+AX339</f>
        <v/>
      </c>
      <c r="AY390" s="41">
        <f>AY175+AY215+AY247+AY279+AY311+AY339</f>
        <v/>
      </c>
      <c r="AZ390" s="41">
        <f>AZ175+AZ215+AZ247+AZ279+AZ311+AZ339</f>
        <v/>
      </c>
      <c r="BA390" s="41">
        <f>BA175+BA215+BA247+BA279+BA311+BA339</f>
        <v/>
      </c>
      <c r="BB390" s="41">
        <f>BB175+BB215+BB247+BB279+BB311+BB339</f>
        <v/>
      </c>
      <c r="BC390" s="41">
        <f>BC175+BC215+BC247+BC279+BC311+BC339</f>
        <v/>
      </c>
      <c r="BD390" s="41">
        <f>BD175+BD215+BD247+BD279+BD311+BD339</f>
        <v/>
      </c>
      <c r="BE390" s="41">
        <f>BE175+BE215+BE247+BE279+BE311+BE339</f>
        <v/>
      </c>
      <c r="BF390" s="41">
        <f>BF175+BF215+BF247+BF279+BF311+BF339</f>
        <v/>
      </c>
      <c r="BG390" s="41">
        <f>BG175+BG215+BG247+BG279+BG311+BG339</f>
        <v/>
      </c>
      <c r="BH390" s="41">
        <f>BH175+BH215+BH247+BH279+BH311+BH339</f>
        <v/>
      </c>
      <c r="BI390" s="41">
        <f>BI175+BI215+BI247+BI279+BI311+BI339</f>
        <v/>
      </c>
      <c r="BJ390" s="41">
        <f>BJ175+BJ215+BJ247+BJ279+BJ311+BJ339</f>
        <v/>
      </c>
    </row>
    <row r="391">
      <c r="A391" s="4" t="inlineStr">
        <is>
          <t>Micro tier: churned</t>
        </is>
      </c>
      <c r="B391" s="17" t="inlineStr">
        <is>
          <t>workspaces</t>
        </is>
      </c>
      <c r="C391" s="41">
        <f>C173+C213+C245+C277+C309+C337</f>
        <v/>
      </c>
      <c r="D391" s="41">
        <f>D173+D213+D245+D277+D309+D337</f>
        <v/>
      </c>
      <c r="E391" s="41">
        <f>E173+E213+E245+E277+E309+E337</f>
        <v/>
      </c>
      <c r="F391" s="41">
        <f>F173+F213+F245+F277+F309+F337</f>
        <v/>
      </c>
      <c r="G391" s="41">
        <f>G173+G213+G245+G277+G309+G337</f>
        <v/>
      </c>
      <c r="H391" s="41">
        <f>H173+H213+H245+H277+H309+H337</f>
        <v/>
      </c>
      <c r="I391" s="41">
        <f>I173+I213+I245+I277+I309+I337</f>
        <v/>
      </c>
      <c r="J391" s="41">
        <f>J173+J213+J245+J277+J309+J337</f>
        <v/>
      </c>
      <c r="K391" s="41">
        <f>K173+K213+K245+K277+K309+K337</f>
        <v/>
      </c>
      <c r="L391" s="41">
        <f>L173+L213+L245+L277+L309+L337</f>
        <v/>
      </c>
      <c r="M391" s="41">
        <f>M173+M213+M245+M277+M309+M337</f>
        <v/>
      </c>
      <c r="N391" s="41">
        <f>N173+N213+N245+N277+N309+N337</f>
        <v/>
      </c>
      <c r="O391" s="41">
        <f>O173+O213+O245+O277+O309+O337</f>
        <v/>
      </c>
      <c r="P391" s="41">
        <f>P173+P213+P245+P277+P309+P337</f>
        <v/>
      </c>
      <c r="Q391" s="41">
        <f>Q173+Q213+Q245+Q277+Q309+Q337</f>
        <v/>
      </c>
      <c r="R391" s="41">
        <f>R173+R213+R245+R277+R309+R337</f>
        <v/>
      </c>
      <c r="S391" s="41">
        <f>S173+S213+S245+S277+S309+S337</f>
        <v/>
      </c>
      <c r="T391" s="41">
        <f>T173+T213+T245+T277+T309+T337</f>
        <v/>
      </c>
      <c r="U391" s="41">
        <f>U173+U213+U245+U277+U309+U337</f>
        <v/>
      </c>
      <c r="V391" s="41">
        <f>V173+V213+V245+V277+V309+V337</f>
        <v/>
      </c>
      <c r="W391" s="41">
        <f>W173+W213+W245+W277+W309+W337</f>
        <v/>
      </c>
      <c r="X391" s="41">
        <f>X173+X213+X245+X277+X309+X337</f>
        <v/>
      </c>
      <c r="Y391" s="41">
        <f>Y173+Y213+Y245+Y277+Y309+Y337</f>
        <v/>
      </c>
      <c r="Z391" s="41">
        <f>Z173+Z213+Z245+Z277+Z309+Z337</f>
        <v/>
      </c>
      <c r="AA391" s="41">
        <f>AA173+AA213+AA245+AA277+AA309+AA337</f>
        <v/>
      </c>
      <c r="AB391" s="41">
        <f>AB173+AB213+AB245+AB277+AB309+AB337</f>
        <v/>
      </c>
      <c r="AC391" s="41">
        <f>AC173+AC213+AC245+AC277+AC309+AC337</f>
        <v/>
      </c>
      <c r="AD391" s="41">
        <f>AD173+AD213+AD245+AD277+AD309+AD337</f>
        <v/>
      </c>
      <c r="AE391" s="41">
        <f>AE173+AE213+AE245+AE277+AE309+AE337</f>
        <v/>
      </c>
      <c r="AF391" s="41">
        <f>AF173+AF213+AF245+AF277+AF309+AF337</f>
        <v/>
      </c>
      <c r="AG391" s="41">
        <f>AG173+AG213+AG245+AG277+AG309+AG337</f>
        <v/>
      </c>
      <c r="AH391" s="41">
        <f>AH173+AH213+AH245+AH277+AH309+AH337</f>
        <v/>
      </c>
      <c r="AI391" s="41">
        <f>AI173+AI213+AI245+AI277+AI309+AI337</f>
        <v/>
      </c>
      <c r="AJ391" s="41">
        <f>AJ173+AJ213+AJ245+AJ277+AJ309+AJ337</f>
        <v/>
      </c>
      <c r="AK391" s="41">
        <f>AK173+AK213+AK245+AK277+AK309+AK337</f>
        <v/>
      </c>
      <c r="AL391" s="41">
        <f>AL173+AL213+AL245+AL277+AL309+AL337</f>
        <v/>
      </c>
      <c r="AM391" s="41">
        <f>AM173+AM213+AM245+AM277+AM309+AM337</f>
        <v/>
      </c>
      <c r="AN391" s="41">
        <f>AN173+AN213+AN245+AN277+AN309+AN337</f>
        <v/>
      </c>
      <c r="AO391" s="41">
        <f>AO173+AO213+AO245+AO277+AO309+AO337</f>
        <v/>
      </c>
      <c r="AP391" s="41">
        <f>AP173+AP213+AP245+AP277+AP309+AP337</f>
        <v/>
      </c>
      <c r="AQ391" s="41">
        <f>AQ173+AQ213+AQ245+AQ277+AQ309+AQ337</f>
        <v/>
      </c>
      <c r="AR391" s="41">
        <f>AR173+AR213+AR245+AR277+AR309+AR337</f>
        <v/>
      </c>
      <c r="AS391" s="41">
        <f>AS173+AS213+AS245+AS277+AS309+AS337</f>
        <v/>
      </c>
      <c r="AT391" s="41">
        <f>AT173+AT213+AT245+AT277+AT309+AT337</f>
        <v/>
      </c>
      <c r="AU391" s="41">
        <f>AU173+AU213+AU245+AU277+AU309+AU337</f>
        <v/>
      </c>
      <c r="AV391" s="41">
        <f>AV173+AV213+AV245+AV277+AV309+AV337</f>
        <v/>
      </c>
      <c r="AW391" s="41">
        <f>AW173+AW213+AW245+AW277+AW309+AW337</f>
        <v/>
      </c>
      <c r="AX391" s="41">
        <f>AX173+AX213+AX245+AX277+AX309+AX337</f>
        <v/>
      </c>
      <c r="AY391" s="41">
        <f>AY173+AY213+AY245+AY277+AY309+AY337</f>
        <v/>
      </c>
      <c r="AZ391" s="41">
        <f>AZ173+AZ213+AZ245+AZ277+AZ309+AZ337</f>
        <v/>
      </c>
      <c r="BA391" s="41">
        <f>BA173+BA213+BA245+BA277+BA309+BA337</f>
        <v/>
      </c>
      <c r="BB391" s="41">
        <f>BB173+BB213+BB245+BB277+BB309+BB337</f>
        <v/>
      </c>
      <c r="BC391" s="41">
        <f>BC173+BC213+BC245+BC277+BC309+BC337</f>
        <v/>
      </c>
      <c r="BD391" s="41">
        <f>BD173+BD213+BD245+BD277+BD309+BD337</f>
        <v/>
      </c>
      <c r="BE391" s="41">
        <f>BE173+BE213+BE245+BE277+BE309+BE337</f>
        <v/>
      </c>
      <c r="BF391" s="41">
        <f>BF173+BF213+BF245+BF277+BF309+BF337</f>
        <v/>
      </c>
      <c r="BG391" s="41">
        <f>BG173+BG213+BG245+BG277+BG309+BG337</f>
        <v/>
      </c>
      <c r="BH391" s="41">
        <f>BH173+BH213+BH245+BH277+BH309+BH337</f>
        <v/>
      </c>
      <c r="BI391" s="41">
        <f>BI173+BI213+BI245+BI277+BI309+BI337</f>
        <v/>
      </c>
      <c r="BJ391" s="41">
        <f>BJ173+BJ213+BJ245+BJ277+BJ309+BJ337</f>
        <v/>
      </c>
    </row>
    <row r="392">
      <c r="A392" s="4" t="inlineStr">
        <is>
          <t>Starter tier: opening</t>
        </is>
      </c>
      <c r="B392" s="17" t="inlineStr">
        <is>
          <t>workspaces</t>
        </is>
      </c>
      <c r="C392" s="41">
        <f>C176+C180+C216+C220+C248+C252+C280+C284+C312+C316+C340+C344</f>
        <v/>
      </c>
      <c r="D392" s="41">
        <f>D176+D180+D216+D220+D248+D252+D280+D284+D312+D316+D340+D344</f>
        <v/>
      </c>
      <c r="E392" s="41">
        <f>E176+E180+E216+E220+E248+E252+E280+E284+E312+E316+E340+E344</f>
        <v/>
      </c>
      <c r="F392" s="41">
        <f>F176+F180+F216+F220+F248+F252+F280+F284+F312+F316+F340+F344</f>
        <v/>
      </c>
      <c r="G392" s="41">
        <f>G176+G180+G216+G220+G248+G252+G280+G284+G312+G316+G340+G344</f>
        <v/>
      </c>
      <c r="H392" s="41">
        <f>H176+H180+H216+H220+H248+H252+H280+H284+H312+H316+H340+H344</f>
        <v/>
      </c>
      <c r="I392" s="41">
        <f>I176+I180+I216+I220+I248+I252+I280+I284+I312+I316+I340+I344</f>
        <v/>
      </c>
      <c r="J392" s="41">
        <f>J176+J180+J216+J220+J248+J252+J280+J284+J312+J316+J340+J344</f>
        <v/>
      </c>
      <c r="K392" s="41">
        <f>K176+K180+K216+K220+K248+K252+K280+K284+K312+K316+K340+K344</f>
        <v/>
      </c>
      <c r="L392" s="41">
        <f>L176+L180+L216+L220+L248+L252+L280+L284+L312+L316+L340+L344</f>
        <v/>
      </c>
      <c r="M392" s="41">
        <f>M176+M180+M216+M220+M248+M252+M280+M284+M312+M316+M340+M344</f>
        <v/>
      </c>
      <c r="N392" s="41">
        <f>N176+N180+N216+N220+N248+N252+N280+N284+N312+N316+N340+N344</f>
        <v/>
      </c>
      <c r="O392" s="41">
        <f>O176+O180+O216+O220+O248+O252+O280+O284+O312+O316+O340+O344</f>
        <v/>
      </c>
      <c r="P392" s="41">
        <f>P176+P180+P216+P220+P248+P252+P280+P284+P312+P316+P340+P344</f>
        <v/>
      </c>
      <c r="Q392" s="41">
        <f>Q176+Q180+Q216+Q220+Q248+Q252+Q280+Q284+Q312+Q316+Q340+Q344</f>
        <v/>
      </c>
      <c r="R392" s="41">
        <f>R176+R180+R216+R220+R248+R252+R280+R284+R312+R316+R340+R344</f>
        <v/>
      </c>
      <c r="S392" s="41">
        <f>S176+S180+S216+S220+S248+S252+S280+S284+S312+S316+S340+S344</f>
        <v/>
      </c>
      <c r="T392" s="41">
        <f>T176+T180+T216+T220+T248+T252+T280+T284+T312+T316+T340+T344</f>
        <v/>
      </c>
      <c r="U392" s="41">
        <f>U176+U180+U216+U220+U248+U252+U280+U284+U312+U316+U340+U344</f>
        <v/>
      </c>
      <c r="V392" s="41">
        <f>V176+V180+V216+V220+V248+V252+V280+V284+V312+V316+V340+V344</f>
        <v/>
      </c>
      <c r="W392" s="41">
        <f>W176+W180+W216+W220+W248+W252+W280+W284+W312+W316+W340+W344</f>
        <v/>
      </c>
      <c r="X392" s="41">
        <f>X176+X180+X216+X220+X248+X252+X280+X284+X312+X316+X340+X344</f>
        <v/>
      </c>
      <c r="Y392" s="41">
        <f>Y176+Y180+Y216+Y220+Y248+Y252+Y280+Y284+Y312+Y316+Y340+Y344</f>
        <v/>
      </c>
      <c r="Z392" s="41">
        <f>Z176+Z180+Z216+Z220+Z248+Z252+Z280+Z284+Z312+Z316+Z340+Z344</f>
        <v/>
      </c>
      <c r="AA392" s="41">
        <f>AA176+AA180+AA216+AA220+AA248+AA252+AA280+AA284+AA312+AA316+AA340+AA344</f>
        <v/>
      </c>
      <c r="AB392" s="41">
        <f>AB176+AB180+AB216+AB220+AB248+AB252+AB280+AB284+AB312+AB316+AB340+AB344</f>
        <v/>
      </c>
      <c r="AC392" s="41">
        <f>AC176+AC180+AC216+AC220+AC248+AC252+AC280+AC284+AC312+AC316+AC340+AC344</f>
        <v/>
      </c>
      <c r="AD392" s="41">
        <f>AD176+AD180+AD216+AD220+AD248+AD252+AD280+AD284+AD312+AD316+AD340+AD344</f>
        <v/>
      </c>
      <c r="AE392" s="41">
        <f>AE176+AE180+AE216+AE220+AE248+AE252+AE280+AE284+AE312+AE316+AE340+AE344</f>
        <v/>
      </c>
      <c r="AF392" s="41">
        <f>AF176+AF180+AF216+AF220+AF248+AF252+AF280+AF284+AF312+AF316+AF340+AF344</f>
        <v/>
      </c>
      <c r="AG392" s="41">
        <f>AG176+AG180+AG216+AG220+AG248+AG252+AG280+AG284+AG312+AG316+AG340+AG344</f>
        <v/>
      </c>
      <c r="AH392" s="41">
        <f>AH176+AH180+AH216+AH220+AH248+AH252+AH280+AH284+AH312+AH316+AH340+AH344</f>
        <v/>
      </c>
      <c r="AI392" s="41">
        <f>AI176+AI180+AI216+AI220+AI248+AI252+AI280+AI284+AI312+AI316+AI340+AI344</f>
        <v/>
      </c>
      <c r="AJ392" s="41">
        <f>AJ176+AJ180+AJ216+AJ220+AJ248+AJ252+AJ280+AJ284+AJ312+AJ316+AJ340+AJ344</f>
        <v/>
      </c>
      <c r="AK392" s="41">
        <f>AK176+AK180+AK216+AK220+AK248+AK252+AK280+AK284+AK312+AK316+AK340+AK344</f>
        <v/>
      </c>
      <c r="AL392" s="41">
        <f>AL176+AL180+AL216+AL220+AL248+AL252+AL280+AL284+AL312+AL316+AL340+AL344</f>
        <v/>
      </c>
      <c r="AM392" s="41">
        <f>AM176+AM180+AM216+AM220+AM248+AM252+AM280+AM284+AM312+AM316+AM340+AM344</f>
        <v/>
      </c>
      <c r="AN392" s="41">
        <f>AN176+AN180+AN216+AN220+AN248+AN252+AN280+AN284+AN312+AN316+AN340+AN344</f>
        <v/>
      </c>
      <c r="AO392" s="41">
        <f>AO176+AO180+AO216+AO220+AO248+AO252+AO280+AO284+AO312+AO316+AO340+AO344</f>
        <v/>
      </c>
      <c r="AP392" s="41">
        <f>AP176+AP180+AP216+AP220+AP248+AP252+AP280+AP284+AP312+AP316+AP340+AP344</f>
        <v/>
      </c>
      <c r="AQ392" s="41">
        <f>AQ176+AQ180+AQ216+AQ220+AQ248+AQ252+AQ280+AQ284+AQ312+AQ316+AQ340+AQ344</f>
        <v/>
      </c>
      <c r="AR392" s="41">
        <f>AR176+AR180+AR216+AR220+AR248+AR252+AR280+AR284+AR312+AR316+AR340+AR344</f>
        <v/>
      </c>
      <c r="AS392" s="41">
        <f>AS176+AS180+AS216+AS220+AS248+AS252+AS280+AS284+AS312+AS316+AS340+AS344</f>
        <v/>
      </c>
      <c r="AT392" s="41">
        <f>AT176+AT180+AT216+AT220+AT248+AT252+AT280+AT284+AT312+AT316+AT340+AT344</f>
        <v/>
      </c>
      <c r="AU392" s="41">
        <f>AU176+AU180+AU216+AU220+AU248+AU252+AU280+AU284+AU312+AU316+AU340+AU344</f>
        <v/>
      </c>
      <c r="AV392" s="41">
        <f>AV176+AV180+AV216+AV220+AV248+AV252+AV280+AV284+AV312+AV316+AV340+AV344</f>
        <v/>
      </c>
      <c r="AW392" s="41">
        <f>AW176+AW180+AW216+AW220+AW248+AW252+AW280+AW284+AW312+AW316+AW340+AW344</f>
        <v/>
      </c>
      <c r="AX392" s="41">
        <f>AX176+AX180+AX216+AX220+AX248+AX252+AX280+AX284+AX312+AX316+AX340+AX344</f>
        <v/>
      </c>
      <c r="AY392" s="41">
        <f>AY176+AY180+AY216+AY220+AY248+AY252+AY280+AY284+AY312+AY316+AY340+AY344</f>
        <v/>
      </c>
      <c r="AZ392" s="41">
        <f>AZ176+AZ180+AZ216+AZ220+AZ248+AZ252+AZ280+AZ284+AZ312+AZ316+AZ340+AZ344</f>
        <v/>
      </c>
      <c r="BA392" s="41">
        <f>BA176+BA180+BA216+BA220+BA248+BA252+BA280+BA284+BA312+BA316+BA340+BA344</f>
        <v/>
      </c>
      <c r="BB392" s="41">
        <f>BB176+BB180+BB216+BB220+BB248+BB252+BB280+BB284+BB312+BB316+BB340+BB344</f>
        <v/>
      </c>
      <c r="BC392" s="41">
        <f>BC176+BC180+BC216+BC220+BC248+BC252+BC280+BC284+BC312+BC316+BC340+BC344</f>
        <v/>
      </c>
      <c r="BD392" s="41">
        <f>BD176+BD180+BD216+BD220+BD248+BD252+BD280+BD284+BD312+BD316+BD340+BD344</f>
        <v/>
      </c>
      <c r="BE392" s="41">
        <f>BE176+BE180+BE216+BE220+BE248+BE252+BE280+BE284+BE312+BE316+BE340+BE344</f>
        <v/>
      </c>
      <c r="BF392" s="41">
        <f>BF176+BF180+BF216+BF220+BF248+BF252+BF280+BF284+BF312+BF316+BF340+BF344</f>
        <v/>
      </c>
      <c r="BG392" s="41">
        <f>BG176+BG180+BG216+BG220+BG248+BG252+BG280+BG284+BG312+BG316+BG340+BG344</f>
        <v/>
      </c>
      <c r="BH392" s="41">
        <f>BH176+BH180+BH216+BH220+BH248+BH252+BH280+BH284+BH312+BH316+BH340+BH344</f>
        <v/>
      </c>
      <c r="BI392" s="41">
        <f>BI176+BI180+BI216+BI220+BI248+BI252+BI280+BI284+BI312+BI316+BI340+BI344</f>
        <v/>
      </c>
      <c r="BJ392" s="41">
        <f>BJ176+BJ180+BJ216+BJ220+BJ248+BJ252+BJ280+BJ284+BJ312+BJ316+BJ340+BJ344</f>
        <v/>
      </c>
    </row>
    <row r="393">
      <c r="A393" s="4" t="inlineStr">
        <is>
          <t>Starter tier: closing</t>
        </is>
      </c>
      <c r="B393" s="17" t="inlineStr">
        <is>
          <t>workspaces</t>
        </is>
      </c>
      <c r="C393" s="41">
        <f>C179+C184+C219+C224+C251+C256+C283+C288+C315+C320+C343+C348</f>
        <v/>
      </c>
      <c r="D393" s="41">
        <f>D179+D184+D219+D224+D251+D256+D283+D288+D315+D320+D343+D348</f>
        <v/>
      </c>
      <c r="E393" s="41">
        <f>E179+E184+E219+E224+E251+E256+E283+E288+E315+E320+E343+E348</f>
        <v/>
      </c>
      <c r="F393" s="41">
        <f>F179+F184+F219+F224+F251+F256+F283+F288+F315+F320+F343+F348</f>
        <v/>
      </c>
      <c r="G393" s="41">
        <f>G179+G184+G219+G224+G251+G256+G283+G288+G315+G320+G343+G348</f>
        <v/>
      </c>
      <c r="H393" s="41">
        <f>H179+H184+H219+H224+H251+H256+H283+H288+H315+H320+H343+H348</f>
        <v/>
      </c>
      <c r="I393" s="41">
        <f>I179+I184+I219+I224+I251+I256+I283+I288+I315+I320+I343+I348</f>
        <v/>
      </c>
      <c r="J393" s="41">
        <f>J179+J184+J219+J224+J251+J256+J283+J288+J315+J320+J343+J348</f>
        <v/>
      </c>
      <c r="K393" s="41">
        <f>K179+K184+K219+K224+K251+K256+K283+K288+K315+K320+K343+K348</f>
        <v/>
      </c>
      <c r="L393" s="41">
        <f>L179+L184+L219+L224+L251+L256+L283+L288+L315+L320+L343+L348</f>
        <v/>
      </c>
      <c r="M393" s="41">
        <f>M179+M184+M219+M224+M251+M256+M283+M288+M315+M320+M343+M348</f>
        <v/>
      </c>
      <c r="N393" s="41">
        <f>N179+N184+N219+N224+N251+N256+N283+N288+N315+N320+N343+N348</f>
        <v/>
      </c>
      <c r="O393" s="41">
        <f>O179+O184+O219+O224+O251+O256+O283+O288+O315+O320+O343+O348</f>
        <v/>
      </c>
      <c r="P393" s="41">
        <f>P179+P184+P219+P224+P251+P256+P283+P288+P315+P320+P343+P348</f>
        <v/>
      </c>
      <c r="Q393" s="41">
        <f>Q179+Q184+Q219+Q224+Q251+Q256+Q283+Q288+Q315+Q320+Q343+Q348</f>
        <v/>
      </c>
      <c r="R393" s="41">
        <f>R179+R184+R219+R224+R251+R256+R283+R288+R315+R320+R343+R348</f>
        <v/>
      </c>
      <c r="S393" s="41">
        <f>S179+S184+S219+S224+S251+S256+S283+S288+S315+S320+S343+S348</f>
        <v/>
      </c>
      <c r="T393" s="41">
        <f>T179+T184+T219+T224+T251+T256+T283+T288+T315+T320+T343+T348</f>
        <v/>
      </c>
      <c r="U393" s="41">
        <f>U179+U184+U219+U224+U251+U256+U283+U288+U315+U320+U343+U348</f>
        <v/>
      </c>
      <c r="V393" s="41">
        <f>V179+V184+V219+V224+V251+V256+V283+V288+V315+V320+V343+V348</f>
        <v/>
      </c>
      <c r="W393" s="41">
        <f>W179+W184+W219+W224+W251+W256+W283+W288+W315+W320+W343+W348</f>
        <v/>
      </c>
      <c r="X393" s="41">
        <f>X179+X184+X219+X224+X251+X256+X283+X288+X315+X320+X343+X348</f>
        <v/>
      </c>
      <c r="Y393" s="41">
        <f>Y179+Y184+Y219+Y224+Y251+Y256+Y283+Y288+Y315+Y320+Y343+Y348</f>
        <v/>
      </c>
      <c r="Z393" s="41">
        <f>Z179+Z184+Z219+Z224+Z251+Z256+Z283+Z288+Z315+Z320+Z343+Z348</f>
        <v/>
      </c>
      <c r="AA393" s="41">
        <f>AA179+AA184+AA219+AA224+AA251+AA256+AA283+AA288+AA315+AA320+AA343+AA348</f>
        <v/>
      </c>
      <c r="AB393" s="41">
        <f>AB179+AB184+AB219+AB224+AB251+AB256+AB283+AB288+AB315+AB320+AB343+AB348</f>
        <v/>
      </c>
      <c r="AC393" s="41">
        <f>AC179+AC184+AC219+AC224+AC251+AC256+AC283+AC288+AC315+AC320+AC343+AC348</f>
        <v/>
      </c>
      <c r="AD393" s="41">
        <f>AD179+AD184+AD219+AD224+AD251+AD256+AD283+AD288+AD315+AD320+AD343+AD348</f>
        <v/>
      </c>
      <c r="AE393" s="41">
        <f>AE179+AE184+AE219+AE224+AE251+AE256+AE283+AE288+AE315+AE320+AE343+AE348</f>
        <v/>
      </c>
      <c r="AF393" s="41">
        <f>AF179+AF184+AF219+AF224+AF251+AF256+AF283+AF288+AF315+AF320+AF343+AF348</f>
        <v/>
      </c>
      <c r="AG393" s="41">
        <f>AG179+AG184+AG219+AG224+AG251+AG256+AG283+AG288+AG315+AG320+AG343+AG348</f>
        <v/>
      </c>
      <c r="AH393" s="41">
        <f>AH179+AH184+AH219+AH224+AH251+AH256+AH283+AH288+AH315+AH320+AH343+AH348</f>
        <v/>
      </c>
      <c r="AI393" s="41">
        <f>AI179+AI184+AI219+AI224+AI251+AI256+AI283+AI288+AI315+AI320+AI343+AI348</f>
        <v/>
      </c>
      <c r="AJ393" s="41">
        <f>AJ179+AJ184+AJ219+AJ224+AJ251+AJ256+AJ283+AJ288+AJ315+AJ320+AJ343+AJ348</f>
        <v/>
      </c>
      <c r="AK393" s="41">
        <f>AK179+AK184+AK219+AK224+AK251+AK256+AK283+AK288+AK315+AK320+AK343+AK348</f>
        <v/>
      </c>
      <c r="AL393" s="41">
        <f>AL179+AL184+AL219+AL224+AL251+AL256+AL283+AL288+AL315+AL320+AL343+AL348</f>
        <v/>
      </c>
      <c r="AM393" s="41">
        <f>AM179+AM184+AM219+AM224+AM251+AM256+AM283+AM288+AM315+AM320+AM343+AM348</f>
        <v/>
      </c>
      <c r="AN393" s="41">
        <f>AN179+AN184+AN219+AN224+AN251+AN256+AN283+AN288+AN315+AN320+AN343+AN348</f>
        <v/>
      </c>
      <c r="AO393" s="41">
        <f>AO179+AO184+AO219+AO224+AO251+AO256+AO283+AO288+AO315+AO320+AO343+AO348</f>
        <v/>
      </c>
      <c r="AP393" s="41">
        <f>AP179+AP184+AP219+AP224+AP251+AP256+AP283+AP288+AP315+AP320+AP343+AP348</f>
        <v/>
      </c>
      <c r="AQ393" s="41">
        <f>AQ179+AQ184+AQ219+AQ224+AQ251+AQ256+AQ283+AQ288+AQ315+AQ320+AQ343+AQ348</f>
        <v/>
      </c>
      <c r="AR393" s="41">
        <f>AR179+AR184+AR219+AR224+AR251+AR256+AR283+AR288+AR315+AR320+AR343+AR348</f>
        <v/>
      </c>
      <c r="AS393" s="41">
        <f>AS179+AS184+AS219+AS224+AS251+AS256+AS283+AS288+AS315+AS320+AS343+AS348</f>
        <v/>
      </c>
      <c r="AT393" s="41">
        <f>AT179+AT184+AT219+AT224+AT251+AT256+AT283+AT288+AT315+AT320+AT343+AT348</f>
        <v/>
      </c>
      <c r="AU393" s="41">
        <f>AU179+AU184+AU219+AU224+AU251+AU256+AU283+AU288+AU315+AU320+AU343+AU348</f>
        <v/>
      </c>
      <c r="AV393" s="41">
        <f>AV179+AV184+AV219+AV224+AV251+AV256+AV283+AV288+AV315+AV320+AV343+AV348</f>
        <v/>
      </c>
      <c r="AW393" s="41">
        <f>AW179+AW184+AW219+AW224+AW251+AW256+AW283+AW288+AW315+AW320+AW343+AW348</f>
        <v/>
      </c>
      <c r="AX393" s="41">
        <f>AX179+AX184+AX219+AX224+AX251+AX256+AX283+AX288+AX315+AX320+AX343+AX348</f>
        <v/>
      </c>
      <c r="AY393" s="41">
        <f>AY179+AY184+AY219+AY224+AY251+AY256+AY283+AY288+AY315+AY320+AY343+AY348</f>
        <v/>
      </c>
      <c r="AZ393" s="41">
        <f>AZ179+AZ184+AZ219+AZ224+AZ251+AZ256+AZ283+AZ288+AZ315+AZ320+AZ343+AZ348</f>
        <v/>
      </c>
      <c r="BA393" s="41">
        <f>BA179+BA184+BA219+BA224+BA251+BA256+BA283+BA288+BA315+BA320+BA343+BA348</f>
        <v/>
      </c>
      <c r="BB393" s="41">
        <f>BB179+BB184+BB219+BB224+BB251+BB256+BB283+BB288+BB315+BB320+BB343+BB348</f>
        <v/>
      </c>
      <c r="BC393" s="41">
        <f>BC179+BC184+BC219+BC224+BC251+BC256+BC283+BC288+BC315+BC320+BC343+BC348</f>
        <v/>
      </c>
      <c r="BD393" s="41">
        <f>BD179+BD184+BD219+BD224+BD251+BD256+BD283+BD288+BD315+BD320+BD343+BD348</f>
        <v/>
      </c>
      <c r="BE393" s="41">
        <f>BE179+BE184+BE219+BE224+BE251+BE256+BE283+BE288+BE315+BE320+BE343+BE348</f>
        <v/>
      </c>
      <c r="BF393" s="41">
        <f>BF179+BF184+BF219+BF224+BF251+BF256+BF283+BF288+BF315+BF320+BF343+BF348</f>
        <v/>
      </c>
      <c r="BG393" s="41">
        <f>BG179+BG184+BG219+BG224+BG251+BG256+BG283+BG288+BG315+BG320+BG343+BG348</f>
        <v/>
      </c>
      <c r="BH393" s="41">
        <f>BH179+BH184+BH219+BH224+BH251+BH256+BH283+BH288+BH315+BH320+BH343+BH348</f>
        <v/>
      </c>
      <c r="BI393" s="41">
        <f>BI179+BI184+BI219+BI224+BI251+BI256+BI283+BI288+BI315+BI320+BI343+BI348</f>
        <v/>
      </c>
      <c r="BJ393" s="41">
        <f>BJ179+BJ184+BJ219+BJ224+BJ251+BJ256+BJ283+BJ288+BJ315+BJ320+BJ343+BJ348</f>
        <v/>
      </c>
    </row>
    <row r="394">
      <c r="A394" s="4" t="inlineStr">
        <is>
          <t>Starter tier: churned</t>
        </is>
      </c>
      <c r="B394" s="17" t="inlineStr">
        <is>
          <t>workspaces</t>
        </is>
      </c>
      <c r="C394" s="41">
        <f>C178+C182+C218+C222+C250+C254+C282+C286+C314+C318+C342+C346</f>
        <v/>
      </c>
      <c r="D394" s="41">
        <f>D178+D182+D218+D222+D250+D254+D282+D286+D314+D318+D342+D346</f>
        <v/>
      </c>
      <c r="E394" s="41">
        <f>E178+E182+E218+E222+E250+E254+E282+E286+E314+E318+E342+E346</f>
        <v/>
      </c>
      <c r="F394" s="41">
        <f>F178+F182+F218+F222+F250+F254+F282+F286+F314+F318+F342+F346</f>
        <v/>
      </c>
      <c r="G394" s="41">
        <f>G178+G182+G218+G222+G250+G254+G282+G286+G314+G318+G342+G346</f>
        <v/>
      </c>
      <c r="H394" s="41">
        <f>H178+H182+H218+H222+H250+H254+H282+H286+H314+H318+H342+H346</f>
        <v/>
      </c>
      <c r="I394" s="41">
        <f>I178+I182+I218+I222+I250+I254+I282+I286+I314+I318+I342+I346</f>
        <v/>
      </c>
      <c r="J394" s="41">
        <f>J178+J182+J218+J222+J250+J254+J282+J286+J314+J318+J342+J346</f>
        <v/>
      </c>
      <c r="K394" s="41">
        <f>K178+K182+K218+K222+K250+K254+K282+K286+K314+K318+K342+K346</f>
        <v/>
      </c>
      <c r="L394" s="41">
        <f>L178+L182+L218+L222+L250+L254+L282+L286+L314+L318+L342+L346</f>
        <v/>
      </c>
      <c r="M394" s="41">
        <f>M178+M182+M218+M222+M250+M254+M282+M286+M314+M318+M342+M346</f>
        <v/>
      </c>
      <c r="N394" s="41">
        <f>N178+N182+N218+N222+N250+N254+N282+N286+N314+N318+N342+N346</f>
        <v/>
      </c>
      <c r="O394" s="41">
        <f>O178+O182+O218+O222+O250+O254+O282+O286+O314+O318+O342+O346</f>
        <v/>
      </c>
      <c r="P394" s="41">
        <f>P178+P182+P218+P222+P250+P254+P282+P286+P314+P318+P342+P346</f>
        <v/>
      </c>
      <c r="Q394" s="41">
        <f>Q178+Q182+Q218+Q222+Q250+Q254+Q282+Q286+Q314+Q318+Q342+Q346</f>
        <v/>
      </c>
      <c r="R394" s="41">
        <f>R178+R182+R218+R222+R250+R254+R282+R286+R314+R318+R342+R346</f>
        <v/>
      </c>
      <c r="S394" s="41">
        <f>S178+S182+S218+S222+S250+S254+S282+S286+S314+S318+S342+S346</f>
        <v/>
      </c>
      <c r="T394" s="41">
        <f>T178+T182+T218+T222+T250+T254+T282+T286+T314+T318+T342+T346</f>
        <v/>
      </c>
      <c r="U394" s="41">
        <f>U178+U182+U218+U222+U250+U254+U282+U286+U314+U318+U342+U346</f>
        <v/>
      </c>
      <c r="V394" s="41">
        <f>V178+V182+V218+V222+V250+V254+V282+V286+V314+V318+V342+V346</f>
        <v/>
      </c>
      <c r="W394" s="41">
        <f>W178+W182+W218+W222+W250+W254+W282+W286+W314+W318+W342+W346</f>
        <v/>
      </c>
      <c r="X394" s="41">
        <f>X178+X182+X218+X222+X250+X254+X282+X286+X314+X318+X342+X346</f>
        <v/>
      </c>
      <c r="Y394" s="41">
        <f>Y178+Y182+Y218+Y222+Y250+Y254+Y282+Y286+Y314+Y318+Y342+Y346</f>
        <v/>
      </c>
      <c r="Z394" s="41">
        <f>Z178+Z182+Z218+Z222+Z250+Z254+Z282+Z286+Z314+Z318+Z342+Z346</f>
        <v/>
      </c>
      <c r="AA394" s="41">
        <f>AA178+AA182+AA218+AA222+AA250+AA254+AA282+AA286+AA314+AA318+AA342+AA346</f>
        <v/>
      </c>
      <c r="AB394" s="41">
        <f>AB178+AB182+AB218+AB222+AB250+AB254+AB282+AB286+AB314+AB318+AB342+AB346</f>
        <v/>
      </c>
      <c r="AC394" s="41">
        <f>AC178+AC182+AC218+AC222+AC250+AC254+AC282+AC286+AC314+AC318+AC342+AC346</f>
        <v/>
      </c>
      <c r="AD394" s="41">
        <f>AD178+AD182+AD218+AD222+AD250+AD254+AD282+AD286+AD314+AD318+AD342+AD346</f>
        <v/>
      </c>
      <c r="AE394" s="41">
        <f>AE178+AE182+AE218+AE222+AE250+AE254+AE282+AE286+AE314+AE318+AE342+AE346</f>
        <v/>
      </c>
      <c r="AF394" s="41">
        <f>AF178+AF182+AF218+AF222+AF250+AF254+AF282+AF286+AF314+AF318+AF342+AF346</f>
        <v/>
      </c>
      <c r="AG394" s="41">
        <f>AG178+AG182+AG218+AG222+AG250+AG254+AG282+AG286+AG314+AG318+AG342+AG346</f>
        <v/>
      </c>
      <c r="AH394" s="41">
        <f>AH178+AH182+AH218+AH222+AH250+AH254+AH282+AH286+AH314+AH318+AH342+AH346</f>
        <v/>
      </c>
      <c r="AI394" s="41">
        <f>AI178+AI182+AI218+AI222+AI250+AI254+AI282+AI286+AI314+AI318+AI342+AI346</f>
        <v/>
      </c>
      <c r="AJ394" s="41">
        <f>AJ178+AJ182+AJ218+AJ222+AJ250+AJ254+AJ282+AJ286+AJ314+AJ318+AJ342+AJ346</f>
        <v/>
      </c>
      <c r="AK394" s="41">
        <f>AK178+AK182+AK218+AK222+AK250+AK254+AK282+AK286+AK314+AK318+AK342+AK346</f>
        <v/>
      </c>
      <c r="AL394" s="41">
        <f>AL178+AL182+AL218+AL222+AL250+AL254+AL282+AL286+AL314+AL318+AL342+AL346</f>
        <v/>
      </c>
      <c r="AM394" s="41">
        <f>AM178+AM182+AM218+AM222+AM250+AM254+AM282+AM286+AM314+AM318+AM342+AM346</f>
        <v/>
      </c>
      <c r="AN394" s="41">
        <f>AN178+AN182+AN218+AN222+AN250+AN254+AN282+AN286+AN314+AN318+AN342+AN346</f>
        <v/>
      </c>
      <c r="AO394" s="41">
        <f>AO178+AO182+AO218+AO222+AO250+AO254+AO282+AO286+AO314+AO318+AO342+AO346</f>
        <v/>
      </c>
      <c r="AP394" s="41">
        <f>AP178+AP182+AP218+AP222+AP250+AP254+AP282+AP286+AP314+AP318+AP342+AP346</f>
        <v/>
      </c>
      <c r="AQ394" s="41">
        <f>AQ178+AQ182+AQ218+AQ222+AQ250+AQ254+AQ282+AQ286+AQ314+AQ318+AQ342+AQ346</f>
        <v/>
      </c>
      <c r="AR394" s="41">
        <f>AR178+AR182+AR218+AR222+AR250+AR254+AR282+AR286+AR314+AR318+AR342+AR346</f>
        <v/>
      </c>
      <c r="AS394" s="41">
        <f>AS178+AS182+AS218+AS222+AS250+AS254+AS282+AS286+AS314+AS318+AS342+AS346</f>
        <v/>
      </c>
      <c r="AT394" s="41">
        <f>AT178+AT182+AT218+AT222+AT250+AT254+AT282+AT286+AT314+AT318+AT342+AT346</f>
        <v/>
      </c>
      <c r="AU394" s="41">
        <f>AU178+AU182+AU218+AU222+AU250+AU254+AU282+AU286+AU314+AU318+AU342+AU346</f>
        <v/>
      </c>
      <c r="AV394" s="41">
        <f>AV178+AV182+AV218+AV222+AV250+AV254+AV282+AV286+AV314+AV318+AV342+AV346</f>
        <v/>
      </c>
      <c r="AW394" s="41">
        <f>AW178+AW182+AW218+AW222+AW250+AW254+AW282+AW286+AW314+AW318+AW342+AW346</f>
        <v/>
      </c>
      <c r="AX394" s="41">
        <f>AX178+AX182+AX218+AX222+AX250+AX254+AX282+AX286+AX314+AX318+AX342+AX346</f>
        <v/>
      </c>
      <c r="AY394" s="41">
        <f>AY178+AY182+AY218+AY222+AY250+AY254+AY282+AY286+AY314+AY318+AY342+AY346</f>
        <v/>
      </c>
      <c r="AZ394" s="41">
        <f>AZ178+AZ182+AZ218+AZ222+AZ250+AZ254+AZ282+AZ286+AZ314+AZ318+AZ342+AZ346</f>
        <v/>
      </c>
      <c r="BA394" s="41">
        <f>BA178+BA182+BA218+BA222+BA250+BA254+BA282+BA286+BA314+BA318+BA342+BA346</f>
        <v/>
      </c>
      <c r="BB394" s="41">
        <f>BB178+BB182+BB218+BB222+BB250+BB254+BB282+BB286+BB314+BB318+BB342+BB346</f>
        <v/>
      </c>
      <c r="BC394" s="41">
        <f>BC178+BC182+BC218+BC222+BC250+BC254+BC282+BC286+BC314+BC318+BC342+BC346</f>
        <v/>
      </c>
      <c r="BD394" s="41">
        <f>BD178+BD182+BD218+BD222+BD250+BD254+BD282+BD286+BD314+BD318+BD342+BD346</f>
        <v/>
      </c>
      <c r="BE394" s="41">
        <f>BE178+BE182+BE218+BE222+BE250+BE254+BE282+BE286+BE314+BE318+BE342+BE346</f>
        <v/>
      </c>
      <c r="BF394" s="41">
        <f>BF178+BF182+BF218+BF222+BF250+BF254+BF282+BF286+BF314+BF318+BF342+BF346</f>
        <v/>
      </c>
      <c r="BG394" s="41">
        <f>BG178+BG182+BG218+BG222+BG250+BG254+BG282+BG286+BG314+BG318+BG342+BG346</f>
        <v/>
      </c>
      <c r="BH394" s="41">
        <f>BH178+BH182+BH218+BH222+BH250+BH254+BH282+BH286+BH314+BH318+BH342+BH346</f>
        <v/>
      </c>
      <c r="BI394" s="41">
        <f>BI178+BI182+BI218+BI222+BI250+BI254+BI282+BI286+BI314+BI318+BI342+BI346</f>
        <v/>
      </c>
      <c r="BJ394" s="41">
        <f>BJ178+BJ182+BJ218+BJ222+BJ250+BJ254+BJ282+BJ286+BJ314+BJ318+BJ342+BJ346</f>
        <v/>
      </c>
    </row>
    <row r="395">
      <c r="A395" s="4" t="inlineStr">
        <is>
          <t>Growth tier: opening</t>
        </is>
      </c>
      <c r="B395" s="17" t="inlineStr">
        <is>
          <t>workspaces</t>
        </is>
      </c>
      <c r="C395" s="41">
        <f>C185+C225+C257+C289+C321+C349</f>
        <v/>
      </c>
      <c r="D395" s="41">
        <f>D185+D225+D257+D289+D321+D349</f>
        <v/>
      </c>
      <c r="E395" s="41">
        <f>E185+E225+E257+E289+E321+E349</f>
        <v/>
      </c>
      <c r="F395" s="41">
        <f>F185+F225+F257+F289+F321+F349</f>
        <v/>
      </c>
      <c r="G395" s="41">
        <f>G185+G225+G257+G289+G321+G349</f>
        <v/>
      </c>
      <c r="H395" s="41">
        <f>H185+H225+H257+H289+H321+H349</f>
        <v/>
      </c>
      <c r="I395" s="41">
        <f>I185+I225+I257+I289+I321+I349</f>
        <v/>
      </c>
      <c r="J395" s="41">
        <f>J185+J225+J257+J289+J321+J349</f>
        <v/>
      </c>
      <c r="K395" s="41">
        <f>K185+K225+K257+K289+K321+K349</f>
        <v/>
      </c>
      <c r="L395" s="41">
        <f>L185+L225+L257+L289+L321+L349</f>
        <v/>
      </c>
      <c r="M395" s="41">
        <f>M185+M225+M257+M289+M321+M349</f>
        <v/>
      </c>
      <c r="N395" s="41">
        <f>N185+N225+N257+N289+N321+N349</f>
        <v/>
      </c>
      <c r="O395" s="41">
        <f>O185+O225+O257+O289+O321+O349</f>
        <v/>
      </c>
      <c r="P395" s="41">
        <f>P185+P225+P257+P289+P321+P349</f>
        <v/>
      </c>
      <c r="Q395" s="41">
        <f>Q185+Q225+Q257+Q289+Q321+Q349</f>
        <v/>
      </c>
      <c r="R395" s="41">
        <f>R185+R225+R257+R289+R321+R349</f>
        <v/>
      </c>
      <c r="S395" s="41">
        <f>S185+S225+S257+S289+S321+S349</f>
        <v/>
      </c>
      <c r="T395" s="41">
        <f>T185+T225+T257+T289+T321+T349</f>
        <v/>
      </c>
      <c r="U395" s="41">
        <f>U185+U225+U257+U289+U321+U349</f>
        <v/>
      </c>
      <c r="V395" s="41">
        <f>V185+V225+V257+V289+V321+V349</f>
        <v/>
      </c>
      <c r="W395" s="41">
        <f>W185+W225+W257+W289+W321+W349</f>
        <v/>
      </c>
      <c r="X395" s="41">
        <f>X185+X225+X257+X289+X321+X349</f>
        <v/>
      </c>
      <c r="Y395" s="41">
        <f>Y185+Y225+Y257+Y289+Y321+Y349</f>
        <v/>
      </c>
      <c r="Z395" s="41">
        <f>Z185+Z225+Z257+Z289+Z321+Z349</f>
        <v/>
      </c>
      <c r="AA395" s="41">
        <f>AA185+AA225+AA257+AA289+AA321+AA349</f>
        <v/>
      </c>
      <c r="AB395" s="41">
        <f>AB185+AB225+AB257+AB289+AB321+AB349</f>
        <v/>
      </c>
      <c r="AC395" s="41">
        <f>AC185+AC225+AC257+AC289+AC321+AC349</f>
        <v/>
      </c>
      <c r="AD395" s="41">
        <f>AD185+AD225+AD257+AD289+AD321+AD349</f>
        <v/>
      </c>
      <c r="AE395" s="41">
        <f>AE185+AE225+AE257+AE289+AE321+AE349</f>
        <v/>
      </c>
      <c r="AF395" s="41">
        <f>AF185+AF225+AF257+AF289+AF321+AF349</f>
        <v/>
      </c>
      <c r="AG395" s="41">
        <f>AG185+AG225+AG257+AG289+AG321+AG349</f>
        <v/>
      </c>
      <c r="AH395" s="41">
        <f>AH185+AH225+AH257+AH289+AH321+AH349</f>
        <v/>
      </c>
      <c r="AI395" s="41">
        <f>AI185+AI225+AI257+AI289+AI321+AI349</f>
        <v/>
      </c>
      <c r="AJ395" s="41">
        <f>AJ185+AJ225+AJ257+AJ289+AJ321+AJ349</f>
        <v/>
      </c>
      <c r="AK395" s="41">
        <f>AK185+AK225+AK257+AK289+AK321+AK349</f>
        <v/>
      </c>
      <c r="AL395" s="41">
        <f>AL185+AL225+AL257+AL289+AL321+AL349</f>
        <v/>
      </c>
      <c r="AM395" s="41">
        <f>AM185+AM225+AM257+AM289+AM321+AM349</f>
        <v/>
      </c>
      <c r="AN395" s="41">
        <f>AN185+AN225+AN257+AN289+AN321+AN349</f>
        <v/>
      </c>
      <c r="AO395" s="41">
        <f>AO185+AO225+AO257+AO289+AO321+AO349</f>
        <v/>
      </c>
      <c r="AP395" s="41">
        <f>AP185+AP225+AP257+AP289+AP321+AP349</f>
        <v/>
      </c>
      <c r="AQ395" s="41">
        <f>AQ185+AQ225+AQ257+AQ289+AQ321+AQ349</f>
        <v/>
      </c>
      <c r="AR395" s="41">
        <f>AR185+AR225+AR257+AR289+AR321+AR349</f>
        <v/>
      </c>
      <c r="AS395" s="41">
        <f>AS185+AS225+AS257+AS289+AS321+AS349</f>
        <v/>
      </c>
      <c r="AT395" s="41">
        <f>AT185+AT225+AT257+AT289+AT321+AT349</f>
        <v/>
      </c>
      <c r="AU395" s="41">
        <f>AU185+AU225+AU257+AU289+AU321+AU349</f>
        <v/>
      </c>
      <c r="AV395" s="41">
        <f>AV185+AV225+AV257+AV289+AV321+AV349</f>
        <v/>
      </c>
      <c r="AW395" s="41">
        <f>AW185+AW225+AW257+AW289+AW321+AW349</f>
        <v/>
      </c>
      <c r="AX395" s="41">
        <f>AX185+AX225+AX257+AX289+AX321+AX349</f>
        <v/>
      </c>
      <c r="AY395" s="41">
        <f>AY185+AY225+AY257+AY289+AY321+AY349</f>
        <v/>
      </c>
      <c r="AZ395" s="41">
        <f>AZ185+AZ225+AZ257+AZ289+AZ321+AZ349</f>
        <v/>
      </c>
      <c r="BA395" s="41">
        <f>BA185+BA225+BA257+BA289+BA321+BA349</f>
        <v/>
      </c>
      <c r="BB395" s="41">
        <f>BB185+BB225+BB257+BB289+BB321+BB349</f>
        <v/>
      </c>
      <c r="BC395" s="41">
        <f>BC185+BC225+BC257+BC289+BC321+BC349</f>
        <v/>
      </c>
      <c r="BD395" s="41">
        <f>BD185+BD225+BD257+BD289+BD321+BD349</f>
        <v/>
      </c>
      <c r="BE395" s="41">
        <f>BE185+BE225+BE257+BE289+BE321+BE349</f>
        <v/>
      </c>
      <c r="BF395" s="41">
        <f>BF185+BF225+BF257+BF289+BF321+BF349</f>
        <v/>
      </c>
      <c r="BG395" s="41">
        <f>BG185+BG225+BG257+BG289+BG321+BG349</f>
        <v/>
      </c>
      <c r="BH395" s="41">
        <f>BH185+BH225+BH257+BH289+BH321+BH349</f>
        <v/>
      </c>
      <c r="BI395" s="41">
        <f>BI185+BI225+BI257+BI289+BI321+BI349</f>
        <v/>
      </c>
      <c r="BJ395" s="41">
        <f>BJ185+BJ225+BJ257+BJ289+BJ321+BJ349</f>
        <v/>
      </c>
    </row>
    <row r="396">
      <c r="A396" s="4" t="inlineStr">
        <is>
          <t>Growth tier: closing</t>
        </is>
      </c>
      <c r="B396" s="17" t="inlineStr">
        <is>
          <t>workspaces</t>
        </is>
      </c>
      <c r="C396" s="41">
        <f>C189+C229+C261+C293+C325+C353</f>
        <v/>
      </c>
      <c r="D396" s="41">
        <f>D189+D229+D261+D293+D325+D353</f>
        <v/>
      </c>
      <c r="E396" s="41">
        <f>E189+E229+E261+E293+E325+E353</f>
        <v/>
      </c>
      <c r="F396" s="41">
        <f>F189+F229+F261+F293+F325+F353</f>
        <v/>
      </c>
      <c r="G396" s="41">
        <f>G189+G229+G261+G293+G325+G353</f>
        <v/>
      </c>
      <c r="H396" s="41">
        <f>H189+H229+H261+H293+H325+H353</f>
        <v/>
      </c>
      <c r="I396" s="41">
        <f>I189+I229+I261+I293+I325+I353</f>
        <v/>
      </c>
      <c r="J396" s="41">
        <f>J189+J229+J261+J293+J325+J353</f>
        <v/>
      </c>
      <c r="K396" s="41">
        <f>K189+K229+K261+K293+K325+K353</f>
        <v/>
      </c>
      <c r="L396" s="41">
        <f>L189+L229+L261+L293+L325+L353</f>
        <v/>
      </c>
      <c r="M396" s="41">
        <f>M189+M229+M261+M293+M325+M353</f>
        <v/>
      </c>
      <c r="N396" s="41">
        <f>N189+N229+N261+N293+N325+N353</f>
        <v/>
      </c>
      <c r="O396" s="41">
        <f>O189+O229+O261+O293+O325+O353</f>
        <v/>
      </c>
      <c r="P396" s="41">
        <f>P189+P229+P261+P293+P325+P353</f>
        <v/>
      </c>
      <c r="Q396" s="41">
        <f>Q189+Q229+Q261+Q293+Q325+Q353</f>
        <v/>
      </c>
      <c r="R396" s="41">
        <f>R189+R229+R261+R293+R325+R353</f>
        <v/>
      </c>
      <c r="S396" s="41">
        <f>S189+S229+S261+S293+S325+S353</f>
        <v/>
      </c>
      <c r="T396" s="41">
        <f>T189+T229+T261+T293+T325+T353</f>
        <v/>
      </c>
      <c r="U396" s="41">
        <f>U189+U229+U261+U293+U325+U353</f>
        <v/>
      </c>
      <c r="V396" s="41">
        <f>V189+V229+V261+V293+V325+V353</f>
        <v/>
      </c>
      <c r="W396" s="41">
        <f>W189+W229+W261+W293+W325+W353</f>
        <v/>
      </c>
      <c r="X396" s="41">
        <f>X189+X229+X261+X293+X325+X353</f>
        <v/>
      </c>
      <c r="Y396" s="41">
        <f>Y189+Y229+Y261+Y293+Y325+Y353</f>
        <v/>
      </c>
      <c r="Z396" s="41">
        <f>Z189+Z229+Z261+Z293+Z325+Z353</f>
        <v/>
      </c>
      <c r="AA396" s="41">
        <f>AA189+AA229+AA261+AA293+AA325+AA353</f>
        <v/>
      </c>
      <c r="AB396" s="41">
        <f>AB189+AB229+AB261+AB293+AB325+AB353</f>
        <v/>
      </c>
      <c r="AC396" s="41">
        <f>AC189+AC229+AC261+AC293+AC325+AC353</f>
        <v/>
      </c>
      <c r="AD396" s="41">
        <f>AD189+AD229+AD261+AD293+AD325+AD353</f>
        <v/>
      </c>
      <c r="AE396" s="41">
        <f>AE189+AE229+AE261+AE293+AE325+AE353</f>
        <v/>
      </c>
      <c r="AF396" s="41">
        <f>AF189+AF229+AF261+AF293+AF325+AF353</f>
        <v/>
      </c>
      <c r="AG396" s="41">
        <f>AG189+AG229+AG261+AG293+AG325+AG353</f>
        <v/>
      </c>
      <c r="AH396" s="41">
        <f>AH189+AH229+AH261+AH293+AH325+AH353</f>
        <v/>
      </c>
      <c r="AI396" s="41">
        <f>AI189+AI229+AI261+AI293+AI325+AI353</f>
        <v/>
      </c>
      <c r="AJ396" s="41">
        <f>AJ189+AJ229+AJ261+AJ293+AJ325+AJ353</f>
        <v/>
      </c>
      <c r="AK396" s="41">
        <f>AK189+AK229+AK261+AK293+AK325+AK353</f>
        <v/>
      </c>
      <c r="AL396" s="41">
        <f>AL189+AL229+AL261+AL293+AL325+AL353</f>
        <v/>
      </c>
      <c r="AM396" s="41">
        <f>AM189+AM229+AM261+AM293+AM325+AM353</f>
        <v/>
      </c>
      <c r="AN396" s="41">
        <f>AN189+AN229+AN261+AN293+AN325+AN353</f>
        <v/>
      </c>
      <c r="AO396" s="41">
        <f>AO189+AO229+AO261+AO293+AO325+AO353</f>
        <v/>
      </c>
      <c r="AP396" s="41">
        <f>AP189+AP229+AP261+AP293+AP325+AP353</f>
        <v/>
      </c>
      <c r="AQ396" s="41">
        <f>AQ189+AQ229+AQ261+AQ293+AQ325+AQ353</f>
        <v/>
      </c>
      <c r="AR396" s="41">
        <f>AR189+AR229+AR261+AR293+AR325+AR353</f>
        <v/>
      </c>
      <c r="AS396" s="41">
        <f>AS189+AS229+AS261+AS293+AS325+AS353</f>
        <v/>
      </c>
      <c r="AT396" s="41">
        <f>AT189+AT229+AT261+AT293+AT325+AT353</f>
        <v/>
      </c>
      <c r="AU396" s="41">
        <f>AU189+AU229+AU261+AU293+AU325+AU353</f>
        <v/>
      </c>
      <c r="AV396" s="41">
        <f>AV189+AV229+AV261+AV293+AV325+AV353</f>
        <v/>
      </c>
      <c r="AW396" s="41">
        <f>AW189+AW229+AW261+AW293+AW325+AW353</f>
        <v/>
      </c>
      <c r="AX396" s="41">
        <f>AX189+AX229+AX261+AX293+AX325+AX353</f>
        <v/>
      </c>
      <c r="AY396" s="41">
        <f>AY189+AY229+AY261+AY293+AY325+AY353</f>
        <v/>
      </c>
      <c r="AZ396" s="41">
        <f>AZ189+AZ229+AZ261+AZ293+AZ325+AZ353</f>
        <v/>
      </c>
      <c r="BA396" s="41">
        <f>BA189+BA229+BA261+BA293+BA325+BA353</f>
        <v/>
      </c>
      <c r="BB396" s="41">
        <f>BB189+BB229+BB261+BB293+BB325+BB353</f>
        <v/>
      </c>
      <c r="BC396" s="41">
        <f>BC189+BC229+BC261+BC293+BC325+BC353</f>
        <v/>
      </c>
      <c r="BD396" s="41">
        <f>BD189+BD229+BD261+BD293+BD325+BD353</f>
        <v/>
      </c>
      <c r="BE396" s="41">
        <f>BE189+BE229+BE261+BE293+BE325+BE353</f>
        <v/>
      </c>
      <c r="BF396" s="41">
        <f>BF189+BF229+BF261+BF293+BF325+BF353</f>
        <v/>
      </c>
      <c r="BG396" s="41">
        <f>BG189+BG229+BG261+BG293+BG325+BG353</f>
        <v/>
      </c>
      <c r="BH396" s="41">
        <f>BH189+BH229+BH261+BH293+BH325+BH353</f>
        <v/>
      </c>
      <c r="BI396" s="41">
        <f>BI189+BI229+BI261+BI293+BI325+BI353</f>
        <v/>
      </c>
      <c r="BJ396" s="41">
        <f>BJ189+BJ229+BJ261+BJ293+BJ325+BJ353</f>
        <v/>
      </c>
    </row>
    <row r="397">
      <c r="A397" s="4" t="inlineStr">
        <is>
          <t>Growth tier: churned</t>
        </is>
      </c>
      <c r="B397" s="17" t="inlineStr">
        <is>
          <t>workspaces</t>
        </is>
      </c>
      <c r="C397" s="41">
        <f>C187+C227+C259+C291+C323+C351</f>
        <v/>
      </c>
      <c r="D397" s="41">
        <f>D187+D227+D259+D291+D323+D351</f>
        <v/>
      </c>
      <c r="E397" s="41">
        <f>E187+E227+E259+E291+E323+E351</f>
        <v/>
      </c>
      <c r="F397" s="41">
        <f>F187+F227+F259+F291+F323+F351</f>
        <v/>
      </c>
      <c r="G397" s="41">
        <f>G187+G227+G259+G291+G323+G351</f>
        <v/>
      </c>
      <c r="H397" s="41">
        <f>H187+H227+H259+H291+H323+H351</f>
        <v/>
      </c>
      <c r="I397" s="41">
        <f>I187+I227+I259+I291+I323+I351</f>
        <v/>
      </c>
      <c r="J397" s="41">
        <f>J187+J227+J259+J291+J323+J351</f>
        <v/>
      </c>
      <c r="K397" s="41">
        <f>K187+K227+K259+K291+K323+K351</f>
        <v/>
      </c>
      <c r="L397" s="41">
        <f>L187+L227+L259+L291+L323+L351</f>
        <v/>
      </c>
      <c r="M397" s="41">
        <f>M187+M227+M259+M291+M323+M351</f>
        <v/>
      </c>
      <c r="N397" s="41">
        <f>N187+N227+N259+N291+N323+N351</f>
        <v/>
      </c>
      <c r="O397" s="41">
        <f>O187+O227+O259+O291+O323+O351</f>
        <v/>
      </c>
      <c r="P397" s="41">
        <f>P187+P227+P259+P291+P323+P351</f>
        <v/>
      </c>
      <c r="Q397" s="41">
        <f>Q187+Q227+Q259+Q291+Q323+Q351</f>
        <v/>
      </c>
      <c r="R397" s="41">
        <f>R187+R227+R259+R291+R323+R351</f>
        <v/>
      </c>
      <c r="S397" s="41">
        <f>S187+S227+S259+S291+S323+S351</f>
        <v/>
      </c>
      <c r="T397" s="41">
        <f>T187+T227+T259+T291+T323+T351</f>
        <v/>
      </c>
      <c r="U397" s="41">
        <f>U187+U227+U259+U291+U323+U351</f>
        <v/>
      </c>
      <c r="V397" s="41">
        <f>V187+V227+V259+V291+V323+V351</f>
        <v/>
      </c>
      <c r="W397" s="41">
        <f>W187+W227+W259+W291+W323+W351</f>
        <v/>
      </c>
      <c r="X397" s="41">
        <f>X187+X227+X259+X291+X323+X351</f>
        <v/>
      </c>
      <c r="Y397" s="41">
        <f>Y187+Y227+Y259+Y291+Y323+Y351</f>
        <v/>
      </c>
      <c r="Z397" s="41">
        <f>Z187+Z227+Z259+Z291+Z323+Z351</f>
        <v/>
      </c>
      <c r="AA397" s="41">
        <f>AA187+AA227+AA259+AA291+AA323+AA351</f>
        <v/>
      </c>
      <c r="AB397" s="41">
        <f>AB187+AB227+AB259+AB291+AB323+AB351</f>
        <v/>
      </c>
      <c r="AC397" s="41">
        <f>AC187+AC227+AC259+AC291+AC323+AC351</f>
        <v/>
      </c>
      <c r="AD397" s="41">
        <f>AD187+AD227+AD259+AD291+AD323+AD351</f>
        <v/>
      </c>
      <c r="AE397" s="41">
        <f>AE187+AE227+AE259+AE291+AE323+AE351</f>
        <v/>
      </c>
      <c r="AF397" s="41">
        <f>AF187+AF227+AF259+AF291+AF323+AF351</f>
        <v/>
      </c>
      <c r="AG397" s="41">
        <f>AG187+AG227+AG259+AG291+AG323+AG351</f>
        <v/>
      </c>
      <c r="AH397" s="41">
        <f>AH187+AH227+AH259+AH291+AH323+AH351</f>
        <v/>
      </c>
      <c r="AI397" s="41">
        <f>AI187+AI227+AI259+AI291+AI323+AI351</f>
        <v/>
      </c>
      <c r="AJ397" s="41">
        <f>AJ187+AJ227+AJ259+AJ291+AJ323+AJ351</f>
        <v/>
      </c>
      <c r="AK397" s="41">
        <f>AK187+AK227+AK259+AK291+AK323+AK351</f>
        <v/>
      </c>
      <c r="AL397" s="41">
        <f>AL187+AL227+AL259+AL291+AL323+AL351</f>
        <v/>
      </c>
      <c r="AM397" s="41">
        <f>AM187+AM227+AM259+AM291+AM323+AM351</f>
        <v/>
      </c>
      <c r="AN397" s="41">
        <f>AN187+AN227+AN259+AN291+AN323+AN351</f>
        <v/>
      </c>
      <c r="AO397" s="41">
        <f>AO187+AO227+AO259+AO291+AO323+AO351</f>
        <v/>
      </c>
      <c r="AP397" s="41">
        <f>AP187+AP227+AP259+AP291+AP323+AP351</f>
        <v/>
      </c>
      <c r="AQ397" s="41">
        <f>AQ187+AQ227+AQ259+AQ291+AQ323+AQ351</f>
        <v/>
      </c>
      <c r="AR397" s="41">
        <f>AR187+AR227+AR259+AR291+AR323+AR351</f>
        <v/>
      </c>
      <c r="AS397" s="41">
        <f>AS187+AS227+AS259+AS291+AS323+AS351</f>
        <v/>
      </c>
      <c r="AT397" s="41">
        <f>AT187+AT227+AT259+AT291+AT323+AT351</f>
        <v/>
      </c>
      <c r="AU397" s="41">
        <f>AU187+AU227+AU259+AU291+AU323+AU351</f>
        <v/>
      </c>
      <c r="AV397" s="41">
        <f>AV187+AV227+AV259+AV291+AV323+AV351</f>
        <v/>
      </c>
      <c r="AW397" s="41">
        <f>AW187+AW227+AW259+AW291+AW323+AW351</f>
        <v/>
      </c>
      <c r="AX397" s="41">
        <f>AX187+AX227+AX259+AX291+AX323+AX351</f>
        <v/>
      </c>
      <c r="AY397" s="41">
        <f>AY187+AY227+AY259+AY291+AY323+AY351</f>
        <v/>
      </c>
      <c r="AZ397" s="41">
        <f>AZ187+AZ227+AZ259+AZ291+AZ323+AZ351</f>
        <v/>
      </c>
      <c r="BA397" s="41">
        <f>BA187+BA227+BA259+BA291+BA323+BA351</f>
        <v/>
      </c>
      <c r="BB397" s="41">
        <f>BB187+BB227+BB259+BB291+BB323+BB351</f>
        <v/>
      </c>
      <c r="BC397" s="41">
        <f>BC187+BC227+BC259+BC291+BC323+BC351</f>
        <v/>
      </c>
      <c r="BD397" s="41">
        <f>BD187+BD227+BD259+BD291+BD323+BD351</f>
        <v/>
      </c>
      <c r="BE397" s="41">
        <f>BE187+BE227+BE259+BE291+BE323+BE351</f>
        <v/>
      </c>
      <c r="BF397" s="41">
        <f>BF187+BF227+BF259+BF291+BF323+BF351</f>
        <v/>
      </c>
      <c r="BG397" s="41">
        <f>BG187+BG227+BG259+BG291+BG323+BG351</f>
        <v/>
      </c>
      <c r="BH397" s="41">
        <f>BH187+BH227+BH259+BH291+BH323+BH351</f>
        <v/>
      </c>
      <c r="BI397" s="41">
        <f>BI187+BI227+BI259+BI291+BI323+BI351</f>
        <v/>
      </c>
      <c r="BJ397" s="41">
        <f>BJ187+BJ227+BJ259+BJ291+BJ323+BJ351</f>
        <v/>
      </c>
    </row>
    <row r="398">
      <c r="A398" s="4" t="inlineStr">
        <is>
          <t>Scale tier: opening</t>
        </is>
      </c>
      <c r="B398" s="17" t="inlineStr">
        <is>
          <t>workspaces</t>
        </is>
      </c>
      <c r="C398" s="41">
        <f>C190+C230+C262+C294+C326+C354</f>
        <v/>
      </c>
      <c r="D398" s="41">
        <f>D190+D230+D262+D294+D326+D354</f>
        <v/>
      </c>
      <c r="E398" s="41">
        <f>E190+E230+E262+E294+E326+E354</f>
        <v/>
      </c>
      <c r="F398" s="41">
        <f>F190+F230+F262+F294+F326+F354</f>
        <v/>
      </c>
      <c r="G398" s="41">
        <f>G190+G230+G262+G294+G326+G354</f>
        <v/>
      </c>
      <c r="H398" s="41">
        <f>H190+H230+H262+H294+H326+H354</f>
        <v/>
      </c>
      <c r="I398" s="41">
        <f>I190+I230+I262+I294+I326+I354</f>
        <v/>
      </c>
      <c r="J398" s="41">
        <f>J190+J230+J262+J294+J326+J354</f>
        <v/>
      </c>
      <c r="K398" s="41">
        <f>K190+K230+K262+K294+K326+K354</f>
        <v/>
      </c>
      <c r="L398" s="41">
        <f>L190+L230+L262+L294+L326+L354</f>
        <v/>
      </c>
      <c r="M398" s="41">
        <f>M190+M230+M262+M294+M326+M354</f>
        <v/>
      </c>
      <c r="N398" s="41">
        <f>N190+N230+N262+N294+N326+N354</f>
        <v/>
      </c>
      <c r="O398" s="41">
        <f>O190+O230+O262+O294+O326+O354</f>
        <v/>
      </c>
      <c r="P398" s="41">
        <f>P190+P230+P262+P294+P326+P354</f>
        <v/>
      </c>
      <c r="Q398" s="41">
        <f>Q190+Q230+Q262+Q294+Q326+Q354</f>
        <v/>
      </c>
      <c r="R398" s="41">
        <f>R190+R230+R262+R294+R326+R354</f>
        <v/>
      </c>
      <c r="S398" s="41">
        <f>S190+S230+S262+S294+S326+S354</f>
        <v/>
      </c>
      <c r="T398" s="41">
        <f>T190+T230+T262+T294+T326+T354</f>
        <v/>
      </c>
      <c r="U398" s="41">
        <f>U190+U230+U262+U294+U326+U354</f>
        <v/>
      </c>
      <c r="V398" s="41">
        <f>V190+V230+V262+V294+V326+V354</f>
        <v/>
      </c>
      <c r="W398" s="41">
        <f>W190+W230+W262+W294+W326+W354</f>
        <v/>
      </c>
      <c r="X398" s="41">
        <f>X190+X230+X262+X294+X326+X354</f>
        <v/>
      </c>
      <c r="Y398" s="41">
        <f>Y190+Y230+Y262+Y294+Y326+Y354</f>
        <v/>
      </c>
      <c r="Z398" s="41">
        <f>Z190+Z230+Z262+Z294+Z326+Z354</f>
        <v/>
      </c>
      <c r="AA398" s="41">
        <f>AA190+AA230+AA262+AA294+AA326+AA354</f>
        <v/>
      </c>
      <c r="AB398" s="41">
        <f>AB190+AB230+AB262+AB294+AB326+AB354</f>
        <v/>
      </c>
      <c r="AC398" s="41">
        <f>AC190+AC230+AC262+AC294+AC326+AC354</f>
        <v/>
      </c>
      <c r="AD398" s="41">
        <f>AD190+AD230+AD262+AD294+AD326+AD354</f>
        <v/>
      </c>
      <c r="AE398" s="41">
        <f>AE190+AE230+AE262+AE294+AE326+AE354</f>
        <v/>
      </c>
      <c r="AF398" s="41">
        <f>AF190+AF230+AF262+AF294+AF326+AF354</f>
        <v/>
      </c>
      <c r="AG398" s="41">
        <f>AG190+AG230+AG262+AG294+AG326+AG354</f>
        <v/>
      </c>
      <c r="AH398" s="41">
        <f>AH190+AH230+AH262+AH294+AH326+AH354</f>
        <v/>
      </c>
      <c r="AI398" s="41">
        <f>AI190+AI230+AI262+AI294+AI326+AI354</f>
        <v/>
      </c>
      <c r="AJ398" s="41">
        <f>AJ190+AJ230+AJ262+AJ294+AJ326+AJ354</f>
        <v/>
      </c>
      <c r="AK398" s="41">
        <f>AK190+AK230+AK262+AK294+AK326+AK354</f>
        <v/>
      </c>
      <c r="AL398" s="41">
        <f>AL190+AL230+AL262+AL294+AL326+AL354</f>
        <v/>
      </c>
      <c r="AM398" s="41">
        <f>AM190+AM230+AM262+AM294+AM326+AM354</f>
        <v/>
      </c>
      <c r="AN398" s="41">
        <f>AN190+AN230+AN262+AN294+AN326+AN354</f>
        <v/>
      </c>
      <c r="AO398" s="41">
        <f>AO190+AO230+AO262+AO294+AO326+AO354</f>
        <v/>
      </c>
      <c r="AP398" s="41">
        <f>AP190+AP230+AP262+AP294+AP326+AP354</f>
        <v/>
      </c>
      <c r="AQ398" s="41">
        <f>AQ190+AQ230+AQ262+AQ294+AQ326+AQ354</f>
        <v/>
      </c>
      <c r="AR398" s="41">
        <f>AR190+AR230+AR262+AR294+AR326+AR354</f>
        <v/>
      </c>
      <c r="AS398" s="41">
        <f>AS190+AS230+AS262+AS294+AS326+AS354</f>
        <v/>
      </c>
      <c r="AT398" s="41">
        <f>AT190+AT230+AT262+AT294+AT326+AT354</f>
        <v/>
      </c>
      <c r="AU398" s="41">
        <f>AU190+AU230+AU262+AU294+AU326+AU354</f>
        <v/>
      </c>
      <c r="AV398" s="41">
        <f>AV190+AV230+AV262+AV294+AV326+AV354</f>
        <v/>
      </c>
      <c r="AW398" s="41">
        <f>AW190+AW230+AW262+AW294+AW326+AW354</f>
        <v/>
      </c>
      <c r="AX398" s="41">
        <f>AX190+AX230+AX262+AX294+AX326+AX354</f>
        <v/>
      </c>
      <c r="AY398" s="41">
        <f>AY190+AY230+AY262+AY294+AY326+AY354</f>
        <v/>
      </c>
      <c r="AZ398" s="41">
        <f>AZ190+AZ230+AZ262+AZ294+AZ326+AZ354</f>
        <v/>
      </c>
      <c r="BA398" s="41">
        <f>BA190+BA230+BA262+BA294+BA326+BA354</f>
        <v/>
      </c>
      <c r="BB398" s="41">
        <f>BB190+BB230+BB262+BB294+BB326+BB354</f>
        <v/>
      </c>
      <c r="BC398" s="41">
        <f>BC190+BC230+BC262+BC294+BC326+BC354</f>
        <v/>
      </c>
      <c r="BD398" s="41">
        <f>BD190+BD230+BD262+BD294+BD326+BD354</f>
        <v/>
      </c>
      <c r="BE398" s="41">
        <f>BE190+BE230+BE262+BE294+BE326+BE354</f>
        <v/>
      </c>
      <c r="BF398" s="41">
        <f>BF190+BF230+BF262+BF294+BF326+BF354</f>
        <v/>
      </c>
      <c r="BG398" s="41">
        <f>BG190+BG230+BG262+BG294+BG326+BG354</f>
        <v/>
      </c>
      <c r="BH398" s="41">
        <f>BH190+BH230+BH262+BH294+BH326+BH354</f>
        <v/>
      </c>
      <c r="BI398" s="41">
        <f>BI190+BI230+BI262+BI294+BI326+BI354</f>
        <v/>
      </c>
      <c r="BJ398" s="41">
        <f>BJ190+BJ230+BJ262+BJ294+BJ326+BJ354</f>
        <v/>
      </c>
    </row>
    <row r="399">
      <c r="A399" s="4" t="inlineStr">
        <is>
          <t>Scale tier: closing</t>
        </is>
      </c>
      <c r="B399" s="17" t="inlineStr">
        <is>
          <t>workspaces</t>
        </is>
      </c>
      <c r="C399" s="41">
        <f>C193+C233+C265+C297+C329+C357</f>
        <v/>
      </c>
      <c r="D399" s="41">
        <f>D193+D233+D265+D297+D329+D357</f>
        <v/>
      </c>
      <c r="E399" s="41">
        <f>E193+E233+E265+E297+E329+E357</f>
        <v/>
      </c>
      <c r="F399" s="41">
        <f>F193+F233+F265+F297+F329+F357</f>
        <v/>
      </c>
      <c r="G399" s="41">
        <f>G193+G233+G265+G297+G329+G357</f>
        <v/>
      </c>
      <c r="H399" s="41">
        <f>H193+H233+H265+H297+H329+H357</f>
        <v/>
      </c>
      <c r="I399" s="41">
        <f>I193+I233+I265+I297+I329+I357</f>
        <v/>
      </c>
      <c r="J399" s="41">
        <f>J193+J233+J265+J297+J329+J357</f>
        <v/>
      </c>
      <c r="K399" s="41">
        <f>K193+K233+K265+K297+K329+K357</f>
        <v/>
      </c>
      <c r="L399" s="41">
        <f>L193+L233+L265+L297+L329+L357</f>
        <v/>
      </c>
      <c r="M399" s="41">
        <f>M193+M233+M265+M297+M329+M357</f>
        <v/>
      </c>
      <c r="N399" s="41">
        <f>N193+N233+N265+N297+N329+N357</f>
        <v/>
      </c>
      <c r="O399" s="41">
        <f>O193+O233+O265+O297+O329+O357</f>
        <v/>
      </c>
      <c r="P399" s="41">
        <f>P193+P233+P265+P297+P329+P357</f>
        <v/>
      </c>
      <c r="Q399" s="41">
        <f>Q193+Q233+Q265+Q297+Q329+Q357</f>
        <v/>
      </c>
      <c r="R399" s="41">
        <f>R193+R233+R265+R297+R329+R357</f>
        <v/>
      </c>
      <c r="S399" s="41">
        <f>S193+S233+S265+S297+S329+S357</f>
        <v/>
      </c>
      <c r="T399" s="41">
        <f>T193+T233+T265+T297+T329+T357</f>
        <v/>
      </c>
      <c r="U399" s="41">
        <f>U193+U233+U265+U297+U329+U357</f>
        <v/>
      </c>
      <c r="V399" s="41">
        <f>V193+V233+V265+V297+V329+V357</f>
        <v/>
      </c>
      <c r="W399" s="41">
        <f>W193+W233+W265+W297+W329+W357</f>
        <v/>
      </c>
      <c r="X399" s="41">
        <f>X193+X233+X265+X297+X329+X357</f>
        <v/>
      </c>
      <c r="Y399" s="41">
        <f>Y193+Y233+Y265+Y297+Y329+Y357</f>
        <v/>
      </c>
      <c r="Z399" s="41">
        <f>Z193+Z233+Z265+Z297+Z329+Z357</f>
        <v/>
      </c>
      <c r="AA399" s="41">
        <f>AA193+AA233+AA265+AA297+AA329+AA357</f>
        <v/>
      </c>
      <c r="AB399" s="41">
        <f>AB193+AB233+AB265+AB297+AB329+AB357</f>
        <v/>
      </c>
      <c r="AC399" s="41">
        <f>AC193+AC233+AC265+AC297+AC329+AC357</f>
        <v/>
      </c>
      <c r="AD399" s="41">
        <f>AD193+AD233+AD265+AD297+AD329+AD357</f>
        <v/>
      </c>
      <c r="AE399" s="41">
        <f>AE193+AE233+AE265+AE297+AE329+AE357</f>
        <v/>
      </c>
      <c r="AF399" s="41">
        <f>AF193+AF233+AF265+AF297+AF329+AF357</f>
        <v/>
      </c>
      <c r="AG399" s="41">
        <f>AG193+AG233+AG265+AG297+AG329+AG357</f>
        <v/>
      </c>
      <c r="AH399" s="41">
        <f>AH193+AH233+AH265+AH297+AH329+AH357</f>
        <v/>
      </c>
      <c r="AI399" s="41">
        <f>AI193+AI233+AI265+AI297+AI329+AI357</f>
        <v/>
      </c>
      <c r="AJ399" s="41">
        <f>AJ193+AJ233+AJ265+AJ297+AJ329+AJ357</f>
        <v/>
      </c>
      <c r="AK399" s="41">
        <f>AK193+AK233+AK265+AK297+AK329+AK357</f>
        <v/>
      </c>
      <c r="AL399" s="41">
        <f>AL193+AL233+AL265+AL297+AL329+AL357</f>
        <v/>
      </c>
      <c r="AM399" s="41">
        <f>AM193+AM233+AM265+AM297+AM329+AM357</f>
        <v/>
      </c>
      <c r="AN399" s="41">
        <f>AN193+AN233+AN265+AN297+AN329+AN357</f>
        <v/>
      </c>
      <c r="AO399" s="41">
        <f>AO193+AO233+AO265+AO297+AO329+AO357</f>
        <v/>
      </c>
      <c r="AP399" s="41">
        <f>AP193+AP233+AP265+AP297+AP329+AP357</f>
        <v/>
      </c>
      <c r="AQ399" s="41">
        <f>AQ193+AQ233+AQ265+AQ297+AQ329+AQ357</f>
        <v/>
      </c>
      <c r="AR399" s="41">
        <f>AR193+AR233+AR265+AR297+AR329+AR357</f>
        <v/>
      </c>
      <c r="AS399" s="41">
        <f>AS193+AS233+AS265+AS297+AS329+AS357</f>
        <v/>
      </c>
      <c r="AT399" s="41">
        <f>AT193+AT233+AT265+AT297+AT329+AT357</f>
        <v/>
      </c>
      <c r="AU399" s="41">
        <f>AU193+AU233+AU265+AU297+AU329+AU357</f>
        <v/>
      </c>
      <c r="AV399" s="41">
        <f>AV193+AV233+AV265+AV297+AV329+AV357</f>
        <v/>
      </c>
      <c r="AW399" s="41">
        <f>AW193+AW233+AW265+AW297+AW329+AW357</f>
        <v/>
      </c>
      <c r="AX399" s="41">
        <f>AX193+AX233+AX265+AX297+AX329+AX357</f>
        <v/>
      </c>
      <c r="AY399" s="41">
        <f>AY193+AY233+AY265+AY297+AY329+AY357</f>
        <v/>
      </c>
      <c r="AZ399" s="41">
        <f>AZ193+AZ233+AZ265+AZ297+AZ329+AZ357</f>
        <v/>
      </c>
      <c r="BA399" s="41">
        <f>BA193+BA233+BA265+BA297+BA329+BA357</f>
        <v/>
      </c>
      <c r="BB399" s="41">
        <f>BB193+BB233+BB265+BB297+BB329+BB357</f>
        <v/>
      </c>
      <c r="BC399" s="41">
        <f>BC193+BC233+BC265+BC297+BC329+BC357</f>
        <v/>
      </c>
      <c r="BD399" s="41">
        <f>BD193+BD233+BD265+BD297+BD329+BD357</f>
        <v/>
      </c>
      <c r="BE399" s="41">
        <f>BE193+BE233+BE265+BE297+BE329+BE357</f>
        <v/>
      </c>
      <c r="BF399" s="41">
        <f>BF193+BF233+BF265+BF297+BF329+BF357</f>
        <v/>
      </c>
      <c r="BG399" s="41">
        <f>BG193+BG233+BG265+BG297+BG329+BG357</f>
        <v/>
      </c>
      <c r="BH399" s="41">
        <f>BH193+BH233+BH265+BH297+BH329+BH357</f>
        <v/>
      </c>
      <c r="BI399" s="41">
        <f>BI193+BI233+BI265+BI297+BI329+BI357</f>
        <v/>
      </c>
      <c r="BJ399" s="41">
        <f>BJ193+BJ233+BJ265+BJ297+BJ329+BJ357</f>
        <v/>
      </c>
    </row>
    <row r="400">
      <c r="A400" s="4" t="inlineStr">
        <is>
          <t>Scale tier: churned</t>
        </is>
      </c>
      <c r="B400" s="17" t="inlineStr">
        <is>
          <t>workspaces</t>
        </is>
      </c>
      <c r="C400" s="41">
        <f>C192+C232+C264+C296+C328+C356</f>
        <v/>
      </c>
      <c r="D400" s="41">
        <f>D192+D232+D264+D296+D328+D356</f>
        <v/>
      </c>
      <c r="E400" s="41">
        <f>E192+E232+E264+E296+E328+E356</f>
        <v/>
      </c>
      <c r="F400" s="41">
        <f>F192+F232+F264+F296+F328+F356</f>
        <v/>
      </c>
      <c r="G400" s="41">
        <f>G192+G232+G264+G296+G328+G356</f>
        <v/>
      </c>
      <c r="H400" s="41">
        <f>H192+H232+H264+H296+H328+H356</f>
        <v/>
      </c>
      <c r="I400" s="41">
        <f>I192+I232+I264+I296+I328+I356</f>
        <v/>
      </c>
      <c r="J400" s="41">
        <f>J192+J232+J264+J296+J328+J356</f>
        <v/>
      </c>
      <c r="K400" s="41">
        <f>K192+K232+K264+K296+K328+K356</f>
        <v/>
      </c>
      <c r="L400" s="41">
        <f>L192+L232+L264+L296+L328+L356</f>
        <v/>
      </c>
      <c r="M400" s="41">
        <f>M192+M232+M264+M296+M328+M356</f>
        <v/>
      </c>
      <c r="N400" s="41">
        <f>N192+N232+N264+N296+N328+N356</f>
        <v/>
      </c>
      <c r="O400" s="41">
        <f>O192+O232+O264+O296+O328+O356</f>
        <v/>
      </c>
      <c r="P400" s="41">
        <f>P192+P232+P264+P296+P328+P356</f>
        <v/>
      </c>
      <c r="Q400" s="41">
        <f>Q192+Q232+Q264+Q296+Q328+Q356</f>
        <v/>
      </c>
      <c r="R400" s="41">
        <f>R192+R232+R264+R296+R328+R356</f>
        <v/>
      </c>
      <c r="S400" s="41">
        <f>S192+S232+S264+S296+S328+S356</f>
        <v/>
      </c>
      <c r="T400" s="41">
        <f>T192+T232+T264+T296+T328+T356</f>
        <v/>
      </c>
      <c r="U400" s="41">
        <f>U192+U232+U264+U296+U328+U356</f>
        <v/>
      </c>
      <c r="V400" s="41">
        <f>V192+V232+V264+V296+V328+V356</f>
        <v/>
      </c>
      <c r="W400" s="41">
        <f>W192+W232+W264+W296+W328+W356</f>
        <v/>
      </c>
      <c r="X400" s="41">
        <f>X192+X232+X264+X296+X328+X356</f>
        <v/>
      </c>
      <c r="Y400" s="41">
        <f>Y192+Y232+Y264+Y296+Y328+Y356</f>
        <v/>
      </c>
      <c r="Z400" s="41">
        <f>Z192+Z232+Z264+Z296+Z328+Z356</f>
        <v/>
      </c>
      <c r="AA400" s="41">
        <f>AA192+AA232+AA264+AA296+AA328+AA356</f>
        <v/>
      </c>
      <c r="AB400" s="41">
        <f>AB192+AB232+AB264+AB296+AB328+AB356</f>
        <v/>
      </c>
      <c r="AC400" s="41">
        <f>AC192+AC232+AC264+AC296+AC328+AC356</f>
        <v/>
      </c>
      <c r="AD400" s="41">
        <f>AD192+AD232+AD264+AD296+AD328+AD356</f>
        <v/>
      </c>
      <c r="AE400" s="41">
        <f>AE192+AE232+AE264+AE296+AE328+AE356</f>
        <v/>
      </c>
      <c r="AF400" s="41">
        <f>AF192+AF232+AF264+AF296+AF328+AF356</f>
        <v/>
      </c>
      <c r="AG400" s="41">
        <f>AG192+AG232+AG264+AG296+AG328+AG356</f>
        <v/>
      </c>
      <c r="AH400" s="41">
        <f>AH192+AH232+AH264+AH296+AH328+AH356</f>
        <v/>
      </c>
      <c r="AI400" s="41">
        <f>AI192+AI232+AI264+AI296+AI328+AI356</f>
        <v/>
      </c>
      <c r="AJ400" s="41">
        <f>AJ192+AJ232+AJ264+AJ296+AJ328+AJ356</f>
        <v/>
      </c>
      <c r="AK400" s="41">
        <f>AK192+AK232+AK264+AK296+AK328+AK356</f>
        <v/>
      </c>
      <c r="AL400" s="41">
        <f>AL192+AL232+AL264+AL296+AL328+AL356</f>
        <v/>
      </c>
      <c r="AM400" s="41">
        <f>AM192+AM232+AM264+AM296+AM328+AM356</f>
        <v/>
      </c>
      <c r="AN400" s="41">
        <f>AN192+AN232+AN264+AN296+AN328+AN356</f>
        <v/>
      </c>
      <c r="AO400" s="41">
        <f>AO192+AO232+AO264+AO296+AO328+AO356</f>
        <v/>
      </c>
      <c r="AP400" s="41">
        <f>AP192+AP232+AP264+AP296+AP328+AP356</f>
        <v/>
      </c>
      <c r="AQ400" s="41">
        <f>AQ192+AQ232+AQ264+AQ296+AQ328+AQ356</f>
        <v/>
      </c>
      <c r="AR400" s="41">
        <f>AR192+AR232+AR264+AR296+AR328+AR356</f>
        <v/>
      </c>
      <c r="AS400" s="41">
        <f>AS192+AS232+AS264+AS296+AS328+AS356</f>
        <v/>
      </c>
      <c r="AT400" s="41">
        <f>AT192+AT232+AT264+AT296+AT328+AT356</f>
        <v/>
      </c>
      <c r="AU400" s="41">
        <f>AU192+AU232+AU264+AU296+AU328+AU356</f>
        <v/>
      </c>
      <c r="AV400" s="41">
        <f>AV192+AV232+AV264+AV296+AV328+AV356</f>
        <v/>
      </c>
      <c r="AW400" s="41">
        <f>AW192+AW232+AW264+AW296+AW328+AW356</f>
        <v/>
      </c>
      <c r="AX400" s="41">
        <f>AX192+AX232+AX264+AX296+AX328+AX356</f>
        <v/>
      </c>
      <c r="AY400" s="41">
        <f>AY192+AY232+AY264+AY296+AY328+AY356</f>
        <v/>
      </c>
      <c r="AZ400" s="41">
        <f>AZ192+AZ232+AZ264+AZ296+AZ328+AZ356</f>
        <v/>
      </c>
      <c r="BA400" s="41">
        <f>BA192+BA232+BA264+BA296+BA328+BA356</f>
        <v/>
      </c>
      <c r="BB400" s="41">
        <f>BB192+BB232+BB264+BB296+BB328+BB356</f>
        <v/>
      </c>
      <c r="BC400" s="41">
        <f>BC192+BC232+BC264+BC296+BC328+BC356</f>
        <v/>
      </c>
      <c r="BD400" s="41">
        <f>BD192+BD232+BD264+BD296+BD328+BD356</f>
        <v/>
      </c>
      <c r="BE400" s="41">
        <f>BE192+BE232+BE264+BE296+BE328+BE356</f>
        <v/>
      </c>
      <c r="BF400" s="41">
        <f>BF192+BF232+BF264+BF296+BF328+BF356</f>
        <v/>
      </c>
      <c r="BG400" s="41">
        <f>BG192+BG232+BG264+BG296+BG328+BG356</f>
        <v/>
      </c>
      <c r="BH400" s="41">
        <f>BH192+BH232+BH264+BH296+BH328+BH356</f>
        <v/>
      </c>
      <c r="BI400" s="41">
        <f>BI192+BI232+BI264+BI296+BI328+BI356</f>
        <v/>
      </c>
      <c r="BJ400" s="41">
        <f>BJ192+BJ232+BJ264+BJ296+BJ328+BJ356</f>
        <v/>
      </c>
    </row>
    <row r="401">
      <c r="A401" s="4" t="inlineStr">
        <is>
          <t>Corporate tier: opening</t>
        </is>
      </c>
      <c r="B401" s="17" t="inlineStr">
        <is>
          <t>workspaces</t>
        </is>
      </c>
      <c r="C401" s="41">
        <f>C198</f>
        <v/>
      </c>
      <c r="D401" s="41">
        <f>D198</f>
        <v/>
      </c>
      <c r="E401" s="41">
        <f>E198</f>
        <v/>
      </c>
      <c r="F401" s="41">
        <f>F198</f>
        <v/>
      </c>
      <c r="G401" s="41">
        <f>G198</f>
        <v/>
      </c>
      <c r="H401" s="41">
        <f>H198</f>
        <v/>
      </c>
      <c r="I401" s="41">
        <f>I198</f>
        <v/>
      </c>
      <c r="J401" s="41">
        <f>J198</f>
        <v/>
      </c>
      <c r="K401" s="41">
        <f>K198</f>
        <v/>
      </c>
      <c r="L401" s="41">
        <f>L198</f>
        <v/>
      </c>
      <c r="M401" s="41">
        <f>M198</f>
        <v/>
      </c>
      <c r="N401" s="41">
        <f>N198</f>
        <v/>
      </c>
      <c r="O401" s="41">
        <f>O198</f>
        <v/>
      </c>
      <c r="P401" s="41">
        <f>P198</f>
        <v/>
      </c>
      <c r="Q401" s="41">
        <f>Q198</f>
        <v/>
      </c>
      <c r="R401" s="41">
        <f>R198</f>
        <v/>
      </c>
      <c r="S401" s="41">
        <f>S198</f>
        <v/>
      </c>
      <c r="T401" s="41">
        <f>T198</f>
        <v/>
      </c>
      <c r="U401" s="41">
        <f>U198</f>
        <v/>
      </c>
      <c r="V401" s="41">
        <f>V198</f>
        <v/>
      </c>
      <c r="W401" s="41">
        <f>W198</f>
        <v/>
      </c>
      <c r="X401" s="41">
        <f>X198</f>
        <v/>
      </c>
      <c r="Y401" s="41">
        <f>Y198</f>
        <v/>
      </c>
      <c r="Z401" s="41">
        <f>Z198</f>
        <v/>
      </c>
      <c r="AA401" s="41">
        <f>AA198</f>
        <v/>
      </c>
      <c r="AB401" s="41">
        <f>AB198</f>
        <v/>
      </c>
      <c r="AC401" s="41">
        <f>AC198</f>
        <v/>
      </c>
      <c r="AD401" s="41">
        <f>AD198</f>
        <v/>
      </c>
      <c r="AE401" s="41">
        <f>AE198</f>
        <v/>
      </c>
      <c r="AF401" s="41">
        <f>AF198</f>
        <v/>
      </c>
      <c r="AG401" s="41">
        <f>AG198</f>
        <v/>
      </c>
      <c r="AH401" s="41">
        <f>AH198</f>
        <v/>
      </c>
      <c r="AI401" s="41">
        <f>AI198</f>
        <v/>
      </c>
      <c r="AJ401" s="41">
        <f>AJ198</f>
        <v/>
      </c>
      <c r="AK401" s="41">
        <f>AK198</f>
        <v/>
      </c>
      <c r="AL401" s="41">
        <f>AL198</f>
        <v/>
      </c>
      <c r="AM401" s="41">
        <f>AM198</f>
        <v/>
      </c>
      <c r="AN401" s="41">
        <f>AN198</f>
        <v/>
      </c>
      <c r="AO401" s="41">
        <f>AO198</f>
        <v/>
      </c>
      <c r="AP401" s="41">
        <f>AP198</f>
        <v/>
      </c>
      <c r="AQ401" s="41">
        <f>AQ198</f>
        <v/>
      </c>
      <c r="AR401" s="41">
        <f>AR198</f>
        <v/>
      </c>
      <c r="AS401" s="41">
        <f>AS198</f>
        <v/>
      </c>
      <c r="AT401" s="41">
        <f>AT198</f>
        <v/>
      </c>
      <c r="AU401" s="41">
        <f>AU198</f>
        <v/>
      </c>
      <c r="AV401" s="41">
        <f>AV198</f>
        <v/>
      </c>
      <c r="AW401" s="41">
        <f>AW198</f>
        <v/>
      </c>
      <c r="AX401" s="41">
        <f>AX198</f>
        <v/>
      </c>
      <c r="AY401" s="41">
        <f>AY198</f>
        <v/>
      </c>
      <c r="AZ401" s="41">
        <f>AZ198</f>
        <v/>
      </c>
      <c r="BA401" s="41">
        <f>BA198</f>
        <v/>
      </c>
      <c r="BB401" s="41">
        <f>BB198</f>
        <v/>
      </c>
      <c r="BC401" s="41">
        <f>BC198</f>
        <v/>
      </c>
      <c r="BD401" s="41">
        <f>BD198</f>
        <v/>
      </c>
      <c r="BE401" s="41">
        <f>BE198</f>
        <v/>
      </c>
      <c r="BF401" s="41">
        <f>BF198</f>
        <v/>
      </c>
      <c r="BG401" s="41">
        <f>BG198</f>
        <v/>
      </c>
      <c r="BH401" s="41">
        <f>BH198</f>
        <v/>
      </c>
      <c r="BI401" s="41">
        <f>BI198</f>
        <v/>
      </c>
      <c r="BJ401" s="41">
        <f>BJ198</f>
        <v/>
      </c>
    </row>
    <row r="402">
      <c r="A402" s="4" t="inlineStr">
        <is>
          <t>Corporate tier: closing</t>
        </is>
      </c>
      <c r="B402" s="17" t="inlineStr">
        <is>
          <t>workspaces</t>
        </is>
      </c>
      <c r="C402" s="41">
        <f>C201</f>
        <v/>
      </c>
      <c r="D402" s="41">
        <f>D201</f>
        <v/>
      </c>
      <c r="E402" s="41">
        <f>E201</f>
        <v/>
      </c>
      <c r="F402" s="41">
        <f>F201</f>
        <v/>
      </c>
      <c r="G402" s="41">
        <f>G201</f>
        <v/>
      </c>
      <c r="H402" s="41">
        <f>H201</f>
        <v/>
      </c>
      <c r="I402" s="41">
        <f>I201</f>
        <v/>
      </c>
      <c r="J402" s="41">
        <f>J201</f>
        <v/>
      </c>
      <c r="K402" s="41">
        <f>K201</f>
        <v/>
      </c>
      <c r="L402" s="41">
        <f>L201</f>
        <v/>
      </c>
      <c r="M402" s="41">
        <f>M201</f>
        <v/>
      </c>
      <c r="N402" s="41">
        <f>N201</f>
        <v/>
      </c>
      <c r="O402" s="41">
        <f>O201</f>
        <v/>
      </c>
      <c r="P402" s="41">
        <f>P201</f>
        <v/>
      </c>
      <c r="Q402" s="41">
        <f>Q201</f>
        <v/>
      </c>
      <c r="R402" s="41">
        <f>R201</f>
        <v/>
      </c>
      <c r="S402" s="41">
        <f>S201</f>
        <v/>
      </c>
      <c r="T402" s="41">
        <f>T201</f>
        <v/>
      </c>
      <c r="U402" s="41">
        <f>U201</f>
        <v/>
      </c>
      <c r="V402" s="41">
        <f>V201</f>
        <v/>
      </c>
      <c r="W402" s="41">
        <f>W201</f>
        <v/>
      </c>
      <c r="X402" s="41">
        <f>X201</f>
        <v/>
      </c>
      <c r="Y402" s="41">
        <f>Y201</f>
        <v/>
      </c>
      <c r="Z402" s="41">
        <f>Z201</f>
        <v/>
      </c>
      <c r="AA402" s="41">
        <f>AA201</f>
        <v/>
      </c>
      <c r="AB402" s="41">
        <f>AB201</f>
        <v/>
      </c>
      <c r="AC402" s="41">
        <f>AC201</f>
        <v/>
      </c>
      <c r="AD402" s="41">
        <f>AD201</f>
        <v/>
      </c>
      <c r="AE402" s="41">
        <f>AE201</f>
        <v/>
      </c>
      <c r="AF402" s="41">
        <f>AF201</f>
        <v/>
      </c>
      <c r="AG402" s="41">
        <f>AG201</f>
        <v/>
      </c>
      <c r="AH402" s="41">
        <f>AH201</f>
        <v/>
      </c>
      <c r="AI402" s="41">
        <f>AI201</f>
        <v/>
      </c>
      <c r="AJ402" s="41">
        <f>AJ201</f>
        <v/>
      </c>
      <c r="AK402" s="41">
        <f>AK201</f>
        <v/>
      </c>
      <c r="AL402" s="41">
        <f>AL201</f>
        <v/>
      </c>
      <c r="AM402" s="41">
        <f>AM201</f>
        <v/>
      </c>
      <c r="AN402" s="41">
        <f>AN201</f>
        <v/>
      </c>
      <c r="AO402" s="41">
        <f>AO201</f>
        <v/>
      </c>
      <c r="AP402" s="41">
        <f>AP201</f>
        <v/>
      </c>
      <c r="AQ402" s="41">
        <f>AQ201</f>
        <v/>
      </c>
      <c r="AR402" s="41">
        <f>AR201</f>
        <v/>
      </c>
      <c r="AS402" s="41">
        <f>AS201</f>
        <v/>
      </c>
      <c r="AT402" s="41">
        <f>AT201</f>
        <v/>
      </c>
      <c r="AU402" s="41">
        <f>AU201</f>
        <v/>
      </c>
      <c r="AV402" s="41">
        <f>AV201</f>
        <v/>
      </c>
      <c r="AW402" s="41">
        <f>AW201</f>
        <v/>
      </c>
      <c r="AX402" s="41">
        <f>AX201</f>
        <v/>
      </c>
      <c r="AY402" s="41">
        <f>AY201</f>
        <v/>
      </c>
      <c r="AZ402" s="41">
        <f>AZ201</f>
        <v/>
      </c>
      <c r="BA402" s="41">
        <f>BA201</f>
        <v/>
      </c>
      <c r="BB402" s="41">
        <f>BB201</f>
        <v/>
      </c>
      <c r="BC402" s="41">
        <f>BC201</f>
        <v/>
      </c>
      <c r="BD402" s="41">
        <f>BD201</f>
        <v/>
      </c>
      <c r="BE402" s="41">
        <f>BE201</f>
        <v/>
      </c>
      <c r="BF402" s="41">
        <f>BF201</f>
        <v/>
      </c>
      <c r="BG402" s="41">
        <f>BG201</f>
        <v/>
      </c>
      <c r="BH402" s="41">
        <f>BH201</f>
        <v/>
      </c>
      <c r="BI402" s="41">
        <f>BI201</f>
        <v/>
      </c>
      <c r="BJ402" s="41">
        <f>BJ201</f>
        <v/>
      </c>
    </row>
    <row r="403">
      <c r="A403" s="4" t="inlineStr">
        <is>
          <t>Corporate tier: churned</t>
        </is>
      </c>
      <c r="B403" s="17" t="inlineStr">
        <is>
          <t>workspaces</t>
        </is>
      </c>
      <c r="C403" s="41">
        <f>C200</f>
        <v/>
      </c>
      <c r="D403" s="41">
        <f>D200</f>
        <v/>
      </c>
      <c r="E403" s="41">
        <f>E200</f>
        <v/>
      </c>
      <c r="F403" s="41">
        <f>F200</f>
        <v/>
      </c>
      <c r="G403" s="41">
        <f>G200</f>
        <v/>
      </c>
      <c r="H403" s="41">
        <f>H200</f>
        <v/>
      </c>
      <c r="I403" s="41">
        <f>I200</f>
        <v/>
      </c>
      <c r="J403" s="41">
        <f>J200</f>
        <v/>
      </c>
      <c r="K403" s="41">
        <f>K200</f>
        <v/>
      </c>
      <c r="L403" s="41">
        <f>L200</f>
        <v/>
      </c>
      <c r="M403" s="41">
        <f>M200</f>
        <v/>
      </c>
      <c r="N403" s="41">
        <f>N200</f>
        <v/>
      </c>
      <c r="O403" s="41">
        <f>O200</f>
        <v/>
      </c>
      <c r="P403" s="41">
        <f>P200</f>
        <v/>
      </c>
      <c r="Q403" s="41">
        <f>Q200</f>
        <v/>
      </c>
      <c r="R403" s="41">
        <f>R200</f>
        <v/>
      </c>
      <c r="S403" s="41">
        <f>S200</f>
        <v/>
      </c>
      <c r="T403" s="41">
        <f>T200</f>
        <v/>
      </c>
      <c r="U403" s="41">
        <f>U200</f>
        <v/>
      </c>
      <c r="V403" s="41">
        <f>V200</f>
        <v/>
      </c>
      <c r="W403" s="41">
        <f>W200</f>
        <v/>
      </c>
      <c r="X403" s="41">
        <f>X200</f>
        <v/>
      </c>
      <c r="Y403" s="41">
        <f>Y200</f>
        <v/>
      </c>
      <c r="Z403" s="41">
        <f>Z200</f>
        <v/>
      </c>
      <c r="AA403" s="41">
        <f>AA200</f>
        <v/>
      </c>
      <c r="AB403" s="41">
        <f>AB200</f>
        <v/>
      </c>
      <c r="AC403" s="41">
        <f>AC200</f>
        <v/>
      </c>
      <c r="AD403" s="41">
        <f>AD200</f>
        <v/>
      </c>
      <c r="AE403" s="41">
        <f>AE200</f>
        <v/>
      </c>
      <c r="AF403" s="41">
        <f>AF200</f>
        <v/>
      </c>
      <c r="AG403" s="41">
        <f>AG200</f>
        <v/>
      </c>
      <c r="AH403" s="41">
        <f>AH200</f>
        <v/>
      </c>
      <c r="AI403" s="41">
        <f>AI200</f>
        <v/>
      </c>
      <c r="AJ403" s="41">
        <f>AJ200</f>
        <v/>
      </c>
      <c r="AK403" s="41">
        <f>AK200</f>
        <v/>
      </c>
      <c r="AL403" s="41">
        <f>AL200</f>
        <v/>
      </c>
      <c r="AM403" s="41">
        <f>AM200</f>
        <v/>
      </c>
      <c r="AN403" s="41">
        <f>AN200</f>
        <v/>
      </c>
      <c r="AO403" s="41">
        <f>AO200</f>
        <v/>
      </c>
      <c r="AP403" s="41">
        <f>AP200</f>
        <v/>
      </c>
      <c r="AQ403" s="41">
        <f>AQ200</f>
        <v/>
      </c>
      <c r="AR403" s="41">
        <f>AR200</f>
        <v/>
      </c>
      <c r="AS403" s="41">
        <f>AS200</f>
        <v/>
      </c>
      <c r="AT403" s="41">
        <f>AT200</f>
        <v/>
      </c>
      <c r="AU403" s="41">
        <f>AU200</f>
        <v/>
      </c>
      <c r="AV403" s="41">
        <f>AV200</f>
        <v/>
      </c>
      <c r="AW403" s="41">
        <f>AW200</f>
        <v/>
      </c>
      <c r="AX403" s="41">
        <f>AX200</f>
        <v/>
      </c>
      <c r="AY403" s="41">
        <f>AY200</f>
        <v/>
      </c>
      <c r="AZ403" s="41">
        <f>AZ200</f>
        <v/>
      </c>
      <c r="BA403" s="41">
        <f>BA200</f>
        <v/>
      </c>
      <c r="BB403" s="41">
        <f>BB200</f>
        <v/>
      </c>
      <c r="BC403" s="41">
        <f>BC200</f>
        <v/>
      </c>
      <c r="BD403" s="41">
        <f>BD200</f>
        <v/>
      </c>
      <c r="BE403" s="41">
        <f>BE200</f>
        <v/>
      </c>
      <c r="BF403" s="41">
        <f>BF200</f>
        <v/>
      </c>
      <c r="BG403" s="41">
        <f>BG200</f>
        <v/>
      </c>
      <c r="BH403" s="41">
        <f>BH200</f>
        <v/>
      </c>
      <c r="BI403" s="41">
        <f>BI200</f>
        <v/>
      </c>
      <c r="BJ403" s="41">
        <f>BJ200</f>
        <v/>
      </c>
    </row>
    <row r="404">
      <c r="A404" s="4" t="inlineStr">
        <is>
          <t>Agency tier: opening</t>
        </is>
      </c>
      <c r="B404" s="17" t="inlineStr">
        <is>
          <t>workspaces</t>
        </is>
      </c>
      <c r="C404" s="41">
        <f>C194+C234+C266+C298</f>
        <v/>
      </c>
      <c r="D404" s="41">
        <f>D194+D234+D266+D298</f>
        <v/>
      </c>
      <c r="E404" s="41">
        <f>E194+E234+E266+E298</f>
        <v/>
      </c>
      <c r="F404" s="41">
        <f>F194+F234+F266+F298</f>
        <v/>
      </c>
      <c r="G404" s="41">
        <f>G194+G234+G266+G298</f>
        <v/>
      </c>
      <c r="H404" s="41">
        <f>H194+H234+H266+H298</f>
        <v/>
      </c>
      <c r="I404" s="41">
        <f>I194+I234+I266+I298</f>
        <v/>
      </c>
      <c r="J404" s="41">
        <f>J194+J234+J266+J298</f>
        <v/>
      </c>
      <c r="K404" s="41">
        <f>K194+K234+K266+K298</f>
        <v/>
      </c>
      <c r="L404" s="41">
        <f>L194+L234+L266+L298</f>
        <v/>
      </c>
      <c r="M404" s="41">
        <f>M194+M234+M266+M298</f>
        <v/>
      </c>
      <c r="N404" s="41">
        <f>N194+N234+N266+N298</f>
        <v/>
      </c>
      <c r="O404" s="41">
        <f>O194+O234+O266+O298</f>
        <v/>
      </c>
      <c r="P404" s="41">
        <f>P194+P234+P266+P298</f>
        <v/>
      </c>
      <c r="Q404" s="41">
        <f>Q194+Q234+Q266+Q298</f>
        <v/>
      </c>
      <c r="R404" s="41">
        <f>R194+R234+R266+R298</f>
        <v/>
      </c>
      <c r="S404" s="41">
        <f>S194+S234+S266+S298</f>
        <v/>
      </c>
      <c r="T404" s="41">
        <f>T194+T234+T266+T298</f>
        <v/>
      </c>
      <c r="U404" s="41">
        <f>U194+U234+U266+U298</f>
        <v/>
      </c>
      <c r="V404" s="41">
        <f>V194+V234+V266+V298</f>
        <v/>
      </c>
      <c r="W404" s="41">
        <f>W194+W234+W266+W298</f>
        <v/>
      </c>
      <c r="X404" s="41">
        <f>X194+X234+X266+X298</f>
        <v/>
      </c>
      <c r="Y404" s="41">
        <f>Y194+Y234+Y266+Y298</f>
        <v/>
      </c>
      <c r="Z404" s="41">
        <f>Z194+Z234+Z266+Z298</f>
        <v/>
      </c>
      <c r="AA404" s="41">
        <f>AA194+AA234+AA266+AA298</f>
        <v/>
      </c>
      <c r="AB404" s="41">
        <f>AB194+AB234+AB266+AB298</f>
        <v/>
      </c>
      <c r="AC404" s="41">
        <f>AC194+AC234+AC266+AC298</f>
        <v/>
      </c>
      <c r="AD404" s="41">
        <f>AD194+AD234+AD266+AD298</f>
        <v/>
      </c>
      <c r="AE404" s="41">
        <f>AE194+AE234+AE266+AE298</f>
        <v/>
      </c>
      <c r="AF404" s="41">
        <f>AF194+AF234+AF266+AF298</f>
        <v/>
      </c>
      <c r="AG404" s="41">
        <f>AG194+AG234+AG266+AG298</f>
        <v/>
      </c>
      <c r="AH404" s="41">
        <f>AH194+AH234+AH266+AH298</f>
        <v/>
      </c>
      <c r="AI404" s="41">
        <f>AI194+AI234+AI266+AI298</f>
        <v/>
      </c>
      <c r="AJ404" s="41">
        <f>AJ194+AJ234+AJ266+AJ298</f>
        <v/>
      </c>
      <c r="AK404" s="41">
        <f>AK194+AK234+AK266+AK298</f>
        <v/>
      </c>
      <c r="AL404" s="41">
        <f>AL194+AL234+AL266+AL298</f>
        <v/>
      </c>
      <c r="AM404" s="41">
        <f>AM194+AM234+AM266+AM298</f>
        <v/>
      </c>
      <c r="AN404" s="41">
        <f>AN194+AN234+AN266+AN298</f>
        <v/>
      </c>
      <c r="AO404" s="41">
        <f>AO194+AO234+AO266+AO298</f>
        <v/>
      </c>
      <c r="AP404" s="41">
        <f>AP194+AP234+AP266+AP298</f>
        <v/>
      </c>
      <c r="AQ404" s="41">
        <f>AQ194+AQ234+AQ266+AQ298</f>
        <v/>
      </c>
      <c r="AR404" s="41">
        <f>AR194+AR234+AR266+AR298</f>
        <v/>
      </c>
      <c r="AS404" s="41">
        <f>AS194+AS234+AS266+AS298</f>
        <v/>
      </c>
      <c r="AT404" s="41">
        <f>AT194+AT234+AT266+AT298</f>
        <v/>
      </c>
      <c r="AU404" s="41">
        <f>AU194+AU234+AU266+AU298</f>
        <v/>
      </c>
      <c r="AV404" s="41">
        <f>AV194+AV234+AV266+AV298</f>
        <v/>
      </c>
      <c r="AW404" s="41">
        <f>AW194+AW234+AW266+AW298</f>
        <v/>
      </c>
      <c r="AX404" s="41">
        <f>AX194+AX234+AX266+AX298</f>
        <v/>
      </c>
      <c r="AY404" s="41">
        <f>AY194+AY234+AY266+AY298</f>
        <v/>
      </c>
      <c r="AZ404" s="41">
        <f>AZ194+AZ234+AZ266+AZ298</f>
        <v/>
      </c>
      <c r="BA404" s="41">
        <f>BA194+BA234+BA266+BA298</f>
        <v/>
      </c>
      <c r="BB404" s="41">
        <f>BB194+BB234+BB266+BB298</f>
        <v/>
      </c>
      <c r="BC404" s="41">
        <f>BC194+BC234+BC266+BC298</f>
        <v/>
      </c>
      <c r="BD404" s="41">
        <f>BD194+BD234+BD266+BD298</f>
        <v/>
      </c>
      <c r="BE404" s="41">
        <f>BE194+BE234+BE266+BE298</f>
        <v/>
      </c>
      <c r="BF404" s="41">
        <f>BF194+BF234+BF266+BF298</f>
        <v/>
      </c>
      <c r="BG404" s="41">
        <f>BG194+BG234+BG266+BG298</f>
        <v/>
      </c>
      <c r="BH404" s="41">
        <f>BH194+BH234+BH266+BH298</f>
        <v/>
      </c>
      <c r="BI404" s="41">
        <f>BI194+BI234+BI266+BI298</f>
        <v/>
      </c>
      <c r="BJ404" s="41">
        <f>BJ194+BJ234+BJ266+BJ298</f>
        <v/>
      </c>
    </row>
    <row r="405">
      <c r="A405" s="4" t="inlineStr">
        <is>
          <t>Agency tier: closing</t>
        </is>
      </c>
      <c r="B405" s="17" t="inlineStr">
        <is>
          <t>workspaces</t>
        </is>
      </c>
      <c r="C405" s="41">
        <f>C197+C237+C269+C301</f>
        <v/>
      </c>
      <c r="D405" s="41">
        <f>D197+D237+D269+D301</f>
        <v/>
      </c>
      <c r="E405" s="41">
        <f>E197+E237+E269+E301</f>
        <v/>
      </c>
      <c r="F405" s="41">
        <f>F197+F237+F269+F301</f>
        <v/>
      </c>
      <c r="G405" s="41">
        <f>G197+G237+G269+G301</f>
        <v/>
      </c>
      <c r="H405" s="41">
        <f>H197+H237+H269+H301</f>
        <v/>
      </c>
      <c r="I405" s="41">
        <f>I197+I237+I269+I301</f>
        <v/>
      </c>
      <c r="J405" s="41">
        <f>J197+J237+J269+J301</f>
        <v/>
      </c>
      <c r="K405" s="41">
        <f>K197+K237+K269+K301</f>
        <v/>
      </c>
      <c r="L405" s="41">
        <f>L197+L237+L269+L301</f>
        <v/>
      </c>
      <c r="M405" s="41">
        <f>M197+M237+M269+M301</f>
        <v/>
      </c>
      <c r="N405" s="41">
        <f>N197+N237+N269+N301</f>
        <v/>
      </c>
      <c r="O405" s="41">
        <f>O197+O237+O269+O301</f>
        <v/>
      </c>
      <c r="P405" s="41">
        <f>P197+P237+P269+P301</f>
        <v/>
      </c>
      <c r="Q405" s="41">
        <f>Q197+Q237+Q269+Q301</f>
        <v/>
      </c>
      <c r="R405" s="41">
        <f>R197+R237+R269+R301</f>
        <v/>
      </c>
      <c r="S405" s="41">
        <f>S197+S237+S269+S301</f>
        <v/>
      </c>
      <c r="T405" s="41">
        <f>T197+T237+T269+T301</f>
        <v/>
      </c>
      <c r="U405" s="41">
        <f>U197+U237+U269+U301</f>
        <v/>
      </c>
      <c r="V405" s="41">
        <f>V197+V237+V269+V301</f>
        <v/>
      </c>
      <c r="W405" s="41">
        <f>W197+W237+W269+W301</f>
        <v/>
      </c>
      <c r="X405" s="41">
        <f>X197+X237+X269+X301</f>
        <v/>
      </c>
      <c r="Y405" s="41">
        <f>Y197+Y237+Y269+Y301</f>
        <v/>
      </c>
      <c r="Z405" s="41">
        <f>Z197+Z237+Z269+Z301</f>
        <v/>
      </c>
      <c r="AA405" s="41">
        <f>AA197+AA237+AA269+AA301</f>
        <v/>
      </c>
      <c r="AB405" s="41">
        <f>AB197+AB237+AB269+AB301</f>
        <v/>
      </c>
      <c r="AC405" s="41">
        <f>AC197+AC237+AC269+AC301</f>
        <v/>
      </c>
      <c r="AD405" s="41">
        <f>AD197+AD237+AD269+AD301</f>
        <v/>
      </c>
      <c r="AE405" s="41">
        <f>AE197+AE237+AE269+AE301</f>
        <v/>
      </c>
      <c r="AF405" s="41">
        <f>AF197+AF237+AF269+AF301</f>
        <v/>
      </c>
      <c r="AG405" s="41">
        <f>AG197+AG237+AG269+AG301</f>
        <v/>
      </c>
      <c r="AH405" s="41">
        <f>AH197+AH237+AH269+AH301</f>
        <v/>
      </c>
      <c r="AI405" s="41">
        <f>AI197+AI237+AI269+AI301</f>
        <v/>
      </c>
      <c r="AJ405" s="41">
        <f>AJ197+AJ237+AJ269+AJ301</f>
        <v/>
      </c>
      <c r="AK405" s="41">
        <f>AK197+AK237+AK269+AK301</f>
        <v/>
      </c>
      <c r="AL405" s="41">
        <f>AL197+AL237+AL269+AL301</f>
        <v/>
      </c>
      <c r="AM405" s="41">
        <f>AM197+AM237+AM269+AM301</f>
        <v/>
      </c>
      <c r="AN405" s="41">
        <f>AN197+AN237+AN269+AN301</f>
        <v/>
      </c>
      <c r="AO405" s="41">
        <f>AO197+AO237+AO269+AO301</f>
        <v/>
      </c>
      <c r="AP405" s="41">
        <f>AP197+AP237+AP269+AP301</f>
        <v/>
      </c>
      <c r="AQ405" s="41">
        <f>AQ197+AQ237+AQ269+AQ301</f>
        <v/>
      </c>
      <c r="AR405" s="41">
        <f>AR197+AR237+AR269+AR301</f>
        <v/>
      </c>
      <c r="AS405" s="41">
        <f>AS197+AS237+AS269+AS301</f>
        <v/>
      </c>
      <c r="AT405" s="41">
        <f>AT197+AT237+AT269+AT301</f>
        <v/>
      </c>
      <c r="AU405" s="41">
        <f>AU197+AU237+AU269+AU301</f>
        <v/>
      </c>
      <c r="AV405" s="41">
        <f>AV197+AV237+AV269+AV301</f>
        <v/>
      </c>
      <c r="AW405" s="41">
        <f>AW197+AW237+AW269+AW301</f>
        <v/>
      </c>
      <c r="AX405" s="41">
        <f>AX197+AX237+AX269+AX301</f>
        <v/>
      </c>
      <c r="AY405" s="41">
        <f>AY197+AY237+AY269+AY301</f>
        <v/>
      </c>
      <c r="AZ405" s="41">
        <f>AZ197+AZ237+AZ269+AZ301</f>
        <v/>
      </c>
      <c r="BA405" s="41">
        <f>BA197+BA237+BA269+BA301</f>
        <v/>
      </c>
      <c r="BB405" s="41">
        <f>BB197+BB237+BB269+BB301</f>
        <v/>
      </c>
      <c r="BC405" s="41">
        <f>BC197+BC237+BC269+BC301</f>
        <v/>
      </c>
      <c r="BD405" s="41">
        <f>BD197+BD237+BD269+BD301</f>
        <v/>
      </c>
      <c r="BE405" s="41">
        <f>BE197+BE237+BE269+BE301</f>
        <v/>
      </c>
      <c r="BF405" s="41">
        <f>BF197+BF237+BF269+BF301</f>
        <v/>
      </c>
      <c r="BG405" s="41">
        <f>BG197+BG237+BG269+BG301</f>
        <v/>
      </c>
      <c r="BH405" s="41">
        <f>BH197+BH237+BH269+BH301</f>
        <v/>
      </c>
      <c r="BI405" s="41">
        <f>BI197+BI237+BI269+BI301</f>
        <v/>
      </c>
      <c r="BJ405" s="41">
        <f>BJ197+BJ237+BJ269+BJ301</f>
        <v/>
      </c>
    </row>
    <row r="406">
      <c r="A406" s="4" t="inlineStr">
        <is>
          <t>Agency tier: churned</t>
        </is>
      </c>
      <c r="B406" s="17" t="inlineStr">
        <is>
          <t>workspaces</t>
        </is>
      </c>
      <c r="C406" s="41">
        <f>C196+C236+C268+C300</f>
        <v/>
      </c>
      <c r="D406" s="41">
        <f>D196+D236+D268+D300</f>
        <v/>
      </c>
      <c r="E406" s="41">
        <f>E196+E236+E268+E300</f>
        <v/>
      </c>
      <c r="F406" s="41">
        <f>F196+F236+F268+F300</f>
        <v/>
      </c>
      <c r="G406" s="41">
        <f>G196+G236+G268+G300</f>
        <v/>
      </c>
      <c r="H406" s="41">
        <f>H196+H236+H268+H300</f>
        <v/>
      </c>
      <c r="I406" s="41">
        <f>I196+I236+I268+I300</f>
        <v/>
      </c>
      <c r="J406" s="41">
        <f>J196+J236+J268+J300</f>
        <v/>
      </c>
      <c r="K406" s="41">
        <f>K196+K236+K268+K300</f>
        <v/>
      </c>
      <c r="L406" s="41">
        <f>L196+L236+L268+L300</f>
        <v/>
      </c>
      <c r="M406" s="41">
        <f>M196+M236+M268+M300</f>
        <v/>
      </c>
      <c r="N406" s="41">
        <f>N196+N236+N268+N300</f>
        <v/>
      </c>
      <c r="O406" s="41">
        <f>O196+O236+O268+O300</f>
        <v/>
      </c>
      <c r="P406" s="41">
        <f>P196+P236+P268+P300</f>
        <v/>
      </c>
      <c r="Q406" s="41">
        <f>Q196+Q236+Q268+Q300</f>
        <v/>
      </c>
      <c r="R406" s="41">
        <f>R196+R236+R268+R300</f>
        <v/>
      </c>
      <c r="S406" s="41">
        <f>S196+S236+S268+S300</f>
        <v/>
      </c>
      <c r="T406" s="41">
        <f>T196+T236+T268+T300</f>
        <v/>
      </c>
      <c r="U406" s="41">
        <f>U196+U236+U268+U300</f>
        <v/>
      </c>
      <c r="V406" s="41">
        <f>V196+V236+V268+V300</f>
        <v/>
      </c>
      <c r="W406" s="41">
        <f>W196+W236+W268+W300</f>
        <v/>
      </c>
      <c r="X406" s="41">
        <f>X196+X236+X268+X300</f>
        <v/>
      </c>
      <c r="Y406" s="41">
        <f>Y196+Y236+Y268+Y300</f>
        <v/>
      </c>
      <c r="Z406" s="41">
        <f>Z196+Z236+Z268+Z300</f>
        <v/>
      </c>
      <c r="AA406" s="41">
        <f>AA196+AA236+AA268+AA300</f>
        <v/>
      </c>
      <c r="AB406" s="41">
        <f>AB196+AB236+AB268+AB300</f>
        <v/>
      </c>
      <c r="AC406" s="41">
        <f>AC196+AC236+AC268+AC300</f>
        <v/>
      </c>
      <c r="AD406" s="41">
        <f>AD196+AD236+AD268+AD300</f>
        <v/>
      </c>
      <c r="AE406" s="41">
        <f>AE196+AE236+AE268+AE300</f>
        <v/>
      </c>
      <c r="AF406" s="41">
        <f>AF196+AF236+AF268+AF300</f>
        <v/>
      </c>
      <c r="AG406" s="41">
        <f>AG196+AG236+AG268+AG300</f>
        <v/>
      </c>
      <c r="AH406" s="41">
        <f>AH196+AH236+AH268+AH300</f>
        <v/>
      </c>
      <c r="AI406" s="41">
        <f>AI196+AI236+AI268+AI300</f>
        <v/>
      </c>
      <c r="AJ406" s="41">
        <f>AJ196+AJ236+AJ268+AJ300</f>
        <v/>
      </c>
      <c r="AK406" s="41">
        <f>AK196+AK236+AK268+AK300</f>
        <v/>
      </c>
      <c r="AL406" s="41">
        <f>AL196+AL236+AL268+AL300</f>
        <v/>
      </c>
      <c r="AM406" s="41">
        <f>AM196+AM236+AM268+AM300</f>
        <v/>
      </c>
      <c r="AN406" s="41">
        <f>AN196+AN236+AN268+AN300</f>
        <v/>
      </c>
      <c r="AO406" s="41">
        <f>AO196+AO236+AO268+AO300</f>
        <v/>
      </c>
      <c r="AP406" s="41">
        <f>AP196+AP236+AP268+AP300</f>
        <v/>
      </c>
      <c r="AQ406" s="41">
        <f>AQ196+AQ236+AQ268+AQ300</f>
        <v/>
      </c>
      <c r="AR406" s="41">
        <f>AR196+AR236+AR268+AR300</f>
        <v/>
      </c>
      <c r="AS406" s="41">
        <f>AS196+AS236+AS268+AS300</f>
        <v/>
      </c>
      <c r="AT406" s="41">
        <f>AT196+AT236+AT268+AT300</f>
        <v/>
      </c>
      <c r="AU406" s="41">
        <f>AU196+AU236+AU268+AU300</f>
        <v/>
      </c>
      <c r="AV406" s="41">
        <f>AV196+AV236+AV268+AV300</f>
        <v/>
      </c>
      <c r="AW406" s="41">
        <f>AW196+AW236+AW268+AW300</f>
        <v/>
      </c>
      <c r="AX406" s="41">
        <f>AX196+AX236+AX268+AX300</f>
        <v/>
      </c>
      <c r="AY406" s="41">
        <f>AY196+AY236+AY268+AY300</f>
        <v/>
      </c>
      <c r="AZ406" s="41">
        <f>AZ196+AZ236+AZ268+AZ300</f>
        <v/>
      </c>
      <c r="BA406" s="41">
        <f>BA196+BA236+BA268+BA300</f>
        <v/>
      </c>
      <c r="BB406" s="41">
        <f>BB196+BB236+BB268+BB300</f>
        <v/>
      </c>
      <c r="BC406" s="41">
        <f>BC196+BC236+BC268+BC300</f>
        <v/>
      </c>
      <c r="BD406" s="41">
        <f>BD196+BD236+BD268+BD300</f>
        <v/>
      </c>
      <c r="BE406" s="41">
        <f>BE196+BE236+BE268+BE300</f>
        <v/>
      </c>
      <c r="BF406" s="41">
        <f>BF196+BF236+BF268+BF300</f>
        <v/>
      </c>
      <c r="BG406" s="41">
        <f>BG196+BG236+BG268+BG300</f>
        <v/>
      </c>
      <c r="BH406" s="41">
        <f>BH196+BH236+BH268+BH300</f>
        <v/>
      </c>
      <c r="BI406" s="41">
        <f>BI196+BI236+BI268+BI300</f>
        <v/>
      </c>
      <c r="BJ406" s="41">
        <f>BJ196+BJ236+BJ268+BJ300</f>
        <v/>
      </c>
    </row>
    <row r="407">
      <c r="A407" s="4" t="inlineStr">
        <is>
          <t>Custom tier: opening</t>
        </is>
      </c>
      <c r="B407" s="17" t="inlineStr">
        <is>
          <t>workspaces</t>
        </is>
      </c>
      <c r="C407" s="41">
        <f>C202</f>
        <v/>
      </c>
      <c r="D407" s="41">
        <f>D202</f>
        <v/>
      </c>
      <c r="E407" s="41">
        <f>E202</f>
        <v/>
      </c>
      <c r="F407" s="41">
        <f>F202</f>
        <v/>
      </c>
      <c r="G407" s="41">
        <f>G202</f>
        <v/>
      </c>
      <c r="H407" s="41">
        <f>H202</f>
        <v/>
      </c>
      <c r="I407" s="41">
        <f>I202</f>
        <v/>
      </c>
      <c r="J407" s="41">
        <f>J202</f>
        <v/>
      </c>
      <c r="K407" s="41">
        <f>K202</f>
        <v/>
      </c>
      <c r="L407" s="41">
        <f>L202</f>
        <v/>
      </c>
      <c r="M407" s="41">
        <f>M202</f>
        <v/>
      </c>
      <c r="N407" s="41">
        <f>N202</f>
        <v/>
      </c>
      <c r="O407" s="41">
        <f>O202</f>
        <v/>
      </c>
      <c r="P407" s="41">
        <f>P202</f>
        <v/>
      </c>
      <c r="Q407" s="41">
        <f>Q202</f>
        <v/>
      </c>
      <c r="R407" s="41">
        <f>R202</f>
        <v/>
      </c>
      <c r="S407" s="41">
        <f>S202</f>
        <v/>
      </c>
      <c r="T407" s="41">
        <f>T202</f>
        <v/>
      </c>
      <c r="U407" s="41">
        <f>U202</f>
        <v/>
      </c>
      <c r="V407" s="41">
        <f>V202</f>
        <v/>
      </c>
      <c r="W407" s="41">
        <f>W202</f>
        <v/>
      </c>
      <c r="X407" s="41">
        <f>X202</f>
        <v/>
      </c>
      <c r="Y407" s="41">
        <f>Y202</f>
        <v/>
      </c>
      <c r="Z407" s="41">
        <f>Z202</f>
        <v/>
      </c>
      <c r="AA407" s="41">
        <f>AA202</f>
        <v/>
      </c>
      <c r="AB407" s="41">
        <f>AB202</f>
        <v/>
      </c>
      <c r="AC407" s="41">
        <f>AC202</f>
        <v/>
      </c>
      <c r="AD407" s="41">
        <f>AD202</f>
        <v/>
      </c>
      <c r="AE407" s="41">
        <f>AE202</f>
        <v/>
      </c>
      <c r="AF407" s="41">
        <f>AF202</f>
        <v/>
      </c>
      <c r="AG407" s="41">
        <f>AG202</f>
        <v/>
      </c>
      <c r="AH407" s="41">
        <f>AH202</f>
        <v/>
      </c>
      <c r="AI407" s="41">
        <f>AI202</f>
        <v/>
      </c>
      <c r="AJ407" s="41">
        <f>AJ202</f>
        <v/>
      </c>
      <c r="AK407" s="41">
        <f>AK202</f>
        <v/>
      </c>
      <c r="AL407" s="41">
        <f>AL202</f>
        <v/>
      </c>
      <c r="AM407" s="41">
        <f>AM202</f>
        <v/>
      </c>
      <c r="AN407" s="41">
        <f>AN202</f>
        <v/>
      </c>
      <c r="AO407" s="41">
        <f>AO202</f>
        <v/>
      </c>
      <c r="AP407" s="41">
        <f>AP202</f>
        <v/>
      </c>
      <c r="AQ407" s="41">
        <f>AQ202</f>
        <v/>
      </c>
      <c r="AR407" s="41">
        <f>AR202</f>
        <v/>
      </c>
      <c r="AS407" s="41">
        <f>AS202</f>
        <v/>
      </c>
      <c r="AT407" s="41">
        <f>AT202</f>
        <v/>
      </c>
      <c r="AU407" s="41">
        <f>AU202</f>
        <v/>
      </c>
      <c r="AV407" s="41">
        <f>AV202</f>
        <v/>
      </c>
      <c r="AW407" s="41">
        <f>AW202</f>
        <v/>
      </c>
      <c r="AX407" s="41">
        <f>AX202</f>
        <v/>
      </c>
      <c r="AY407" s="41">
        <f>AY202</f>
        <v/>
      </c>
      <c r="AZ407" s="41">
        <f>AZ202</f>
        <v/>
      </c>
      <c r="BA407" s="41">
        <f>BA202</f>
        <v/>
      </c>
      <c r="BB407" s="41">
        <f>BB202</f>
        <v/>
      </c>
      <c r="BC407" s="41">
        <f>BC202</f>
        <v/>
      </c>
      <c r="BD407" s="41">
        <f>BD202</f>
        <v/>
      </c>
      <c r="BE407" s="41">
        <f>BE202</f>
        <v/>
      </c>
      <c r="BF407" s="41">
        <f>BF202</f>
        <v/>
      </c>
      <c r="BG407" s="41">
        <f>BG202</f>
        <v/>
      </c>
      <c r="BH407" s="41">
        <f>BH202</f>
        <v/>
      </c>
      <c r="BI407" s="41">
        <f>BI202</f>
        <v/>
      </c>
      <c r="BJ407" s="41">
        <f>BJ202</f>
        <v/>
      </c>
    </row>
    <row r="408">
      <c r="A408" s="4" t="inlineStr">
        <is>
          <t>Custom tier: closing</t>
        </is>
      </c>
      <c r="B408" s="17" t="inlineStr">
        <is>
          <t>workspaces</t>
        </is>
      </c>
      <c r="C408" s="41">
        <f>C205</f>
        <v/>
      </c>
      <c r="D408" s="41">
        <f>D205</f>
        <v/>
      </c>
      <c r="E408" s="41">
        <f>E205</f>
        <v/>
      </c>
      <c r="F408" s="41">
        <f>F205</f>
        <v/>
      </c>
      <c r="G408" s="41">
        <f>G205</f>
        <v/>
      </c>
      <c r="H408" s="41">
        <f>H205</f>
        <v/>
      </c>
      <c r="I408" s="41">
        <f>I205</f>
        <v/>
      </c>
      <c r="J408" s="41">
        <f>J205</f>
        <v/>
      </c>
      <c r="K408" s="41">
        <f>K205</f>
        <v/>
      </c>
      <c r="L408" s="41">
        <f>L205</f>
        <v/>
      </c>
      <c r="M408" s="41">
        <f>M205</f>
        <v/>
      </c>
      <c r="N408" s="41">
        <f>N205</f>
        <v/>
      </c>
      <c r="O408" s="41">
        <f>O205</f>
        <v/>
      </c>
      <c r="P408" s="41">
        <f>P205</f>
        <v/>
      </c>
      <c r="Q408" s="41">
        <f>Q205</f>
        <v/>
      </c>
      <c r="R408" s="41">
        <f>R205</f>
        <v/>
      </c>
      <c r="S408" s="41">
        <f>S205</f>
        <v/>
      </c>
      <c r="T408" s="41">
        <f>T205</f>
        <v/>
      </c>
      <c r="U408" s="41">
        <f>U205</f>
        <v/>
      </c>
      <c r="V408" s="41">
        <f>V205</f>
        <v/>
      </c>
      <c r="W408" s="41">
        <f>W205</f>
        <v/>
      </c>
      <c r="X408" s="41">
        <f>X205</f>
        <v/>
      </c>
      <c r="Y408" s="41">
        <f>Y205</f>
        <v/>
      </c>
      <c r="Z408" s="41">
        <f>Z205</f>
        <v/>
      </c>
      <c r="AA408" s="41">
        <f>AA205</f>
        <v/>
      </c>
      <c r="AB408" s="41">
        <f>AB205</f>
        <v/>
      </c>
      <c r="AC408" s="41">
        <f>AC205</f>
        <v/>
      </c>
      <c r="AD408" s="41">
        <f>AD205</f>
        <v/>
      </c>
      <c r="AE408" s="41">
        <f>AE205</f>
        <v/>
      </c>
      <c r="AF408" s="41">
        <f>AF205</f>
        <v/>
      </c>
      <c r="AG408" s="41">
        <f>AG205</f>
        <v/>
      </c>
      <c r="AH408" s="41">
        <f>AH205</f>
        <v/>
      </c>
      <c r="AI408" s="41">
        <f>AI205</f>
        <v/>
      </c>
      <c r="AJ408" s="41">
        <f>AJ205</f>
        <v/>
      </c>
      <c r="AK408" s="41">
        <f>AK205</f>
        <v/>
      </c>
      <c r="AL408" s="41">
        <f>AL205</f>
        <v/>
      </c>
      <c r="AM408" s="41">
        <f>AM205</f>
        <v/>
      </c>
      <c r="AN408" s="41">
        <f>AN205</f>
        <v/>
      </c>
      <c r="AO408" s="41">
        <f>AO205</f>
        <v/>
      </c>
      <c r="AP408" s="41">
        <f>AP205</f>
        <v/>
      </c>
      <c r="AQ408" s="41">
        <f>AQ205</f>
        <v/>
      </c>
      <c r="AR408" s="41">
        <f>AR205</f>
        <v/>
      </c>
      <c r="AS408" s="41">
        <f>AS205</f>
        <v/>
      </c>
      <c r="AT408" s="41">
        <f>AT205</f>
        <v/>
      </c>
      <c r="AU408" s="41">
        <f>AU205</f>
        <v/>
      </c>
      <c r="AV408" s="41">
        <f>AV205</f>
        <v/>
      </c>
      <c r="AW408" s="41">
        <f>AW205</f>
        <v/>
      </c>
      <c r="AX408" s="41">
        <f>AX205</f>
        <v/>
      </c>
      <c r="AY408" s="41">
        <f>AY205</f>
        <v/>
      </c>
      <c r="AZ408" s="41">
        <f>AZ205</f>
        <v/>
      </c>
      <c r="BA408" s="41">
        <f>BA205</f>
        <v/>
      </c>
      <c r="BB408" s="41">
        <f>BB205</f>
        <v/>
      </c>
      <c r="BC408" s="41">
        <f>BC205</f>
        <v/>
      </c>
      <c r="BD408" s="41">
        <f>BD205</f>
        <v/>
      </c>
      <c r="BE408" s="41">
        <f>BE205</f>
        <v/>
      </c>
      <c r="BF408" s="41">
        <f>BF205</f>
        <v/>
      </c>
      <c r="BG408" s="41">
        <f>BG205</f>
        <v/>
      </c>
      <c r="BH408" s="41">
        <f>BH205</f>
        <v/>
      </c>
      <c r="BI408" s="41">
        <f>BI205</f>
        <v/>
      </c>
      <c r="BJ408" s="41">
        <f>BJ205</f>
        <v/>
      </c>
    </row>
    <row r="409">
      <c r="A409" s="4" t="inlineStr">
        <is>
          <t>Custom tier: churned</t>
        </is>
      </c>
      <c r="B409" s="17" t="inlineStr">
        <is>
          <t>workspaces</t>
        </is>
      </c>
      <c r="C409" s="41">
        <f>C204</f>
        <v/>
      </c>
      <c r="D409" s="41">
        <f>D204</f>
        <v/>
      </c>
      <c r="E409" s="41">
        <f>E204</f>
        <v/>
      </c>
      <c r="F409" s="41">
        <f>F204</f>
        <v/>
      </c>
      <c r="G409" s="41">
        <f>G204</f>
        <v/>
      </c>
      <c r="H409" s="41">
        <f>H204</f>
        <v/>
      </c>
      <c r="I409" s="41">
        <f>I204</f>
        <v/>
      </c>
      <c r="J409" s="41">
        <f>J204</f>
        <v/>
      </c>
      <c r="K409" s="41">
        <f>K204</f>
        <v/>
      </c>
      <c r="L409" s="41">
        <f>L204</f>
        <v/>
      </c>
      <c r="M409" s="41">
        <f>M204</f>
        <v/>
      </c>
      <c r="N409" s="41">
        <f>N204</f>
        <v/>
      </c>
      <c r="O409" s="41">
        <f>O204</f>
        <v/>
      </c>
      <c r="P409" s="41">
        <f>P204</f>
        <v/>
      </c>
      <c r="Q409" s="41">
        <f>Q204</f>
        <v/>
      </c>
      <c r="R409" s="41">
        <f>R204</f>
        <v/>
      </c>
      <c r="S409" s="41">
        <f>S204</f>
        <v/>
      </c>
      <c r="T409" s="41">
        <f>T204</f>
        <v/>
      </c>
      <c r="U409" s="41">
        <f>U204</f>
        <v/>
      </c>
      <c r="V409" s="41">
        <f>V204</f>
        <v/>
      </c>
      <c r="W409" s="41">
        <f>W204</f>
        <v/>
      </c>
      <c r="X409" s="41">
        <f>X204</f>
        <v/>
      </c>
      <c r="Y409" s="41">
        <f>Y204</f>
        <v/>
      </c>
      <c r="Z409" s="41">
        <f>Z204</f>
        <v/>
      </c>
      <c r="AA409" s="41">
        <f>AA204</f>
        <v/>
      </c>
      <c r="AB409" s="41">
        <f>AB204</f>
        <v/>
      </c>
      <c r="AC409" s="41">
        <f>AC204</f>
        <v/>
      </c>
      <c r="AD409" s="41">
        <f>AD204</f>
        <v/>
      </c>
      <c r="AE409" s="41">
        <f>AE204</f>
        <v/>
      </c>
      <c r="AF409" s="41">
        <f>AF204</f>
        <v/>
      </c>
      <c r="AG409" s="41">
        <f>AG204</f>
        <v/>
      </c>
      <c r="AH409" s="41">
        <f>AH204</f>
        <v/>
      </c>
      <c r="AI409" s="41">
        <f>AI204</f>
        <v/>
      </c>
      <c r="AJ409" s="41">
        <f>AJ204</f>
        <v/>
      </c>
      <c r="AK409" s="41">
        <f>AK204</f>
        <v/>
      </c>
      <c r="AL409" s="41">
        <f>AL204</f>
        <v/>
      </c>
      <c r="AM409" s="41">
        <f>AM204</f>
        <v/>
      </c>
      <c r="AN409" s="41">
        <f>AN204</f>
        <v/>
      </c>
      <c r="AO409" s="41">
        <f>AO204</f>
        <v/>
      </c>
      <c r="AP409" s="41">
        <f>AP204</f>
        <v/>
      </c>
      <c r="AQ409" s="41">
        <f>AQ204</f>
        <v/>
      </c>
      <c r="AR409" s="41">
        <f>AR204</f>
        <v/>
      </c>
      <c r="AS409" s="41">
        <f>AS204</f>
        <v/>
      </c>
      <c r="AT409" s="41">
        <f>AT204</f>
        <v/>
      </c>
      <c r="AU409" s="41">
        <f>AU204</f>
        <v/>
      </c>
      <c r="AV409" s="41">
        <f>AV204</f>
        <v/>
      </c>
      <c r="AW409" s="41">
        <f>AW204</f>
        <v/>
      </c>
      <c r="AX409" s="41">
        <f>AX204</f>
        <v/>
      </c>
      <c r="AY409" s="41">
        <f>AY204</f>
        <v/>
      </c>
      <c r="AZ409" s="41">
        <f>AZ204</f>
        <v/>
      </c>
      <c r="BA409" s="41">
        <f>BA204</f>
        <v/>
      </c>
      <c r="BB409" s="41">
        <f>BB204</f>
        <v/>
      </c>
      <c r="BC409" s="41">
        <f>BC204</f>
        <v/>
      </c>
      <c r="BD409" s="41">
        <f>BD204</f>
        <v/>
      </c>
      <c r="BE409" s="41">
        <f>BE204</f>
        <v/>
      </c>
      <c r="BF409" s="41">
        <f>BF204</f>
        <v/>
      </c>
      <c r="BG409" s="41">
        <f>BG204</f>
        <v/>
      </c>
      <c r="BH409" s="41">
        <f>BH204</f>
        <v/>
      </c>
      <c r="BI409" s="41">
        <f>BI204</f>
        <v/>
      </c>
      <c r="BJ409" s="41">
        <f>BJ204</f>
        <v/>
      </c>
    </row>
    <row r="410">
      <c r="A410" s="3" t="inlineStr">
        <is>
          <t>Total paying workspaces: opening</t>
        </is>
      </c>
      <c r="B410" s="17" t="inlineStr">
        <is>
          <t>workspaces</t>
        </is>
      </c>
      <c r="C410" s="40">
        <f>C366+C370+C374+C378+C382</f>
        <v/>
      </c>
      <c r="D410" s="40">
        <f>D366+D370+D374+D378+D382</f>
        <v/>
      </c>
      <c r="E410" s="40">
        <f>E366+E370+E374+E378+E382</f>
        <v/>
      </c>
      <c r="F410" s="40">
        <f>F366+F370+F374+F378+F382</f>
        <v/>
      </c>
      <c r="G410" s="40">
        <f>G366+G370+G374+G378+G382</f>
        <v/>
      </c>
      <c r="H410" s="40">
        <f>H366+H370+H374+H378+H382</f>
        <v/>
      </c>
      <c r="I410" s="40">
        <f>I366+I370+I374+I378+I382</f>
        <v/>
      </c>
      <c r="J410" s="40">
        <f>J366+J370+J374+J378+J382</f>
        <v/>
      </c>
      <c r="K410" s="40">
        <f>K366+K370+K374+K378+K382</f>
        <v/>
      </c>
      <c r="L410" s="40">
        <f>L366+L370+L374+L378+L382</f>
        <v/>
      </c>
      <c r="M410" s="40">
        <f>M366+M370+M374+M378+M382</f>
        <v/>
      </c>
      <c r="N410" s="40">
        <f>N366+N370+N374+N378+N382</f>
        <v/>
      </c>
      <c r="O410" s="40">
        <f>O366+O370+O374+O378+O382</f>
        <v/>
      </c>
      <c r="P410" s="40">
        <f>P366+P370+P374+P378+P382</f>
        <v/>
      </c>
      <c r="Q410" s="40">
        <f>Q366+Q370+Q374+Q378+Q382</f>
        <v/>
      </c>
      <c r="R410" s="40">
        <f>R366+R370+R374+R378+R382</f>
        <v/>
      </c>
      <c r="S410" s="40">
        <f>S366+S370+S374+S378+S382</f>
        <v/>
      </c>
      <c r="T410" s="40">
        <f>T366+T370+T374+T378+T382</f>
        <v/>
      </c>
      <c r="U410" s="40">
        <f>U366+U370+U374+U378+U382</f>
        <v/>
      </c>
      <c r="V410" s="40">
        <f>V366+V370+V374+V378+V382</f>
        <v/>
      </c>
      <c r="W410" s="40">
        <f>W366+W370+W374+W378+W382</f>
        <v/>
      </c>
      <c r="X410" s="40">
        <f>X366+X370+X374+X378+X382</f>
        <v/>
      </c>
      <c r="Y410" s="40">
        <f>Y366+Y370+Y374+Y378+Y382</f>
        <v/>
      </c>
      <c r="Z410" s="40">
        <f>Z366+Z370+Z374+Z378+Z382</f>
        <v/>
      </c>
      <c r="AA410" s="40">
        <f>AA366+AA370+AA374+AA378+AA382</f>
        <v/>
      </c>
      <c r="AB410" s="40">
        <f>AB366+AB370+AB374+AB378+AB382</f>
        <v/>
      </c>
      <c r="AC410" s="40">
        <f>AC366+AC370+AC374+AC378+AC382</f>
        <v/>
      </c>
      <c r="AD410" s="40">
        <f>AD366+AD370+AD374+AD378+AD382</f>
        <v/>
      </c>
      <c r="AE410" s="40">
        <f>AE366+AE370+AE374+AE378+AE382</f>
        <v/>
      </c>
      <c r="AF410" s="40">
        <f>AF366+AF370+AF374+AF378+AF382</f>
        <v/>
      </c>
      <c r="AG410" s="40">
        <f>AG366+AG370+AG374+AG378+AG382</f>
        <v/>
      </c>
      <c r="AH410" s="40">
        <f>AH366+AH370+AH374+AH378+AH382</f>
        <v/>
      </c>
      <c r="AI410" s="40">
        <f>AI366+AI370+AI374+AI378+AI382</f>
        <v/>
      </c>
      <c r="AJ410" s="40">
        <f>AJ366+AJ370+AJ374+AJ378+AJ382</f>
        <v/>
      </c>
      <c r="AK410" s="40">
        <f>AK366+AK370+AK374+AK378+AK382</f>
        <v/>
      </c>
      <c r="AL410" s="40">
        <f>AL366+AL370+AL374+AL378+AL382</f>
        <v/>
      </c>
      <c r="AM410" s="40">
        <f>AM366+AM370+AM374+AM378+AM382</f>
        <v/>
      </c>
      <c r="AN410" s="40">
        <f>AN366+AN370+AN374+AN378+AN382</f>
        <v/>
      </c>
      <c r="AO410" s="40">
        <f>AO366+AO370+AO374+AO378+AO382</f>
        <v/>
      </c>
      <c r="AP410" s="40">
        <f>AP366+AP370+AP374+AP378+AP382</f>
        <v/>
      </c>
      <c r="AQ410" s="40">
        <f>AQ366+AQ370+AQ374+AQ378+AQ382</f>
        <v/>
      </c>
      <c r="AR410" s="40">
        <f>AR366+AR370+AR374+AR378+AR382</f>
        <v/>
      </c>
      <c r="AS410" s="40">
        <f>AS366+AS370+AS374+AS378+AS382</f>
        <v/>
      </c>
      <c r="AT410" s="40">
        <f>AT366+AT370+AT374+AT378+AT382</f>
        <v/>
      </c>
      <c r="AU410" s="40">
        <f>AU366+AU370+AU374+AU378+AU382</f>
        <v/>
      </c>
      <c r="AV410" s="40">
        <f>AV366+AV370+AV374+AV378+AV382</f>
        <v/>
      </c>
      <c r="AW410" s="40">
        <f>AW366+AW370+AW374+AW378+AW382</f>
        <v/>
      </c>
      <c r="AX410" s="40">
        <f>AX366+AX370+AX374+AX378+AX382</f>
        <v/>
      </c>
      <c r="AY410" s="40">
        <f>AY366+AY370+AY374+AY378+AY382</f>
        <v/>
      </c>
      <c r="AZ410" s="40">
        <f>AZ366+AZ370+AZ374+AZ378+AZ382</f>
        <v/>
      </c>
      <c r="BA410" s="40">
        <f>BA366+BA370+BA374+BA378+BA382</f>
        <v/>
      </c>
      <c r="BB410" s="40">
        <f>BB366+BB370+BB374+BB378+BB382</f>
        <v/>
      </c>
      <c r="BC410" s="40">
        <f>BC366+BC370+BC374+BC378+BC382</f>
        <v/>
      </c>
      <c r="BD410" s="40">
        <f>BD366+BD370+BD374+BD378+BD382</f>
        <v/>
      </c>
      <c r="BE410" s="40">
        <f>BE366+BE370+BE374+BE378+BE382</f>
        <v/>
      </c>
      <c r="BF410" s="40">
        <f>BF366+BF370+BF374+BF378+BF382</f>
        <v/>
      </c>
      <c r="BG410" s="40">
        <f>BG366+BG370+BG374+BG378+BG382</f>
        <v/>
      </c>
      <c r="BH410" s="40">
        <f>BH366+BH370+BH374+BH378+BH382</f>
        <v/>
      </c>
      <c r="BI410" s="40">
        <f>BI366+BI370+BI374+BI378+BI382</f>
        <v/>
      </c>
      <c r="BJ410" s="40">
        <f>BJ366+BJ370+BJ374+BJ378+BJ382</f>
        <v/>
      </c>
    </row>
    <row r="411">
      <c r="A411" s="3" t="inlineStr">
        <is>
          <t>Total paying workspaces: closing</t>
        </is>
      </c>
      <c r="B411" s="17" t="inlineStr">
        <is>
          <t>workspaces</t>
        </is>
      </c>
      <c r="C411" s="40">
        <f>C367+C371+C375+C379+C383</f>
        <v/>
      </c>
      <c r="D411" s="40">
        <f>D367+D371+D375+D379+D383</f>
        <v/>
      </c>
      <c r="E411" s="40">
        <f>E367+E371+E375+E379+E383</f>
        <v/>
      </c>
      <c r="F411" s="40">
        <f>F367+F371+F375+F379+F383</f>
        <v/>
      </c>
      <c r="G411" s="40">
        <f>G367+G371+G375+G379+G383</f>
        <v/>
      </c>
      <c r="H411" s="40">
        <f>H367+H371+H375+H379+H383</f>
        <v/>
      </c>
      <c r="I411" s="40">
        <f>I367+I371+I375+I379+I383</f>
        <v/>
      </c>
      <c r="J411" s="40">
        <f>J367+J371+J375+J379+J383</f>
        <v/>
      </c>
      <c r="K411" s="40">
        <f>K367+K371+K375+K379+K383</f>
        <v/>
      </c>
      <c r="L411" s="40">
        <f>L367+L371+L375+L379+L383</f>
        <v/>
      </c>
      <c r="M411" s="40">
        <f>M367+M371+M375+M379+M383</f>
        <v/>
      </c>
      <c r="N411" s="40">
        <f>N367+N371+N375+N379+N383</f>
        <v/>
      </c>
      <c r="O411" s="40">
        <f>O367+O371+O375+O379+O383</f>
        <v/>
      </c>
      <c r="P411" s="40">
        <f>P367+P371+P375+P379+P383</f>
        <v/>
      </c>
      <c r="Q411" s="40">
        <f>Q367+Q371+Q375+Q379+Q383</f>
        <v/>
      </c>
      <c r="R411" s="40">
        <f>R367+R371+R375+R379+R383</f>
        <v/>
      </c>
      <c r="S411" s="40">
        <f>S367+S371+S375+S379+S383</f>
        <v/>
      </c>
      <c r="T411" s="40">
        <f>T367+T371+T375+T379+T383</f>
        <v/>
      </c>
      <c r="U411" s="40">
        <f>U367+U371+U375+U379+U383</f>
        <v/>
      </c>
      <c r="V411" s="40">
        <f>V367+V371+V375+V379+V383</f>
        <v/>
      </c>
      <c r="W411" s="40">
        <f>W367+W371+W375+W379+W383</f>
        <v/>
      </c>
      <c r="X411" s="40">
        <f>X367+X371+X375+X379+X383</f>
        <v/>
      </c>
      <c r="Y411" s="40">
        <f>Y367+Y371+Y375+Y379+Y383</f>
        <v/>
      </c>
      <c r="Z411" s="40">
        <f>Z367+Z371+Z375+Z379+Z383</f>
        <v/>
      </c>
      <c r="AA411" s="40">
        <f>AA367+AA371+AA375+AA379+AA383</f>
        <v/>
      </c>
      <c r="AB411" s="40">
        <f>AB367+AB371+AB375+AB379+AB383</f>
        <v/>
      </c>
      <c r="AC411" s="40">
        <f>AC367+AC371+AC375+AC379+AC383</f>
        <v/>
      </c>
      <c r="AD411" s="40">
        <f>AD367+AD371+AD375+AD379+AD383</f>
        <v/>
      </c>
      <c r="AE411" s="40">
        <f>AE367+AE371+AE375+AE379+AE383</f>
        <v/>
      </c>
      <c r="AF411" s="40">
        <f>AF367+AF371+AF375+AF379+AF383</f>
        <v/>
      </c>
      <c r="AG411" s="40">
        <f>AG367+AG371+AG375+AG379+AG383</f>
        <v/>
      </c>
      <c r="AH411" s="40">
        <f>AH367+AH371+AH375+AH379+AH383</f>
        <v/>
      </c>
      <c r="AI411" s="40">
        <f>AI367+AI371+AI375+AI379+AI383</f>
        <v/>
      </c>
      <c r="AJ411" s="40">
        <f>AJ367+AJ371+AJ375+AJ379+AJ383</f>
        <v/>
      </c>
      <c r="AK411" s="40">
        <f>AK367+AK371+AK375+AK379+AK383</f>
        <v/>
      </c>
      <c r="AL411" s="40">
        <f>AL367+AL371+AL375+AL379+AL383</f>
        <v/>
      </c>
      <c r="AM411" s="40">
        <f>AM367+AM371+AM375+AM379+AM383</f>
        <v/>
      </c>
      <c r="AN411" s="40">
        <f>AN367+AN371+AN375+AN379+AN383</f>
        <v/>
      </c>
      <c r="AO411" s="40">
        <f>AO367+AO371+AO375+AO379+AO383</f>
        <v/>
      </c>
      <c r="AP411" s="40">
        <f>AP367+AP371+AP375+AP379+AP383</f>
        <v/>
      </c>
      <c r="AQ411" s="40">
        <f>AQ367+AQ371+AQ375+AQ379+AQ383</f>
        <v/>
      </c>
      <c r="AR411" s="40">
        <f>AR367+AR371+AR375+AR379+AR383</f>
        <v/>
      </c>
      <c r="AS411" s="40">
        <f>AS367+AS371+AS375+AS379+AS383</f>
        <v/>
      </c>
      <c r="AT411" s="40">
        <f>AT367+AT371+AT375+AT379+AT383</f>
        <v/>
      </c>
      <c r="AU411" s="40">
        <f>AU367+AU371+AU375+AU379+AU383</f>
        <v/>
      </c>
      <c r="AV411" s="40">
        <f>AV367+AV371+AV375+AV379+AV383</f>
        <v/>
      </c>
      <c r="AW411" s="40">
        <f>AW367+AW371+AW375+AW379+AW383</f>
        <v/>
      </c>
      <c r="AX411" s="40">
        <f>AX367+AX371+AX375+AX379+AX383</f>
        <v/>
      </c>
      <c r="AY411" s="40">
        <f>AY367+AY371+AY375+AY379+AY383</f>
        <v/>
      </c>
      <c r="AZ411" s="40">
        <f>AZ367+AZ371+AZ375+AZ379+AZ383</f>
        <v/>
      </c>
      <c r="BA411" s="40">
        <f>BA367+BA371+BA375+BA379+BA383</f>
        <v/>
      </c>
      <c r="BB411" s="40">
        <f>BB367+BB371+BB375+BB379+BB383</f>
        <v/>
      </c>
      <c r="BC411" s="40">
        <f>BC367+BC371+BC375+BC379+BC383</f>
        <v/>
      </c>
      <c r="BD411" s="40">
        <f>BD367+BD371+BD375+BD379+BD383</f>
        <v/>
      </c>
      <c r="BE411" s="40">
        <f>BE367+BE371+BE375+BE379+BE383</f>
        <v/>
      </c>
      <c r="BF411" s="40">
        <f>BF367+BF371+BF375+BF379+BF383</f>
        <v/>
      </c>
      <c r="BG411" s="40">
        <f>BG367+BG371+BG375+BG379+BG383</f>
        <v/>
      </c>
      <c r="BH411" s="40">
        <f>BH367+BH371+BH375+BH379+BH383</f>
        <v/>
      </c>
      <c r="BI411" s="40">
        <f>BI367+BI371+BI375+BI379+BI383</f>
        <v/>
      </c>
      <c r="BJ411" s="40">
        <f>BJ367+BJ371+BJ375+BJ379+BJ383</f>
        <v/>
      </c>
    </row>
    <row r="412">
      <c r="A412" s="3" t="inlineStr">
        <is>
          <t>Total paying workspaces: churned</t>
        </is>
      </c>
      <c r="B412" s="17" t="inlineStr">
        <is>
          <t>workspaces</t>
        </is>
      </c>
      <c r="C412" s="40">
        <f>C368+C372+C376+C380+C384</f>
        <v/>
      </c>
      <c r="D412" s="40">
        <f>D368+D372+D376+D380+D384</f>
        <v/>
      </c>
      <c r="E412" s="40">
        <f>E368+E372+E376+E380+E384</f>
        <v/>
      </c>
      <c r="F412" s="40">
        <f>F368+F372+F376+F380+F384</f>
        <v/>
      </c>
      <c r="G412" s="40">
        <f>G368+G372+G376+G380+G384</f>
        <v/>
      </c>
      <c r="H412" s="40">
        <f>H368+H372+H376+H380+H384</f>
        <v/>
      </c>
      <c r="I412" s="40">
        <f>I368+I372+I376+I380+I384</f>
        <v/>
      </c>
      <c r="J412" s="40">
        <f>J368+J372+J376+J380+J384</f>
        <v/>
      </c>
      <c r="K412" s="40">
        <f>K368+K372+K376+K380+K384</f>
        <v/>
      </c>
      <c r="L412" s="40">
        <f>L368+L372+L376+L380+L384</f>
        <v/>
      </c>
      <c r="M412" s="40">
        <f>M368+M372+M376+M380+M384</f>
        <v/>
      </c>
      <c r="N412" s="40">
        <f>N368+N372+N376+N380+N384</f>
        <v/>
      </c>
      <c r="O412" s="40">
        <f>O368+O372+O376+O380+O384</f>
        <v/>
      </c>
      <c r="P412" s="40">
        <f>P368+P372+P376+P380+P384</f>
        <v/>
      </c>
      <c r="Q412" s="40">
        <f>Q368+Q372+Q376+Q380+Q384</f>
        <v/>
      </c>
      <c r="R412" s="40">
        <f>R368+R372+R376+R380+R384</f>
        <v/>
      </c>
      <c r="S412" s="40">
        <f>S368+S372+S376+S380+S384</f>
        <v/>
      </c>
      <c r="T412" s="40">
        <f>T368+T372+T376+T380+T384</f>
        <v/>
      </c>
      <c r="U412" s="40">
        <f>U368+U372+U376+U380+U384</f>
        <v/>
      </c>
      <c r="V412" s="40">
        <f>V368+V372+V376+V380+V384</f>
        <v/>
      </c>
      <c r="W412" s="40">
        <f>W368+W372+W376+W380+W384</f>
        <v/>
      </c>
      <c r="X412" s="40">
        <f>X368+X372+X376+X380+X384</f>
        <v/>
      </c>
      <c r="Y412" s="40">
        <f>Y368+Y372+Y376+Y380+Y384</f>
        <v/>
      </c>
      <c r="Z412" s="40">
        <f>Z368+Z372+Z376+Z380+Z384</f>
        <v/>
      </c>
      <c r="AA412" s="40">
        <f>AA368+AA372+AA376+AA380+AA384</f>
        <v/>
      </c>
      <c r="AB412" s="40">
        <f>AB368+AB372+AB376+AB380+AB384</f>
        <v/>
      </c>
      <c r="AC412" s="40">
        <f>AC368+AC372+AC376+AC380+AC384</f>
        <v/>
      </c>
      <c r="AD412" s="40">
        <f>AD368+AD372+AD376+AD380+AD384</f>
        <v/>
      </c>
      <c r="AE412" s="40">
        <f>AE368+AE372+AE376+AE380+AE384</f>
        <v/>
      </c>
      <c r="AF412" s="40">
        <f>AF368+AF372+AF376+AF380+AF384</f>
        <v/>
      </c>
      <c r="AG412" s="40">
        <f>AG368+AG372+AG376+AG380+AG384</f>
        <v/>
      </c>
      <c r="AH412" s="40">
        <f>AH368+AH372+AH376+AH380+AH384</f>
        <v/>
      </c>
      <c r="AI412" s="40">
        <f>AI368+AI372+AI376+AI380+AI384</f>
        <v/>
      </c>
      <c r="AJ412" s="40">
        <f>AJ368+AJ372+AJ376+AJ380+AJ384</f>
        <v/>
      </c>
      <c r="AK412" s="40">
        <f>AK368+AK372+AK376+AK380+AK384</f>
        <v/>
      </c>
      <c r="AL412" s="40">
        <f>AL368+AL372+AL376+AL380+AL384</f>
        <v/>
      </c>
      <c r="AM412" s="40">
        <f>AM368+AM372+AM376+AM380+AM384</f>
        <v/>
      </c>
      <c r="AN412" s="40">
        <f>AN368+AN372+AN376+AN380+AN384</f>
        <v/>
      </c>
      <c r="AO412" s="40">
        <f>AO368+AO372+AO376+AO380+AO384</f>
        <v/>
      </c>
      <c r="AP412" s="40">
        <f>AP368+AP372+AP376+AP380+AP384</f>
        <v/>
      </c>
      <c r="AQ412" s="40">
        <f>AQ368+AQ372+AQ376+AQ380+AQ384</f>
        <v/>
      </c>
      <c r="AR412" s="40">
        <f>AR368+AR372+AR376+AR380+AR384</f>
        <v/>
      </c>
      <c r="AS412" s="40">
        <f>AS368+AS372+AS376+AS380+AS384</f>
        <v/>
      </c>
      <c r="AT412" s="40">
        <f>AT368+AT372+AT376+AT380+AT384</f>
        <v/>
      </c>
      <c r="AU412" s="40">
        <f>AU368+AU372+AU376+AU380+AU384</f>
        <v/>
      </c>
      <c r="AV412" s="40">
        <f>AV368+AV372+AV376+AV380+AV384</f>
        <v/>
      </c>
      <c r="AW412" s="40">
        <f>AW368+AW372+AW376+AW380+AW384</f>
        <v/>
      </c>
      <c r="AX412" s="40">
        <f>AX368+AX372+AX376+AX380+AX384</f>
        <v/>
      </c>
      <c r="AY412" s="40">
        <f>AY368+AY372+AY376+AY380+AY384</f>
        <v/>
      </c>
      <c r="AZ412" s="40">
        <f>AZ368+AZ372+AZ376+AZ380+AZ384</f>
        <v/>
      </c>
      <c r="BA412" s="40">
        <f>BA368+BA372+BA376+BA380+BA384</f>
        <v/>
      </c>
      <c r="BB412" s="40">
        <f>BB368+BB372+BB376+BB380+BB384</f>
        <v/>
      </c>
      <c r="BC412" s="40">
        <f>BC368+BC372+BC376+BC380+BC384</f>
        <v/>
      </c>
      <c r="BD412" s="40">
        <f>BD368+BD372+BD376+BD380+BD384</f>
        <v/>
      </c>
      <c r="BE412" s="40">
        <f>BE368+BE372+BE376+BE380+BE384</f>
        <v/>
      </c>
      <c r="BF412" s="40">
        <f>BF368+BF372+BF376+BF380+BF384</f>
        <v/>
      </c>
      <c r="BG412" s="40">
        <f>BG368+BG372+BG376+BG380+BG384</f>
        <v/>
      </c>
      <c r="BH412" s="40">
        <f>BH368+BH372+BH376+BH380+BH384</f>
        <v/>
      </c>
      <c r="BI412" s="40">
        <f>BI368+BI372+BI376+BI380+BI384</f>
        <v/>
      </c>
      <c r="BJ412" s="40">
        <f>BJ368+BJ372+BJ376+BJ380+BJ384</f>
        <v/>
      </c>
    </row>
    <row r="413">
      <c r="A413" s="3" t="inlineStr">
        <is>
          <t>Total new paying workspaces (excl. upgrades)</t>
        </is>
      </c>
      <c r="B413" s="17" t="inlineStr">
        <is>
          <t>workspaces</t>
        </is>
      </c>
      <c r="C413" s="40">
        <f>C369+C373+C377+C381+C385</f>
        <v/>
      </c>
      <c r="D413" s="40">
        <f>D369+D373+D377+D381+D385</f>
        <v/>
      </c>
      <c r="E413" s="40">
        <f>E369+E373+E377+E381+E385</f>
        <v/>
      </c>
      <c r="F413" s="40">
        <f>F369+F373+F377+F381+F385</f>
        <v/>
      </c>
      <c r="G413" s="40">
        <f>G369+G373+G377+G381+G385</f>
        <v/>
      </c>
      <c r="H413" s="40">
        <f>H369+H373+H377+H381+H385</f>
        <v/>
      </c>
      <c r="I413" s="40">
        <f>I369+I373+I377+I381+I385</f>
        <v/>
      </c>
      <c r="J413" s="40">
        <f>J369+J373+J377+J381+J385</f>
        <v/>
      </c>
      <c r="K413" s="40">
        <f>K369+K373+K377+K381+K385</f>
        <v/>
      </c>
      <c r="L413" s="40">
        <f>L369+L373+L377+L381+L385</f>
        <v/>
      </c>
      <c r="M413" s="40">
        <f>M369+M373+M377+M381+M385</f>
        <v/>
      </c>
      <c r="N413" s="40">
        <f>N369+N373+N377+N381+N385</f>
        <v/>
      </c>
      <c r="O413" s="40">
        <f>O369+O373+O377+O381+O385</f>
        <v/>
      </c>
      <c r="P413" s="40">
        <f>P369+P373+P377+P381+P385</f>
        <v/>
      </c>
      <c r="Q413" s="40">
        <f>Q369+Q373+Q377+Q381+Q385</f>
        <v/>
      </c>
      <c r="R413" s="40">
        <f>R369+R373+R377+R381+R385</f>
        <v/>
      </c>
      <c r="S413" s="40">
        <f>S369+S373+S377+S381+S385</f>
        <v/>
      </c>
      <c r="T413" s="40">
        <f>T369+T373+T377+T381+T385</f>
        <v/>
      </c>
      <c r="U413" s="40">
        <f>U369+U373+U377+U381+U385</f>
        <v/>
      </c>
      <c r="V413" s="40">
        <f>V369+V373+V377+V381+V385</f>
        <v/>
      </c>
      <c r="W413" s="40">
        <f>W369+W373+W377+W381+W385</f>
        <v/>
      </c>
      <c r="X413" s="40">
        <f>X369+X373+X377+X381+X385</f>
        <v/>
      </c>
      <c r="Y413" s="40">
        <f>Y369+Y373+Y377+Y381+Y385</f>
        <v/>
      </c>
      <c r="Z413" s="40">
        <f>Z369+Z373+Z377+Z381+Z385</f>
        <v/>
      </c>
      <c r="AA413" s="40">
        <f>AA369+AA373+AA377+AA381+AA385</f>
        <v/>
      </c>
      <c r="AB413" s="40">
        <f>AB369+AB373+AB377+AB381+AB385</f>
        <v/>
      </c>
      <c r="AC413" s="40">
        <f>AC369+AC373+AC377+AC381+AC385</f>
        <v/>
      </c>
      <c r="AD413" s="40">
        <f>AD369+AD373+AD377+AD381+AD385</f>
        <v/>
      </c>
      <c r="AE413" s="40">
        <f>AE369+AE373+AE377+AE381+AE385</f>
        <v/>
      </c>
      <c r="AF413" s="40">
        <f>AF369+AF373+AF377+AF381+AF385</f>
        <v/>
      </c>
      <c r="AG413" s="40">
        <f>AG369+AG373+AG377+AG381+AG385</f>
        <v/>
      </c>
      <c r="AH413" s="40">
        <f>AH369+AH373+AH377+AH381+AH385</f>
        <v/>
      </c>
      <c r="AI413" s="40">
        <f>AI369+AI373+AI377+AI381+AI385</f>
        <v/>
      </c>
      <c r="AJ413" s="40">
        <f>AJ369+AJ373+AJ377+AJ381+AJ385</f>
        <v/>
      </c>
      <c r="AK413" s="40">
        <f>AK369+AK373+AK377+AK381+AK385</f>
        <v/>
      </c>
      <c r="AL413" s="40">
        <f>AL369+AL373+AL377+AL381+AL385</f>
        <v/>
      </c>
      <c r="AM413" s="40">
        <f>AM369+AM373+AM377+AM381+AM385</f>
        <v/>
      </c>
      <c r="AN413" s="40">
        <f>AN369+AN373+AN377+AN381+AN385</f>
        <v/>
      </c>
      <c r="AO413" s="40">
        <f>AO369+AO373+AO377+AO381+AO385</f>
        <v/>
      </c>
      <c r="AP413" s="40">
        <f>AP369+AP373+AP377+AP381+AP385</f>
        <v/>
      </c>
      <c r="AQ413" s="40">
        <f>AQ369+AQ373+AQ377+AQ381+AQ385</f>
        <v/>
      </c>
      <c r="AR413" s="40">
        <f>AR369+AR373+AR377+AR381+AR385</f>
        <v/>
      </c>
      <c r="AS413" s="40">
        <f>AS369+AS373+AS377+AS381+AS385</f>
        <v/>
      </c>
      <c r="AT413" s="40">
        <f>AT369+AT373+AT377+AT381+AT385</f>
        <v/>
      </c>
      <c r="AU413" s="40">
        <f>AU369+AU373+AU377+AU381+AU385</f>
        <v/>
      </c>
      <c r="AV413" s="40">
        <f>AV369+AV373+AV377+AV381+AV385</f>
        <v/>
      </c>
      <c r="AW413" s="40">
        <f>AW369+AW373+AW377+AW381+AW385</f>
        <v/>
      </c>
      <c r="AX413" s="40">
        <f>AX369+AX373+AX377+AX381+AX385</f>
        <v/>
      </c>
      <c r="AY413" s="40">
        <f>AY369+AY373+AY377+AY381+AY385</f>
        <v/>
      </c>
      <c r="AZ413" s="40">
        <f>AZ369+AZ373+AZ377+AZ381+AZ385</f>
        <v/>
      </c>
      <c r="BA413" s="40">
        <f>BA369+BA373+BA377+BA381+BA385</f>
        <v/>
      </c>
      <c r="BB413" s="40">
        <f>BB369+BB373+BB377+BB381+BB385</f>
        <v/>
      </c>
      <c r="BC413" s="40">
        <f>BC369+BC373+BC377+BC381+BC385</f>
        <v/>
      </c>
      <c r="BD413" s="40">
        <f>BD369+BD373+BD377+BD381+BD385</f>
        <v/>
      </c>
      <c r="BE413" s="40">
        <f>BE369+BE373+BE377+BE381+BE385</f>
        <v/>
      </c>
      <c r="BF413" s="40">
        <f>BF369+BF373+BF377+BF381+BF385</f>
        <v/>
      </c>
      <c r="BG413" s="40">
        <f>BG369+BG373+BG377+BG381+BG385</f>
        <v/>
      </c>
      <c r="BH413" s="40">
        <f>BH369+BH373+BH377+BH381+BH385</f>
        <v/>
      </c>
      <c r="BI413" s="40">
        <f>BI369+BI373+BI377+BI381+BI385</f>
        <v/>
      </c>
      <c r="BJ413" s="40">
        <f>BJ369+BJ373+BJ377+BJ381+BJ385</f>
        <v/>
      </c>
    </row>
    <row r="414">
      <c r="A414" s="4" t="inlineStr">
        <is>
          <t>Check: markets minus total (should be 0)</t>
        </is>
      </c>
      <c r="B414" s="17" t="inlineStr">
        <is>
          <t>workspaces</t>
        </is>
      </c>
      <c r="C414" s="43">
        <f>ROUND(C360+C361+C362+C363+C364+C365-C411,6)</f>
        <v/>
      </c>
      <c r="D414" s="43">
        <f>ROUND(D360+D361+D362+D363+D364+D365-D411,6)</f>
        <v/>
      </c>
      <c r="E414" s="43">
        <f>ROUND(E360+E361+E362+E363+E364+E365-E411,6)</f>
        <v/>
      </c>
      <c r="F414" s="43">
        <f>ROUND(F360+F361+F362+F363+F364+F365-F411,6)</f>
        <v/>
      </c>
      <c r="G414" s="43">
        <f>ROUND(G360+G361+G362+G363+G364+G365-G411,6)</f>
        <v/>
      </c>
      <c r="H414" s="43">
        <f>ROUND(H360+H361+H362+H363+H364+H365-H411,6)</f>
        <v/>
      </c>
      <c r="I414" s="43">
        <f>ROUND(I360+I361+I362+I363+I364+I365-I411,6)</f>
        <v/>
      </c>
      <c r="J414" s="43">
        <f>ROUND(J360+J361+J362+J363+J364+J365-J411,6)</f>
        <v/>
      </c>
      <c r="K414" s="43">
        <f>ROUND(K360+K361+K362+K363+K364+K365-K411,6)</f>
        <v/>
      </c>
      <c r="L414" s="43">
        <f>ROUND(L360+L361+L362+L363+L364+L365-L411,6)</f>
        <v/>
      </c>
      <c r="M414" s="43">
        <f>ROUND(M360+M361+M362+M363+M364+M365-M411,6)</f>
        <v/>
      </c>
      <c r="N414" s="43">
        <f>ROUND(N360+N361+N362+N363+N364+N365-N411,6)</f>
        <v/>
      </c>
      <c r="O414" s="43">
        <f>ROUND(O360+O361+O362+O363+O364+O365-O411,6)</f>
        <v/>
      </c>
      <c r="P414" s="43">
        <f>ROUND(P360+P361+P362+P363+P364+P365-P411,6)</f>
        <v/>
      </c>
      <c r="Q414" s="43">
        <f>ROUND(Q360+Q361+Q362+Q363+Q364+Q365-Q411,6)</f>
        <v/>
      </c>
      <c r="R414" s="43">
        <f>ROUND(R360+R361+R362+R363+R364+R365-R411,6)</f>
        <v/>
      </c>
      <c r="S414" s="43">
        <f>ROUND(S360+S361+S362+S363+S364+S365-S411,6)</f>
        <v/>
      </c>
      <c r="T414" s="43">
        <f>ROUND(T360+T361+T362+T363+T364+T365-T411,6)</f>
        <v/>
      </c>
      <c r="U414" s="43">
        <f>ROUND(U360+U361+U362+U363+U364+U365-U411,6)</f>
        <v/>
      </c>
      <c r="V414" s="43">
        <f>ROUND(V360+V361+V362+V363+V364+V365-V411,6)</f>
        <v/>
      </c>
      <c r="W414" s="43">
        <f>ROUND(W360+W361+W362+W363+W364+W365-W411,6)</f>
        <v/>
      </c>
      <c r="X414" s="43">
        <f>ROUND(X360+X361+X362+X363+X364+X365-X411,6)</f>
        <v/>
      </c>
      <c r="Y414" s="43">
        <f>ROUND(Y360+Y361+Y362+Y363+Y364+Y365-Y411,6)</f>
        <v/>
      </c>
      <c r="Z414" s="43">
        <f>ROUND(Z360+Z361+Z362+Z363+Z364+Z365-Z411,6)</f>
        <v/>
      </c>
      <c r="AA414" s="43">
        <f>ROUND(AA360+AA361+AA362+AA363+AA364+AA365-AA411,6)</f>
        <v/>
      </c>
      <c r="AB414" s="43">
        <f>ROUND(AB360+AB361+AB362+AB363+AB364+AB365-AB411,6)</f>
        <v/>
      </c>
      <c r="AC414" s="43">
        <f>ROUND(AC360+AC361+AC362+AC363+AC364+AC365-AC411,6)</f>
        <v/>
      </c>
      <c r="AD414" s="43">
        <f>ROUND(AD360+AD361+AD362+AD363+AD364+AD365-AD411,6)</f>
        <v/>
      </c>
      <c r="AE414" s="43">
        <f>ROUND(AE360+AE361+AE362+AE363+AE364+AE365-AE411,6)</f>
        <v/>
      </c>
      <c r="AF414" s="43">
        <f>ROUND(AF360+AF361+AF362+AF363+AF364+AF365-AF411,6)</f>
        <v/>
      </c>
      <c r="AG414" s="43">
        <f>ROUND(AG360+AG361+AG362+AG363+AG364+AG365-AG411,6)</f>
        <v/>
      </c>
      <c r="AH414" s="43">
        <f>ROUND(AH360+AH361+AH362+AH363+AH364+AH365-AH411,6)</f>
        <v/>
      </c>
      <c r="AI414" s="43">
        <f>ROUND(AI360+AI361+AI362+AI363+AI364+AI365-AI411,6)</f>
        <v/>
      </c>
      <c r="AJ414" s="43">
        <f>ROUND(AJ360+AJ361+AJ362+AJ363+AJ364+AJ365-AJ411,6)</f>
        <v/>
      </c>
      <c r="AK414" s="43">
        <f>ROUND(AK360+AK361+AK362+AK363+AK364+AK365-AK411,6)</f>
        <v/>
      </c>
      <c r="AL414" s="43">
        <f>ROUND(AL360+AL361+AL362+AL363+AL364+AL365-AL411,6)</f>
        <v/>
      </c>
      <c r="AM414" s="43">
        <f>ROUND(AM360+AM361+AM362+AM363+AM364+AM365-AM411,6)</f>
        <v/>
      </c>
      <c r="AN414" s="43">
        <f>ROUND(AN360+AN361+AN362+AN363+AN364+AN365-AN411,6)</f>
        <v/>
      </c>
      <c r="AO414" s="43">
        <f>ROUND(AO360+AO361+AO362+AO363+AO364+AO365-AO411,6)</f>
        <v/>
      </c>
      <c r="AP414" s="43">
        <f>ROUND(AP360+AP361+AP362+AP363+AP364+AP365-AP411,6)</f>
        <v/>
      </c>
      <c r="AQ414" s="43">
        <f>ROUND(AQ360+AQ361+AQ362+AQ363+AQ364+AQ365-AQ411,6)</f>
        <v/>
      </c>
      <c r="AR414" s="43">
        <f>ROUND(AR360+AR361+AR362+AR363+AR364+AR365-AR411,6)</f>
        <v/>
      </c>
      <c r="AS414" s="43">
        <f>ROUND(AS360+AS361+AS362+AS363+AS364+AS365-AS411,6)</f>
        <v/>
      </c>
      <c r="AT414" s="43">
        <f>ROUND(AT360+AT361+AT362+AT363+AT364+AT365-AT411,6)</f>
        <v/>
      </c>
      <c r="AU414" s="43">
        <f>ROUND(AU360+AU361+AU362+AU363+AU364+AU365-AU411,6)</f>
        <v/>
      </c>
      <c r="AV414" s="43">
        <f>ROUND(AV360+AV361+AV362+AV363+AV364+AV365-AV411,6)</f>
        <v/>
      </c>
      <c r="AW414" s="43">
        <f>ROUND(AW360+AW361+AW362+AW363+AW364+AW365-AW411,6)</f>
        <v/>
      </c>
      <c r="AX414" s="43">
        <f>ROUND(AX360+AX361+AX362+AX363+AX364+AX365-AX411,6)</f>
        <v/>
      </c>
      <c r="AY414" s="43">
        <f>ROUND(AY360+AY361+AY362+AY363+AY364+AY365-AY411,6)</f>
        <v/>
      </c>
      <c r="AZ414" s="43">
        <f>ROUND(AZ360+AZ361+AZ362+AZ363+AZ364+AZ365-AZ411,6)</f>
        <v/>
      </c>
      <c r="BA414" s="43">
        <f>ROUND(BA360+BA361+BA362+BA363+BA364+BA365-BA411,6)</f>
        <v/>
      </c>
      <c r="BB414" s="43">
        <f>ROUND(BB360+BB361+BB362+BB363+BB364+BB365-BB411,6)</f>
        <v/>
      </c>
      <c r="BC414" s="43">
        <f>ROUND(BC360+BC361+BC362+BC363+BC364+BC365-BC411,6)</f>
        <v/>
      </c>
      <c r="BD414" s="43">
        <f>ROUND(BD360+BD361+BD362+BD363+BD364+BD365-BD411,6)</f>
        <v/>
      </c>
      <c r="BE414" s="43">
        <f>ROUND(BE360+BE361+BE362+BE363+BE364+BE365-BE411,6)</f>
        <v/>
      </c>
      <c r="BF414" s="43">
        <f>ROUND(BF360+BF361+BF362+BF363+BF364+BF365-BF411,6)</f>
        <v/>
      </c>
      <c r="BG414" s="43">
        <f>ROUND(BG360+BG361+BG362+BG363+BG364+BG365-BG411,6)</f>
        <v/>
      </c>
      <c r="BH414" s="43">
        <f>ROUND(BH360+BH361+BH362+BH363+BH364+BH365-BH411,6)</f>
        <v/>
      </c>
      <c r="BI414" s="43">
        <f>ROUND(BI360+BI361+BI362+BI363+BI364+BI365-BI411,6)</f>
        <v/>
      </c>
      <c r="BJ414" s="43">
        <f>ROUND(BJ360+BJ361+BJ362+BJ363+BJ364+BJ365-BJ411,6)</f>
        <v/>
      </c>
    </row>
    <row r="415"/>
    <row r="416">
      <c r="A416" s="19" t="inlineStr">
        <is>
          <t>Gross subscription revenue (parity price x escalator x annual-billing factor x FX value factor; agencies at partner wholesale)</t>
        </is>
      </c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  <c r="AH416" s="19" t="n"/>
      <c r="AI416" s="19" t="n"/>
      <c r="AJ416" s="19" t="n"/>
      <c r="AK416" s="19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19" t="n"/>
      <c r="BA416" s="19" t="n"/>
      <c r="BB416" s="19" t="n"/>
      <c r="BC416" s="19" t="n"/>
      <c r="BD416" s="19" t="n"/>
      <c r="BE416" s="19" t="n"/>
      <c r="BF416" s="19" t="n"/>
      <c r="BG416" s="19" t="n"/>
      <c r="BH416" s="19" t="n"/>
      <c r="BI416" s="19" t="n"/>
      <c r="BJ416" s="19" t="n"/>
    </row>
    <row r="417">
      <c r="A417" s="4" t="inlineStr">
        <is>
          <t>Price escalator factor</t>
        </is>
      </c>
      <c r="B417" s="17" t="inlineStr">
        <is>
          <t>x</t>
        </is>
      </c>
      <c r="C417" s="36">
        <f>C108</f>
        <v/>
      </c>
      <c r="D417" s="36">
        <f>D108</f>
        <v/>
      </c>
      <c r="E417" s="36">
        <f>E108</f>
        <v/>
      </c>
      <c r="F417" s="36">
        <f>F108</f>
        <v/>
      </c>
      <c r="G417" s="36">
        <f>G108</f>
        <v/>
      </c>
      <c r="H417" s="36">
        <f>H108</f>
        <v/>
      </c>
      <c r="I417" s="36">
        <f>I108</f>
        <v/>
      </c>
      <c r="J417" s="36">
        <f>J108</f>
        <v/>
      </c>
      <c r="K417" s="36">
        <f>K108</f>
        <v/>
      </c>
      <c r="L417" s="36">
        <f>L108</f>
        <v/>
      </c>
      <c r="M417" s="36">
        <f>M108</f>
        <v/>
      </c>
      <c r="N417" s="36">
        <f>N108</f>
        <v/>
      </c>
      <c r="O417" s="36">
        <f>O108</f>
        <v/>
      </c>
      <c r="P417" s="36">
        <f>P108</f>
        <v/>
      </c>
      <c r="Q417" s="36">
        <f>Q108</f>
        <v/>
      </c>
      <c r="R417" s="36">
        <f>R108</f>
        <v/>
      </c>
      <c r="S417" s="36">
        <f>S108</f>
        <v/>
      </c>
      <c r="T417" s="36">
        <f>T108</f>
        <v/>
      </c>
      <c r="U417" s="36">
        <f>U108</f>
        <v/>
      </c>
      <c r="V417" s="36">
        <f>V108</f>
        <v/>
      </c>
      <c r="W417" s="36">
        <f>W108</f>
        <v/>
      </c>
      <c r="X417" s="36">
        <f>X108</f>
        <v/>
      </c>
      <c r="Y417" s="36">
        <f>Y108</f>
        <v/>
      </c>
      <c r="Z417" s="36">
        <f>Z108</f>
        <v/>
      </c>
      <c r="AA417" s="36">
        <f>AA108</f>
        <v/>
      </c>
      <c r="AB417" s="36">
        <f>AB108</f>
        <v/>
      </c>
      <c r="AC417" s="36">
        <f>AC108</f>
        <v/>
      </c>
      <c r="AD417" s="36">
        <f>AD108</f>
        <v/>
      </c>
      <c r="AE417" s="36">
        <f>AE108</f>
        <v/>
      </c>
      <c r="AF417" s="36">
        <f>AF108</f>
        <v/>
      </c>
      <c r="AG417" s="36">
        <f>AG108</f>
        <v/>
      </c>
      <c r="AH417" s="36">
        <f>AH108</f>
        <v/>
      </c>
      <c r="AI417" s="36">
        <f>AI108</f>
        <v/>
      </c>
      <c r="AJ417" s="36">
        <f>AJ108</f>
        <v/>
      </c>
      <c r="AK417" s="36">
        <f>AK108</f>
        <v/>
      </c>
      <c r="AL417" s="36">
        <f>AL108</f>
        <v/>
      </c>
      <c r="AM417" s="36">
        <f>AM108</f>
        <v/>
      </c>
      <c r="AN417" s="36">
        <f>AN108</f>
        <v/>
      </c>
      <c r="AO417" s="36">
        <f>AO108</f>
        <v/>
      </c>
      <c r="AP417" s="36">
        <f>AP108</f>
        <v/>
      </c>
      <c r="AQ417" s="36">
        <f>AQ108</f>
        <v/>
      </c>
      <c r="AR417" s="36">
        <f>AR108</f>
        <v/>
      </c>
      <c r="AS417" s="36">
        <f>AS108</f>
        <v/>
      </c>
      <c r="AT417" s="36">
        <f>AT108</f>
        <v/>
      </c>
      <c r="AU417" s="36">
        <f>AU108</f>
        <v/>
      </c>
      <c r="AV417" s="36">
        <f>AV108</f>
        <v/>
      </c>
      <c r="AW417" s="36">
        <f>AW108</f>
        <v/>
      </c>
      <c r="AX417" s="36">
        <f>AX108</f>
        <v/>
      </c>
      <c r="AY417" s="36">
        <f>AY108</f>
        <v/>
      </c>
      <c r="AZ417" s="36">
        <f>AZ108</f>
        <v/>
      </c>
      <c r="BA417" s="36">
        <f>BA108</f>
        <v/>
      </c>
      <c r="BB417" s="36">
        <f>BB108</f>
        <v/>
      </c>
      <c r="BC417" s="36">
        <f>BC108</f>
        <v/>
      </c>
      <c r="BD417" s="36">
        <f>BD108</f>
        <v/>
      </c>
      <c r="BE417" s="36">
        <f>BE108</f>
        <v/>
      </c>
      <c r="BF417" s="36">
        <f>BF108</f>
        <v/>
      </c>
      <c r="BG417" s="36">
        <f>BG108</f>
        <v/>
      </c>
      <c r="BH417" s="36">
        <f>BH108</f>
        <v/>
      </c>
      <c r="BI417" s="36">
        <f>BI108</f>
        <v/>
      </c>
      <c r="BJ417" s="36">
        <f>BJ108</f>
        <v/>
      </c>
    </row>
    <row r="418">
      <c r="A418" s="4" t="inlineStr">
        <is>
          <t>Gross subscription revenue: South Africa: Solo: Nano</t>
        </is>
      </c>
      <c r="B418" s="17" t="inlineStr">
        <is>
          <t>R</t>
        </is>
      </c>
      <c r="C418" s="8">
        <f>C170*Pricing!$B$35*C417*Pricing!$B$19</f>
        <v/>
      </c>
      <c r="D418" s="8">
        <f>D170*Pricing!$B$35*D417*Pricing!$B$19</f>
        <v/>
      </c>
      <c r="E418" s="8">
        <f>E170*Pricing!$B$35*E417*Pricing!$B$19</f>
        <v/>
      </c>
      <c r="F418" s="8">
        <f>F170*Pricing!$B$35*F417*Pricing!$B$19</f>
        <v/>
      </c>
      <c r="G418" s="8">
        <f>G170*Pricing!$B$35*G417*Pricing!$B$19</f>
        <v/>
      </c>
      <c r="H418" s="8">
        <f>H170*Pricing!$B$35*H417*Pricing!$B$19</f>
        <v/>
      </c>
      <c r="I418" s="8">
        <f>I170*Pricing!$B$35*I417*Pricing!$B$19</f>
        <v/>
      </c>
      <c r="J418" s="8">
        <f>J170*Pricing!$B$35*J417*Pricing!$B$19</f>
        <v/>
      </c>
      <c r="K418" s="8">
        <f>K170*Pricing!$B$35*K417*Pricing!$B$19</f>
        <v/>
      </c>
      <c r="L418" s="8">
        <f>L170*Pricing!$B$35*L417*Pricing!$B$19</f>
        <v/>
      </c>
      <c r="M418" s="8">
        <f>M170*Pricing!$B$35*M417*Pricing!$B$19</f>
        <v/>
      </c>
      <c r="N418" s="8">
        <f>N170*Pricing!$B$35*N417*Pricing!$B$19</f>
        <v/>
      </c>
      <c r="O418" s="8">
        <f>O170*Pricing!$B$35*O417*Pricing!$B$19</f>
        <v/>
      </c>
      <c r="P418" s="8">
        <f>P170*Pricing!$B$35*P417*Pricing!$B$19</f>
        <v/>
      </c>
      <c r="Q418" s="8">
        <f>Q170*Pricing!$B$35*Q417*Pricing!$B$19</f>
        <v/>
      </c>
      <c r="R418" s="8">
        <f>R170*Pricing!$B$35*R417*Pricing!$B$19</f>
        <v/>
      </c>
      <c r="S418" s="8">
        <f>S170*Pricing!$B$35*S417*Pricing!$B$19</f>
        <v/>
      </c>
      <c r="T418" s="8">
        <f>T170*Pricing!$B$35*T417*Pricing!$B$19</f>
        <v/>
      </c>
      <c r="U418" s="8">
        <f>U170*Pricing!$B$35*U417*Pricing!$B$19</f>
        <v/>
      </c>
      <c r="V418" s="8">
        <f>V170*Pricing!$B$35*V417*Pricing!$B$19</f>
        <v/>
      </c>
      <c r="W418" s="8">
        <f>W170*Pricing!$B$35*W417*Pricing!$B$19</f>
        <v/>
      </c>
      <c r="X418" s="8">
        <f>X170*Pricing!$B$35*X417*Pricing!$B$19</f>
        <v/>
      </c>
      <c r="Y418" s="8">
        <f>Y170*Pricing!$B$35*Y417*Pricing!$B$19</f>
        <v/>
      </c>
      <c r="Z418" s="8">
        <f>Z170*Pricing!$B$35*Z417*Pricing!$B$19</f>
        <v/>
      </c>
      <c r="AA418" s="8">
        <f>AA170*Pricing!$B$35*AA417*Pricing!$B$19</f>
        <v/>
      </c>
      <c r="AB418" s="8">
        <f>AB170*Pricing!$B$35*AB417*Pricing!$B$19</f>
        <v/>
      </c>
      <c r="AC418" s="8">
        <f>AC170*Pricing!$B$35*AC417*Pricing!$B$19</f>
        <v/>
      </c>
      <c r="AD418" s="8">
        <f>AD170*Pricing!$B$35*AD417*Pricing!$B$19</f>
        <v/>
      </c>
      <c r="AE418" s="8">
        <f>AE170*Pricing!$B$35*AE417*Pricing!$B$19</f>
        <v/>
      </c>
      <c r="AF418" s="8">
        <f>AF170*Pricing!$B$35*AF417*Pricing!$B$19</f>
        <v/>
      </c>
      <c r="AG418" s="8">
        <f>AG170*Pricing!$B$35*AG417*Pricing!$B$19</f>
        <v/>
      </c>
      <c r="AH418" s="8">
        <f>AH170*Pricing!$B$35*AH417*Pricing!$B$19</f>
        <v/>
      </c>
      <c r="AI418" s="8">
        <f>AI170*Pricing!$B$35*AI417*Pricing!$B$19</f>
        <v/>
      </c>
      <c r="AJ418" s="8">
        <f>AJ170*Pricing!$B$35*AJ417*Pricing!$B$19</f>
        <v/>
      </c>
      <c r="AK418" s="8">
        <f>AK170*Pricing!$B$35*AK417*Pricing!$B$19</f>
        <v/>
      </c>
      <c r="AL418" s="8">
        <f>AL170*Pricing!$B$35*AL417*Pricing!$B$19</f>
        <v/>
      </c>
      <c r="AM418" s="8">
        <f>AM170*Pricing!$B$35*AM417*Pricing!$B$19</f>
        <v/>
      </c>
      <c r="AN418" s="8">
        <f>AN170*Pricing!$B$35*AN417*Pricing!$B$19</f>
        <v/>
      </c>
      <c r="AO418" s="8">
        <f>AO170*Pricing!$B$35*AO417*Pricing!$B$19</f>
        <v/>
      </c>
      <c r="AP418" s="8">
        <f>AP170*Pricing!$B$35*AP417*Pricing!$B$19</f>
        <v/>
      </c>
      <c r="AQ418" s="8">
        <f>AQ170*Pricing!$B$35*AQ417*Pricing!$B$19</f>
        <v/>
      </c>
      <c r="AR418" s="8">
        <f>AR170*Pricing!$B$35*AR417*Pricing!$B$19</f>
        <v/>
      </c>
      <c r="AS418" s="8">
        <f>AS170*Pricing!$B$35*AS417*Pricing!$B$19</f>
        <v/>
      </c>
      <c r="AT418" s="8">
        <f>AT170*Pricing!$B$35*AT417*Pricing!$B$19</f>
        <v/>
      </c>
      <c r="AU418" s="8">
        <f>AU170*Pricing!$B$35*AU417*Pricing!$B$19</f>
        <v/>
      </c>
      <c r="AV418" s="8">
        <f>AV170*Pricing!$B$35*AV417*Pricing!$B$19</f>
        <v/>
      </c>
      <c r="AW418" s="8">
        <f>AW170*Pricing!$B$35*AW417*Pricing!$B$19</f>
        <v/>
      </c>
      <c r="AX418" s="8">
        <f>AX170*Pricing!$B$35*AX417*Pricing!$B$19</f>
        <v/>
      </c>
      <c r="AY418" s="8">
        <f>AY170*Pricing!$B$35*AY417*Pricing!$B$19</f>
        <v/>
      </c>
      <c r="AZ418" s="8">
        <f>AZ170*Pricing!$B$35*AZ417*Pricing!$B$19</f>
        <v/>
      </c>
      <c r="BA418" s="8">
        <f>BA170*Pricing!$B$35*BA417*Pricing!$B$19</f>
        <v/>
      </c>
      <c r="BB418" s="8">
        <f>BB170*Pricing!$B$35*BB417*Pricing!$B$19</f>
        <v/>
      </c>
      <c r="BC418" s="8">
        <f>BC170*Pricing!$B$35*BC417*Pricing!$B$19</f>
        <v/>
      </c>
      <c r="BD418" s="8">
        <f>BD170*Pricing!$B$35*BD417*Pricing!$B$19</f>
        <v/>
      </c>
      <c r="BE418" s="8">
        <f>BE170*Pricing!$B$35*BE417*Pricing!$B$19</f>
        <v/>
      </c>
      <c r="BF418" s="8">
        <f>BF170*Pricing!$B$35*BF417*Pricing!$B$19</f>
        <v/>
      </c>
      <c r="BG418" s="8">
        <f>BG170*Pricing!$B$35*BG417*Pricing!$B$19</f>
        <v/>
      </c>
      <c r="BH418" s="8">
        <f>BH170*Pricing!$B$35*BH417*Pricing!$B$19</f>
        <v/>
      </c>
      <c r="BI418" s="8">
        <f>BI170*Pricing!$B$35*BI417*Pricing!$B$19</f>
        <v/>
      </c>
      <c r="BJ418" s="8">
        <f>BJ170*Pricing!$B$35*BJ417*Pricing!$B$19</f>
        <v/>
      </c>
    </row>
    <row r="419">
      <c r="A419" s="4" t="inlineStr">
        <is>
          <t>Gross subscription revenue: South Africa: Solo: Micro (direct or upgraded)</t>
        </is>
      </c>
      <c r="B419" s="17" t="inlineStr">
        <is>
          <t>R</t>
        </is>
      </c>
      <c r="C419" s="8">
        <f>C175*Pricing!$B$36*C417*Pricing!$B$19</f>
        <v/>
      </c>
      <c r="D419" s="8">
        <f>D175*Pricing!$B$36*D417*Pricing!$B$19</f>
        <v/>
      </c>
      <c r="E419" s="8">
        <f>E175*Pricing!$B$36*E417*Pricing!$B$19</f>
        <v/>
      </c>
      <c r="F419" s="8">
        <f>F175*Pricing!$B$36*F417*Pricing!$B$19</f>
        <v/>
      </c>
      <c r="G419" s="8">
        <f>G175*Pricing!$B$36*G417*Pricing!$B$19</f>
        <v/>
      </c>
      <c r="H419" s="8">
        <f>H175*Pricing!$B$36*H417*Pricing!$B$19</f>
        <v/>
      </c>
      <c r="I419" s="8">
        <f>I175*Pricing!$B$36*I417*Pricing!$B$19</f>
        <v/>
      </c>
      <c r="J419" s="8">
        <f>J175*Pricing!$B$36*J417*Pricing!$B$19</f>
        <v/>
      </c>
      <c r="K419" s="8">
        <f>K175*Pricing!$B$36*K417*Pricing!$B$19</f>
        <v/>
      </c>
      <c r="L419" s="8">
        <f>L175*Pricing!$B$36*L417*Pricing!$B$19</f>
        <v/>
      </c>
      <c r="M419" s="8">
        <f>M175*Pricing!$B$36*M417*Pricing!$B$19</f>
        <v/>
      </c>
      <c r="N419" s="8">
        <f>N175*Pricing!$B$36*N417*Pricing!$B$19</f>
        <v/>
      </c>
      <c r="O419" s="8">
        <f>O175*Pricing!$B$36*O417*Pricing!$B$19</f>
        <v/>
      </c>
      <c r="P419" s="8">
        <f>P175*Pricing!$B$36*P417*Pricing!$B$19</f>
        <v/>
      </c>
      <c r="Q419" s="8">
        <f>Q175*Pricing!$B$36*Q417*Pricing!$B$19</f>
        <v/>
      </c>
      <c r="R419" s="8">
        <f>R175*Pricing!$B$36*R417*Pricing!$B$19</f>
        <v/>
      </c>
      <c r="S419" s="8">
        <f>S175*Pricing!$B$36*S417*Pricing!$B$19</f>
        <v/>
      </c>
      <c r="T419" s="8">
        <f>T175*Pricing!$B$36*T417*Pricing!$B$19</f>
        <v/>
      </c>
      <c r="U419" s="8">
        <f>U175*Pricing!$B$36*U417*Pricing!$B$19</f>
        <v/>
      </c>
      <c r="V419" s="8">
        <f>V175*Pricing!$B$36*V417*Pricing!$B$19</f>
        <v/>
      </c>
      <c r="W419" s="8">
        <f>W175*Pricing!$B$36*W417*Pricing!$B$19</f>
        <v/>
      </c>
      <c r="X419" s="8">
        <f>X175*Pricing!$B$36*X417*Pricing!$B$19</f>
        <v/>
      </c>
      <c r="Y419" s="8">
        <f>Y175*Pricing!$B$36*Y417*Pricing!$B$19</f>
        <v/>
      </c>
      <c r="Z419" s="8">
        <f>Z175*Pricing!$B$36*Z417*Pricing!$B$19</f>
        <v/>
      </c>
      <c r="AA419" s="8">
        <f>AA175*Pricing!$B$36*AA417*Pricing!$B$19</f>
        <v/>
      </c>
      <c r="AB419" s="8">
        <f>AB175*Pricing!$B$36*AB417*Pricing!$B$19</f>
        <v/>
      </c>
      <c r="AC419" s="8">
        <f>AC175*Pricing!$B$36*AC417*Pricing!$B$19</f>
        <v/>
      </c>
      <c r="AD419" s="8">
        <f>AD175*Pricing!$B$36*AD417*Pricing!$B$19</f>
        <v/>
      </c>
      <c r="AE419" s="8">
        <f>AE175*Pricing!$B$36*AE417*Pricing!$B$19</f>
        <v/>
      </c>
      <c r="AF419" s="8">
        <f>AF175*Pricing!$B$36*AF417*Pricing!$B$19</f>
        <v/>
      </c>
      <c r="AG419" s="8">
        <f>AG175*Pricing!$B$36*AG417*Pricing!$B$19</f>
        <v/>
      </c>
      <c r="AH419" s="8">
        <f>AH175*Pricing!$B$36*AH417*Pricing!$B$19</f>
        <v/>
      </c>
      <c r="AI419" s="8">
        <f>AI175*Pricing!$B$36*AI417*Pricing!$B$19</f>
        <v/>
      </c>
      <c r="AJ419" s="8">
        <f>AJ175*Pricing!$B$36*AJ417*Pricing!$B$19</f>
        <v/>
      </c>
      <c r="AK419" s="8">
        <f>AK175*Pricing!$B$36*AK417*Pricing!$B$19</f>
        <v/>
      </c>
      <c r="AL419" s="8">
        <f>AL175*Pricing!$B$36*AL417*Pricing!$B$19</f>
        <v/>
      </c>
      <c r="AM419" s="8">
        <f>AM175*Pricing!$B$36*AM417*Pricing!$B$19</f>
        <v/>
      </c>
      <c r="AN419" s="8">
        <f>AN175*Pricing!$B$36*AN417*Pricing!$B$19</f>
        <v/>
      </c>
      <c r="AO419" s="8">
        <f>AO175*Pricing!$B$36*AO417*Pricing!$B$19</f>
        <v/>
      </c>
      <c r="AP419" s="8">
        <f>AP175*Pricing!$B$36*AP417*Pricing!$B$19</f>
        <v/>
      </c>
      <c r="AQ419" s="8">
        <f>AQ175*Pricing!$B$36*AQ417*Pricing!$B$19</f>
        <v/>
      </c>
      <c r="AR419" s="8">
        <f>AR175*Pricing!$B$36*AR417*Pricing!$B$19</f>
        <v/>
      </c>
      <c r="AS419" s="8">
        <f>AS175*Pricing!$B$36*AS417*Pricing!$B$19</f>
        <v/>
      </c>
      <c r="AT419" s="8">
        <f>AT175*Pricing!$B$36*AT417*Pricing!$B$19</f>
        <v/>
      </c>
      <c r="AU419" s="8">
        <f>AU175*Pricing!$B$36*AU417*Pricing!$B$19</f>
        <v/>
      </c>
      <c r="AV419" s="8">
        <f>AV175*Pricing!$B$36*AV417*Pricing!$B$19</f>
        <v/>
      </c>
      <c r="AW419" s="8">
        <f>AW175*Pricing!$B$36*AW417*Pricing!$B$19</f>
        <v/>
      </c>
      <c r="AX419" s="8">
        <f>AX175*Pricing!$B$36*AX417*Pricing!$B$19</f>
        <v/>
      </c>
      <c r="AY419" s="8">
        <f>AY175*Pricing!$B$36*AY417*Pricing!$B$19</f>
        <v/>
      </c>
      <c r="AZ419" s="8">
        <f>AZ175*Pricing!$B$36*AZ417*Pricing!$B$19</f>
        <v/>
      </c>
      <c r="BA419" s="8">
        <f>BA175*Pricing!$B$36*BA417*Pricing!$B$19</f>
        <v/>
      </c>
      <c r="BB419" s="8">
        <f>BB175*Pricing!$B$36*BB417*Pricing!$B$19</f>
        <v/>
      </c>
      <c r="BC419" s="8">
        <f>BC175*Pricing!$B$36*BC417*Pricing!$B$19</f>
        <v/>
      </c>
      <c r="BD419" s="8">
        <f>BD175*Pricing!$B$36*BD417*Pricing!$B$19</f>
        <v/>
      </c>
      <c r="BE419" s="8">
        <f>BE175*Pricing!$B$36*BE417*Pricing!$B$19</f>
        <v/>
      </c>
      <c r="BF419" s="8">
        <f>BF175*Pricing!$B$36*BF417*Pricing!$B$19</f>
        <v/>
      </c>
      <c r="BG419" s="8">
        <f>BG175*Pricing!$B$36*BG417*Pricing!$B$19</f>
        <v/>
      </c>
      <c r="BH419" s="8">
        <f>BH175*Pricing!$B$36*BH417*Pricing!$B$19</f>
        <v/>
      </c>
      <c r="BI419" s="8">
        <f>BI175*Pricing!$B$36*BI417*Pricing!$B$19</f>
        <v/>
      </c>
      <c r="BJ419" s="8">
        <f>BJ175*Pricing!$B$36*BJ417*Pricing!$B$19</f>
        <v/>
      </c>
    </row>
    <row r="420">
      <c r="A420" s="4" t="inlineStr">
        <is>
          <t>Gross subscription revenue: South Africa: Solo: Starter (direct or upgraded)</t>
        </is>
      </c>
      <c r="B420" s="17" t="inlineStr">
        <is>
          <t>R</t>
        </is>
      </c>
      <c r="C420" s="8">
        <f>C179*Pricing!$B$37*C417*Pricing!$B$19</f>
        <v/>
      </c>
      <c r="D420" s="8">
        <f>D179*Pricing!$B$37*D417*Pricing!$B$19</f>
        <v/>
      </c>
      <c r="E420" s="8">
        <f>E179*Pricing!$B$37*E417*Pricing!$B$19</f>
        <v/>
      </c>
      <c r="F420" s="8">
        <f>F179*Pricing!$B$37*F417*Pricing!$B$19</f>
        <v/>
      </c>
      <c r="G420" s="8">
        <f>G179*Pricing!$B$37*G417*Pricing!$B$19</f>
        <v/>
      </c>
      <c r="H420" s="8">
        <f>H179*Pricing!$B$37*H417*Pricing!$B$19</f>
        <v/>
      </c>
      <c r="I420" s="8">
        <f>I179*Pricing!$B$37*I417*Pricing!$B$19</f>
        <v/>
      </c>
      <c r="J420" s="8">
        <f>J179*Pricing!$B$37*J417*Pricing!$B$19</f>
        <v/>
      </c>
      <c r="K420" s="8">
        <f>K179*Pricing!$B$37*K417*Pricing!$B$19</f>
        <v/>
      </c>
      <c r="L420" s="8">
        <f>L179*Pricing!$B$37*L417*Pricing!$B$19</f>
        <v/>
      </c>
      <c r="M420" s="8">
        <f>M179*Pricing!$B$37*M417*Pricing!$B$19</f>
        <v/>
      </c>
      <c r="N420" s="8">
        <f>N179*Pricing!$B$37*N417*Pricing!$B$19</f>
        <v/>
      </c>
      <c r="O420" s="8">
        <f>O179*Pricing!$B$37*O417*Pricing!$B$19</f>
        <v/>
      </c>
      <c r="P420" s="8">
        <f>P179*Pricing!$B$37*P417*Pricing!$B$19</f>
        <v/>
      </c>
      <c r="Q420" s="8">
        <f>Q179*Pricing!$B$37*Q417*Pricing!$B$19</f>
        <v/>
      </c>
      <c r="R420" s="8">
        <f>R179*Pricing!$B$37*R417*Pricing!$B$19</f>
        <v/>
      </c>
      <c r="S420" s="8">
        <f>S179*Pricing!$B$37*S417*Pricing!$B$19</f>
        <v/>
      </c>
      <c r="T420" s="8">
        <f>T179*Pricing!$B$37*T417*Pricing!$B$19</f>
        <v/>
      </c>
      <c r="U420" s="8">
        <f>U179*Pricing!$B$37*U417*Pricing!$B$19</f>
        <v/>
      </c>
      <c r="V420" s="8">
        <f>V179*Pricing!$B$37*V417*Pricing!$B$19</f>
        <v/>
      </c>
      <c r="W420" s="8">
        <f>W179*Pricing!$B$37*W417*Pricing!$B$19</f>
        <v/>
      </c>
      <c r="X420" s="8">
        <f>X179*Pricing!$B$37*X417*Pricing!$B$19</f>
        <v/>
      </c>
      <c r="Y420" s="8">
        <f>Y179*Pricing!$B$37*Y417*Pricing!$B$19</f>
        <v/>
      </c>
      <c r="Z420" s="8">
        <f>Z179*Pricing!$B$37*Z417*Pricing!$B$19</f>
        <v/>
      </c>
      <c r="AA420" s="8">
        <f>AA179*Pricing!$B$37*AA417*Pricing!$B$19</f>
        <v/>
      </c>
      <c r="AB420" s="8">
        <f>AB179*Pricing!$B$37*AB417*Pricing!$B$19</f>
        <v/>
      </c>
      <c r="AC420" s="8">
        <f>AC179*Pricing!$B$37*AC417*Pricing!$B$19</f>
        <v/>
      </c>
      <c r="AD420" s="8">
        <f>AD179*Pricing!$B$37*AD417*Pricing!$B$19</f>
        <v/>
      </c>
      <c r="AE420" s="8">
        <f>AE179*Pricing!$B$37*AE417*Pricing!$B$19</f>
        <v/>
      </c>
      <c r="AF420" s="8">
        <f>AF179*Pricing!$B$37*AF417*Pricing!$B$19</f>
        <v/>
      </c>
      <c r="AG420" s="8">
        <f>AG179*Pricing!$B$37*AG417*Pricing!$B$19</f>
        <v/>
      </c>
      <c r="AH420" s="8">
        <f>AH179*Pricing!$B$37*AH417*Pricing!$B$19</f>
        <v/>
      </c>
      <c r="AI420" s="8">
        <f>AI179*Pricing!$B$37*AI417*Pricing!$B$19</f>
        <v/>
      </c>
      <c r="AJ420" s="8">
        <f>AJ179*Pricing!$B$37*AJ417*Pricing!$B$19</f>
        <v/>
      </c>
      <c r="AK420" s="8">
        <f>AK179*Pricing!$B$37*AK417*Pricing!$B$19</f>
        <v/>
      </c>
      <c r="AL420" s="8">
        <f>AL179*Pricing!$B$37*AL417*Pricing!$B$19</f>
        <v/>
      </c>
      <c r="AM420" s="8">
        <f>AM179*Pricing!$B$37*AM417*Pricing!$B$19</f>
        <v/>
      </c>
      <c r="AN420" s="8">
        <f>AN179*Pricing!$B$37*AN417*Pricing!$B$19</f>
        <v/>
      </c>
      <c r="AO420" s="8">
        <f>AO179*Pricing!$B$37*AO417*Pricing!$B$19</f>
        <v/>
      </c>
      <c r="AP420" s="8">
        <f>AP179*Pricing!$B$37*AP417*Pricing!$B$19</f>
        <v/>
      </c>
      <c r="AQ420" s="8">
        <f>AQ179*Pricing!$B$37*AQ417*Pricing!$B$19</f>
        <v/>
      </c>
      <c r="AR420" s="8">
        <f>AR179*Pricing!$B$37*AR417*Pricing!$B$19</f>
        <v/>
      </c>
      <c r="AS420" s="8">
        <f>AS179*Pricing!$B$37*AS417*Pricing!$B$19</f>
        <v/>
      </c>
      <c r="AT420" s="8">
        <f>AT179*Pricing!$B$37*AT417*Pricing!$B$19</f>
        <v/>
      </c>
      <c r="AU420" s="8">
        <f>AU179*Pricing!$B$37*AU417*Pricing!$B$19</f>
        <v/>
      </c>
      <c r="AV420" s="8">
        <f>AV179*Pricing!$B$37*AV417*Pricing!$B$19</f>
        <v/>
      </c>
      <c r="AW420" s="8">
        <f>AW179*Pricing!$B$37*AW417*Pricing!$B$19</f>
        <v/>
      </c>
      <c r="AX420" s="8">
        <f>AX179*Pricing!$B$37*AX417*Pricing!$B$19</f>
        <v/>
      </c>
      <c r="AY420" s="8">
        <f>AY179*Pricing!$B$37*AY417*Pricing!$B$19</f>
        <v/>
      </c>
      <c r="AZ420" s="8">
        <f>AZ179*Pricing!$B$37*AZ417*Pricing!$B$19</f>
        <v/>
      </c>
      <c r="BA420" s="8">
        <f>BA179*Pricing!$B$37*BA417*Pricing!$B$19</f>
        <v/>
      </c>
      <c r="BB420" s="8">
        <f>BB179*Pricing!$B$37*BB417*Pricing!$B$19</f>
        <v/>
      </c>
      <c r="BC420" s="8">
        <f>BC179*Pricing!$B$37*BC417*Pricing!$B$19</f>
        <v/>
      </c>
      <c r="BD420" s="8">
        <f>BD179*Pricing!$B$37*BD417*Pricing!$B$19</f>
        <v/>
      </c>
      <c r="BE420" s="8">
        <f>BE179*Pricing!$B$37*BE417*Pricing!$B$19</f>
        <v/>
      </c>
      <c r="BF420" s="8">
        <f>BF179*Pricing!$B$37*BF417*Pricing!$B$19</f>
        <v/>
      </c>
      <c r="BG420" s="8">
        <f>BG179*Pricing!$B$37*BG417*Pricing!$B$19</f>
        <v/>
      </c>
      <c r="BH420" s="8">
        <f>BH179*Pricing!$B$37*BH417*Pricing!$B$19</f>
        <v/>
      </c>
      <c r="BI420" s="8">
        <f>BI179*Pricing!$B$37*BI417*Pricing!$B$19</f>
        <v/>
      </c>
      <c r="BJ420" s="8">
        <f>BJ179*Pricing!$B$37*BJ417*Pricing!$B$19</f>
        <v/>
      </c>
    </row>
    <row r="421">
      <c r="A421" s="4" t="inlineStr">
        <is>
          <t>Gross subscription revenue: South Africa: SME: Starter</t>
        </is>
      </c>
      <c r="B421" s="17" t="inlineStr">
        <is>
          <t>R</t>
        </is>
      </c>
      <c r="C421" s="8">
        <f>C184*Pricing!$B$37*C417*Pricing!$B$19</f>
        <v/>
      </c>
      <c r="D421" s="8">
        <f>D184*Pricing!$B$37*D417*Pricing!$B$19</f>
        <v/>
      </c>
      <c r="E421" s="8">
        <f>E184*Pricing!$B$37*E417*Pricing!$B$19</f>
        <v/>
      </c>
      <c r="F421" s="8">
        <f>F184*Pricing!$B$37*F417*Pricing!$B$19</f>
        <v/>
      </c>
      <c r="G421" s="8">
        <f>G184*Pricing!$B$37*G417*Pricing!$B$19</f>
        <v/>
      </c>
      <c r="H421" s="8">
        <f>H184*Pricing!$B$37*H417*Pricing!$B$19</f>
        <v/>
      </c>
      <c r="I421" s="8">
        <f>I184*Pricing!$B$37*I417*Pricing!$B$19</f>
        <v/>
      </c>
      <c r="J421" s="8">
        <f>J184*Pricing!$B$37*J417*Pricing!$B$19</f>
        <v/>
      </c>
      <c r="K421" s="8">
        <f>K184*Pricing!$B$37*K417*Pricing!$B$19</f>
        <v/>
      </c>
      <c r="L421" s="8">
        <f>L184*Pricing!$B$37*L417*Pricing!$B$19</f>
        <v/>
      </c>
      <c r="M421" s="8">
        <f>M184*Pricing!$B$37*M417*Pricing!$B$19</f>
        <v/>
      </c>
      <c r="N421" s="8">
        <f>N184*Pricing!$B$37*N417*Pricing!$B$19</f>
        <v/>
      </c>
      <c r="O421" s="8">
        <f>O184*Pricing!$B$37*O417*Pricing!$B$19</f>
        <v/>
      </c>
      <c r="P421" s="8">
        <f>P184*Pricing!$B$37*P417*Pricing!$B$19</f>
        <v/>
      </c>
      <c r="Q421" s="8">
        <f>Q184*Pricing!$B$37*Q417*Pricing!$B$19</f>
        <v/>
      </c>
      <c r="R421" s="8">
        <f>R184*Pricing!$B$37*R417*Pricing!$B$19</f>
        <v/>
      </c>
      <c r="S421" s="8">
        <f>S184*Pricing!$B$37*S417*Pricing!$B$19</f>
        <v/>
      </c>
      <c r="T421" s="8">
        <f>T184*Pricing!$B$37*T417*Pricing!$B$19</f>
        <v/>
      </c>
      <c r="U421" s="8">
        <f>U184*Pricing!$B$37*U417*Pricing!$B$19</f>
        <v/>
      </c>
      <c r="V421" s="8">
        <f>V184*Pricing!$B$37*V417*Pricing!$B$19</f>
        <v/>
      </c>
      <c r="W421" s="8">
        <f>W184*Pricing!$B$37*W417*Pricing!$B$19</f>
        <v/>
      </c>
      <c r="X421" s="8">
        <f>X184*Pricing!$B$37*X417*Pricing!$B$19</f>
        <v/>
      </c>
      <c r="Y421" s="8">
        <f>Y184*Pricing!$B$37*Y417*Pricing!$B$19</f>
        <v/>
      </c>
      <c r="Z421" s="8">
        <f>Z184*Pricing!$B$37*Z417*Pricing!$B$19</f>
        <v/>
      </c>
      <c r="AA421" s="8">
        <f>AA184*Pricing!$B$37*AA417*Pricing!$B$19</f>
        <v/>
      </c>
      <c r="AB421" s="8">
        <f>AB184*Pricing!$B$37*AB417*Pricing!$B$19</f>
        <v/>
      </c>
      <c r="AC421" s="8">
        <f>AC184*Pricing!$B$37*AC417*Pricing!$B$19</f>
        <v/>
      </c>
      <c r="AD421" s="8">
        <f>AD184*Pricing!$B$37*AD417*Pricing!$B$19</f>
        <v/>
      </c>
      <c r="AE421" s="8">
        <f>AE184*Pricing!$B$37*AE417*Pricing!$B$19</f>
        <v/>
      </c>
      <c r="AF421" s="8">
        <f>AF184*Pricing!$B$37*AF417*Pricing!$B$19</f>
        <v/>
      </c>
      <c r="AG421" s="8">
        <f>AG184*Pricing!$B$37*AG417*Pricing!$B$19</f>
        <v/>
      </c>
      <c r="AH421" s="8">
        <f>AH184*Pricing!$B$37*AH417*Pricing!$B$19</f>
        <v/>
      </c>
      <c r="AI421" s="8">
        <f>AI184*Pricing!$B$37*AI417*Pricing!$B$19</f>
        <v/>
      </c>
      <c r="AJ421" s="8">
        <f>AJ184*Pricing!$B$37*AJ417*Pricing!$B$19</f>
        <v/>
      </c>
      <c r="AK421" s="8">
        <f>AK184*Pricing!$B$37*AK417*Pricing!$B$19</f>
        <v/>
      </c>
      <c r="AL421" s="8">
        <f>AL184*Pricing!$B$37*AL417*Pricing!$B$19</f>
        <v/>
      </c>
      <c r="AM421" s="8">
        <f>AM184*Pricing!$B$37*AM417*Pricing!$B$19</f>
        <v/>
      </c>
      <c r="AN421" s="8">
        <f>AN184*Pricing!$B$37*AN417*Pricing!$B$19</f>
        <v/>
      </c>
      <c r="AO421" s="8">
        <f>AO184*Pricing!$B$37*AO417*Pricing!$B$19</f>
        <v/>
      </c>
      <c r="AP421" s="8">
        <f>AP184*Pricing!$B$37*AP417*Pricing!$B$19</f>
        <v/>
      </c>
      <c r="AQ421" s="8">
        <f>AQ184*Pricing!$B$37*AQ417*Pricing!$B$19</f>
        <v/>
      </c>
      <c r="AR421" s="8">
        <f>AR184*Pricing!$B$37*AR417*Pricing!$B$19</f>
        <v/>
      </c>
      <c r="AS421" s="8">
        <f>AS184*Pricing!$B$37*AS417*Pricing!$B$19</f>
        <v/>
      </c>
      <c r="AT421" s="8">
        <f>AT184*Pricing!$B$37*AT417*Pricing!$B$19</f>
        <v/>
      </c>
      <c r="AU421" s="8">
        <f>AU184*Pricing!$B$37*AU417*Pricing!$B$19</f>
        <v/>
      </c>
      <c r="AV421" s="8">
        <f>AV184*Pricing!$B$37*AV417*Pricing!$B$19</f>
        <v/>
      </c>
      <c r="AW421" s="8">
        <f>AW184*Pricing!$B$37*AW417*Pricing!$B$19</f>
        <v/>
      </c>
      <c r="AX421" s="8">
        <f>AX184*Pricing!$B$37*AX417*Pricing!$B$19</f>
        <v/>
      </c>
      <c r="AY421" s="8">
        <f>AY184*Pricing!$B$37*AY417*Pricing!$B$19</f>
        <v/>
      </c>
      <c r="AZ421" s="8">
        <f>AZ184*Pricing!$B$37*AZ417*Pricing!$B$19</f>
        <v/>
      </c>
      <c r="BA421" s="8">
        <f>BA184*Pricing!$B$37*BA417*Pricing!$B$19</f>
        <v/>
      </c>
      <c r="BB421" s="8">
        <f>BB184*Pricing!$B$37*BB417*Pricing!$B$19</f>
        <v/>
      </c>
      <c r="BC421" s="8">
        <f>BC184*Pricing!$B$37*BC417*Pricing!$B$19</f>
        <v/>
      </c>
      <c r="BD421" s="8">
        <f>BD184*Pricing!$B$37*BD417*Pricing!$B$19</f>
        <v/>
      </c>
      <c r="BE421" s="8">
        <f>BE184*Pricing!$B$37*BE417*Pricing!$B$19</f>
        <v/>
      </c>
      <c r="BF421" s="8">
        <f>BF184*Pricing!$B$37*BF417*Pricing!$B$19</f>
        <v/>
      </c>
      <c r="BG421" s="8">
        <f>BG184*Pricing!$B$37*BG417*Pricing!$B$19</f>
        <v/>
      </c>
      <c r="BH421" s="8">
        <f>BH184*Pricing!$B$37*BH417*Pricing!$B$19</f>
        <v/>
      </c>
      <c r="BI421" s="8">
        <f>BI184*Pricing!$B$37*BI417*Pricing!$B$19</f>
        <v/>
      </c>
      <c r="BJ421" s="8">
        <f>BJ184*Pricing!$B$37*BJ417*Pricing!$B$19</f>
        <v/>
      </c>
    </row>
    <row r="422">
      <c r="A422" s="4" t="inlineStr">
        <is>
          <t>Gross subscription revenue: South Africa: SME: Growth (direct or upgraded)</t>
        </is>
      </c>
      <c r="B422" s="17" t="inlineStr">
        <is>
          <t>R</t>
        </is>
      </c>
      <c r="C422" s="8">
        <f>C189*Pricing!$B$38*C417*Pricing!$B$19</f>
        <v/>
      </c>
      <c r="D422" s="8">
        <f>D189*Pricing!$B$38*D417*Pricing!$B$19</f>
        <v/>
      </c>
      <c r="E422" s="8">
        <f>E189*Pricing!$B$38*E417*Pricing!$B$19</f>
        <v/>
      </c>
      <c r="F422" s="8">
        <f>F189*Pricing!$B$38*F417*Pricing!$B$19</f>
        <v/>
      </c>
      <c r="G422" s="8">
        <f>G189*Pricing!$B$38*G417*Pricing!$B$19</f>
        <v/>
      </c>
      <c r="H422" s="8">
        <f>H189*Pricing!$B$38*H417*Pricing!$B$19</f>
        <v/>
      </c>
      <c r="I422" s="8">
        <f>I189*Pricing!$B$38*I417*Pricing!$B$19</f>
        <v/>
      </c>
      <c r="J422" s="8">
        <f>J189*Pricing!$B$38*J417*Pricing!$B$19</f>
        <v/>
      </c>
      <c r="K422" s="8">
        <f>K189*Pricing!$B$38*K417*Pricing!$B$19</f>
        <v/>
      </c>
      <c r="L422" s="8">
        <f>L189*Pricing!$B$38*L417*Pricing!$B$19</f>
        <v/>
      </c>
      <c r="M422" s="8">
        <f>M189*Pricing!$B$38*M417*Pricing!$B$19</f>
        <v/>
      </c>
      <c r="N422" s="8">
        <f>N189*Pricing!$B$38*N417*Pricing!$B$19</f>
        <v/>
      </c>
      <c r="O422" s="8">
        <f>O189*Pricing!$B$38*O417*Pricing!$B$19</f>
        <v/>
      </c>
      <c r="P422" s="8">
        <f>P189*Pricing!$B$38*P417*Pricing!$B$19</f>
        <v/>
      </c>
      <c r="Q422" s="8">
        <f>Q189*Pricing!$B$38*Q417*Pricing!$B$19</f>
        <v/>
      </c>
      <c r="R422" s="8">
        <f>R189*Pricing!$B$38*R417*Pricing!$B$19</f>
        <v/>
      </c>
      <c r="S422" s="8">
        <f>S189*Pricing!$B$38*S417*Pricing!$B$19</f>
        <v/>
      </c>
      <c r="T422" s="8">
        <f>T189*Pricing!$B$38*T417*Pricing!$B$19</f>
        <v/>
      </c>
      <c r="U422" s="8">
        <f>U189*Pricing!$B$38*U417*Pricing!$B$19</f>
        <v/>
      </c>
      <c r="V422" s="8">
        <f>V189*Pricing!$B$38*V417*Pricing!$B$19</f>
        <v/>
      </c>
      <c r="W422" s="8">
        <f>W189*Pricing!$B$38*W417*Pricing!$B$19</f>
        <v/>
      </c>
      <c r="X422" s="8">
        <f>X189*Pricing!$B$38*X417*Pricing!$B$19</f>
        <v/>
      </c>
      <c r="Y422" s="8">
        <f>Y189*Pricing!$B$38*Y417*Pricing!$B$19</f>
        <v/>
      </c>
      <c r="Z422" s="8">
        <f>Z189*Pricing!$B$38*Z417*Pricing!$B$19</f>
        <v/>
      </c>
      <c r="AA422" s="8">
        <f>AA189*Pricing!$B$38*AA417*Pricing!$B$19</f>
        <v/>
      </c>
      <c r="AB422" s="8">
        <f>AB189*Pricing!$B$38*AB417*Pricing!$B$19</f>
        <v/>
      </c>
      <c r="AC422" s="8">
        <f>AC189*Pricing!$B$38*AC417*Pricing!$B$19</f>
        <v/>
      </c>
      <c r="AD422" s="8">
        <f>AD189*Pricing!$B$38*AD417*Pricing!$B$19</f>
        <v/>
      </c>
      <c r="AE422" s="8">
        <f>AE189*Pricing!$B$38*AE417*Pricing!$B$19</f>
        <v/>
      </c>
      <c r="AF422" s="8">
        <f>AF189*Pricing!$B$38*AF417*Pricing!$B$19</f>
        <v/>
      </c>
      <c r="AG422" s="8">
        <f>AG189*Pricing!$B$38*AG417*Pricing!$B$19</f>
        <v/>
      </c>
      <c r="AH422" s="8">
        <f>AH189*Pricing!$B$38*AH417*Pricing!$B$19</f>
        <v/>
      </c>
      <c r="AI422" s="8">
        <f>AI189*Pricing!$B$38*AI417*Pricing!$B$19</f>
        <v/>
      </c>
      <c r="AJ422" s="8">
        <f>AJ189*Pricing!$B$38*AJ417*Pricing!$B$19</f>
        <v/>
      </c>
      <c r="AK422" s="8">
        <f>AK189*Pricing!$B$38*AK417*Pricing!$B$19</f>
        <v/>
      </c>
      <c r="AL422" s="8">
        <f>AL189*Pricing!$B$38*AL417*Pricing!$B$19</f>
        <v/>
      </c>
      <c r="AM422" s="8">
        <f>AM189*Pricing!$B$38*AM417*Pricing!$B$19</f>
        <v/>
      </c>
      <c r="AN422" s="8">
        <f>AN189*Pricing!$B$38*AN417*Pricing!$B$19</f>
        <v/>
      </c>
      <c r="AO422" s="8">
        <f>AO189*Pricing!$B$38*AO417*Pricing!$B$19</f>
        <v/>
      </c>
      <c r="AP422" s="8">
        <f>AP189*Pricing!$B$38*AP417*Pricing!$B$19</f>
        <v/>
      </c>
      <c r="AQ422" s="8">
        <f>AQ189*Pricing!$B$38*AQ417*Pricing!$B$19</f>
        <v/>
      </c>
      <c r="AR422" s="8">
        <f>AR189*Pricing!$B$38*AR417*Pricing!$B$19</f>
        <v/>
      </c>
      <c r="AS422" s="8">
        <f>AS189*Pricing!$B$38*AS417*Pricing!$B$19</f>
        <v/>
      </c>
      <c r="AT422" s="8">
        <f>AT189*Pricing!$B$38*AT417*Pricing!$B$19</f>
        <v/>
      </c>
      <c r="AU422" s="8">
        <f>AU189*Pricing!$B$38*AU417*Pricing!$B$19</f>
        <v/>
      </c>
      <c r="AV422" s="8">
        <f>AV189*Pricing!$B$38*AV417*Pricing!$B$19</f>
        <v/>
      </c>
      <c r="AW422" s="8">
        <f>AW189*Pricing!$B$38*AW417*Pricing!$B$19</f>
        <v/>
      </c>
      <c r="AX422" s="8">
        <f>AX189*Pricing!$B$38*AX417*Pricing!$B$19</f>
        <v/>
      </c>
      <c r="AY422" s="8">
        <f>AY189*Pricing!$B$38*AY417*Pricing!$B$19</f>
        <v/>
      </c>
      <c r="AZ422" s="8">
        <f>AZ189*Pricing!$B$38*AZ417*Pricing!$B$19</f>
        <v/>
      </c>
      <c r="BA422" s="8">
        <f>BA189*Pricing!$B$38*BA417*Pricing!$B$19</f>
        <v/>
      </c>
      <c r="BB422" s="8">
        <f>BB189*Pricing!$B$38*BB417*Pricing!$B$19</f>
        <v/>
      </c>
      <c r="BC422" s="8">
        <f>BC189*Pricing!$B$38*BC417*Pricing!$B$19</f>
        <v/>
      </c>
      <c r="BD422" s="8">
        <f>BD189*Pricing!$B$38*BD417*Pricing!$B$19</f>
        <v/>
      </c>
      <c r="BE422" s="8">
        <f>BE189*Pricing!$B$38*BE417*Pricing!$B$19</f>
        <v/>
      </c>
      <c r="BF422" s="8">
        <f>BF189*Pricing!$B$38*BF417*Pricing!$B$19</f>
        <v/>
      </c>
      <c r="BG422" s="8">
        <f>BG189*Pricing!$B$38*BG417*Pricing!$B$19</f>
        <v/>
      </c>
      <c r="BH422" s="8">
        <f>BH189*Pricing!$B$38*BH417*Pricing!$B$19</f>
        <v/>
      </c>
      <c r="BI422" s="8">
        <f>BI189*Pricing!$B$38*BI417*Pricing!$B$19</f>
        <v/>
      </c>
      <c r="BJ422" s="8">
        <f>BJ189*Pricing!$B$38*BJ417*Pricing!$B$19</f>
        <v/>
      </c>
    </row>
    <row r="423">
      <c r="A423" s="4" t="inlineStr">
        <is>
          <t>Gross subscription revenue: South Africa: SME: Scale (direct or upgraded)</t>
        </is>
      </c>
      <c r="B423" s="17" t="inlineStr">
        <is>
          <t>R</t>
        </is>
      </c>
      <c r="C423" s="8">
        <f>C193*Pricing!$B$39*C417*Pricing!$B$19</f>
        <v/>
      </c>
      <c r="D423" s="8">
        <f>D193*Pricing!$B$39*D417*Pricing!$B$19</f>
        <v/>
      </c>
      <c r="E423" s="8">
        <f>E193*Pricing!$B$39*E417*Pricing!$B$19</f>
        <v/>
      </c>
      <c r="F423" s="8">
        <f>F193*Pricing!$B$39*F417*Pricing!$B$19</f>
        <v/>
      </c>
      <c r="G423" s="8">
        <f>G193*Pricing!$B$39*G417*Pricing!$B$19</f>
        <v/>
      </c>
      <c r="H423" s="8">
        <f>H193*Pricing!$B$39*H417*Pricing!$B$19</f>
        <v/>
      </c>
      <c r="I423" s="8">
        <f>I193*Pricing!$B$39*I417*Pricing!$B$19</f>
        <v/>
      </c>
      <c r="J423" s="8">
        <f>J193*Pricing!$B$39*J417*Pricing!$B$19</f>
        <v/>
      </c>
      <c r="K423" s="8">
        <f>K193*Pricing!$B$39*K417*Pricing!$B$19</f>
        <v/>
      </c>
      <c r="L423" s="8">
        <f>L193*Pricing!$B$39*L417*Pricing!$B$19</f>
        <v/>
      </c>
      <c r="M423" s="8">
        <f>M193*Pricing!$B$39*M417*Pricing!$B$19</f>
        <v/>
      </c>
      <c r="N423" s="8">
        <f>N193*Pricing!$B$39*N417*Pricing!$B$19</f>
        <v/>
      </c>
      <c r="O423" s="8">
        <f>O193*Pricing!$B$39*O417*Pricing!$B$19</f>
        <v/>
      </c>
      <c r="P423" s="8">
        <f>P193*Pricing!$B$39*P417*Pricing!$B$19</f>
        <v/>
      </c>
      <c r="Q423" s="8">
        <f>Q193*Pricing!$B$39*Q417*Pricing!$B$19</f>
        <v/>
      </c>
      <c r="R423" s="8">
        <f>R193*Pricing!$B$39*R417*Pricing!$B$19</f>
        <v/>
      </c>
      <c r="S423" s="8">
        <f>S193*Pricing!$B$39*S417*Pricing!$B$19</f>
        <v/>
      </c>
      <c r="T423" s="8">
        <f>T193*Pricing!$B$39*T417*Pricing!$B$19</f>
        <v/>
      </c>
      <c r="U423" s="8">
        <f>U193*Pricing!$B$39*U417*Pricing!$B$19</f>
        <v/>
      </c>
      <c r="V423" s="8">
        <f>V193*Pricing!$B$39*V417*Pricing!$B$19</f>
        <v/>
      </c>
      <c r="W423" s="8">
        <f>W193*Pricing!$B$39*W417*Pricing!$B$19</f>
        <v/>
      </c>
      <c r="X423" s="8">
        <f>X193*Pricing!$B$39*X417*Pricing!$B$19</f>
        <v/>
      </c>
      <c r="Y423" s="8">
        <f>Y193*Pricing!$B$39*Y417*Pricing!$B$19</f>
        <v/>
      </c>
      <c r="Z423" s="8">
        <f>Z193*Pricing!$B$39*Z417*Pricing!$B$19</f>
        <v/>
      </c>
      <c r="AA423" s="8">
        <f>AA193*Pricing!$B$39*AA417*Pricing!$B$19</f>
        <v/>
      </c>
      <c r="AB423" s="8">
        <f>AB193*Pricing!$B$39*AB417*Pricing!$B$19</f>
        <v/>
      </c>
      <c r="AC423" s="8">
        <f>AC193*Pricing!$B$39*AC417*Pricing!$B$19</f>
        <v/>
      </c>
      <c r="AD423" s="8">
        <f>AD193*Pricing!$B$39*AD417*Pricing!$B$19</f>
        <v/>
      </c>
      <c r="AE423" s="8">
        <f>AE193*Pricing!$B$39*AE417*Pricing!$B$19</f>
        <v/>
      </c>
      <c r="AF423" s="8">
        <f>AF193*Pricing!$B$39*AF417*Pricing!$B$19</f>
        <v/>
      </c>
      <c r="AG423" s="8">
        <f>AG193*Pricing!$B$39*AG417*Pricing!$B$19</f>
        <v/>
      </c>
      <c r="AH423" s="8">
        <f>AH193*Pricing!$B$39*AH417*Pricing!$B$19</f>
        <v/>
      </c>
      <c r="AI423" s="8">
        <f>AI193*Pricing!$B$39*AI417*Pricing!$B$19</f>
        <v/>
      </c>
      <c r="AJ423" s="8">
        <f>AJ193*Pricing!$B$39*AJ417*Pricing!$B$19</f>
        <v/>
      </c>
      <c r="AK423" s="8">
        <f>AK193*Pricing!$B$39*AK417*Pricing!$B$19</f>
        <v/>
      </c>
      <c r="AL423" s="8">
        <f>AL193*Pricing!$B$39*AL417*Pricing!$B$19</f>
        <v/>
      </c>
      <c r="AM423" s="8">
        <f>AM193*Pricing!$B$39*AM417*Pricing!$B$19</f>
        <v/>
      </c>
      <c r="AN423" s="8">
        <f>AN193*Pricing!$B$39*AN417*Pricing!$B$19</f>
        <v/>
      </c>
      <c r="AO423" s="8">
        <f>AO193*Pricing!$B$39*AO417*Pricing!$B$19</f>
        <v/>
      </c>
      <c r="AP423" s="8">
        <f>AP193*Pricing!$B$39*AP417*Pricing!$B$19</f>
        <v/>
      </c>
      <c r="AQ423" s="8">
        <f>AQ193*Pricing!$B$39*AQ417*Pricing!$B$19</f>
        <v/>
      </c>
      <c r="AR423" s="8">
        <f>AR193*Pricing!$B$39*AR417*Pricing!$B$19</f>
        <v/>
      </c>
      <c r="AS423" s="8">
        <f>AS193*Pricing!$B$39*AS417*Pricing!$B$19</f>
        <v/>
      </c>
      <c r="AT423" s="8">
        <f>AT193*Pricing!$B$39*AT417*Pricing!$B$19</f>
        <v/>
      </c>
      <c r="AU423" s="8">
        <f>AU193*Pricing!$B$39*AU417*Pricing!$B$19</f>
        <v/>
      </c>
      <c r="AV423" s="8">
        <f>AV193*Pricing!$B$39*AV417*Pricing!$B$19</f>
        <v/>
      </c>
      <c r="AW423" s="8">
        <f>AW193*Pricing!$B$39*AW417*Pricing!$B$19</f>
        <v/>
      </c>
      <c r="AX423" s="8">
        <f>AX193*Pricing!$B$39*AX417*Pricing!$B$19</f>
        <v/>
      </c>
      <c r="AY423" s="8">
        <f>AY193*Pricing!$B$39*AY417*Pricing!$B$19</f>
        <v/>
      </c>
      <c r="AZ423" s="8">
        <f>AZ193*Pricing!$B$39*AZ417*Pricing!$B$19</f>
        <v/>
      </c>
      <c r="BA423" s="8">
        <f>BA193*Pricing!$B$39*BA417*Pricing!$B$19</f>
        <v/>
      </c>
      <c r="BB423" s="8">
        <f>BB193*Pricing!$B$39*BB417*Pricing!$B$19</f>
        <v/>
      </c>
      <c r="BC423" s="8">
        <f>BC193*Pricing!$B$39*BC417*Pricing!$B$19</f>
        <v/>
      </c>
      <c r="BD423" s="8">
        <f>BD193*Pricing!$B$39*BD417*Pricing!$B$19</f>
        <v/>
      </c>
      <c r="BE423" s="8">
        <f>BE193*Pricing!$B$39*BE417*Pricing!$B$19</f>
        <v/>
      </c>
      <c r="BF423" s="8">
        <f>BF193*Pricing!$B$39*BF417*Pricing!$B$19</f>
        <v/>
      </c>
      <c r="BG423" s="8">
        <f>BG193*Pricing!$B$39*BG417*Pricing!$B$19</f>
        <v/>
      </c>
      <c r="BH423" s="8">
        <f>BH193*Pricing!$B$39*BH417*Pricing!$B$19</f>
        <v/>
      </c>
      <c r="BI423" s="8">
        <f>BI193*Pricing!$B$39*BI417*Pricing!$B$19</f>
        <v/>
      </c>
      <c r="BJ423" s="8">
        <f>BJ193*Pricing!$B$39*BJ417*Pricing!$B$19</f>
        <v/>
      </c>
    </row>
    <row r="424">
      <c r="A424" s="4" t="inlineStr">
        <is>
          <t>Gross subscription revenue: South Africa: Agency / partner: Agency tier</t>
        </is>
      </c>
      <c r="B424" s="17" t="inlineStr">
        <is>
          <t>R</t>
        </is>
      </c>
      <c r="C424" s="8">
        <f>C197*(Pricing!$B$20*Pricing!$B$43+(1-Pricing!$B$20)*Pricing!$B$41)*C417*Pricing!$B$19</f>
        <v/>
      </c>
      <c r="D424" s="8">
        <f>D197*(Pricing!$B$20*Pricing!$B$43+(1-Pricing!$B$20)*Pricing!$B$41)*D417*Pricing!$B$19</f>
        <v/>
      </c>
      <c r="E424" s="8">
        <f>E197*(Pricing!$B$20*Pricing!$B$43+(1-Pricing!$B$20)*Pricing!$B$41)*E417*Pricing!$B$19</f>
        <v/>
      </c>
      <c r="F424" s="8">
        <f>F197*(Pricing!$B$20*Pricing!$B$43+(1-Pricing!$B$20)*Pricing!$B$41)*F417*Pricing!$B$19</f>
        <v/>
      </c>
      <c r="G424" s="8">
        <f>G197*(Pricing!$B$20*Pricing!$B$43+(1-Pricing!$B$20)*Pricing!$B$41)*G417*Pricing!$B$19</f>
        <v/>
      </c>
      <c r="H424" s="8">
        <f>H197*(Pricing!$B$20*Pricing!$B$43+(1-Pricing!$B$20)*Pricing!$B$41)*H417*Pricing!$B$19</f>
        <v/>
      </c>
      <c r="I424" s="8">
        <f>I197*(Pricing!$B$20*Pricing!$B$43+(1-Pricing!$B$20)*Pricing!$B$41)*I417*Pricing!$B$19</f>
        <v/>
      </c>
      <c r="J424" s="8">
        <f>J197*(Pricing!$B$20*Pricing!$B$43+(1-Pricing!$B$20)*Pricing!$B$41)*J417*Pricing!$B$19</f>
        <v/>
      </c>
      <c r="K424" s="8">
        <f>K197*(Pricing!$B$20*Pricing!$B$43+(1-Pricing!$B$20)*Pricing!$B$41)*K417*Pricing!$B$19</f>
        <v/>
      </c>
      <c r="L424" s="8">
        <f>L197*(Pricing!$B$20*Pricing!$B$43+(1-Pricing!$B$20)*Pricing!$B$41)*L417*Pricing!$B$19</f>
        <v/>
      </c>
      <c r="M424" s="8">
        <f>M197*(Pricing!$B$20*Pricing!$B$43+(1-Pricing!$B$20)*Pricing!$B$41)*M417*Pricing!$B$19</f>
        <v/>
      </c>
      <c r="N424" s="8">
        <f>N197*(Pricing!$B$20*Pricing!$B$43+(1-Pricing!$B$20)*Pricing!$B$41)*N417*Pricing!$B$19</f>
        <v/>
      </c>
      <c r="O424" s="8">
        <f>O197*(Pricing!$B$20*Pricing!$B$43+(1-Pricing!$B$20)*Pricing!$B$41)*O417*Pricing!$B$19</f>
        <v/>
      </c>
      <c r="P424" s="8">
        <f>P197*(Pricing!$B$20*Pricing!$B$43+(1-Pricing!$B$20)*Pricing!$B$41)*P417*Pricing!$B$19</f>
        <v/>
      </c>
      <c r="Q424" s="8">
        <f>Q197*(Pricing!$B$20*Pricing!$B$43+(1-Pricing!$B$20)*Pricing!$B$41)*Q417*Pricing!$B$19</f>
        <v/>
      </c>
      <c r="R424" s="8">
        <f>R197*(Pricing!$B$20*Pricing!$B$43+(1-Pricing!$B$20)*Pricing!$B$41)*R417*Pricing!$B$19</f>
        <v/>
      </c>
      <c r="S424" s="8">
        <f>S197*(Pricing!$B$20*Pricing!$B$43+(1-Pricing!$B$20)*Pricing!$B$41)*S417*Pricing!$B$19</f>
        <v/>
      </c>
      <c r="T424" s="8">
        <f>T197*(Pricing!$B$20*Pricing!$B$43+(1-Pricing!$B$20)*Pricing!$B$41)*T417*Pricing!$B$19</f>
        <v/>
      </c>
      <c r="U424" s="8">
        <f>U197*(Pricing!$B$20*Pricing!$B$43+(1-Pricing!$B$20)*Pricing!$B$41)*U417*Pricing!$B$19</f>
        <v/>
      </c>
      <c r="V424" s="8">
        <f>V197*(Pricing!$B$20*Pricing!$B$43+(1-Pricing!$B$20)*Pricing!$B$41)*V417*Pricing!$B$19</f>
        <v/>
      </c>
      <c r="W424" s="8">
        <f>W197*(Pricing!$B$20*Pricing!$B$43+(1-Pricing!$B$20)*Pricing!$B$41)*W417*Pricing!$B$19</f>
        <v/>
      </c>
      <c r="X424" s="8">
        <f>X197*(Pricing!$B$20*Pricing!$B$43+(1-Pricing!$B$20)*Pricing!$B$41)*X417*Pricing!$B$19</f>
        <v/>
      </c>
      <c r="Y424" s="8">
        <f>Y197*(Pricing!$B$20*Pricing!$B$43+(1-Pricing!$B$20)*Pricing!$B$41)*Y417*Pricing!$B$19</f>
        <v/>
      </c>
      <c r="Z424" s="8">
        <f>Z197*(Pricing!$B$20*Pricing!$B$43+(1-Pricing!$B$20)*Pricing!$B$41)*Z417*Pricing!$B$19</f>
        <v/>
      </c>
      <c r="AA424" s="8">
        <f>AA197*(Pricing!$B$20*Pricing!$B$43+(1-Pricing!$B$20)*Pricing!$B$41)*AA417*Pricing!$B$19</f>
        <v/>
      </c>
      <c r="AB424" s="8">
        <f>AB197*(Pricing!$B$20*Pricing!$B$43+(1-Pricing!$B$20)*Pricing!$B$41)*AB417*Pricing!$B$19</f>
        <v/>
      </c>
      <c r="AC424" s="8">
        <f>AC197*(Pricing!$B$20*Pricing!$B$43+(1-Pricing!$B$20)*Pricing!$B$41)*AC417*Pricing!$B$19</f>
        <v/>
      </c>
      <c r="AD424" s="8">
        <f>AD197*(Pricing!$B$20*Pricing!$B$43+(1-Pricing!$B$20)*Pricing!$B$41)*AD417*Pricing!$B$19</f>
        <v/>
      </c>
      <c r="AE424" s="8">
        <f>AE197*(Pricing!$B$20*Pricing!$B$43+(1-Pricing!$B$20)*Pricing!$B$41)*AE417*Pricing!$B$19</f>
        <v/>
      </c>
      <c r="AF424" s="8">
        <f>AF197*(Pricing!$B$20*Pricing!$B$43+(1-Pricing!$B$20)*Pricing!$B$41)*AF417*Pricing!$B$19</f>
        <v/>
      </c>
      <c r="AG424" s="8">
        <f>AG197*(Pricing!$B$20*Pricing!$B$43+(1-Pricing!$B$20)*Pricing!$B$41)*AG417*Pricing!$B$19</f>
        <v/>
      </c>
      <c r="AH424" s="8">
        <f>AH197*(Pricing!$B$20*Pricing!$B$43+(1-Pricing!$B$20)*Pricing!$B$41)*AH417*Pricing!$B$19</f>
        <v/>
      </c>
      <c r="AI424" s="8">
        <f>AI197*(Pricing!$B$20*Pricing!$B$43+(1-Pricing!$B$20)*Pricing!$B$41)*AI417*Pricing!$B$19</f>
        <v/>
      </c>
      <c r="AJ424" s="8">
        <f>AJ197*(Pricing!$B$20*Pricing!$B$43+(1-Pricing!$B$20)*Pricing!$B$41)*AJ417*Pricing!$B$19</f>
        <v/>
      </c>
      <c r="AK424" s="8">
        <f>AK197*(Pricing!$B$20*Pricing!$B$43+(1-Pricing!$B$20)*Pricing!$B$41)*AK417*Pricing!$B$19</f>
        <v/>
      </c>
      <c r="AL424" s="8">
        <f>AL197*(Pricing!$B$20*Pricing!$B$43+(1-Pricing!$B$20)*Pricing!$B$41)*AL417*Pricing!$B$19</f>
        <v/>
      </c>
      <c r="AM424" s="8">
        <f>AM197*(Pricing!$B$20*Pricing!$B$43+(1-Pricing!$B$20)*Pricing!$B$41)*AM417*Pricing!$B$19</f>
        <v/>
      </c>
      <c r="AN424" s="8">
        <f>AN197*(Pricing!$B$20*Pricing!$B$43+(1-Pricing!$B$20)*Pricing!$B$41)*AN417*Pricing!$B$19</f>
        <v/>
      </c>
      <c r="AO424" s="8">
        <f>AO197*(Pricing!$B$20*Pricing!$B$43+(1-Pricing!$B$20)*Pricing!$B$41)*AO417*Pricing!$B$19</f>
        <v/>
      </c>
      <c r="AP424" s="8">
        <f>AP197*(Pricing!$B$20*Pricing!$B$43+(1-Pricing!$B$20)*Pricing!$B$41)*AP417*Pricing!$B$19</f>
        <v/>
      </c>
      <c r="AQ424" s="8">
        <f>AQ197*(Pricing!$B$20*Pricing!$B$43+(1-Pricing!$B$20)*Pricing!$B$41)*AQ417*Pricing!$B$19</f>
        <v/>
      </c>
      <c r="AR424" s="8">
        <f>AR197*(Pricing!$B$20*Pricing!$B$43+(1-Pricing!$B$20)*Pricing!$B$41)*AR417*Pricing!$B$19</f>
        <v/>
      </c>
      <c r="AS424" s="8">
        <f>AS197*(Pricing!$B$20*Pricing!$B$43+(1-Pricing!$B$20)*Pricing!$B$41)*AS417*Pricing!$B$19</f>
        <v/>
      </c>
      <c r="AT424" s="8">
        <f>AT197*(Pricing!$B$20*Pricing!$B$43+(1-Pricing!$B$20)*Pricing!$B$41)*AT417*Pricing!$B$19</f>
        <v/>
      </c>
      <c r="AU424" s="8">
        <f>AU197*(Pricing!$B$20*Pricing!$B$43+(1-Pricing!$B$20)*Pricing!$B$41)*AU417*Pricing!$B$19</f>
        <v/>
      </c>
      <c r="AV424" s="8">
        <f>AV197*(Pricing!$B$20*Pricing!$B$43+(1-Pricing!$B$20)*Pricing!$B$41)*AV417*Pricing!$B$19</f>
        <v/>
      </c>
      <c r="AW424" s="8">
        <f>AW197*(Pricing!$B$20*Pricing!$B$43+(1-Pricing!$B$20)*Pricing!$B$41)*AW417*Pricing!$B$19</f>
        <v/>
      </c>
      <c r="AX424" s="8">
        <f>AX197*(Pricing!$B$20*Pricing!$B$43+(1-Pricing!$B$20)*Pricing!$B$41)*AX417*Pricing!$B$19</f>
        <v/>
      </c>
      <c r="AY424" s="8">
        <f>AY197*(Pricing!$B$20*Pricing!$B$43+(1-Pricing!$B$20)*Pricing!$B$41)*AY417*Pricing!$B$19</f>
        <v/>
      </c>
      <c r="AZ424" s="8">
        <f>AZ197*(Pricing!$B$20*Pricing!$B$43+(1-Pricing!$B$20)*Pricing!$B$41)*AZ417*Pricing!$B$19</f>
        <v/>
      </c>
      <c r="BA424" s="8">
        <f>BA197*(Pricing!$B$20*Pricing!$B$43+(1-Pricing!$B$20)*Pricing!$B$41)*BA417*Pricing!$B$19</f>
        <v/>
      </c>
      <c r="BB424" s="8">
        <f>BB197*(Pricing!$B$20*Pricing!$B$43+(1-Pricing!$B$20)*Pricing!$B$41)*BB417*Pricing!$B$19</f>
        <v/>
      </c>
      <c r="BC424" s="8">
        <f>BC197*(Pricing!$B$20*Pricing!$B$43+(1-Pricing!$B$20)*Pricing!$B$41)*BC417*Pricing!$B$19</f>
        <v/>
      </c>
      <c r="BD424" s="8">
        <f>BD197*(Pricing!$B$20*Pricing!$B$43+(1-Pricing!$B$20)*Pricing!$B$41)*BD417*Pricing!$B$19</f>
        <v/>
      </c>
      <c r="BE424" s="8">
        <f>BE197*(Pricing!$B$20*Pricing!$B$43+(1-Pricing!$B$20)*Pricing!$B$41)*BE417*Pricing!$B$19</f>
        <v/>
      </c>
      <c r="BF424" s="8">
        <f>BF197*(Pricing!$B$20*Pricing!$B$43+(1-Pricing!$B$20)*Pricing!$B$41)*BF417*Pricing!$B$19</f>
        <v/>
      </c>
      <c r="BG424" s="8">
        <f>BG197*(Pricing!$B$20*Pricing!$B$43+(1-Pricing!$B$20)*Pricing!$B$41)*BG417*Pricing!$B$19</f>
        <v/>
      </c>
      <c r="BH424" s="8">
        <f>BH197*(Pricing!$B$20*Pricing!$B$43+(1-Pricing!$B$20)*Pricing!$B$41)*BH417*Pricing!$B$19</f>
        <v/>
      </c>
      <c r="BI424" s="8">
        <f>BI197*(Pricing!$B$20*Pricing!$B$43+(1-Pricing!$B$20)*Pricing!$B$41)*BI417*Pricing!$B$19</f>
        <v/>
      </c>
      <c r="BJ424" s="8">
        <f>BJ197*(Pricing!$B$20*Pricing!$B$43+(1-Pricing!$B$20)*Pricing!$B$41)*BJ417*Pricing!$B$19</f>
        <v/>
      </c>
    </row>
    <row r="425">
      <c r="A425" s="4" t="inlineStr">
        <is>
          <t>Gross subscription revenue: South Africa: Corporate (inbound)</t>
        </is>
      </c>
      <c r="B425" s="17" t="inlineStr">
        <is>
          <t>R</t>
        </is>
      </c>
      <c r="C425" s="8">
        <f>C201*Pricing!$B$40*C417*Pricing!$B$19</f>
        <v/>
      </c>
      <c r="D425" s="8">
        <f>D201*Pricing!$B$40*D417*Pricing!$B$19</f>
        <v/>
      </c>
      <c r="E425" s="8">
        <f>E201*Pricing!$B$40*E417*Pricing!$B$19</f>
        <v/>
      </c>
      <c r="F425" s="8">
        <f>F201*Pricing!$B$40*F417*Pricing!$B$19</f>
        <v/>
      </c>
      <c r="G425" s="8">
        <f>G201*Pricing!$B$40*G417*Pricing!$B$19</f>
        <v/>
      </c>
      <c r="H425" s="8">
        <f>H201*Pricing!$B$40*H417*Pricing!$B$19</f>
        <v/>
      </c>
      <c r="I425" s="8">
        <f>I201*Pricing!$B$40*I417*Pricing!$B$19</f>
        <v/>
      </c>
      <c r="J425" s="8">
        <f>J201*Pricing!$B$40*J417*Pricing!$B$19</f>
        <v/>
      </c>
      <c r="K425" s="8">
        <f>K201*Pricing!$B$40*K417*Pricing!$B$19</f>
        <v/>
      </c>
      <c r="L425" s="8">
        <f>L201*Pricing!$B$40*L417*Pricing!$B$19</f>
        <v/>
      </c>
      <c r="M425" s="8">
        <f>M201*Pricing!$B$40*M417*Pricing!$B$19</f>
        <v/>
      </c>
      <c r="N425" s="8">
        <f>N201*Pricing!$B$40*N417*Pricing!$B$19</f>
        <v/>
      </c>
      <c r="O425" s="8">
        <f>O201*Pricing!$B$40*O417*Pricing!$B$19</f>
        <v/>
      </c>
      <c r="P425" s="8">
        <f>P201*Pricing!$B$40*P417*Pricing!$B$19</f>
        <v/>
      </c>
      <c r="Q425" s="8">
        <f>Q201*Pricing!$B$40*Q417*Pricing!$B$19</f>
        <v/>
      </c>
      <c r="R425" s="8">
        <f>R201*Pricing!$B$40*R417*Pricing!$B$19</f>
        <v/>
      </c>
      <c r="S425" s="8">
        <f>S201*Pricing!$B$40*S417*Pricing!$B$19</f>
        <v/>
      </c>
      <c r="T425" s="8">
        <f>T201*Pricing!$B$40*T417*Pricing!$B$19</f>
        <v/>
      </c>
      <c r="U425" s="8">
        <f>U201*Pricing!$B$40*U417*Pricing!$B$19</f>
        <v/>
      </c>
      <c r="V425" s="8">
        <f>V201*Pricing!$B$40*V417*Pricing!$B$19</f>
        <v/>
      </c>
      <c r="W425" s="8">
        <f>W201*Pricing!$B$40*W417*Pricing!$B$19</f>
        <v/>
      </c>
      <c r="X425" s="8">
        <f>X201*Pricing!$B$40*X417*Pricing!$B$19</f>
        <v/>
      </c>
      <c r="Y425" s="8">
        <f>Y201*Pricing!$B$40*Y417*Pricing!$B$19</f>
        <v/>
      </c>
      <c r="Z425" s="8">
        <f>Z201*Pricing!$B$40*Z417*Pricing!$B$19</f>
        <v/>
      </c>
      <c r="AA425" s="8">
        <f>AA201*Pricing!$B$40*AA417*Pricing!$B$19</f>
        <v/>
      </c>
      <c r="AB425" s="8">
        <f>AB201*Pricing!$B$40*AB417*Pricing!$B$19</f>
        <v/>
      </c>
      <c r="AC425" s="8">
        <f>AC201*Pricing!$B$40*AC417*Pricing!$B$19</f>
        <v/>
      </c>
      <c r="AD425" s="8">
        <f>AD201*Pricing!$B$40*AD417*Pricing!$B$19</f>
        <v/>
      </c>
      <c r="AE425" s="8">
        <f>AE201*Pricing!$B$40*AE417*Pricing!$B$19</f>
        <v/>
      </c>
      <c r="AF425" s="8">
        <f>AF201*Pricing!$B$40*AF417*Pricing!$B$19</f>
        <v/>
      </c>
      <c r="AG425" s="8">
        <f>AG201*Pricing!$B$40*AG417*Pricing!$B$19</f>
        <v/>
      </c>
      <c r="AH425" s="8">
        <f>AH201*Pricing!$B$40*AH417*Pricing!$B$19</f>
        <v/>
      </c>
      <c r="AI425" s="8">
        <f>AI201*Pricing!$B$40*AI417*Pricing!$B$19</f>
        <v/>
      </c>
      <c r="AJ425" s="8">
        <f>AJ201*Pricing!$B$40*AJ417*Pricing!$B$19</f>
        <v/>
      </c>
      <c r="AK425" s="8">
        <f>AK201*Pricing!$B$40*AK417*Pricing!$B$19</f>
        <v/>
      </c>
      <c r="AL425" s="8">
        <f>AL201*Pricing!$B$40*AL417*Pricing!$B$19</f>
        <v/>
      </c>
      <c r="AM425" s="8">
        <f>AM201*Pricing!$B$40*AM417*Pricing!$B$19</f>
        <v/>
      </c>
      <c r="AN425" s="8">
        <f>AN201*Pricing!$B$40*AN417*Pricing!$B$19</f>
        <v/>
      </c>
      <c r="AO425" s="8">
        <f>AO201*Pricing!$B$40*AO417*Pricing!$B$19</f>
        <v/>
      </c>
      <c r="AP425" s="8">
        <f>AP201*Pricing!$B$40*AP417*Pricing!$B$19</f>
        <v/>
      </c>
      <c r="AQ425" s="8">
        <f>AQ201*Pricing!$B$40*AQ417*Pricing!$B$19</f>
        <v/>
      </c>
      <c r="AR425" s="8">
        <f>AR201*Pricing!$B$40*AR417*Pricing!$B$19</f>
        <v/>
      </c>
      <c r="AS425" s="8">
        <f>AS201*Pricing!$B$40*AS417*Pricing!$B$19</f>
        <v/>
      </c>
      <c r="AT425" s="8">
        <f>AT201*Pricing!$B$40*AT417*Pricing!$B$19</f>
        <v/>
      </c>
      <c r="AU425" s="8">
        <f>AU201*Pricing!$B$40*AU417*Pricing!$B$19</f>
        <v/>
      </c>
      <c r="AV425" s="8">
        <f>AV201*Pricing!$B$40*AV417*Pricing!$B$19</f>
        <v/>
      </c>
      <c r="AW425" s="8">
        <f>AW201*Pricing!$B$40*AW417*Pricing!$B$19</f>
        <v/>
      </c>
      <c r="AX425" s="8">
        <f>AX201*Pricing!$B$40*AX417*Pricing!$B$19</f>
        <v/>
      </c>
      <c r="AY425" s="8">
        <f>AY201*Pricing!$B$40*AY417*Pricing!$B$19</f>
        <v/>
      </c>
      <c r="AZ425" s="8">
        <f>AZ201*Pricing!$B$40*AZ417*Pricing!$B$19</f>
        <v/>
      </c>
      <c r="BA425" s="8">
        <f>BA201*Pricing!$B$40*BA417*Pricing!$B$19</f>
        <v/>
      </c>
      <c r="BB425" s="8">
        <f>BB201*Pricing!$B$40*BB417*Pricing!$B$19</f>
        <v/>
      </c>
      <c r="BC425" s="8">
        <f>BC201*Pricing!$B$40*BC417*Pricing!$B$19</f>
        <v/>
      </c>
      <c r="BD425" s="8">
        <f>BD201*Pricing!$B$40*BD417*Pricing!$B$19</f>
        <v/>
      </c>
      <c r="BE425" s="8">
        <f>BE201*Pricing!$B$40*BE417*Pricing!$B$19</f>
        <v/>
      </c>
      <c r="BF425" s="8">
        <f>BF201*Pricing!$B$40*BF417*Pricing!$B$19</f>
        <v/>
      </c>
      <c r="BG425" s="8">
        <f>BG201*Pricing!$B$40*BG417*Pricing!$B$19</f>
        <v/>
      </c>
      <c r="BH425" s="8">
        <f>BH201*Pricing!$B$40*BH417*Pricing!$B$19</f>
        <v/>
      </c>
      <c r="BI425" s="8">
        <f>BI201*Pricing!$B$40*BI417*Pricing!$B$19</f>
        <v/>
      </c>
      <c r="BJ425" s="8">
        <f>BJ201*Pricing!$B$40*BJ417*Pricing!$B$19</f>
        <v/>
      </c>
    </row>
    <row r="426">
      <c r="A426" s="4" t="inlineStr">
        <is>
          <t>Gross subscription revenue: South Africa: Enterprise: Custom (inbound)</t>
        </is>
      </c>
      <c r="B426" s="17" t="inlineStr">
        <is>
          <t>R</t>
        </is>
      </c>
      <c r="C426" s="8">
        <f>C205*Pricing!$B$42*C417*Pricing!$B$19</f>
        <v/>
      </c>
      <c r="D426" s="8">
        <f>D205*Pricing!$B$42*D417*Pricing!$B$19</f>
        <v/>
      </c>
      <c r="E426" s="8">
        <f>E205*Pricing!$B$42*E417*Pricing!$B$19</f>
        <v/>
      </c>
      <c r="F426" s="8">
        <f>F205*Pricing!$B$42*F417*Pricing!$B$19</f>
        <v/>
      </c>
      <c r="G426" s="8">
        <f>G205*Pricing!$B$42*G417*Pricing!$B$19</f>
        <v/>
      </c>
      <c r="H426" s="8">
        <f>H205*Pricing!$B$42*H417*Pricing!$B$19</f>
        <v/>
      </c>
      <c r="I426" s="8">
        <f>I205*Pricing!$B$42*I417*Pricing!$B$19</f>
        <v/>
      </c>
      <c r="J426" s="8">
        <f>J205*Pricing!$B$42*J417*Pricing!$B$19</f>
        <v/>
      </c>
      <c r="K426" s="8">
        <f>K205*Pricing!$B$42*K417*Pricing!$B$19</f>
        <v/>
      </c>
      <c r="L426" s="8">
        <f>L205*Pricing!$B$42*L417*Pricing!$B$19</f>
        <v/>
      </c>
      <c r="M426" s="8">
        <f>M205*Pricing!$B$42*M417*Pricing!$B$19</f>
        <v/>
      </c>
      <c r="N426" s="8">
        <f>N205*Pricing!$B$42*N417*Pricing!$B$19</f>
        <v/>
      </c>
      <c r="O426" s="8">
        <f>O205*Pricing!$B$42*O417*Pricing!$B$19</f>
        <v/>
      </c>
      <c r="P426" s="8">
        <f>P205*Pricing!$B$42*P417*Pricing!$B$19</f>
        <v/>
      </c>
      <c r="Q426" s="8">
        <f>Q205*Pricing!$B$42*Q417*Pricing!$B$19</f>
        <v/>
      </c>
      <c r="R426" s="8">
        <f>R205*Pricing!$B$42*R417*Pricing!$B$19</f>
        <v/>
      </c>
      <c r="S426" s="8">
        <f>S205*Pricing!$B$42*S417*Pricing!$B$19</f>
        <v/>
      </c>
      <c r="T426" s="8">
        <f>T205*Pricing!$B$42*T417*Pricing!$B$19</f>
        <v/>
      </c>
      <c r="U426" s="8">
        <f>U205*Pricing!$B$42*U417*Pricing!$B$19</f>
        <v/>
      </c>
      <c r="V426" s="8">
        <f>V205*Pricing!$B$42*V417*Pricing!$B$19</f>
        <v/>
      </c>
      <c r="W426" s="8">
        <f>W205*Pricing!$B$42*W417*Pricing!$B$19</f>
        <v/>
      </c>
      <c r="X426" s="8">
        <f>X205*Pricing!$B$42*X417*Pricing!$B$19</f>
        <v/>
      </c>
      <c r="Y426" s="8">
        <f>Y205*Pricing!$B$42*Y417*Pricing!$B$19</f>
        <v/>
      </c>
      <c r="Z426" s="8">
        <f>Z205*Pricing!$B$42*Z417*Pricing!$B$19</f>
        <v/>
      </c>
      <c r="AA426" s="8">
        <f>AA205*Pricing!$B$42*AA417*Pricing!$B$19</f>
        <v/>
      </c>
      <c r="AB426" s="8">
        <f>AB205*Pricing!$B$42*AB417*Pricing!$B$19</f>
        <v/>
      </c>
      <c r="AC426" s="8">
        <f>AC205*Pricing!$B$42*AC417*Pricing!$B$19</f>
        <v/>
      </c>
      <c r="AD426" s="8">
        <f>AD205*Pricing!$B$42*AD417*Pricing!$B$19</f>
        <v/>
      </c>
      <c r="AE426" s="8">
        <f>AE205*Pricing!$B$42*AE417*Pricing!$B$19</f>
        <v/>
      </c>
      <c r="AF426" s="8">
        <f>AF205*Pricing!$B$42*AF417*Pricing!$B$19</f>
        <v/>
      </c>
      <c r="AG426" s="8">
        <f>AG205*Pricing!$B$42*AG417*Pricing!$B$19</f>
        <v/>
      </c>
      <c r="AH426" s="8">
        <f>AH205*Pricing!$B$42*AH417*Pricing!$B$19</f>
        <v/>
      </c>
      <c r="AI426" s="8">
        <f>AI205*Pricing!$B$42*AI417*Pricing!$B$19</f>
        <v/>
      </c>
      <c r="AJ426" s="8">
        <f>AJ205*Pricing!$B$42*AJ417*Pricing!$B$19</f>
        <v/>
      </c>
      <c r="AK426" s="8">
        <f>AK205*Pricing!$B$42*AK417*Pricing!$B$19</f>
        <v/>
      </c>
      <c r="AL426" s="8">
        <f>AL205*Pricing!$B$42*AL417*Pricing!$B$19</f>
        <v/>
      </c>
      <c r="AM426" s="8">
        <f>AM205*Pricing!$B$42*AM417*Pricing!$B$19</f>
        <v/>
      </c>
      <c r="AN426" s="8">
        <f>AN205*Pricing!$B$42*AN417*Pricing!$B$19</f>
        <v/>
      </c>
      <c r="AO426" s="8">
        <f>AO205*Pricing!$B$42*AO417*Pricing!$B$19</f>
        <v/>
      </c>
      <c r="AP426" s="8">
        <f>AP205*Pricing!$B$42*AP417*Pricing!$B$19</f>
        <v/>
      </c>
      <c r="AQ426" s="8">
        <f>AQ205*Pricing!$B$42*AQ417*Pricing!$B$19</f>
        <v/>
      </c>
      <c r="AR426" s="8">
        <f>AR205*Pricing!$B$42*AR417*Pricing!$B$19</f>
        <v/>
      </c>
      <c r="AS426" s="8">
        <f>AS205*Pricing!$B$42*AS417*Pricing!$B$19</f>
        <v/>
      </c>
      <c r="AT426" s="8">
        <f>AT205*Pricing!$B$42*AT417*Pricing!$B$19</f>
        <v/>
      </c>
      <c r="AU426" s="8">
        <f>AU205*Pricing!$B$42*AU417*Pricing!$B$19</f>
        <v/>
      </c>
      <c r="AV426" s="8">
        <f>AV205*Pricing!$B$42*AV417*Pricing!$B$19</f>
        <v/>
      </c>
      <c r="AW426" s="8">
        <f>AW205*Pricing!$B$42*AW417*Pricing!$B$19</f>
        <v/>
      </c>
      <c r="AX426" s="8">
        <f>AX205*Pricing!$B$42*AX417*Pricing!$B$19</f>
        <v/>
      </c>
      <c r="AY426" s="8">
        <f>AY205*Pricing!$B$42*AY417*Pricing!$B$19</f>
        <v/>
      </c>
      <c r="AZ426" s="8">
        <f>AZ205*Pricing!$B$42*AZ417*Pricing!$B$19</f>
        <v/>
      </c>
      <c r="BA426" s="8">
        <f>BA205*Pricing!$B$42*BA417*Pricing!$B$19</f>
        <v/>
      </c>
      <c r="BB426" s="8">
        <f>BB205*Pricing!$B$42*BB417*Pricing!$B$19</f>
        <v/>
      </c>
      <c r="BC426" s="8">
        <f>BC205*Pricing!$B$42*BC417*Pricing!$B$19</f>
        <v/>
      </c>
      <c r="BD426" s="8">
        <f>BD205*Pricing!$B$42*BD417*Pricing!$B$19</f>
        <v/>
      </c>
      <c r="BE426" s="8">
        <f>BE205*Pricing!$B$42*BE417*Pricing!$B$19</f>
        <v/>
      </c>
      <c r="BF426" s="8">
        <f>BF205*Pricing!$B$42*BF417*Pricing!$B$19</f>
        <v/>
      </c>
      <c r="BG426" s="8">
        <f>BG205*Pricing!$B$42*BG417*Pricing!$B$19</f>
        <v/>
      </c>
      <c r="BH426" s="8">
        <f>BH205*Pricing!$B$42*BH417*Pricing!$B$19</f>
        <v/>
      </c>
      <c r="BI426" s="8">
        <f>BI205*Pricing!$B$42*BI417*Pricing!$B$19</f>
        <v/>
      </c>
      <c r="BJ426" s="8">
        <f>BJ205*Pricing!$B$42*BJ417*Pricing!$B$19</f>
        <v/>
      </c>
    </row>
    <row r="427">
      <c r="A427" s="4" t="inlineStr">
        <is>
          <t>Gross subscription revenue: Nigeria: Solo: Nano</t>
        </is>
      </c>
      <c r="B427" s="17" t="inlineStr">
        <is>
          <t>R</t>
        </is>
      </c>
      <c r="C427" s="8">
        <f>C210*Pricing!$C$35*C417*Pricing!$B$19*C35</f>
        <v/>
      </c>
      <c r="D427" s="8">
        <f>D210*Pricing!$C$35*D417*Pricing!$B$19*D35</f>
        <v/>
      </c>
      <c r="E427" s="8">
        <f>E210*Pricing!$C$35*E417*Pricing!$B$19*E35</f>
        <v/>
      </c>
      <c r="F427" s="8">
        <f>F210*Pricing!$C$35*F417*Pricing!$B$19*F35</f>
        <v/>
      </c>
      <c r="G427" s="8">
        <f>G210*Pricing!$C$35*G417*Pricing!$B$19*G35</f>
        <v/>
      </c>
      <c r="H427" s="8">
        <f>H210*Pricing!$C$35*H417*Pricing!$B$19*H35</f>
        <v/>
      </c>
      <c r="I427" s="8">
        <f>I210*Pricing!$C$35*I417*Pricing!$B$19*I35</f>
        <v/>
      </c>
      <c r="J427" s="8">
        <f>J210*Pricing!$C$35*J417*Pricing!$B$19*J35</f>
        <v/>
      </c>
      <c r="K427" s="8">
        <f>K210*Pricing!$C$35*K417*Pricing!$B$19*K35</f>
        <v/>
      </c>
      <c r="L427" s="8">
        <f>L210*Pricing!$C$35*L417*Pricing!$B$19*L35</f>
        <v/>
      </c>
      <c r="M427" s="8">
        <f>M210*Pricing!$C$35*M417*Pricing!$B$19*M35</f>
        <v/>
      </c>
      <c r="N427" s="8">
        <f>N210*Pricing!$C$35*N417*Pricing!$B$19*N35</f>
        <v/>
      </c>
      <c r="O427" s="8">
        <f>O210*Pricing!$C$35*O417*Pricing!$B$19*O35</f>
        <v/>
      </c>
      <c r="P427" s="8">
        <f>P210*Pricing!$C$35*P417*Pricing!$B$19*P35</f>
        <v/>
      </c>
      <c r="Q427" s="8">
        <f>Q210*Pricing!$C$35*Q417*Pricing!$B$19*Q35</f>
        <v/>
      </c>
      <c r="R427" s="8">
        <f>R210*Pricing!$C$35*R417*Pricing!$B$19*R35</f>
        <v/>
      </c>
      <c r="S427" s="8">
        <f>S210*Pricing!$C$35*S417*Pricing!$B$19*S35</f>
        <v/>
      </c>
      <c r="T427" s="8">
        <f>T210*Pricing!$C$35*T417*Pricing!$B$19*T35</f>
        <v/>
      </c>
      <c r="U427" s="8">
        <f>U210*Pricing!$C$35*U417*Pricing!$B$19*U35</f>
        <v/>
      </c>
      <c r="V427" s="8">
        <f>V210*Pricing!$C$35*V417*Pricing!$B$19*V35</f>
        <v/>
      </c>
      <c r="W427" s="8">
        <f>W210*Pricing!$C$35*W417*Pricing!$B$19*W35</f>
        <v/>
      </c>
      <c r="X427" s="8">
        <f>X210*Pricing!$C$35*X417*Pricing!$B$19*X35</f>
        <v/>
      </c>
      <c r="Y427" s="8">
        <f>Y210*Pricing!$C$35*Y417*Pricing!$B$19*Y35</f>
        <v/>
      </c>
      <c r="Z427" s="8">
        <f>Z210*Pricing!$C$35*Z417*Pricing!$B$19*Z35</f>
        <v/>
      </c>
      <c r="AA427" s="8">
        <f>AA210*Pricing!$C$35*AA417*Pricing!$B$19*AA35</f>
        <v/>
      </c>
      <c r="AB427" s="8">
        <f>AB210*Pricing!$C$35*AB417*Pricing!$B$19*AB35</f>
        <v/>
      </c>
      <c r="AC427" s="8">
        <f>AC210*Pricing!$C$35*AC417*Pricing!$B$19*AC35</f>
        <v/>
      </c>
      <c r="AD427" s="8">
        <f>AD210*Pricing!$C$35*AD417*Pricing!$B$19*AD35</f>
        <v/>
      </c>
      <c r="AE427" s="8">
        <f>AE210*Pricing!$C$35*AE417*Pricing!$B$19*AE35</f>
        <v/>
      </c>
      <c r="AF427" s="8">
        <f>AF210*Pricing!$C$35*AF417*Pricing!$B$19*AF35</f>
        <v/>
      </c>
      <c r="AG427" s="8">
        <f>AG210*Pricing!$C$35*AG417*Pricing!$B$19*AG35</f>
        <v/>
      </c>
      <c r="AH427" s="8">
        <f>AH210*Pricing!$C$35*AH417*Pricing!$B$19*AH35</f>
        <v/>
      </c>
      <c r="AI427" s="8">
        <f>AI210*Pricing!$C$35*AI417*Pricing!$B$19*AI35</f>
        <v/>
      </c>
      <c r="AJ427" s="8">
        <f>AJ210*Pricing!$C$35*AJ417*Pricing!$B$19*AJ35</f>
        <v/>
      </c>
      <c r="AK427" s="8">
        <f>AK210*Pricing!$C$35*AK417*Pricing!$B$19*AK35</f>
        <v/>
      </c>
      <c r="AL427" s="8">
        <f>AL210*Pricing!$C$35*AL417*Pricing!$B$19*AL35</f>
        <v/>
      </c>
      <c r="AM427" s="8">
        <f>AM210*Pricing!$C$35*AM417*Pricing!$B$19*AM35</f>
        <v/>
      </c>
      <c r="AN427" s="8">
        <f>AN210*Pricing!$C$35*AN417*Pricing!$B$19*AN35</f>
        <v/>
      </c>
      <c r="AO427" s="8">
        <f>AO210*Pricing!$C$35*AO417*Pricing!$B$19*AO35</f>
        <v/>
      </c>
      <c r="AP427" s="8">
        <f>AP210*Pricing!$C$35*AP417*Pricing!$B$19*AP35</f>
        <v/>
      </c>
      <c r="AQ427" s="8">
        <f>AQ210*Pricing!$C$35*AQ417*Pricing!$B$19*AQ35</f>
        <v/>
      </c>
      <c r="AR427" s="8">
        <f>AR210*Pricing!$C$35*AR417*Pricing!$B$19*AR35</f>
        <v/>
      </c>
      <c r="AS427" s="8">
        <f>AS210*Pricing!$C$35*AS417*Pricing!$B$19*AS35</f>
        <v/>
      </c>
      <c r="AT427" s="8">
        <f>AT210*Pricing!$C$35*AT417*Pricing!$B$19*AT35</f>
        <v/>
      </c>
      <c r="AU427" s="8">
        <f>AU210*Pricing!$C$35*AU417*Pricing!$B$19*AU35</f>
        <v/>
      </c>
      <c r="AV427" s="8">
        <f>AV210*Pricing!$C$35*AV417*Pricing!$B$19*AV35</f>
        <v/>
      </c>
      <c r="AW427" s="8">
        <f>AW210*Pricing!$C$35*AW417*Pricing!$B$19*AW35</f>
        <v/>
      </c>
      <c r="AX427" s="8">
        <f>AX210*Pricing!$C$35*AX417*Pricing!$B$19*AX35</f>
        <v/>
      </c>
      <c r="AY427" s="8">
        <f>AY210*Pricing!$C$35*AY417*Pricing!$B$19*AY35</f>
        <v/>
      </c>
      <c r="AZ427" s="8">
        <f>AZ210*Pricing!$C$35*AZ417*Pricing!$B$19*AZ35</f>
        <v/>
      </c>
      <c r="BA427" s="8">
        <f>BA210*Pricing!$C$35*BA417*Pricing!$B$19*BA35</f>
        <v/>
      </c>
      <c r="BB427" s="8">
        <f>BB210*Pricing!$C$35*BB417*Pricing!$B$19*BB35</f>
        <v/>
      </c>
      <c r="BC427" s="8">
        <f>BC210*Pricing!$C$35*BC417*Pricing!$B$19*BC35</f>
        <v/>
      </c>
      <c r="BD427" s="8">
        <f>BD210*Pricing!$C$35*BD417*Pricing!$B$19*BD35</f>
        <v/>
      </c>
      <c r="BE427" s="8">
        <f>BE210*Pricing!$C$35*BE417*Pricing!$B$19*BE35</f>
        <v/>
      </c>
      <c r="BF427" s="8">
        <f>BF210*Pricing!$C$35*BF417*Pricing!$B$19*BF35</f>
        <v/>
      </c>
      <c r="BG427" s="8">
        <f>BG210*Pricing!$C$35*BG417*Pricing!$B$19*BG35</f>
        <v/>
      </c>
      <c r="BH427" s="8">
        <f>BH210*Pricing!$C$35*BH417*Pricing!$B$19*BH35</f>
        <v/>
      </c>
      <c r="BI427" s="8">
        <f>BI210*Pricing!$C$35*BI417*Pricing!$B$19*BI35</f>
        <v/>
      </c>
      <c r="BJ427" s="8">
        <f>BJ210*Pricing!$C$35*BJ417*Pricing!$B$19*BJ35</f>
        <v/>
      </c>
    </row>
    <row r="428">
      <c r="A428" s="4" t="inlineStr">
        <is>
          <t>Gross subscription revenue: Nigeria: Solo: Micro (direct or upgraded)</t>
        </is>
      </c>
      <c r="B428" s="17" t="inlineStr">
        <is>
          <t>R</t>
        </is>
      </c>
      <c r="C428" s="8">
        <f>C215*Pricing!$C$36*C417*Pricing!$B$19*C35</f>
        <v/>
      </c>
      <c r="D428" s="8">
        <f>D215*Pricing!$C$36*D417*Pricing!$B$19*D35</f>
        <v/>
      </c>
      <c r="E428" s="8">
        <f>E215*Pricing!$C$36*E417*Pricing!$B$19*E35</f>
        <v/>
      </c>
      <c r="F428" s="8">
        <f>F215*Pricing!$C$36*F417*Pricing!$B$19*F35</f>
        <v/>
      </c>
      <c r="G428" s="8">
        <f>G215*Pricing!$C$36*G417*Pricing!$B$19*G35</f>
        <v/>
      </c>
      <c r="H428" s="8">
        <f>H215*Pricing!$C$36*H417*Pricing!$B$19*H35</f>
        <v/>
      </c>
      <c r="I428" s="8">
        <f>I215*Pricing!$C$36*I417*Pricing!$B$19*I35</f>
        <v/>
      </c>
      <c r="J428" s="8">
        <f>J215*Pricing!$C$36*J417*Pricing!$B$19*J35</f>
        <v/>
      </c>
      <c r="K428" s="8">
        <f>K215*Pricing!$C$36*K417*Pricing!$B$19*K35</f>
        <v/>
      </c>
      <c r="L428" s="8">
        <f>L215*Pricing!$C$36*L417*Pricing!$B$19*L35</f>
        <v/>
      </c>
      <c r="M428" s="8">
        <f>M215*Pricing!$C$36*M417*Pricing!$B$19*M35</f>
        <v/>
      </c>
      <c r="N428" s="8">
        <f>N215*Pricing!$C$36*N417*Pricing!$B$19*N35</f>
        <v/>
      </c>
      <c r="O428" s="8">
        <f>O215*Pricing!$C$36*O417*Pricing!$B$19*O35</f>
        <v/>
      </c>
      <c r="P428" s="8">
        <f>P215*Pricing!$C$36*P417*Pricing!$B$19*P35</f>
        <v/>
      </c>
      <c r="Q428" s="8">
        <f>Q215*Pricing!$C$36*Q417*Pricing!$B$19*Q35</f>
        <v/>
      </c>
      <c r="R428" s="8">
        <f>R215*Pricing!$C$36*R417*Pricing!$B$19*R35</f>
        <v/>
      </c>
      <c r="S428" s="8">
        <f>S215*Pricing!$C$36*S417*Pricing!$B$19*S35</f>
        <v/>
      </c>
      <c r="T428" s="8">
        <f>T215*Pricing!$C$36*T417*Pricing!$B$19*T35</f>
        <v/>
      </c>
      <c r="U428" s="8">
        <f>U215*Pricing!$C$36*U417*Pricing!$B$19*U35</f>
        <v/>
      </c>
      <c r="V428" s="8">
        <f>V215*Pricing!$C$36*V417*Pricing!$B$19*V35</f>
        <v/>
      </c>
      <c r="W428" s="8">
        <f>W215*Pricing!$C$36*W417*Pricing!$B$19*W35</f>
        <v/>
      </c>
      <c r="X428" s="8">
        <f>X215*Pricing!$C$36*X417*Pricing!$B$19*X35</f>
        <v/>
      </c>
      <c r="Y428" s="8">
        <f>Y215*Pricing!$C$36*Y417*Pricing!$B$19*Y35</f>
        <v/>
      </c>
      <c r="Z428" s="8">
        <f>Z215*Pricing!$C$36*Z417*Pricing!$B$19*Z35</f>
        <v/>
      </c>
      <c r="AA428" s="8">
        <f>AA215*Pricing!$C$36*AA417*Pricing!$B$19*AA35</f>
        <v/>
      </c>
      <c r="AB428" s="8">
        <f>AB215*Pricing!$C$36*AB417*Pricing!$B$19*AB35</f>
        <v/>
      </c>
      <c r="AC428" s="8">
        <f>AC215*Pricing!$C$36*AC417*Pricing!$B$19*AC35</f>
        <v/>
      </c>
      <c r="AD428" s="8">
        <f>AD215*Pricing!$C$36*AD417*Pricing!$B$19*AD35</f>
        <v/>
      </c>
      <c r="AE428" s="8">
        <f>AE215*Pricing!$C$36*AE417*Pricing!$B$19*AE35</f>
        <v/>
      </c>
      <c r="AF428" s="8">
        <f>AF215*Pricing!$C$36*AF417*Pricing!$B$19*AF35</f>
        <v/>
      </c>
      <c r="AG428" s="8">
        <f>AG215*Pricing!$C$36*AG417*Pricing!$B$19*AG35</f>
        <v/>
      </c>
      <c r="AH428" s="8">
        <f>AH215*Pricing!$C$36*AH417*Pricing!$B$19*AH35</f>
        <v/>
      </c>
      <c r="AI428" s="8">
        <f>AI215*Pricing!$C$36*AI417*Pricing!$B$19*AI35</f>
        <v/>
      </c>
      <c r="AJ428" s="8">
        <f>AJ215*Pricing!$C$36*AJ417*Pricing!$B$19*AJ35</f>
        <v/>
      </c>
      <c r="AK428" s="8">
        <f>AK215*Pricing!$C$36*AK417*Pricing!$B$19*AK35</f>
        <v/>
      </c>
      <c r="AL428" s="8">
        <f>AL215*Pricing!$C$36*AL417*Pricing!$B$19*AL35</f>
        <v/>
      </c>
      <c r="AM428" s="8">
        <f>AM215*Pricing!$C$36*AM417*Pricing!$B$19*AM35</f>
        <v/>
      </c>
      <c r="AN428" s="8">
        <f>AN215*Pricing!$C$36*AN417*Pricing!$B$19*AN35</f>
        <v/>
      </c>
      <c r="AO428" s="8">
        <f>AO215*Pricing!$C$36*AO417*Pricing!$B$19*AO35</f>
        <v/>
      </c>
      <c r="AP428" s="8">
        <f>AP215*Pricing!$C$36*AP417*Pricing!$B$19*AP35</f>
        <v/>
      </c>
      <c r="AQ428" s="8">
        <f>AQ215*Pricing!$C$36*AQ417*Pricing!$B$19*AQ35</f>
        <v/>
      </c>
      <c r="AR428" s="8">
        <f>AR215*Pricing!$C$36*AR417*Pricing!$B$19*AR35</f>
        <v/>
      </c>
      <c r="AS428" s="8">
        <f>AS215*Pricing!$C$36*AS417*Pricing!$B$19*AS35</f>
        <v/>
      </c>
      <c r="AT428" s="8">
        <f>AT215*Pricing!$C$36*AT417*Pricing!$B$19*AT35</f>
        <v/>
      </c>
      <c r="AU428" s="8">
        <f>AU215*Pricing!$C$36*AU417*Pricing!$B$19*AU35</f>
        <v/>
      </c>
      <c r="AV428" s="8">
        <f>AV215*Pricing!$C$36*AV417*Pricing!$B$19*AV35</f>
        <v/>
      </c>
      <c r="AW428" s="8">
        <f>AW215*Pricing!$C$36*AW417*Pricing!$B$19*AW35</f>
        <v/>
      </c>
      <c r="AX428" s="8">
        <f>AX215*Pricing!$C$36*AX417*Pricing!$B$19*AX35</f>
        <v/>
      </c>
      <c r="AY428" s="8">
        <f>AY215*Pricing!$C$36*AY417*Pricing!$B$19*AY35</f>
        <v/>
      </c>
      <c r="AZ428" s="8">
        <f>AZ215*Pricing!$C$36*AZ417*Pricing!$B$19*AZ35</f>
        <v/>
      </c>
      <c r="BA428" s="8">
        <f>BA215*Pricing!$C$36*BA417*Pricing!$B$19*BA35</f>
        <v/>
      </c>
      <c r="BB428" s="8">
        <f>BB215*Pricing!$C$36*BB417*Pricing!$B$19*BB35</f>
        <v/>
      </c>
      <c r="BC428" s="8">
        <f>BC215*Pricing!$C$36*BC417*Pricing!$B$19*BC35</f>
        <v/>
      </c>
      <c r="BD428" s="8">
        <f>BD215*Pricing!$C$36*BD417*Pricing!$B$19*BD35</f>
        <v/>
      </c>
      <c r="BE428" s="8">
        <f>BE215*Pricing!$C$36*BE417*Pricing!$B$19*BE35</f>
        <v/>
      </c>
      <c r="BF428" s="8">
        <f>BF215*Pricing!$C$36*BF417*Pricing!$B$19*BF35</f>
        <v/>
      </c>
      <c r="BG428" s="8">
        <f>BG215*Pricing!$C$36*BG417*Pricing!$B$19*BG35</f>
        <v/>
      </c>
      <c r="BH428" s="8">
        <f>BH215*Pricing!$C$36*BH417*Pricing!$B$19*BH35</f>
        <v/>
      </c>
      <c r="BI428" s="8">
        <f>BI215*Pricing!$C$36*BI417*Pricing!$B$19*BI35</f>
        <v/>
      </c>
      <c r="BJ428" s="8">
        <f>BJ215*Pricing!$C$36*BJ417*Pricing!$B$19*BJ35</f>
        <v/>
      </c>
    </row>
    <row r="429">
      <c r="A429" s="4" t="inlineStr">
        <is>
          <t>Gross subscription revenue: Nigeria: Solo: Starter (direct or upgraded)</t>
        </is>
      </c>
      <c r="B429" s="17" t="inlineStr">
        <is>
          <t>R</t>
        </is>
      </c>
      <c r="C429" s="8">
        <f>C219*Pricing!$C$37*C417*Pricing!$B$19*C35</f>
        <v/>
      </c>
      <c r="D429" s="8">
        <f>D219*Pricing!$C$37*D417*Pricing!$B$19*D35</f>
        <v/>
      </c>
      <c r="E429" s="8">
        <f>E219*Pricing!$C$37*E417*Pricing!$B$19*E35</f>
        <v/>
      </c>
      <c r="F429" s="8">
        <f>F219*Pricing!$C$37*F417*Pricing!$B$19*F35</f>
        <v/>
      </c>
      <c r="G429" s="8">
        <f>G219*Pricing!$C$37*G417*Pricing!$B$19*G35</f>
        <v/>
      </c>
      <c r="H429" s="8">
        <f>H219*Pricing!$C$37*H417*Pricing!$B$19*H35</f>
        <v/>
      </c>
      <c r="I429" s="8">
        <f>I219*Pricing!$C$37*I417*Pricing!$B$19*I35</f>
        <v/>
      </c>
      <c r="J429" s="8">
        <f>J219*Pricing!$C$37*J417*Pricing!$B$19*J35</f>
        <v/>
      </c>
      <c r="K429" s="8">
        <f>K219*Pricing!$C$37*K417*Pricing!$B$19*K35</f>
        <v/>
      </c>
      <c r="L429" s="8">
        <f>L219*Pricing!$C$37*L417*Pricing!$B$19*L35</f>
        <v/>
      </c>
      <c r="M429" s="8">
        <f>M219*Pricing!$C$37*M417*Pricing!$B$19*M35</f>
        <v/>
      </c>
      <c r="N429" s="8">
        <f>N219*Pricing!$C$37*N417*Pricing!$B$19*N35</f>
        <v/>
      </c>
      <c r="O429" s="8">
        <f>O219*Pricing!$C$37*O417*Pricing!$B$19*O35</f>
        <v/>
      </c>
      <c r="P429" s="8">
        <f>P219*Pricing!$C$37*P417*Pricing!$B$19*P35</f>
        <v/>
      </c>
      <c r="Q429" s="8">
        <f>Q219*Pricing!$C$37*Q417*Pricing!$B$19*Q35</f>
        <v/>
      </c>
      <c r="R429" s="8">
        <f>R219*Pricing!$C$37*R417*Pricing!$B$19*R35</f>
        <v/>
      </c>
      <c r="S429" s="8">
        <f>S219*Pricing!$C$37*S417*Pricing!$B$19*S35</f>
        <v/>
      </c>
      <c r="T429" s="8">
        <f>T219*Pricing!$C$37*T417*Pricing!$B$19*T35</f>
        <v/>
      </c>
      <c r="U429" s="8">
        <f>U219*Pricing!$C$37*U417*Pricing!$B$19*U35</f>
        <v/>
      </c>
      <c r="V429" s="8">
        <f>V219*Pricing!$C$37*V417*Pricing!$B$19*V35</f>
        <v/>
      </c>
      <c r="W429" s="8">
        <f>W219*Pricing!$C$37*W417*Pricing!$B$19*W35</f>
        <v/>
      </c>
      <c r="X429" s="8">
        <f>X219*Pricing!$C$37*X417*Pricing!$B$19*X35</f>
        <v/>
      </c>
      <c r="Y429" s="8">
        <f>Y219*Pricing!$C$37*Y417*Pricing!$B$19*Y35</f>
        <v/>
      </c>
      <c r="Z429" s="8">
        <f>Z219*Pricing!$C$37*Z417*Pricing!$B$19*Z35</f>
        <v/>
      </c>
      <c r="AA429" s="8">
        <f>AA219*Pricing!$C$37*AA417*Pricing!$B$19*AA35</f>
        <v/>
      </c>
      <c r="AB429" s="8">
        <f>AB219*Pricing!$C$37*AB417*Pricing!$B$19*AB35</f>
        <v/>
      </c>
      <c r="AC429" s="8">
        <f>AC219*Pricing!$C$37*AC417*Pricing!$B$19*AC35</f>
        <v/>
      </c>
      <c r="AD429" s="8">
        <f>AD219*Pricing!$C$37*AD417*Pricing!$B$19*AD35</f>
        <v/>
      </c>
      <c r="AE429" s="8">
        <f>AE219*Pricing!$C$37*AE417*Pricing!$B$19*AE35</f>
        <v/>
      </c>
      <c r="AF429" s="8">
        <f>AF219*Pricing!$C$37*AF417*Pricing!$B$19*AF35</f>
        <v/>
      </c>
      <c r="AG429" s="8">
        <f>AG219*Pricing!$C$37*AG417*Pricing!$B$19*AG35</f>
        <v/>
      </c>
      <c r="AH429" s="8">
        <f>AH219*Pricing!$C$37*AH417*Pricing!$B$19*AH35</f>
        <v/>
      </c>
      <c r="AI429" s="8">
        <f>AI219*Pricing!$C$37*AI417*Pricing!$B$19*AI35</f>
        <v/>
      </c>
      <c r="AJ429" s="8">
        <f>AJ219*Pricing!$C$37*AJ417*Pricing!$B$19*AJ35</f>
        <v/>
      </c>
      <c r="AK429" s="8">
        <f>AK219*Pricing!$C$37*AK417*Pricing!$B$19*AK35</f>
        <v/>
      </c>
      <c r="AL429" s="8">
        <f>AL219*Pricing!$C$37*AL417*Pricing!$B$19*AL35</f>
        <v/>
      </c>
      <c r="AM429" s="8">
        <f>AM219*Pricing!$C$37*AM417*Pricing!$B$19*AM35</f>
        <v/>
      </c>
      <c r="AN429" s="8">
        <f>AN219*Pricing!$C$37*AN417*Pricing!$B$19*AN35</f>
        <v/>
      </c>
      <c r="AO429" s="8">
        <f>AO219*Pricing!$C$37*AO417*Pricing!$B$19*AO35</f>
        <v/>
      </c>
      <c r="AP429" s="8">
        <f>AP219*Pricing!$C$37*AP417*Pricing!$B$19*AP35</f>
        <v/>
      </c>
      <c r="AQ429" s="8">
        <f>AQ219*Pricing!$C$37*AQ417*Pricing!$B$19*AQ35</f>
        <v/>
      </c>
      <c r="AR429" s="8">
        <f>AR219*Pricing!$C$37*AR417*Pricing!$B$19*AR35</f>
        <v/>
      </c>
      <c r="AS429" s="8">
        <f>AS219*Pricing!$C$37*AS417*Pricing!$B$19*AS35</f>
        <v/>
      </c>
      <c r="AT429" s="8">
        <f>AT219*Pricing!$C$37*AT417*Pricing!$B$19*AT35</f>
        <v/>
      </c>
      <c r="AU429" s="8">
        <f>AU219*Pricing!$C$37*AU417*Pricing!$B$19*AU35</f>
        <v/>
      </c>
      <c r="AV429" s="8">
        <f>AV219*Pricing!$C$37*AV417*Pricing!$B$19*AV35</f>
        <v/>
      </c>
      <c r="AW429" s="8">
        <f>AW219*Pricing!$C$37*AW417*Pricing!$B$19*AW35</f>
        <v/>
      </c>
      <c r="AX429" s="8">
        <f>AX219*Pricing!$C$37*AX417*Pricing!$B$19*AX35</f>
        <v/>
      </c>
      <c r="AY429" s="8">
        <f>AY219*Pricing!$C$37*AY417*Pricing!$B$19*AY35</f>
        <v/>
      </c>
      <c r="AZ429" s="8">
        <f>AZ219*Pricing!$C$37*AZ417*Pricing!$B$19*AZ35</f>
        <v/>
      </c>
      <c r="BA429" s="8">
        <f>BA219*Pricing!$C$37*BA417*Pricing!$B$19*BA35</f>
        <v/>
      </c>
      <c r="BB429" s="8">
        <f>BB219*Pricing!$C$37*BB417*Pricing!$B$19*BB35</f>
        <v/>
      </c>
      <c r="BC429" s="8">
        <f>BC219*Pricing!$C$37*BC417*Pricing!$B$19*BC35</f>
        <v/>
      </c>
      <c r="BD429" s="8">
        <f>BD219*Pricing!$C$37*BD417*Pricing!$B$19*BD35</f>
        <v/>
      </c>
      <c r="BE429" s="8">
        <f>BE219*Pricing!$C$37*BE417*Pricing!$B$19*BE35</f>
        <v/>
      </c>
      <c r="BF429" s="8">
        <f>BF219*Pricing!$C$37*BF417*Pricing!$B$19*BF35</f>
        <v/>
      </c>
      <c r="BG429" s="8">
        <f>BG219*Pricing!$C$37*BG417*Pricing!$B$19*BG35</f>
        <v/>
      </c>
      <c r="BH429" s="8">
        <f>BH219*Pricing!$C$37*BH417*Pricing!$B$19*BH35</f>
        <v/>
      </c>
      <c r="BI429" s="8">
        <f>BI219*Pricing!$C$37*BI417*Pricing!$B$19*BI35</f>
        <v/>
      </c>
      <c r="BJ429" s="8">
        <f>BJ219*Pricing!$C$37*BJ417*Pricing!$B$19*BJ35</f>
        <v/>
      </c>
    </row>
    <row r="430">
      <c r="A430" s="4" t="inlineStr">
        <is>
          <t>Gross subscription revenue: Nigeria: SME: Starter</t>
        </is>
      </c>
      <c r="B430" s="17" t="inlineStr">
        <is>
          <t>R</t>
        </is>
      </c>
      <c r="C430" s="8">
        <f>C224*Pricing!$C$37*C417*Pricing!$B$19*C35</f>
        <v/>
      </c>
      <c r="D430" s="8">
        <f>D224*Pricing!$C$37*D417*Pricing!$B$19*D35</f>
        <v/>
      </c>
      <c r="E430" s="8">
        <f>E224*Pricing!$C$37*E417*Pricing!$B$19*E35</f>
        <v/>
      </c>
      <c r="F430" s="8">
        <f>F224*Pricing!$C$37*F417*Pricing!$B$19*F35</f>
        <v/>
      </c>
      <c r="G430" s="8">
        <f>G224*Pricing!$C$37*G417*Pricing!$B$19*G35</f>
        <v/>
      </c>
      <c r="H430" s="8">
        <f>H224*Pricing!$C$37*H417*Pricing!$B$19*H35</f>
        <v/>
      </c>
      <c r="I430" s="8">
        <f>I224*Pricing!$C$37*I417*Pricing!$B$19*I35</f>
        <v/>
      </c>
      <c r="J430" s="8">
        <f>J224*Pricing!$C$37*J417*Pricing!$B$19*J35</f>
        <v/>
      </c>
      <c r="K430" s="8">
        <f>K224*Pricing!$C$37*K417*Pricing!$B$19*K35</f>
        <v/>
      </c>
      <c r="L430" s="8">
        <f>L224*Pricing!$C$37*L417*Pricing!$B$19*L35</f>
        <v/>
      </c>
      <c r="M430" s="8">
        <f>M224*Pricing!$C$37*M417*Pricing!$B$19*M35</f>
        <v/>
      </c>
      <c r="N430" s="8">
        <f>N224*Pricing!$C$37*N417*Pricing!$B$19*N35</f>
        <v/>
      </c>
      <c r="O430" s="8">
        <f>O224*Pricing!$C$37*O417*Pricing!$B$19*O35</f>
        <v/>
      </c>
      <c r="P430" s="8">
        <f>P224*Pricing!$C$37*P417*Pricing!$B$19*P35</f>
        <v/>
      </c>
      <c r="Q430" s="8">
        <f>Q224*Pricing!$C$37*Q417*Pricing!$B$19*Q35</f>
        <v/>
      </c>
      <c r="R430" s="8">
        <f>R224*Pricing!$C$37*R417*Pricing!$B$19*R35</f>
        <v/>
      </c>
      <c r="S430" s="8">
        <f>S224*Pricing!$C$37*S417*Pricing!$B$19*S35</f>
        <v/>
      </c>
      <c r="T430" s="8">
        <f>T224*Pricing!$C$37*T417*Pricing!$B$19*T35</f>
        <v/>
      </c>
      <c r="U430" s="8">
        <f>U224*Pricing!$C$37*U417*Pricing!$B$19*U35</f>
        <v/>
      </c>
      <c r="V430" s="8">
        <f>V224*Pricing!$C$37*V417*Pricing!$B$19*V35</f>
        <v/>
      </c>
      <c r="W430" s="8">
        <f>W224*Pricing!$C$37*W417*Pricing!$B$19*W35</f>
        <v/>
      </c>
      <c r="X430" s="8">
        <f>X224*Pricing!$C$37*X417*Pricing!$B$19*X35</f>
        <v/>
      </c>
      <c r="Y430" s="8">
        <f>Y224*Pricing!$C$37*Y417*Pricing!$B$19*Y35</f>
        <v/>
      </c>
      <c r="Z430" s="8">
        <f>Z224*Pricing!$C$37*Z417*Pricing!$B$19*Z35</f>
        <v/>
      </c>
      <c r="AA430" s="8">
        <f>AA224*Pricing!$C$37*AA417*Pricing!$B$19*AA35</f>
        <v/>
      </c>
      <c r="AB430" s="8">
        <f>AB224*Pricing!$C$37*AB417*Pricing!$B$19*AB35</f>
        <v/>
      </c>
      <c r="AC430" s="8">
        <f>AC224*Pricing!$C$37*AC417*Pricing!$B$19*AC35</f>
        <v/>
      </c>
      <c r="AD430" s="8">
        <f>AD224*Pricing!$C$37*AD417*Pricing!$B$19*AD35</f>
        <v/>
      </c>
      <c r="AE430" s="8">
        <f>AE224*Pricing!$C$37*AE417*Pricing!$B$19*AE35</f>
        <v/>
      </c>
      <c r="AF430" s="8">
        <f>AF224*Pricing!$C$37*AF417*Pricing!$B$19*AF35</f>
        <v/>
      </c>
      <c r="AG430" s="8">
        <f>AG224*Pricing!$C$37*AG417*Pricing!$B$19*AG35</f>
        <v/>
      </c>
      <c r="AH430" s="8">
        <f>AH224*Pricing!$C$37*AH417*Pricing!$B$19*AH35</f>
        <v/>
      </c>
      <c r="AI430" s="8">
        <f>AI224*Pricing!$C$37*AI417*Pricing!$B$19*AI35</f>
        <v/>
      </c>
      <c r="AJ430" s="8">
        <f>AJ224*Pricing!$C$37*AJ417*Pricing!$B$19*AJ35</f>
        <v/>
      </c>
      <c r="AK430" s="8">
        <f>AK224*Pricing!$C$37*AK417*Pricing!$B$19*AK35</f>
        <v/>
      </c>
      <c r="AL430" s="8">
        <f>AL224*Pricing!$C$37*AL417*Pricing!$B$19*AL35</f>
        <v/>
      </c>
      <c r="AM430" s="8">
        <f>AM224*Pricing!$C$37*AM417*Pricing!$B$19*AM35</f>
        <v/>
      </c>
      <c r="AN430" s="8">
        <f>AN224*Pricing!$C$37*AN417*Pricing!$B$19*AN35</f>
        <v/>
      </c>
      <c r="AO430" s="8">
        <f>AO224*Pricing!$C$37*AO417*Pricing!$B$19*AO35</f>
        <v/>
      </c>
      <c r="AP430" s="8">
        <f>AP224*Pricing!$C$37*AP417*Pricing!$B$19*AP35</f>
        <v/>
      </c>
      <c r="AQ430" s="8">
        <f>AQ224*Pricing!$C$37*AQ417*Pricing!$B$19*AQ35</f>
        <v/>
      </c>
      <c r="AR430" s="8">
        <f>AR224*Pricing!$C$37*AR417*Pricing!$B$19*AR35</f>
        <v/>
      </c>
      <c r="AS430" s="8">
        <f>AS224*Pricing!$C$37*AS417*Pricing!$B$19*AS35</f>
        <v/>
      </c>
      <c r="AT430" s="8">
        <f>AT224*Pricing!$C$37*AT417*Pricing!$B$19*AT35</f>
        <v/>
      </c>
      <c r="AU430" s="8">
        <f>AU224*Pricing!$C$37*AU417*Pricing!$B$19*AU35</f>
        <v/>
      </c>
      <c r="AV430" s="8">
        <f>AV224*Pricing!$C$37*AV417*Pricing!$B$19*AV35</f>
        <v/>
      </c>
      <c r="AW430" s="8">
        <f>AW224*Pricing!$C$37*AW417*Pricing!$B$19*AW35</f>
        <v/>
      </c>
      <c r="AX430" s="8">
        <f>AX224*Pricing!$C$37*AX417*Pricing!$B$19*AX35</f>
        <v/>
      </c>
      <c r="AY430" s="8">
        <f>AY224*Pricing!$C$37*AY417*Pricing!$B$19*AY35</f>
        <v/>
      </c>
      <c r="AZ430" s="8">
        <f>AZ224*Pricing!$C$37*AZ417*Pricing!$B$19*AZ35</f>
        <v/>
      </c>
      <c r="BA430" s="8">
        <f>BA224*Pricing!$C$37*BA417*Pricing!$B$19*BA35</f>
        <v/>
      </c>
      <c r="BB430" s="8">
        <f>BB224*Pricing!$C$37*BB417*Pricing!$B$19*BB35</f>
        <v/>
      </c>
      <c r="BC430" s="8">
        <f>BC224*Pricing!$C$37*BC417*Pricing!$B$19*BC35</f>
        <v/>
      </c>
      <c r="BD430" s="8">
        <f>BD224*Pricing!$C$37*BD417*Pricing!$B$19*BD35</f>
        <v/>
      </c>
      <c r="BE430" s="8">
        <f>BE224*Pricing!$C$37*BE417*Pricing!$B$19*BE35</f>
        <v/>
      </c>
      <c r="BF430" s="8">
        <f>BF224*Pricing!$C$37*BF417*Pricing!$B$19*BF35</f>
        <v/>
      </c>
      <c r="BG430" s="8">
        <f>BG224*Pricing!$C$37*BG417*Pricing!$B$19*BG35</f>
        <v/>
      </c>
      <c r="BH430" s="8">
        <f>BH224*Pricing!$C$37*BH417*Pricing!$B$19*BH35</f>
        <v/>
      </c>
      <c r="BI430" s="8">
        <f>BI224*Pricing!$C$37*BI417*Pricing!$B$19*BI35</f>
        <v/>
      </c>
      <c r="BJ430" s="8">
        <f>BJ224*Pricing!$C$37*BJ417*Pricing!$B$19*BJ35</f>
        <v/>
      </c>
    </row>
    <row r="431">
      <c r="A431" s="4" t="inlineStr">
        <is>
          <t>Gross subscription revenue: Nigeria: SME: Growth (direct or upgraded)</t>
        </is>
      </c>
      <c r="B431" s="17" t="inlineStr">
        <is>
          <t>R</t>
        </is>
      </c>
      <c r="C431" s="8">
        <f>C229*Pricing!$C$38*C417*Pricing!$B$19*C35</f>
        <v/>
      </c>
      <c r="D431" s="8">
        <f>D229*Pricing!$C$38*D417*Pricing!$B$19*D35</f>
        <v/>
      </c>
      <c r="E431" s="8">
        <f>E229*Pricing!$C$38*E417*Pricing!$B$19*E35</f>
        <v/>
      </c>
      <c r="F431" s="8">
        <f>F229*Pricing!$C$38*F417*Pricing!$B$19*F35</f>
        <v/>
      </c>
      <c r="G431" s="8">
        <f>G229*Pricing!$C$38*G417*Pricing!$B$19*G35</f>
        <v/>
      </c>
      <c r="H431" s="8">
        <f>H229*Pricing!$C$38*H417*Pricing!$B$19*H35</f>
        <v/>
      </c>
      <c r="I431" s="8">
        <f>I229*Pricing!$C$38*I417*Pricing!$B$19*I35</f>
        <v/>
      </c>
      <c r="J431" s="8">
        <f>J229*Pricing!$C$38*J417*Pricing!$B$19*J35</f>
        <v/>
      </c>
      <c r="K431" s="8">
        <f>K229*Pricing!$C$38*K417*Pricing!$B$19*K35</f>
        <v/>
      </c>
      <c r="L431" s="8">
        <f>L229*Pricing!$C$38*L417*Pricing!$B$19*L35</f>
        <v/>
      </c>
      <c r="M431" s="8">
        <f>M229*Pricing!$C$38*M417*Pricing!$B$19*M35</f>
        <v/>
      </c>
      <c r="N431" s="8">
        <f>N229*Pricing!$C$38*N417*Pricing!$B$19*N35</f>
        <v/>
      </c>
      <c r="O431" s="8">
        <f>O229*Pricing!$C$38*O417*Pricing!$B$19*O35</f>
        <v/>
      </c>
      <c r="P431" s="8">
        <f>P229*Pricing!$C$38*P417*Pricing!$B$19*P35</f>
        <v/>
      </c>
      <c r="Q431" s="8">
        <f>Q229*Pricing!$C$38*Q417*Pricing!$B$19*Q35</f>
        <v/>
      </c>
      <c r="R431" s="8">
        <f>R229*Pricing!$C$38*R417*Pricing!$B$19*R35</f>
        <v/>
      </c>
      <c r="S431" s="8">
        <f>S229*Pricing!$C$38*S417*Pricing!$B$19*S35</f>
        <v/>
      </c>
      <c r="T431" s="8">
        <f>T229*Pricing!$C$38*T417*Pricing!$B$19*T35</f>
        <v/>
      </c>
      <c r="U431" s="8">
        <f>U229*Pricing!$C$38*U417*Pricing!$B$19*U35</f>
        <v/>
      </c>
      <c r="V431" s="8">
        <f>V229*Pricing!$C$38*V417*Pricing!$B$19*V35</f>
        <v/>
      </c>
      <c r="W431" s="8">
        <f>W229*Pricing!$C$38*W417*Pricing!$B$19*W35</f>
        <v/>
      </c>
      <c r="X431" s="8">
        <f>X229*Pricing!$C$38*X417*Pricing!$B$19*X35</f>
        <v/>
      </c>
      <c r="Y431" s="8">
        <f>Y229*Pricing!$C$38*Y417*Pricing!$B$19*Y35</f>
        <v/>
      </c>
      <c r="Z431" s="8">
        <f>Z229*Pricing!$C$38*Z417*Pricing!$B$19*Z35</f>
        <v/>
      </c>
      <c r="AA431" s="8">
        <f>AA229*Pricing!$C$38*AA417*Pricing!$B$19*AA35</f>
        <v/>
      </c>
      <c r="AB431" s="8">
        <f>AB229*Pricing!$C$38*AB417*Pricing!$B$19*AB35</f>
        <v/>
      </c>
      <c r="AC431" s="8">
        <f>AC229*Pricing!$C$38*AC417*Pricing!$B$19*AC35</f>
        <v/>
      </c>
      <c r="AD431" s="8">
        <f>AD229*Pricing!$C$38*AD417*Pricing!$B$19*AD35</f>
        <v/>
      </c>
      <c r="AE431" s="8">
        <f>AE229*Pricing!$C$38*AE417*Pricing!$B$19*AE35</f>
        <v/>
      </c>
      <c r="AF431" s="8">
        <f>AF229*Pricing!$C$38*AF417*Pricing!$B$19*AF35</f>
        <v/>
      </c>
      <c r="AG431" s="8">
        <f>AG229*Pricing!$C$38*AG417*Pricing!$B$19*AG35</f>
        <v/>
      </c>
      <c r="AH431" s="8">
        <f>AH229*Pricing!$C$38*AH417*Pricing!$B$19*AH35</f>
        <v/>
      </c>
      <c r="AI431" s="8">
        <f>AI229*Pricing!$C$38*AI417*Pricing!$B$19*AI35</f>
        <v/>
      </c>
      <c r="AJ431" s="8">
        <f>AJ229*Pricing!$C$38*AJ417*Pricing!$B$19*AJ35</f>
        <v/>
      </c>
      <c r="AK431" s="8">
        <f>AK229*Pricing!$C$38*AK417*Pricing!$B$19*AK35</f>
        <v/>
      </c>
      <c r="AL431" s="8">
        <f>AL229*Pricing!$C$38*AL417*Pricing!$B$19*AL35</f>
        <v/>
      </c>
      <c r="AM431" s="8">
        <f>AM229*Pricing!$C$38*AM417*Pricing!$B$19*AM35</f>
        <v/>
      </c>
      <c r="AN431" s="8">
        <f>AN229*Pricing!$C$38*AN417*Pricing!$B$19*AN35</f>
        <v/>
      </c>
      <c r="AO431" s="8">
        <f>AO229*Pricing!$C$38*AO417*Pricing!$B$19*AO35</f>
        <v/>
      </c>
      <c r="AP431" s="8">
        <f>AP229*Pricing!$C$38*AP417*Pricing!$B$19*AP35</f>
        <v/>
      </c>
      <c r="AQ431" s="8">
        <f>AQ229*Pricing!$C$38*AQ417*Pricing!$B$19*AQ35</f>
        <v/>
      </c>
      <c r="AR431" s="8">
        <f>AR229*Pricing!$C$38*AR417*Pricing!$B$19*AR35</f>
        <v/>
      </c>
      <c r="AS431" s="8">
        <f>AS229*Pricing!$C$38*AS417*Pricing!$B$19*AS35</f>
        <v/>
      </c>
      <c r="AT431" s="8">
        <f>AT229*Pricing!$C$38*AT417*Pricing!$B$19*AT35</f>
        <v/>
      </c>
      <c r="AU431" s="8">
        <f>AU229*Pricing!$C$38*AU417*Pricing!$B$19*AU35</f>
        <v/>
      </c>
      <c r="AV431" s="8">
        <f>AV229*Pricing!$C$38*AV417*Pricing!$B$19*AV35</f>
        <v/>
      </c>
      <c r="AW431" s="8">
        <f>AW229*Pricing!$C$38*AW417*Pricing!$B$19*AW35</f>
        <v/>
      </c>
      <c r="AX431" s="8">
        <f>AX229*Pricing!$C$38*AX417*Pricing!$B$19*AX35</f>
        <v/>
      </c>
      <c r="AY431" s="8">
        <f>AY229*Pricing!$C$38*AY417*Pricing!$B$19*AY35</f>
        <v/>
      </c>
      <c r="AZ431" s="8">
        <f>AZ229*Pricing!$C$38*AZ417*Pricing!$B$19*AZ35</f>
        <v/>
      </c>
      <c r="BA431" s="8">
        <f>BA229*Pricing!$C$38*BA417*Pricing!$B$19*BA35</f>
        <v/>
      </c>
      <c r="BB431" s="8">
        <f>BB229*Pricing!$C$38*BB417*Pricing!$B$19*BB35</f>
        <v/>
      </c>
      <c r="BC431" s="8">
        <f>BC229*Pricing!$C$38*BC417*Pricing!$B$19*BC35</f>
        <v/>
      </c>
      <c r="BD431" s="8">
        <f>BD229*Pricing!$C$38*BD417*Pricing!$B$19*BD35</f>
        <v/>
      </c>
      <c r="BE431" s="8">
        <f>BE229*Pricing!$C$38*BE417*Pricing!$B$19*BE35</f>
        <v/>
      </c>
      <c r="BF431" s="8">
        <f>BF229*Pricing!$C$38*BF417*Pricing!$B$19*BF35</f>
        <v/>
      </c>
      <c r="BG431" s="8">
        <f>BG229*Pricing!$C$38*BG417*Pricing!$B$19*BG35</f>
        <v/>
      </c>
      <c r="BH431" s="8">
        <f>BH229*Pricing!$C$38*BH417*Pricing!$B$19*BH35</f>
        <v/>
      </c>
      <c r="BI431" s="8">
        <f>BI229*Pricing!$C$38*BI417*Pricing!$B$19*BI35</f>
        <v/>
      </c>
      <c r="BJ431" s="8">
        <f>BJ229*Pricing!$C$38*BJ417*Pricing!$B$19*BJ35</f>
        <v/>
      </c>
    </row>
    <row r="432">
      <c r="A432" s="4" t="inlineStr">
        <is>
          <t>Gross subscription revenue: Nigeria: SME: Scale (direct or upgraded)</t>
        </is>
      </c>
      <c r="B432" s="17" t="inlineStr">
        <is>
          <t>R</t>
        </is>
      </c>
      <c r="C432" s="8">
        <f>C233*Pricing!$C$39*C417*Pricing!$B$19*C35</f>
        <v/>
      </c>
      <c r="D432" s="8">
        <f>D233*Pricing!$C$39*D417*Pricing!$B$19*D35</f>
        <v/>
      </c>
      <c r="E432" s="8">
        <f>E233*Pricing!$C$39*E417*Pricing!$B$19*E35</f>
        <v/>
      </c>
      <c r="F432" s="8">
        <f>F233*Pricing!$C$39*F417*Pricing!$B$19*F35</f>
        <v/>
      </c>
      <c r="G432" s="8">
        <f>G233*Pricing!$C$39*G417*Pricing!$B$19*G35</f>
        <v/>
      </c>
      <c r="H432" s="8">
        <f>H233*Pricing!$C$39*H417*Pricing!$B$19*H35</f>
        <v/>
      </c>
      <c r="I432" s="8">
        <f>I233*Pricing!$C$39*I417*Pricing!$B$19*I35</f>
        <v/>
      </c>
      <c r="J432" s="8">
        <f>J233*Pricing!$C$39*J417*Pricing!$B$19*J35</f>
        <v/>
      </c>
      <c r="K432" s="8">
        <f>K233*Pricing!$C$39*K417*Pricing!$B$19*K35</f>
        <v/>
      </c>
      <c r="L432" s="8">
        <f>L233*Pricing!$C$39*L417*Pricing!$B$19*L35</f>
        <v/>
      </c>
      <c r="M432" s="8">
        <f>M233*Pricing!$C$39*M417*Pricing!$B$19*M35</f>
        <v/>
      </c>
      <c r="N432" s="8">
        <f>N233*Pricing!$C$39*N417*Pricing!$B$19*N35</f>
        <v/>
      </c>
      <c r="O432" s="8">
        <f>O233*Pricing!$C$39*O417*Pricing!$B$19*O35</f>
        <v/>
      </c>
      <c r="P432" s="8">
        <f>P233*Pricing!$C$39*P417*Pricing!$B$19*P35</f>
        <v/>
      </c>
      <c r="Q432" s="8">
        <f>Q233*Pricing!$C$39*Q417*Pricing!$B$19*Q35</f>
        <v/>
      </c>
      <c r="R432" s="8">
        <f>R233*Pricing!$C$39*R417*Pricing!$B$19*R35</f>
        <v/>
      </c>
      <c r="S432" s="8">
        <f>S233*Pricing!$C$39*S417*Pricing!$B$19*S35</f>
        <v/>
      </c>
      <c r="T432" s="8">
        <f>T233*Pricing!$C$39*T417*Pricing!$B$19*T35</f>
        <v/>
      </c>
      <c r="U432" s="8">
        <f>U233*Pricing!$C$39*U417*Pricing!$B$19*U35</f>
        <v/>
      </c>
      <c r="V432" s="8">
        <f>V233*Pricing!$C$39*V417*Pricing!$B$19*V35</f>
        <v/>
      </c>
      <c r="W432" s="8">
        <f>W233*Pricing!$C$39*W417*Pricing!$B$19*W35</f>
        <v/>
      </c>
      <c r="X432" s="8">
        <f>X233*Pricing!$C$39*X417*Pricing!$B$19*X35</f>
        <v/>
      </c>
      <c r="Y432" s="8">
        <f>Y233*Pricing!$C$39*Y417*Pricing!$B$19*Y35</f>
        <v/>
      </c>
      <c r="Z432" s="8">
        <f>Z233*Pricing!$C$39*Z417*Pricing!$B$19*Z35</f>
        <v/>
      </c>
      <c r="AA432" s="8">
        <f>AA233*Pricing!$C$39*AA417*Pricing!$B$19*AA35</f>
        <v/>
      </c>
      <c r="AB432" s="8">
        <f>AB233*Pricing!$C$39*AB417*Pricing!$B$19*AB35</f>
        <v/>
      </c>
      <c r="AC432" s="8">
        <f>AC233*Pricing!$C$39*AC417*Pricing!$B$19*AC35</f>
        <v/>
      </c>
      <c r="AD432" s="8">
        <f>AD233*Pricing!$C$39*AD417*Pricing!$B$19*AD35</f>
        <v/>
      </c>
      <c r="AE432" s="8">
        <f>AE233*Pricing!$C$39*AE417*Pricing!$B$19*AE35</f>
        <v/>
      </c>
      <c r="AF432" s="8">
        <f>AF233*Pricing!$C$39*AF417*Pricing!$B$19*AF35</f>
        <v/>
      </c>
      <c r="AG432" s="8">
        <f>AG233*Pricing!$C$39*AG417*Pricing!$B$19*AG35</f>
        <v/>
      </c>
      <c r="AH432" s="8">
        <f>AH233*Pricing!$C$39*AH417*Pricing!$B$19*AH35</f>
        <v/>
      </c>
      <c r="AI432" s="8">
        <f>AI233*Pricing!$C$39*AI417*Pricing!$B$19*AI35</f>
        <v/>
      </c>
      <c r="AJ432" s="8">
        <f>AJ233*Pricing!$C$39*AJ417*Pricing!$B$19*AJ35</f>
        <v/>
      </c>
      <c r="AK432" s="8">
        <f>AK233*Pricing!$C$39*AK417*Pricing!$B$19*AK35</f>
        <v/>
      </c>
      <c r="AL432" s="8">
        <f>AL233*Pricing!$C$39*AL417*Pricing!$B$19*AL35</f>
        <v/>
      </c>
      <c r="AM432" s="8">
        <f>AM233*Pricing!$C$39*AM417*Pricing!$B$19*AM35</f>
        <v/>
      </c>
      <c r="AN432" s="8">
        <f>AN233*Pricing!$C$39*AN417*Pricing!$B$19*AN35</f>
        <v/>
      </c>
      <c r="AO432" s="8">
        <f>AO233*Pricing!$C$39*AO417*Pricing!$B$19*AO35</f>
        <v/>
      </c>
      <c r="AP432" s="8">
        <f>AP233*Pricing!$C$39*AP417*Pricing!$B$19*AP35</f>
        <v/>
      </c>
      <c r="AQ432" s="8">
        <f>AQ233*Pricing!$C$39*AQ417*Pricing!$B$19*AQ35</f>
        <v/>
      </c>
      <c r="AR432" s="8">
        <f>AR233*Pricing!$C$39*AR417*Pricing!$B$19*AR35</f>
        <v/>
      </c>
      <c r="AS432" s="8">
        <f>AS233*Pricing!$C$39*AS417*Pricing!$B$19*AS35</f>
        <v/>
      </c>
      <c r="AT432" s="8">
        <f>AT233*Pricing!$C$39*AT417*Pricing!$B$19*AT35</f>
        <v/>
      </c>
      <c r="AU432" s="8">
        <f>AU233*Pricing!$C$39*AU417*Pricing!$B$19*AU35</f>
        <v/>
      </c>
      <c r="AV432" s="8">
        <f>AV233*Pricing!$C$39*AV417*Pricing!$B$19*AV35</f>
        <v/>
      </c>
      <c r="AW432" s="8">
        <f>AW233*Pricing!$C$39*AW417*Pricing!$B$19*AW35</f>
        <v/>
      </c>
      <c r="AX432" s="8">
        <f>AX233*Pricing!$C$39*AX417*Pricing!$B$19*AX35</f>
        <v/>
      </c>
      <c r="AY432" s="8">
        <f>AY233*Pricing!$C$39*AY417*Pricing!$B$19*AY35</f>
        <v/>
      </c>
      <c r="AZ432" s="8">
        <f>AZ233*Pricing!$C$39*AZ417*Pricing!$B$19*AZ35</f>
        <v/>
      </c>
      <c r="BA432" s="8">
        <f>BA233*Pricing!$C$39*BA417*Pricing!$B$19*BA35</f>
        <v/>
      </c>
      <c r="BB432" s="8">
        <f>BB233*Pricing!$C$39*BB417*Pricing!$B$19*BB35</f>
        <v/>
      </c>
      <c r="BC432" s="8">
        <f>BC233*Pricing!$C$39*BC417*Pricing!$B$19*BC35</f>
        <v/>
      </c>
      <c r="BD432" s="8">
        <f>BD233*Pricing!$C$39*BD417*Pricing!$B$19*BD35</f>
        <v/>
      </c>
      <c r="BE432" s="8">
        <f>BE233*Pricing!$C$39*BE417*Pricing!$B$19*BE35</f>
        <v/>
      </c>
      <c r="BF432" s="8">
        <f>BF233*Pricing!$C$39*BF417*Pricing!$B$19*BF35</f>
        <v/>
      </c>
      <c r="BG432" s="8">
        <f>BG233*Pricing!$C$39*BG417*Pricing!$B$19*BG35</f>
        <v/>
      </c>
      <c r="BH432" s="8">
        <f>BH233*Pricing!$C$39*BH417*Pricing!$B$19*BH35</f>
        <v/>
      </c>
      <c r="BI432" s="8">
        <f>BI233*Pricing!$C$39*BI417*Pricing!$B$19*BI35</f>
        <v/>
      </c>
      <c r="BJ432" s="8">
        <f>BJ233*Pricing!$C$39*BJ417*Pricing!$B$19*BJ35</f>
        <v/>
      </c>
    </row>
    <row r="433">
      <c r="A433" s="4" t="inlineStr">
        <is>
          <t>Gross subscription revenue: Nigeria: Agency / partner: Agency tier</t>
        </is>
      </c>
      <c r="B433" s="17" t="inlineStr">
        <is>
          <t>R</t>
        </is>
      </c>
      <c r="C433" s="8">
        <f>C237*(Pricing!$B$20*Pricing!$C$43+(1-Pricing!$B$20)*Pricing!$C$41)*C417*Pricing!$B$19*C35</f>
        <v/>
      </c>
      <c r="D433" s="8">
        <f>D237*(Pricing!$B$20*Pricing!$C$43+(1-Pricing!$B$20)*Pricing!$C$41)*D417*Pricing!$B$19*D35</f>
        <v/>
      </c>
      <c r="E433" s="8">
        <f>E237*(Pricing!$B$20*Pricing!$C$43+(1-Pricing!$B$20)*Pricing!$C$41)*E417*Pricing!$B$19*E35</f>
        <v/>
      </c>
      <c r="F433" s="8">
        <f>F237*(Pricing!$B$20*Pricing!$C$43+(1-Pricing!$B$20)*Pricing!$C$41)*F417*Pricing!$B$19*F35</f>
        <v/>
      </c>
      <c r="G433" s="8">
        <f>G237*(Pricing!$B$20*Pricing!$C$43+(1-Pricing!$B$20)*Pricing!$C$41)*G417*Pricing!$B$19*G35</f>
        <v/>
      </c>
      <c r="H433" s="8">
        <f>H237*(Pricing!$B$20*Pricing!$C$43+(1-Pricing!$B$20)*Pricing!$C$41)*H417*Pricing!$B$19*H35</f>
        <v/>
      </c>
      <c r="I433" s="8">
        <f>I237*(Pricing!$B$20*Pricing!$C$43+(1-Pricing!$B$20)*Pricing!$C$41)*I417*Pricing!$B$19*I35</f>
        <v/>
      </c>
      <c r="J433" s="8">
        <f>J237*(Pricing!$B$20*Pricing!$C$43+(1-Pricing!$B$20)*Pricing!$C$41)*J417*Pricing!$B$19*J35</f>
        <v/>
      </c>
      <c r="K433" s="8">
        <f>K237*(Pricing!$B$20*Pricing!$C$43+(1-Pricing!$B$20)*Pricing!$C$41)*K417*Pricing!$B$19*K35</f>
        <v/>
      </c>
      <c r="L433" s="8">
        <f>L237*(Pricing!$B$20*Pricing!$C$43+(1-Pricing!$B$20)*Pricing!$C$41)*L417*Pricing!$B$19*L35</f>
        <v/>
      </c>
      <c r="M433" s="8">
        <f>M237*(Pricing!$B$20*Pricing!$C$43+(1-Pricing!$B$20)*Pricing!$C$41)*M417*Pricing!$B$19*M35</f>
        <v/>
      </c>
      <c r="N433" s="8">
        <f>N237*(Pricing!$B$20*Pricing!$C$43+(1-Pricing!$B$20)*Pricing!$C$41)*N417*Pricing!$B$19*N35</f>
        <v/>
      </c>
      <c r="O433" s="8">
        <f>O237*(Pricing!$B$20*Pricing!$C$43+(1-Pricing!$B$20)*Pricing!$C$41)*O417*Pricing!$B$19*O35</f>
        <v/>
      </c>
      <c r="P433" s="8">
        <f>P237*(Pricing!$B$20*Pricing!$C$43+(1-Pricing!$B$20)*Pricing!$C$41)*P417*Pricing!$B$19*P35</f>
        <v/>
      </c>
      <c r="Q433" s="8">
        <f>Q237*(Pricing!$B$20*Pricing!$C$43+(1-Pricing!$B$20)*Pricing!$C$41)*Q417*Pricing!$B$19*Q35</f>
        <v/>
      </c>
      <c r="R433" s="8">
        <f>R237*(Pricing!$B$20*Pricing!$C$43+(1-Pricing!$B$20)*Pricing!$C$41)*R417*Pricing!$B$19*R35</f>
        <v/>
      </c>
      <c r="S433" s="8">
        <f>S237*(Pricing!$B$20*Pricing!$C$43+(1-Pricing!$B$20)*Pricing!$C$41)*S417*Pricing!$B$19*S35</f>
        <v/>
      </c>
      <c r="T433" s="8">
        <f>T237*(Pricing!$B$20*Pricing!$C$43+(1-Pricing!$B$20)*Pricing!$C$41)*T417*Pricing!$B$19*T35</f>
        <v/>
      </c>
      <c r="U433" s="8">
        <f>U237*(Pricing!$B$20*Pricing!$C$43+(1-Pricing!$B$20)*Pricing!$C$41)*U417*Pricing!$B$19*U35</f>
        <v/>
      </c>
      <c r="V433" s="8">
        <f>V237*(Pricing!$B$20*Pricing!$C$43+(1-Pricing!$B$20)*Pricing!$C$41)*V417*Pricing!$B$19*V35</f>
        <v/>
      </c>
      <c r="W433" s="8">
        <f>W237*(Pricing!$B$20*Pricing!$C$43+(1-Pricing!$B$20)*Pricing!$C$41)*W417*Pricing!$B$19*W35</f>
        <v/>
      </c>
      <c r="X433" s="8">
        <f>X237*(Pricing!$B$20*Pricing!$C$43+(1-Pricing!$B$20)*Pricing!$C$41)*X417*Pricing!$B$19*X35</f>
        <v/>
      </c>
      <c r="Y433" s="8">
        <f>Y237*(Pricing!$B$20*Pricing!$C$43+(1-Pricing!$B$20)*Pricing!$C$41)*Y417*Pricing!$B$19*Y35</f>
        <v/>
      </c>
      <c r="Z433" s="8">
        <f>Z237*(Pricing!$B$20*Pricing!$C$43+(1-Pricing!$B$20)*Pricing!$C$41)*Z417*Pricing!$B$19*Z35</f>
        <v/>
      </c>
      <c r="AA433" s="8">
        <f>AA237*(Pricing!$B$20*Pricing!$C$43+(1-Pricing!$B$20)*Pricing!$C$41)*AA417*Pricing!$B$19*AA35</f>
        <v/>
      </c>
      <c r="AB433" s="8">
        <f>AB237*(Pricing!$B$20*Pricing!$C$43+(1-Pricing!$B$20)*Pricing!$C$41)*AB417*Pricing!$B$19*AB35</f>
        <v/>
      </c>
      <c r="AC433" s="8">
        <f>AC237*(Pricing!$B$20*Pricing!$C$43+(1-Pricing!$B$20)*Pricing!$C$41)*AC417*Pricing!$B$19*AC35</f>
        <v/>
      </c>
      <c r="AD433" s="8">
        <f>AD237*(Pricing!$B$20*Pricing!$C$43+(1-Pricing!$B$20)*Pricing!$C$41)*AD417*Pricing!$B$19*AD35</f>
        <v/>
      </c>
      <c r="AE433" s="8">
        <f>AE237*(Pricing!$B$20*Pricing!$C$43+(1-Pricing!$B$20)*Pricing!$C$41)*AE417*Pricing!$B$19*AE35</f>
        <v/>
      </c>
      <c r="AF433" s="8">
        <f>AF237*(Pricing!$B$20*Pricing!$C$43+(1-Pricing!$B$20)*Pricing!$C$41)*AF417*Pricing!$B$19*AF35</f>
        <v/>
      </c>
      <c r="AG433" s="8">
        <f>AG237*(Pricing!$B$20*Pricing!$C$43+(1-Pricing!$B$20)*Pricing!$C$41)*AG417*Pricing!$B$19*AG35</f>
        <v/>
      </c>
      <c r="AH433" s="8">
        <f>AH237*(Pricing!$B$20*Pricing!$C$43+(1-Pricing!$B$20)*Pricing!$C$41)*AH417*Pricing!$B$19*AH35</f>
        <v/>
      </c>
      <c r="AI433" s="8">
        <f>AI237*(Pricing!$B$20*Pricing!$C$43+(1-Pricing!$B$20)*Pricing!$C$41)*AI417*Pricing!$B$19*AI35</f>
        <v/>
      </c>
      <c r="AJ433" s="8">
        <f>AJ237*(Pricing!$B$20*Pricing!$C$43+(1-Pricing!$B$20)*Pricing!$C$41)*AJ417*Pricing!$B$19*AJ35</f>
        <v/>
      </c>
      <c r="AK433" s="8">
        <f>AK237*(Pricing!$B$20*Pricing!$C$43+(1-Pricing!$B$20)*Pricing!$C$41)*AK417*Pricing!$B$19*AK35</f>
        <v/>
      </c>
      <c r="AL433" s="8">
        <f>AL237*(Pricing!$B$20*Pricing!$C$43+(1-Pricing!$B$20)*Pricing!$C$41)*AL417*Pricing!$B$19*AL35</f>
        <v/>
      </c>
      <c r="AM433" s="8">
        <f>AM237*(Pricing!$B$20*Pricing!$C$43+(1-Pricing!$B$20)*Pricing!$C$41)*AM417*Pricing!$B$19*AM35</f>
        <v/>
      </c>
      <c r="AN433" s="8">
        <f>AN237*(Pricing!$B$20*Pricing!$C$43+(1-Pricing!$B$20)*Pricing!$C$41)*AN417*Pricing!$B$19*AN35</f>
        <v/>
      </c>
      <c r="AO433" s="8">
        <f>AO237*(Pricing!$B$20*Pricing!$C$43+(1-Pricing!$B$20)*Pricing!$C$41)*AO417*Pricing!$B$19*AO35</f>
        <v/>
      </c>
      <c r="AP433" s="8">
        <f>AP237*(Pricing!$B$20*Pricing!$C$43+(1-Pricing!$B$20)*Pricing!$C$41)*AP417*Pricing!$B$19*AP35</f>
        <v/>
      </c>
      <c r="AQ433" s="8">
        <f>AQ237*(Pricing!$B$20*Pricing!$C$43+(1-Pricing!$B$20)*Pricing!$C$41)*AQ417*Pricing!$B$19*AQ35</f>
        <v/>
      </c>
      <c r="AR433" s="8">
        <f>AR237*(Pricing!$B$20*Pricing!$C$43+(1-Pricing!$B$20)*Pricing!$C$41)*AR417*Pricing!$B$19*AR35</f>
        <v/>
      </c>
      <c r="AS433" s="8">
        <f>AS237*(Pricing!$B$20*Pricing!$C$43+(1-Pricing!$B$20)*Pricing!$C$41)*AS417*Pricing!$B$19*AS35</f>
        <v/>
      </c>
      <c r="AT433" s="8">
        <f>AT237*(Pricing!$B$20*Pricing!$C$43+(1-Pricing!$B$20)*Pricing!$C$41)*AT417*Pricing!$B$19*AT35</f>
        <v/>
      </c>
      <c r="AU433" s="8">
        <f>AU237*(Pricing!$B$20*Pricing!$C$43+(1-Pricing!$B$20)*Pricing!$C$41)*AU417*Pricing!$B$19*AU35</f>
        <v/>
      </c>
      <c r="AV433" s="8">
        <f>AV237*(Pricing!$B$20*Pricing!$C$43+(1-Pricing!$B$20)*Pricing!$C$41)*AV417*Pricing!$B$19*AV35</f>
        <v/>
      </c>
      <c r="AW433" s="8">
        <f>AW237*(Pricing!$B$20*Pricing!$C$43+(1-Pricing!$B$20)*Pricing!$C$41)*AW417*Pricing!$B$19*AW35</f>
        <v/>
      </c>
      <c r="AX433" s="8">
        <f>AX237*(Pricing!$B$20*Pricing!$C$43+(1-Pricing!$B$20)*Pricing!$C$41)*AX417*Pricing!$B$19*AX35</f>
        <v/>
      </c>
      <c r="AY433" s="8">
        <f>AY237*(Pricing!$B$20*Pricing!$C$43+(1-Pricing!$B$20)*Pricing!$C$41)*AY417*Pricing!$B$19*AY35</f>
        <v/>
      </c>
      <c r="AZ433" s="8">
        <f>AZ237*(Pricing!$B$20*Pricing!$C$43+(1-Pricing!$B$20)*Pricing!$C$41)*AZ417*Pricing!$B$19*AZ35</f>
        <v/>
      </c>
      <c r="BA433" s="8">
        <f>BA237*(Pricing!$B$20*Pricing!$C$43+(1-Pricing!$B$20)*Pricing!$C$41)*BA417*Pricing!$B$19*BA35</f>
        <v/>
      </c>
      <c r="BB433" s="8">
        <f>BB237*(Pricing!$B$20*Pricing!$C$43+(1-Pricing!$B$20)*Pricing!$C$41)*BB417*Pricing!$B$19*BB35</f>
        <v/>
      </c>
      <c r="BC433" s="8">
        <f>BC237*(Pricing!$B$20*Pricing!$C$43+(1-Pricing!$B$20)*Pricing!$C$41)*BC417*Pricing!$B$19*BC35</f>
        <v/>
      </c>
      <c r="BD433" s="8">
        <f>BD237*(Pricing!$B$20*Pricing!$C$43+(1-Pricing!$B$20)*Pricing!$C$41)*BD417*Pricing!$B$19*BD35</f>
        <v/>
      </c>
      <c r="BE433" s="8">
        <f>BE237*(Pricing!$B$20*Pricing!$C$43+(1-Pricing!$B$20)*Pricing!$C$41)*BE417*Pricing!$B$19*BE35</f>
        <v/>
      </c>
      <c r="BF433" s="8">
        <f>BF237*(Pricing!$B$20*Pricing!$C$43+(1-Pricing!$B$20)*Pricing!$C$41)*BF417*Pricing!$B$19*BF35</f>
        <v/>
      </c>
      <c r="BG433" s="8">
        <f>BG237*(Pricing!$B$20*Pricing!$C$43+(1-Pricing!$B$20)*Pricing!$C$41)*BG417*Pricing!$B$19*BG35</f>
        <v/>
      </c>
      <c r="BH433" s="8">
        <f>BH237*(Pricing!$B$20*Pricing!$C$43+(1-Pricing!$B$20)*Pricing!$C$41)*BH417*Pricing!$B$19*BH35</f>
        <v/>
      </c>
      <c r="BI433" s="8">
        <f>BI237*(Pricing!$B$20*Pricing!$C$43+(1-Pricing!$B$20)*Pricing!$C$41)*BI417*Pricing!$B$19*BI35</f>
        <v/>
      </c>
      <c r="BJ433" s="8">
        <f>BJ237*(Pricing!$B$20*Pricing!$C$43+(1-Pricing!$B$20)*Pricing!$C$41)*BJ417*Pricing!$B$19*BJ35</f>
        <v/>
      </c>
    </row>
    <row r="434">
      <c r="A434" s="4" t="inlineStr">
        <is>
          <t>Gross subscription revenue: Kenya: Solo: Nano</t>
        </is>
      </c>
      <c r="B434" s="17" t="inlineStr">
        <is>
          <t>R</t>
        </is>
      </c>
      <c r="C434" s="8">
        <f>C242*Pricing!$D$35*C417*Pricing!$B$19*C38</f>
        <v/>
      </c>
      <c r="D434" s="8">
        <f>D242*Pricing!$D$35*D417*Pricing!$B$19*D38</f>
        <v/>
      </c>
      <c r="E434" s="8">
        <f>E242*Pricing!$D$35*E417*Pricing!$B$19*E38</f>
        <v/>
      </c>
      <c r="F434" s="8">
        <f>F242*Pricing!$D$35*F417*Pricing!$B$19*F38</f>
        <v/>
      </c>
      <c r="G434" s="8">
        <f>G242*Pricing!$D$35*G417*Pricing!$B$19*G38</f>
        <v/>
      </c>
      <c r="H434" s="8">
        <f>H242*Pricing!$D$35*H417*Pricing!$B$19*H38</f>
        <v/>
      </c>
      <c r="I434" s="8">
        <f>I242*Pricing!$D$35*I417*Pricing!$B$19*I38</f>
        <v/>
      </c>
      <c r="J434" s="8">
        <f>J242*Pricing!$D$35*J417*Pricing!$B$19*J38</f>
        <v/>
      </c>
      <c r="K434" s="8">
        <f>K242*Pricing!$D$35*K417*Pricing!$B$19*K38</f>
        <v/>
      </c>
      <c r="L434" s="8">
        <f>L242*Pricing!$D$35*L417*Pricing!$B$19*L38</f>
        <v/>
      </c>
      <c r="M434" s="8">
        <f>M242*Pricing!$D$35*M417*Pricing!$B$19*M38</f>
        <v/>
      </c>
      <c r="N434" s="8">
        <f>N242*Pricing!$D$35*N417*Pricing!$B$19*N38</f>
        <v/>
      </c>
      <c r="O434" s="8">
        <f>O242*Pricing!$D$35*O417*Pricing!$B$19*O38</f>
        <v/>
      </c>
      <c r="P434" s="8">
        <f>P242*Pricing!$D$35*P417*Pricing!$B$19*P38</f>
        <v/>
      </c>
      <c r="Q434" s="8">
        <f>Q242*Pricing!$D$35*Q417*Pricing!$B$19*Q38</f>
        <v/>
      </c>
      <c r="R434" s="8">
        <f>R242*Pricing!$D$35*R417*Pricing!$B$19*R38</f>
        <v/>
      </c>
      <c r="S434" s="8">
        <f>S242*Pricing!$D$35*S417*Pricing!$B$19*S38</f>
        <v/>
      </c>
      <c r="T434" s="8">
        <f>T242*Pricing!$D$35*T417*Pricing!$B$19*T38</f>
        <v/>
      </c>
      <c r="U434" s="8">
        <f>U242*Pricing!$D$35*U417*Pricing!$B$19*U38</f>
        <v/>
      </c>
      <c r="V434" s="8">
        <f>V242*Pricing!$D$35*V417*Pricing!$B$19*V38</f>
        <v/>
      </c>
      <c r="W434" s="8">
        <f>W242*Pricing!$D$35*W417*Pricing!$B$19*W38</f>
        <v/>
      </c>
      <c r="X434" s="8">
        <f>X242*Pricing!$D$35*X417*Pricing!$B$19*X38</f>
        <v/>
      </c>
      <c r="Y434" s="8">
        <f>Y242*Pricing!$D$35*Y417*Pricing!$B$19*Y38</f>
        <v/>
      </c>
      <c r="Z434" s="8">
        <f>Z242*Pricing!$D$35*Z417*Pricing!$B$19*Z38</f>
        <v/>
      </c>
      <c r="AA434" s="8">
        <f>AA242*Pricing!$D$35*AA417*Pricing!$B$19*AA38</f>
        <v/>
      </c>
      <c r="AB434" s="8">
        <f>AB242*Pricing!$D$35*AB417*Pricing!$B$19*AB38</f>
        <v/>
      </c>
      <c r="AC434" s="8">
        <f>AC242*Pricing!$D$35*AC417*Pricing!$B$19*AC38</f>
        <v/>
      </c>
      <c r="AD434" s="8">
        <f>AD242*Pricing!$D$35*AD417*Pricing!$B$19*AD38</f>
        <v/>
      </c>
      <c r="AE434" s="8">
        <f>AE242*Pricing!$D$35*AE417*Pricing!$B$19*AE38</f>
        <v/>
      </c>
      <c r="AF434" s="8">
        <f>AF242*Pricing!$D$35*AF417*Pricing!$B$19*AF38</f>
        <v/>
      </c>
      <c r="AG434" s="8">
        <f>AG242*Pricing!$D$35*AG417*Pricing!$B$19*AG38</f>
        <v/>
      </c>
      <c r="AH434" s="8">
        <f>AH242*Pricing!$D$35*AH417*Pricing!$B$19*AH38</f>
        <v/>
      </c>
      <c r="AI434" s="8">
        <f>AI242*Pricing!$D$35*AI417*Pricing!$B$19*AI38</f>
        <v/>
      </c>
      <c r="AJ434" s="8">
        <f>AJ242*Pricing!$D$35*AJ417*Pricing!$B$19*AJ38</f>
        <v/>
      </c>
      <c r="AK434" s="8">
        <f>AK242*Pricing!$D$35*AK417*Pricing!$B$19*AK38</f>
        <v/>
      </c>
      <c r="AL434" s="8">
        <f>AL242*Pricing!$D$35*AL417*Pricing!$B$19*AL38</f>
        <v/>
      </c>
      <c r="AM434" s="8">
        <f>AM242*Pricing!$D$35*AM417*Pricing!$B$19*AM38</f>
        <v/>
      </c>
      <c r="AN434" s="8">
        <f>AN242*Pricing!$D$35*AN417*Pricing!$B$19*AN38</f>
        <v/>
      </c>
      <c r="AO434" s="8">
        <f>AO242*Pricing!$D$35*AO417*Pricing!$B$19*AO38</f>
        <v/>
      </c>
      <c r="AP434" s="8">
        <f>AP242*Pricing!$D$35*AP417*Pricing!$B$19*AP38</f>
        <v/>
      </c>
      <c r="AQ434" s="8">
        <f>AQ242*Pricing!$D$35*AQ417*Pricing!$B$19*AQ38</f>
        <v/>
      </c>
      <c r="AR434" s="8">
        <f>AR242*Pricing!$D$35*AR417*Pricing!$B$19*AR38</f>
        <v/>
      </c>
      <c r="AS434" s="8">
        <f>AS242*Pricing!$D$35*AS417*Pricing!$B$19*AS38</f>
        <v/>
      </c>
      <c r="AT434" s="8">
        <f>AT242*Pricing!$D$35*AT417*Pricing!$B$19*AT38</f>
        <v/>
      </c>
      <c r="AU434" s="8">
        <f>AU242*Pricing!$D$35*AU417*Pricing!$B$19*AU38</f>
        <v/>
      </c>
      <c r="AV434" s="8">
        <f>AV242*Pricing!$D$35*AV417*Pricing!$B$19*AV38</f>
        <v/>
      </c>
      <c r="AW434" s="8">
        <f>AW242*Pricing!$D$35*AW417*Pricing!$B$19*AW38</f>
        <v/>
      </c>
      <c r="AX434" s="8">
        <f>AX242*Pricing!$D$35*AX417*Pricing!$B$19*AX38</f>
        <v/>
      </c>
      <c r="AY434" s="8">
        <f>AY242*Pricing!$D$35*AY417*Pricing!$B$19*AY38</f>
        <v/>
      </c>
      <c r="AZ434" s="8">
        <f>AZ242*Pricing!$D$35*AZ417*Pricing!$B$19*AZ38</f>
        <v/>
      </c>
      <c r="BA434" s="8">
        <f>BA242*Pricing!$D$35*BA417*Pricing!$B$19*BA38</f>
        <v/>
      </c>
      <c r="BB434" s="8">
        <f>BB242*Pricing!$D$35*BB417*Pricing!$B$19*BB38</f>
        <v/>
      </c>
      <c r="BC434" s="8">
        <f>BC242*Pricing!$D$35*BC417*Pricing!$B$19*BC38</f>
        <v/>
      </c>
      <c r="BD434" s="8">
        <f>BD242*Pricing!$D$35*BD417*Pricing!$B$19*BD38</f>
        <v/>
      </c>
      <c r="BE434" s="8">
        <f>BE242*Pricing!$D$35*BE417*Pricing!$B$19*BE38</f>
        <v/>
      </c>
      <c r="BF434" s="8">
        <f>BF242*Pricing!$D$35*BF417*Pricing!$B$19*BF38</f>
        <v/>
      </c>
      <c r="BG434" s="8">
        <f>BG242*Pricing!$D$35*BG417*Pricing!$B$19*BG38</f>
        <v/>
      </c>
      <c r="BH434" s="8">
        <f>BH242*Pricing!$D$35*BH417*Pricing!$B$19*BH38</f>
        <v/>
      </c>
      <c r="BI434" s="8">
        <f>BI242*Pricing!$D$35*BI417*Pricing!$B$19*BI38</f>
        <v/>
      </c>
      <c r="BJ434" s="8">
        <f>BJ242*Pricing!$D$35*BJ417*Pricing!$B$19*BJ38</f>
        <v/>
      </c>
    </row>
    <row r="435">
      <c r="A435" s="4" t="inlineStr">
        <is>
          <t>Gross subscription revenue: Kenya: Solo: Micro (direct or upgraded)</t>
        </is>
      </c>
      <c r="B435" s="17" t="inlineStr">
        <is>
          <t>R</t>
        </is>
      </c>
      <c r="C435" s="8">
        <f>C247*Pricing!$D$36*C417*Pricing!$B$19*C38</f>
        <v/>
      </c>
      <c r="D435" s="8">
        <f>D247*Pricing!$D$36*D417*Pricing!$B$19*D38</f>
        <v/>
      </c>
      <c r="E435" s="8">
        <f>E247*Pricing!$D$36*E417*Pricing!$B$19*E38</f>
        <v/>
      </c>
      <c r="F435" s="8">
        <f>F247*Pricing!$D$36*F417*Pricing!$B$19*F38</f>
        <v/>
      </c>
      <c r="G435" s="8">
        <f>G247*Pricing!$D$36*G417*Pricing!$B$19*G38</f>
        <v/>
      </c>
      <c r="H435" s="8">
        <f>H247*Pricing!$D$36*H417*Pricing!$B$19*H38</f>
        <v/>
      </c>
      <c r="I435" s="8">
        <f>I247*Pricing!$D$36*I417*Pricing!$B$19*I38</f>
        <v/>
      </c>
      <c r="J435" s="8">
        <f>J247*Pricing!$D$36*J417*Pricing!$B$19*J38</f>
        <v/>
      </c>
      <c r="K435" s="8">
        <f>K247*Pricing!$D$36*K417*Pricing!$B$19*K38</f>
        <v/>
      </c>
      <c r="L435" s="8">
        <f>L247*Pricing!$D$36*L417*Pricing!$B$19*L38</f>
        <v/>
      </c>
      <c r="M435" s="8">
        <f>M247*Pricing!$D$36*M417*Pricing!$B$19*M38</f>
        <v/>
      </c>
      <c r="N435" s="8">
        <f>N247*Pricing!$D$36*N417*Pricing!$B$19*N38</f>
        <v/>
      </c>
      <c r="O435" s="8">
        <f>O247*Pricing!$D$36*O417*Pricing!$B$19*O38</f>
        <v/>
      </c>
      <c r="P435" s="8">
        <f>P247*Pricing!$D$36*P417*Pricing!$B$19*P38</f>
        <v/>
      </c>
      <c r="Q435" s="8">
        <f>Q247*Pricing!$D$36*Q417*Pricing!$B$19*Q38</f>
        <v/>
      </c>
      <c r="R435" s="8">
        <f>R247*Pricing!$D$36*R417*Pricing!$B$19*R38</f>
        <v/>
      </c>
      <c r="S435" s="8">
        <f>S247*Pricing!$D$36*S417*Pricing!$B$19*S38</f>
        <v/>
      </c>
      <c r="T435" s="8">
        <f>T247*Pricing!$D$36*T417*Pricing!$B$19*T38</f>
        <v/>
      </c>
      <c r="U435" s="8">
        <f>U247*Pricing!$D$36*U417*Pricing!$B$19*U38</f>
        <v/>
      </c>
      <c r="V435" s="8">
        <f>V247*Pricing!$D$36*V417*Pricing!$B$19*V38</f>
        <v/>
      </c>
      <c r="W435" s="8">
        <f>W247*Pricing!$D$36*W417*Pricing!$B$19*W38</f>
        <v/>
      </c>
      <c r="X435" s="8">
        <f>X247*Pricing!$D$36*X417*Pricing!$B$19*X38</f>
        <v/>
      </c>
      <c r="Y435" s="8">
        <f>Y247*Pricing!$D$36*Y417*Pricing!$B$19*Y38</f>
        <v/>
      </c>
      <c r="Z435" s="8">
        <f>Z247*Pricing!$D$36*Z417*Pricing!$B$19*Z38</f>
        <v/>
      </c>
      <c r="AA435" s="8">
        <f>AA247*Pricing!$D$36*AA417*Pricing!$B$19*AA38</f>
        <v/>
      </c>
      <c r="AB435" s="8">
        <f>AB247*Pricing!$D$36*AB417*Pricing!$B$19*AB38</f>
        <v/>
      </c>
      <c r="AC435" s="8">
        <f>AC247*Pricing!$D$36*AC417*Pricing!$B$19*AC38</f>
        <v/>
      </c>
      <c r="AD435" s="8">
        <f>AD247*Pricing!$D$36*AD417*Pricing!$B$19*AD38</f>
        <v/>
      </c>
      <c r="AE435" s="8">
        <f>AE247*Pricing!$D$36*AE417*Pricing!$B$19*AE38</f>
        <v/>
      </c>
      <c r="AF435" s="8">
        <f>AF247*Pricing!$D$36*AF417*Pricing!$B$19*AF38</f>
        <v/>
      </c>
      <c r="AG435" s="8">
        <f>AG247*Pricing!$D$36*AG417*Pricing!$B$19*AG38</f>
        <v/>
      </c>
      <c r="AH435" s="8">
        <f>AH247*Pricing!$D$36*AH417*Pricing!$B$19*AH38</f>
        <v/>
      </c>
      <c r="AI435" s="8">
        <f>AI247*Pricing!$D$36*AI417*Pricing!$B$19*AI38</f>
        <v/>
      </c>
      <c r="AJ435" s="8">
        <f>AJ247*Pricing!$D$36*AJ417*Pricing!$B$19*AJ38</f>
        <v/>
      </c>
      <c r="AK435" s="8">
        <f>AK247*Pricing!$D$36*AK417*Pricing!$B$19*AK38</f>
        <v/>
      </c>
      <c r="AL435" s="8">
        <f>AL247*Pricing!$D$36*AL417*Pricing!$B$19*AL38</f>
        <v/>
      </c>
      <c r="AM435" s="8">
        <f>AM247*Pricing!$D$36*AM417*Pricing!$B$19*AM38</f>
        <v/>
      </c>
      <c r="AN435" s="8">
        <f>AN247*Pricing!$D$36*AN417*Pricing!$B$19*AN38</f>
        <v/>
      </c>
      <c r="AO435" s="8">
        <f>AO247*Pricing!$D$36*AO417*Pricing!$B$19*AO38</f>
        <v/>
      </c>
      <c r="AP435" s="8">
        <f>AP247*Pricing!$D$36*AP417*Pricing!$B$19*AP38</f>
        <v/>
      </c>
      <c r="AQ435" s="8">
        <f>AQ247*Pricing!$D$36*AQ417*Pricing!$B$19*AQ38</f>
        <v/>
      </c>
      <c r="AR435" s="8">
        <f>AR247*Pricing!$D$36*AR417*Pricing!$B$19*AR38</f>
        <v/>
      </c>
      <c r="AS435" s="8">
        <f>AS247*Pricing!$D$36*AS417*Pricing!$B$19*AS38</f>
        <v/>
      </c>
      <c r="AT435" s="8">
        <f>AT247*Pricing!$D$36*AT417*Pricing!$B$19*AT38</f>
        <v/>
      </c>
      <c r="AU435" s="8">
        <f>AU247*Pricing!$D$36*AU417*Pricing!$B$19*AU38</f>
        <v/>
      </c>
      <c r="AV435" s="8">
        <f>AV247*Pricing!$D$36*AV417*Pricing!$B$19*AV38</f>
        <v/>
      </c>
      <c r="AW435" s="8">
        <f>AW247*Pricing!$D$36*AW417*Pricing!$B$19*AW38</f>
        <v/>
      </c>
      <c r="AX435" s="8">
        <f>AX247*Pricing!$D$36*AX417*Pricing!$B$19*AX38</f>
        <v/>
      </c>
      <c r="AY435" s="8">
        <f>AY247*Pricing!$D$36*AY417*Pricing!$B$19*AY38</f>
        <v/>
      </c>
      <c r="AZ435" s="8">
        <f>AZ247*Pricing!$D$36*AZ417*Pricing!$B$19*AZ38</f>
        <v/>
      </c>
      <c r="BA435" s="8">
        <f>BA247*Pricing!$D$36*BA417*Pricing!$B$19*BA38</f>
        <v/>
      </c>
      <c r="BB435" s="8">
        <f>BB247*Pricing!$D$36*BB417*Pricing!$B$19*BB38</f>
        <v/>
      </c>
      <c r="BC435" s="8">
        <f>BC247*Pricing!$D$36*BC417*Pricing!$B$19*BC38</f>
        <v/>
      </c>
      <c r="BD435" s="8">
        <f>BD247*Pricing!$D$36*BD417*Pricing!$B$19*BD38</f>
        <v/>
      </c>
      <c r="BE435" s="8">
        <f>BE247*Pricing!$D$36*BE417*Pricing!$B$19*BE38</f>
        <v/>
      </c>
      <c r="BF435" s="8">
        <f>BF247*Pricing!$D$36*BF417*Pricing!$B$19*BF38</f>
        <v/>
      </c>
      <c r="BG435" s="8">
        <f>BG247*Pricing!$D$36*BG417*Pricing!$B$19*BG38</f>
        <v/>
      </c>
      <c r="BH435" s="8">
        <f>BH247*Pricing!$D$36*BH417*Pricing!$B$19*BH38</f>
        <v/>
      </c>
      <c r="BI435" s="8">
        <f>BI247*Pricing!$D$36*BI417*Pricing!$B$19*BI38</f>
        <v/>
      </c>
      <c r="BJ435" s="8">
        <f>BJ247*Pricing!$D$36*BJ417*Pricing!$B$19*BJ38</f>
        <v/>
      </c>
    </row>
    <row r="436">
      <c r="A436" s="4" t="inlineStr">
        <is>
          <t>Gross subscription revenue: Kenya: Solo: Starter (direct or upgraded)</t>
        </is>
      </c>
      <c r="B436" s="17" t="inlineStr">
        <is>
          <t>R</t>
        </is>
      </c>
      <c r="C436" s="8">
        <f>C251*Pricing!$D$37*C417*Pricing!$B$19*C38</f>
        <v/>
      </c>
      <c r="D436" s="8">
        <f>D251*Pricing!$D$37*D417*Pricing!$B$19*D38</f>
        <v/>
      </c>
      <c r="E436" s="8">
        <f>E251*Pricing!$D$37*E417*Pricing!$B$19*E38</f>
        <v/>
      </c>
      <c r="F436" s="8">
        <f>F251*Pricing!$D$37*F417*Pricing!$B$19*F38</f>
        <v/>
      </c>
      <c r="G436" s="8">
        <f>G251*Pricing!$D$37*G417*Pricing!$B$19*G38</f>
        <v/>
      </c>
      <c r="H436" s="8">
        <f>H251*Pricing!$D$37*H417*Pricing!$B$19*H38</f>
        <v/>
      </c>
      <c r="I436" s="8">
        <f>I251*Pricing!$D$37*I417*Pricing!$B$19*I38</f>
        <v/>
      </c>
      <c r="J436" s="8">
        <f>J251*Pricing!$D$37*J417*Pricing!$B$19*J38</f>
        <v/>
      </c>
      <c r="K436" s="8">
        <f>K251*Pricing!$D$37*K417*Pricing!$B$19*K38</f>
        <v/>
      </c>
      <c r="L436" s="8">
        <f>L251*Pricing!$D$37*L417*Pricing!$B$19*L38</f>
        <v/>
      </c>
      <c r="M436" s="8">
        <f>M251*Pricing!$D$37*M417*Pricing!$B$19*M38</f>
        <v/>
      </c>
      <c r="N436" s="8">
        <f>N251*Pricing!$D$37*N417*Pricing!$B$19*N38</f>
        <v/>
      </c>
      <c r="O436" s="8">
        <f>O251*Pricing!$D$37*O417*Pricing!$B$19*O38</f>
        <v/>
      </c>
      <c r="P436" s="8">
        <f>P251*Pricing!$D$37*P417*Pricing!$B$19*P38</f>
        <v/>
      </c>
      <c r="Q436" s="8">
        <f>Q251*Pricing!$D$37*Q417*Pricing!$B$19*Q38</f>
        <v/>
      </c>
      <c r="R436" s="8">
        <f>R251*Pricing!$D$37*R417*Pricing!$B$19*R38</f>
        <v/>
      </c>
      <c r="S436" s="8">
        <f>S251*Pricing!$D$37*S417*Pricing!$B$19*S38</f>
        <v/>
      </c>
      <c r="T436" s="8">
        <f>T251*Pricing!$D$37*T417*Pricing!$B$19*T38</f>
        <v/>
      </c>
      <c r="U436" s="8">
        <f>U251*Pricing!$D$37*U417*Pricing!$B$19*U38</f>
        <v/>
      </c>
      <c r="V436" s="8">
        <f>V251*Pricing!$D$37*V417*Pricing!$B$19*V38</f>
        <v/>
      </c>
      <c r="W436" s="8">
        <f>W251*Pricing!$D$37*W417*Pricing!$B$19*W38</f>
        <v/>
      </c>
      <c r="X436" s="8">
        <f>X251*Pricing!$D$37*X417*Pricing!$B$19*X38</f>
        <v/>
      </c>
      <c r="Y436" s="8">
        <f>Y251*Pricing!$D$37*Y417*Pricing!$B$19*Y38</f>
        <v/>
      </c>
      <c r="Z436" s="8">
        <f>Z251*Pricing!$D$37*Z417*Pricing!$B$19*Z38</f>
        <v/>
      </c>
      <c r="AA436" s="8">
        <f>AA251*Pricing!$D$37*AA417*Pricing!$B$19*AA38</f>
        <v/>
      </c>
      <c r="AB436" s="8">
        <f>AB251*Pricing!$D$37*AB417*Pricing!$B$19*AB38</f>
        <v/>
      </c>
      <c r="AC436" s="8">
        <f>AC251*Pricing!$D$37*AC417*Pricing!$B$19*AC38</f>
        <v/>
      </c>
      <c r="AD436" s="8">
        <f>AD251*Pricing!$D$37*AD417*Pricing!$B$19*AD38</f>
        <v/>
      </c>
      <c r="AE436" s="8">
        <f>AE251*Pricing!$D$37*AE417*Pricing!$B$19*AE38</f>
        <v/>
      </c>
      <c r="AF436" s="8">
        <f>AF251*Pricing!$D$37*AF417*Pricing!$B$19*AF38</f>
        <v/>
      </c>
      <c r="AG436" s="8">
        <f>AG251*Pricing!$D$37*AG417*Pricing!$B$19*AG38</f>
        <v/>
      </c>
      <c r="AH436" s="8">
        <f>AH251*Pricing!$D$37*AH417*Pricing!$B$19*AH38</f>
        <v/>
      </c>
      <c r="AI436" s="8">
        <f>AI251*Pricing!$D$37*AI417*Pricing!$B$19*AI38</f>
        <v/>
      </c>
      <c r="AJ436" s="8">
        <f>AJ251*Pricing!$D$37*AJ417*Pricing!$B$19*AJ38</f>
        <v/>
      </c>
      <c r="AK436" s="8">
        <f>AK251*Pricing!$D$37*AK417*Pricing!$B$19*AK38</f>
        <v/>
      </c>
      <c r="AL436" s="8">
        <f>AL251*Pricing!$D$37*AL417*Pricing!$B$19*AL38</f>
        <v/>
      </c>
      <c r="AM436" s="8">
        <f>AM251*Pricing!$D$37*AM417*Pricing!$B$19*AM38</f>
        <v/>
      </c>
      <c r="AN436" s="8">
        <f>AN251*Pricing!$D$37*AN417*Pricing!$B$19*AN38</f>
        <v/>
      </c>
      <c r="AO436" s="8">
        <f>AO251*Pricing!$D$37*AO417*Pricing!$B$19*AO38</f>
        <v/>
      </c>
      <c r="AP436" s="8">
        <f>AP251*Pricing!$D$37*AP417*Pricing!$B$19*AP38</f>
        <v/>
      </c>
      <c r="AQ436" s="8">
        <f>AQ251*Pricing!$D$37*AQ417*Pricing!$B$19*AQ38</f>
        <v/>
      </c>
      <c r="AR436" s="8">
        <f>AR251*Pricing!$D$37*AR417*Pricing!$B$19*AR38</f>
        <v/>
      </c>
      <c r="AS436" s="8">
        <f>AS251*Pricing!$D$37*AS417*Pricing!$B$19*AS38</f>
        <v/>
      </c>
      <c r="AT436" s="8">
        <f>AT251*Pricing!$D$37*AT417*Pricing!$B$19*AT38</f>
        <v/>
      </c>
      <c r="AU436" s="8">
        <f>AU251*Pricing!$D$37*AU417*Pricing!$B$19*AU38</f>
        <v/>
      </c>
      <c r="AV436" s="8">
        <f>AV251*Pricing!$D$37*AV417*Pricing!$B$19*AV38</f>
        <v/>
      </c>
      <c r="AW436" s="8">
        <f>AW251*Pricing!$D$37*AW417*Pricing!$B$19*AW38</f>
        <v/>
      </c>
      <c r="AX436" s="8">
        <f>AX251*Pricing!$D$37*AX417*Pricing!$B$19*AX38</f>
        <v/>
      </c>
      <c r="AY436" s="8">
        <f>AY251*Pricing!$D$37*AY417*Pricing!$B$19*AY38</f>
        <v/>
      </c>
      <c r="AZ436" s="8">
        <f>AZ251*Pricing!$D$37*AZ417*Pricing!$B$19*AZ38</f>
        <v/>
      </c>
      <c r="BA436" s="8">
        <f>BA251*Pricing!$D$37*BA417*Pricing!$B$19*BA38</f>
        <v/>
      </c>
      <c r="BB436" s="8">
        <f>BB251*Pricing!$D$37*BB417*Pricing!$B$19*BB38</f>
        <v/>
      </c>
      <c r="BC436" s="8">
        <f>BC251*Pricing!$D$37*BC417*Pricing!$B$19*BC38</f>
        <v/>
      </c>
      <c r="BD436" s="8">
        <f>BD251*Pricing!$D$37*BD417*Pricing!$B$19*BD38</f>
        <v/>
      </c>
      <c r="BE436" s="8">
        <f>BE251*Pricing!$D$37*BE417*Pricing!$B$19*BE38</f>
        <v/>
      </c>
      <c r="BF436" s="8">
        <f>BF251*Pricing!$D$37*BF417*Pricing!$B$19*BF38</f>
        <v/>
      </c>
      <c r="BG436" s="8">
        <f>BG251*Pricing!$D$37*BG417*Pricing!$B$19*BG38</f>
        <v/>
      </c>
      <c r="BH436" s="8">
        <f>BH251*Pricing!$D$37*BH417*Pricing!$B$19*BH38</f>
        <v/>
      </c>
      <c r="BI436" s="8">
        <f>BI251*Pricing!$D$37*BI417*Pricing!$B$19*BI38</f>
        <v/>
      </c>
      <c r="BJ436" s="8">
        <f>BJ251*Pricing!$D$37*BJ417*Pricing!$B$19*BJ38</f>
        <v/>
      </c>
    </row>
    <row r="437">
      <c r="A437" s="4" t="inlineStr">
        <is>
          <t>Gross subscription revenue: Kenya: SME: Starter</t>
        </is>
      </c>
      <c r="B437" s="17" t="inlineStr">
        <is>
          <t>R</t>
        </is>
      </c>
      <c r="C437" s="8">
        <f>C256*Pricing!$D$37*C417*Pricing!$B$19*C38</f>
        <v/>
      </c>
      <c r="D437" s="8">
        <f>D256*Pricing!$D$37*D417*Pricing!$B$19*D38</f>
        <v/>
      </c>
      <c r="E437" s="8">
        <f>E256*Pricing!$D$37*E417*Pricing!$B$19*E38</f>
        <v/>
      </c>
      <c r="F437" s="8">
        <f>F256*Pricing!$D$37*F417*Pricing!$B$19*F38</f>
        <v/>
      </c>
      <c r="G437" s="8">
        <f>G256*Pricing!$D$37*G417*Pricing!$B$19*G38</f>
        <v/>
      </c>
      <c r="H437" s="8">
        <f>H256*Pricing!$D$37*H417*Pricing!$B$19*H38</f>
        <v/>
      </c>
      <c r="I437" s="8">
        <f>I256*Pricing!$D$37*I417*Pricing!$B$19*I38</f>
        <v/>
      </c>
      <c r="J437" s="8">
        <f>J256*Pricing!$D$37*J417*Pricing!$B$19*J38</f>
        <v/>
      </c>
      <c r="K437" s="8">
        <f>K256*Pricing!$D$37*K417*Pricing!$B$19*K38</f>
        <v/>
      </c>
      <c r="L437" s="8">
        <f>L256*Pricing!$D$37*L417*Pricing!$B$19*L38</f>
        <v/>
      </c>
      <c r="M437" s="8">
        <f>M256*Pricing!$D$37*M417*Pricing!$B$19*M38</f>
        <v/>
      </c>
      <c r="N437" s="8">
        <f>N256*Pricing!$D$37*N417*Pricing!$B$19*N38</f>
        <v/>
      </c>
      <c r="O437" s="8">
        <f>O256*Pricing!$D$37*O417*Pricing!$B$19*O38</f>
        <v/>
      </c>
      <c r="P437" s="8">
        <f>P256*Pricing!$D$37*P417*Pricing!$B$19*P38</f>
        <v/>
      </c>
      <c r="Q437" s="8">
        <f>Q256*Pricing!$D$37*Q417*Pricing!$B$19*Q38</f>
        <v/>
      </c>
      <c r="R437" s="8">
        <f>R256*Pricing!$D$37*R417*Pricing!$B$19*R38</f>
        <v/>
      </c>
      <c r="S437" s="8">
        <f>S256*Pricing!$D$37*S417*Pricing!$B$19*S38</f>
        <v/>
      </c>
      <c r="T437" s="8">
        <f>T256*Pricing!$D$37*T417*Pricing!$B$19*T38</f>
        <v/>
      </c>
      <c r="U437" s="8">
        <f>U256*Pricing!$D$37*U417*Pricing!$B$19*U38</f>
        <v/>
      </c>
      <c r="V437" s="8">
        <f>V256*Pricing!$D$37*V417*Pricing!$B$19*V38</f>
        <v/>
      </c>
      <c r="W437" s="8">
        <f>W256*Pricing!$D$37*W417*Pricing!$B$19*W38</f>
        <v/>
      </c>
      <c r="X437" s="8">
        <f>X256*Pricing!$D$37*X417*Pricing!$B$19*X38</f>
        <v/>
      </c>
      <c r="Y437" s="8">
        <f>Y256*Pricing!$D$37*Y417*Pricing!$B$19*Y38</f>
        <v/>
      </c>
      <c r="Z437" s="8">
        <f>Z256*Pricing!$D$37*Z417*Pricing!$B$19*Z38</f>
        <v/>
      </c>
      <c r="AA437" s="8">
        <f>AA256*Pricing!$D$37*AA417*Pricing!$B$19*AA38</f>
        <v/>
      </c>
      <c r="AB437" s="8">
        <f>AB256*Pricing!$D$37*AB417*Pricing!$B$19*AB38</f>
        <v/>
      </c>
      <c r="AC437" s="8">
        <f>AC256*Pricing!$D$37*AC417*Pricing!$B$19*AC38</f>
        <v/>
      </c>
      <c r="AD437" s="8">
        <f>AD256*Pricing!$D$37*AD417*Pricing!$B$19*AD38</f>
        <v/>
      </c>
      <c r="AE437" s="8">
        <f>AE256*Pricing!$D$37*AE417*Pricing!$B$19*AE38</f>
        <v/>
      </c>
      <c r="AF437" s="8">
        <f>AF256*Pricing!$D$37*AF417*Pricing!$B$19*AF38</f>
        <v/>
      </c>
      <c r="AG437" s="8">
        <f>AG256*Pricing!$D$37*AG417*Pricing!$B$19*AG38</f>
        <v/>
      </c>
      <c r="AH437" s="8">
        <f>AH256*Pricing!$D$37*AH417*Pricing!$B$19*AH38</f>
        <v/>
      </c>
      <c r="AI437" s="8">
        <f>AI256*Pricing!$D$37*AI417*Pricing!$B$19*AI38</f>
        <v/>
      </c>
      <c r="AJ437" s="8">
        <f>AJ256*Pricing!$D$37*AJ417*Pricing!$B$19*AJ38</f>
        <v/>
      </c>
      <c r="AK437" s="8">
        <f>AK256*Pricing!$D$37*AK417*Pricing!$B$19*AK38</f>
        <v/>
      </c>
      <c r="AL437" s="8">
        <f>AL256*Pricing!$D$37*AL417*Pricing!$B$19*AL38</f>
        <v/>
      </c>
      <c r="AM437" s="8">
        <f>AM256*Pricing!$D$37*AM417*Pricing!$B$19*AM38</f>
        <v/>
      </c>
      <c r="AN437" s="8">
        <f>AN256*Pricing!$D$37*AN417*Pricing!$B$19*AN38</f>
        <v/>
      </c>
      <c r="AO437" s="8">
        <f>AO256*Pricing!$D$37*AO417*Pricing!$B$19*AO38</f>
        <v/>
      </c>
      <c r="AP437" s="8">
        <f>AP256*Pricing!$D$37*AP417*Pricing!$B$19*AP38</f>
        <v/>
      </c>
      <c r="AQ437" s="8">
        <f>AQ256*Pricing!$D$37*AQ417*Pricing!$B$19*AQ38</f>
        <v/>
      </c>
      <c r="AR437" s="8">
        <f>AR256*Pricing!$D$37*AR417*Pricing!$B$19*AR38</f>
        <v/>
      </c>
      <c r="AS437" s="8">
        <f>AS256*Pricing!$D$37*AS417*Pricing!$B$19*AS38</f>
        <v/>
      </c>
      <c r="AT437" s="8">
        <f>AT256*Pricing!$D$37*AT417*Pricing!$B$19*AT38</f>
        <v/>
      </c>
      <c r="AU437" s="8">
        <f>AU256*Pricing!$D$37*AU417*Pricing!$B$19*AU38</f>
        <v/>
      </c>
      <c r="AV437" s="8">
        <f>AV256*Pricing!$D$37*AV417*Pricing!$B$19*AV38</f>
        <v/>
      </c>
      <c r="AW437" s="8">
        <f>AW256*Pricing!$D$37*AW417*Pricing!$B$19*AW38</f>
        <v/>
      </c>
      <c r="AX437" s="8">
        <f>AX256*Pricing!$D$37*AX417*Pricing!$B$19*AX38</f>
        <v/>
      </c>
      <c r="AY437" s="8">
        <f>AY256*Pricing!$D$37*AY417*Pricing!$B$19*AY38</f>
        <v/>
      </c>
      <c r="AZ437" s="8">
        <f>AZ256*Pricing!$D$37*AZ417*Pricing!$B$19*AZ38</f>
        <v/>
      </c>
      <c r="BA437" s="8">
        <f>BA256*Pricing!$D$37*BA417*Pricing!$B$19*BA38</f>
        <v/>
      </c>
      <c r="BB437" s="8">
        <f>BB256*Pricing!$D$37*BB417*Pricing!$B$19*BB38</f>
        <v/>
      </c>
      <c r="BC437" s="8">
        <f>BC256*Pricing!$D$37*BC417*Pricing!$B$19*BC38</f>
        <v/>
      </c>
      <c r="BD437" s="8">
        <f>BD256*Pricing!$D$37*BD417*Pricing!$B$19*BD38</f>
        <v/>
      </c>
      <c r="BE437" s="8">
        <f>BE256*Pricing!$D$37*BE417*Pricing!$B$19*BE38</f>
        <v/>
      </c>
      <c r="BF437" s="8">
        <f>BF256*Pricing!$D$37*BF417*Pricing!$B$19*BF38</f>
        <v/>
      </c>
      <c r="BG437" s="8">
        <f>BG256*Pricing!$D$37*BG417*Pricing!$B$19*BG38</f>
        <v/>
      </c>
      <c r="BH437" s="8">
        <f>BH256*Pricing!$D$37*BH417*Pricing!$B$19*BH38</f>
        <v/>
      </c>
      <c r="BI437" s="8">
        <f>BI256*Pricing!$D$37*BI417*Pricing!$B$19*BI38</f>
        <v/>
      </c>
      <c r="BJ437" s="8">
        <f>BJ256*Pricing!$D$37*BJ417*Pricing!$B$19*BJ38</f>
        <v/>
      </c>
    </row>
    <row r="438">
      <c r="A438" s="4" t="inlineStr">
        <is>
          <t>Gross subscription revenue: Kenya: SME: Growth (direct or upgraded)</t>
        </is>
      </c>
      <c r="B438" s="17" t="inlineStr">
        <is>
          <t>R</t>
        </is>
      </c>
      <c r="C438" s="8">
        <f>C261*Pricing!$D$38*C417*Pricing!$B$19*C38</f>
        <v/>
      </c>
      <c r="D438" s="8">
        <f>D261*Pricing!$D$38*D417*Pricing!$B$19*D38</f>
        <v/>
      </c>
      <c r="E438" s="8">
        <f>E261*Pricing!$D$38*E417*Pricing!$B$19*E38</f>
        <v/>
      </c>
      <c r="F438" s="8">
        <f>F261*Pricing!$D$38*F417*Pricing!$B$19*F38</f>
        <v/>
      </c>
      <c r="G438" s="8">
        <f>G261*Pricing!$D$38*G417*Pricing!$B$19*G38</f>
        <v/>
      </c>
      <c r="H438" s="8">
        <f>H261*Pricing!$D$38*H417*Pricing!$B$19*H38</f>
        <v/>
      </c>
      <c r="I438" s="8">
        <f>I261*Pricing!$D$38*I417*Pricing!$B$19*I38</f>
        <v/>
      </c>
      <c r="J438" s="8">
        <f>J261*Pricing!$D$38*J417*Pricing!$B$19*J38</f>
        <v/>
      </c>
      <c r="K438" s="8">
        <f>K261*Pricing!$D$38*K417*Pricing!$B$19*K38</f>
        <v/>
      </c>
      <c r="L438" s="8">
        <f>L261*Pricing!$D$38*L417*Pricing!$B$19*L38</f>
        <v/>
      </c>
      <c r="M438" s="8">
        <f>M261*Pricing!$D$38*M417*Pricing!$B$19*M38</f>
        <v/>
      </c>
      <c r="N438" s="8">
        <f>N261*Pricing!$D$38*N417*Pricing!$B$19*N38</f>
        <v/>
      </c>
      <c r="O438" s="8">
        <f>O261*Pricing!$D$38*O417*Pricing!$B$19*O38</f>
        <v/>
      </c>
      <c r="P438" s="8">
        <f>P261*Pricing!$D$38*P417*Pricing!$B$19*P38</f>
        <v/>
      </c>
      <c r="Q438" s="8">
        <f>Q261*Pricing!$D$38*Q417*Pricing!$B$19*Q38</f>
        <v/>
      </c>
      <c r="R438" s="8">
        <f>R261*Pricing!$D$38*R417*Pricing!$B$19*R38</f>
        <v/>
      </c>
      <c r="S438" s="8">
        <f>S261*Pricing!$D$38*S417*Pricing!$B$19*S38</f>
        <v/>
      </c>
      <c r="T438" s="8">
        <f>T261*Pricing!$D$38*T417*Pricing!$B$19*T38</f>
        <v/>
      </c>
      <c r="U438" s="8">
        <f>U261*Pricing!$D$38*U417*Pricing!$B$19*U38</f>
        <v/>
      </c>
      <c r="V438" s="8">
        <f>V261*Pricing!$D$38*V417*Pricing!$B$19*V38</f>
        <v/>
      </c>
      <c r="W438" s="8">
        <f>W261*Pricing!$D$38*W417*Pricing!$B$19*W38</f>
        <v/>
      </c>
      <c r="X438" s="8">
        <f>X261*Pricing!$D$38*X417*Pricing!$B$19*X38</f>
        <v/>
      </c>
      <c r="Y438" s="8">
        <f>Y261*Pricing!$D$38*Y417*Pricing!$B$19*Y38</f>
        <v/>
      </c>
      <c r="Z438" s="8">
        <f>Z261*Pricing!$D$38*Z417*Pricing!$B$19*Z38</f>
        <v/>
      </c>
      <c r="AA438" s="8">
        <f>AA261*Pricing!$D$38*AA417*Pricing!$B$19*AA38</f>
        <v/>
      </c>
      <c r="AB438" s="8">
        <f>AB261*Pricing!$D$38*AB417*Pricing!$B$19*AB38</f>
        <v/>
      </c>
      <c r="AC438" s="8">
        <f>AC261*Pricing!$D$38*AC417*Pricing!$B$19*AC38</f>
        <v/>
      </c>
      <c r="AD438" s="8">
        <f>AD261*Pricing!$D$38*AD417*Pricing!$B$19*AD38</f>
        <v/>
      </c>
      <c r="AE438" s="8">
        <f>AE261*Pricing!$D$38*AE417*Pricing!$B$19*AE38</f>
        <v/>
      </c>
      <c r="AF438" s="8">
        <f>AF261*Pricing!$D$38*AF417*Pricing!$B$19*AF38</f>
        <v/>
      </c>
      <c r="AG438" s="8">
        <f>AG261*Pricing!$D$38*AG417*Pricing!$B$19*AG38</f>
        <v/>
      </c>
      <c r="AH438" s="8">
        <f>AH261*Pricing!$D$38*AH417*Pricing!$B$19*AH38</f>
        <v/>
      </c>
      <c r="AI438" s="8">
        <f>AI261*Pricing!$D$38*AI417*Pricing!$B$19*AI38</f>
        <v/>
      </c>
      <c r="AJ438" s="8">
        <f>AJ261*Pricing!$D$38*AJ417*Pricing!$B$19*AJ38</f>
        <v/>
      </c>
      <c r="AK438" s="8">
        <f>AK261*Pricing!$D$38*AK417*Pricing!$B$19*AK38</f>
        <v/>
      </c>
      <c r="AL438" s="8">
        <f>AL261*Pricing!$D$38*AL417*Pricing!$B$19*AL38</f>
        <v/>
      </c>
      <c r="AM438" s="8">
        <f>AM261*Pricing!$D$38*AM417*Pricing!$B$19*AM38</f>
        <v/>
      </c>
      <c r="AN438" s="8">
        <f>AN261*Pricing!$D$38*AN417*Pricing!$B$19*AN38</f>
        <v/>
      </c>
      <c r="AO438" s="8">
        <f>AO261*Pricing!$D$38*AO417*Pricing!$B$19*AO38</f>
        <v/>
      </c>
      <c r="AP438" s="8">
        <f>AP261*Pricing!$D$38*AP417*Pricing!$B$19*AP38</f>
        <v/>
      </c>
      <c r="AQ438" s="8">
        <f>AQ261*Pricing!$D$38*AQ417*Pricing!$B$19*AQ38</f>
        <v/>
      </c>
      <c r="AR438" s="8">
        <f>AR261*Pricing!$D$38*AR417*Pricing!$B$19*AR38</f>
        <v/>
      </c>
      <c r="AS438" s="8">
        <f>AS261*Pricing!$D$38*AS417*Pricing!$B$19*AS38</f>
        <v/>
      </c>
      <c r="AT438" s="8">
        <f>AT261*Pricing!$D$38*AT417*Pricing!$B$19*AT38</f>
        <v/>
      </c>
      <c r="AU438" s="8">
        <f>AU261*Pricing!$D$38*AU417*Pricing!$B$19*AU38</f>
        <v/>
      </c>
      <c r="AV438" s="8">
        <f>AV261*Pricing!$D$38*AV417*Pricing!$B$19*AV38</f>
        <v/>
      </c>
      <c r="AW438" s="8">
        <f>AW261*Pricing!$D$38*AW417*Pricing!$B$19*AW38</f>
        <v/>
      </c>
      <c r="AX438" s="8">
        <f>AX261*Pricing!$D$38*AX417*Pricing!$B$19*AX38</f>
        <v/>
      </c>
      <c r="AY438" s="8">
        <f>AY261*Pricing!$D$38*AY417*Pricing!$B$19*AY38</f>
        <v/>
      </c>
      <c r="AZ438" s="8">
        <f>AZ261*Pricing!$D$38*AZ417*Pricing!$B$19*AZ38</f>
        <v/>
      </c>
      <c r="BA438" s="8">
        <f>BA261*Pricing!$D$38*BA417*Pricing!$B$19*BA38</f>
        <v/>
      </c>
      <c r="BB438" s="8">
        <f>BB261*Pricing!$D$38*BB417*Pricing!$B$19*BB38</f>
        <v/>
      </c>
      <c r="BC438" s="8">
        <f>BC261*Pricing!$D$38*BC417*Pricing!$B$19*BC38</f>
        <v/>
      </c>
      <c r="BD438" s="8">
        <f>BD261*Pricing!$D$38*BD417*Pricing!$B$19*BD38</f>
        <v/>
      </c>
      <c r="BE438" s="8">
        <f>BE261*Pricing!$D$38*BE417*Pricing!$B$19*BE38</f>
        <v/>
      </c>
      <c r="BF438" s="8">
        <f>BF261*Pricing!$D$38*BF417*Pricing!$B$19*BF38</f>
        <v/>
      </c>
      <c r="BG438" s="8">
        <f>BG261*Pricing!$D$38*BG417*Pricing!$B$19*BG38</f>
        <v/>
      </c>
      <c r="BH438" s="8">
        <f>BH261*Pricing!$D$38*BH417*Pricing!$B$19*BH38</f>
        <v/>
      </c>
      <c r="BI438" s="8">
        <f>BI261*Pricing!$D$38*BI417*Pricing!$B$19*BI38</f>
        <v/>
      </c>
      <c r="BJ438" s="8">
        <f>BJ261*Pricing!$D$38*BJ417*Pricing!$B$19*BJ38</f>
        <v/>
      </c>
    </row>
    <row r="439">
      <c r="A439" s="4" t="inlineStr">
        <is>
          <t>Gross subscription revenue: Kenya: SME: Scale (direct or upgraded)</t>
        </is>
      </c>
      <c r="B439" s="17" t="inlineStr">
        <is>
          <t>R</t>
        </is>
      </c>
      <c r="C439" s="8">
        <f>C265*Pricing!$D$39*C417*Pricing!$B$19*C38</f>
        <v/>
      </c>
      <c r="D439" s="8">
        <f>D265*Pricing!$D$39*D417*Pricing!$B$19*D38</f>
        <v/>
      </c>
      <c r="E439" s="8">
        <f>E265*Pricing!$D$39*E417*Pricing!$B$19*E38</f>
        <v/>
      </c>
      <c r="F439" s="8">
        <f>F265*Pricing!$D$39*F417*Pricing!$B$19*F38</f>
        <v/>
      </c>
      <c r="G439" s="8">
        <f>G265*Pricing!$D$39*G417*Pricing!$B$19*G38</f>
        <v/>
      </c>
      <c r="H439" s="8">
        <f>H265*Pricing!$D$39*H417*Pricing!$B$19*H38</f>
        <v/>
      </c>
      <c r="I439" s="8">
        <f>I265*Pricing!$D$39*I417*Pricing!$B$19*I38</f>
        <v/>
      </c>
      <c r="J439" s="8">
        <f>J265*Pricing!$D$39*J417*Pricing!$B$19*J38</f>
        <v/>
      </c>
      <c r="K439" s="8">
        <f>K265*Pricing!$D$39*K417*Pricing!$B$19*K38</f>
        <v/>
      </c>
      <c r="L439" s="8">
        <f>L265*Pricing!$D$39*L417*Pricing!$B$19*L38</f>
        <v/>
      </c>
      <c r="M439" s="8">
        <f>M265*Pricing!$D$39*M417*Pricing!$B$19*M38</f>
        <v/>
      </c>
      <c r="N439" s="8">
        <f>N265*Pricing!$D$39*N417*Pricing!$B$19*N38</f>
        <v/>
      </c>
      <c r="O439" s="8">
        <f>O265*Pricing!$D$39*O417*Pricing!$B$19*O38</f>
        <v/>
      </c>
      <c r="P439" s="8">
        <f>P265*Pricing!$D$39*P417*Pricing!$B$19*P38</f>
        <v/>
      </c>
      <c r="Q439" s="8">
        <f>Q265*Pricing!$D$39*Q417*Pricing!$B$19*Q38</f>
        <v/>
      </c>
      <c r="R439" s="8">
        <f>R265*Pricing!$D$39*R417*Pricing!$B$19*R38</f>
        <v/>
      </c>
      <c r="S439" s="8">
        <f>S265*Pricing!$D$39*S417*Pricing!$B$19*S38</f>
        <v/>
      </c>
      <c r="T439" s="8">
        <f>T265*Pricing!$D$39*T417*Pricing!$B$19*T38</f>
        <v/>
      </c>
      <c r="U439" s="8">
        <f>U265*Pricing!$D$39*U417*Pricing!$B$19*U38</f>
        <v/>
      </c>
      <c r="V439" s="8">
        <f>V265*Pricing!$D$39*V417*Pricing!$B$19*V38</f>
        <v/>
      </c>
      <c r="W439" s="8">
        <f>W265*Pricing!$D$39*W417*Pricing!$B$19*W38</f>
        <v/>
      </c>
      <c r="X439" s="8">
        <f>X265*Pricing!$D$39*X417*Pricing!$B$19*X38</f>
        <v/>
      </c>
      <c r="Y439" s="8">
        <f>Y265*Pricing!$D$39*Y417*Pricing!$B$19*Y38</f>
        <v/>
      </c>
      <c r="Z439" s="8">
        <f>Z265*Pricing!$D$39*Z417*Pricing!$B$19*Z38</f>
        <v/>
      </c>
      <c r="AA439" s="8">
        <f>AA265*Pricing!$D$39*AA417*Pricing!$B$19*AA38</f>
        <v/>
      </c>
      <c r="AB439" s="8">
        <f>AB265*Pricing!$D$39*AB417*Pricing!$B$19*AB38</f>
        <v/>
      </c>
      <c r="AC439" s="8">
        <f>AC265*Pricing!$D$39*AC417*Pricing!$B$19*AC38</f>
        <v/>
      </c>
      <c r="AD439" s="8">
        <f>AD265*Pricing!$D$39*AD417*Pricing!$B$19*AD38</f>
        <v/>
      </c>
      <c r="AE439" s="8">
        <f>AE265*Pricing!$D$39*AE417*Pricing!$B$19*AE38</f>
        <v/>
      </c>
      <c r="AF439" s="8">
        <f>AF265*Pricing!$D$39*AF417*Pricing!$B$19*AF38</f>
        <v/>
      </c>
      <c r="AG439" s="8">
        <f>AG265*Pricing!$D$39*AG417*Pricing!$B$19*AG38</f>
        <v/>
      </c>
      <c r="AH439" s="8">
        <f>AH265*Pricing!$D$39*AH417*Pricing!$B$19*AH38</f>
        <v/>
      </c>
      <c r="AI439" s="8">
        <f>AI265*Pricing!$D$39*AI417*Pricing!$B$19*AI38</f>
        <v/>
      </c>
      <c r="AJ439" s="8">
        <f>AJ265*Pricing!$D$39*AJ417*Pricing!$B$19*AJ38</f>
        <v/>
      </c>
      <c r="AK439" s="8">
        <f>AK265*Pricing!$D$39*AK417*Pricing!$B$19*AK38</f>
        <v/>
      </c>
      <c r="AL439" s="8">
        <f>AL265*Pricing!$D$39*AL417*Pricing!$B$19*AL38</f>
        <v/>
      </c>
      <c r="AM439" s="8">
        <f>AM265*Pricing!$D$39*AM417*Pricing!$B$19*AM38</f>
        <v/>
      </c>
      <c r="AN439" s="8">
        <f>AN265*Pricing!$D$39*AN417*Pricing!$B$19*AN38</f>
        <v/>
      </c>
      <c r="AO439" s="8">
        <f>AO265*Pricing!$D$39*AO417*Pricing!$B$19*AO38</f>
        <v/>
      </c>
      <c r="AP439" s="8">
        <f>AP265*Pricing!$D$39*AP417*Pricing!$B$19*AP38</f>
        <v/>
      </c>
      <c r="AQ439" s="8">
        <f>AQ265*Pricing!$D$39*AQ417*Pricing!$B$19*AQ38</f>
        <v/>
      </c>
      <c r="AR439" s="8">
        <f>AR265*Pricing!$D$39*AR417*Pricing!$B$19*AR38</f>
        <v/>
      </c>
      <c r="AS439" s="8">
        <f>AS265*Pricing!$D$39*AS417*Pricing!$B$19*AS38</f>
        <v/>
      </c>
      <c r="AT439" s="8">
        <f>AT265*Pricing!$D$39*AT417*Pricing!$B$19*AT38</f>
        <v/>
      </c>
      <c r="AU439" s="8">
        <f>AU265*Pricing!$D$39*AU417*Pricing!$B$19*AU38</f>
        <v/>
      </c>
      <c r="AV439" s="8">
        <f>AV265*Pricing!$D$39*AV417*Pricing!$B$19*AV38</f>
        <v/>
      </c>
      <c r="AW439" s="8">
        <f>AW265*Pricing!$D$39*AW417*Pricing!$B$19*AW38</f>
        <v/>
      </c>
      <c r="AX439" s="8">
        <f>AX265*Pricing!$D$39*AX417*Pricing!$B$19*AX38</f>
        <v/>
      </c>
      <c r="AY439" s="8">
        <f>AY265*Pricing!$D$39*AY417*Pricing!$B$19*AY38</f>
        <v/>
      </c>
      <c r="AZ439" s="8">
        <f>AZ265*Pricing!$D$39*AZ417*Pricing!$B$19*AZ38</f>
        <v/>
      </c>
      <c r="BA439" s="8">
        <f>BA265*Pricing!$D$39*BA417*Pricing!$B$19*BA38</f>
        <v/>
      </c>
      <c r="BB439" s="8">
        <f>BB265*Pricing!$D$39*BB417*Pricing!$B$19*BB38</f>
        <v/>
      </c>
      <c r="BC439" s="8">
        <f>BC265*Pricing!$D$39*BC417*Pricing!$B$19*BC38</f>
        <v/>
      </c>
      <c r="BD439" s="8">
        <f>BD265*Pricing!$D$39*BD417*Pricing!$B$19*BD38</f>
        <v/>
      </c>
      <c r="BE439" s="8">
        <f>BE265*Pricing!$D$39*BE417*Pricing!$B$19*BE38</f>
        <v/>
      </c>
      <c r="BF439" s="8">
        <f>BF265*Pricing!$D$39*BF417*Pricing!$B$19*BF38</f>
        <v/>
      </c>
      <c r="BG439" s="8">
        <f>BG265*Pricing!$D$39*BG417*Pricing!$B$19*BG38</f>
        <v/>
      </c>
      <c r="BH439" s="8">
        <f>BH265*Pricing!$D$39*BH417*Pricing!$B$19*BH38</f>
        <v/>
      </c>
      <c r="BI439" s="8">
        <f>BI265*Pricing!$D$39*BI417*Pricing!$B$19*BI38</f>
        <v/>
      </c>
      <c r="BJ439" s="8">
        <f>BJ265*Pricing!$D$39*BJ417*Pricing!$B$19*BJ38</f>
        <v/>
      </c>
    </row>
    <row r="440">
      <c r="A440" s="4" t="inlineStr">
        <is>
          <t>Gross subscription revenue: Kenya: Agency / partner: Agency tier</t>
        </is>
      </c>
      <c r="B440" s="17" t="inlineStr">
        <is>
          <t>R</t>
        </is>
      </c>
      <c r="C440" s="8">
        <f>C269*(Pricing!$B$20*Pricing!$D$43+(1-Pricing!$B$20)*Pricing!$D$41)*C417*Pricing!$B$19*C38</f>
        <v/>
      </c>
      <c r="D440" s="8">
        <f>D269*(Pricing!$B$20*Pricing!$D$43+(1-Pricing!$B$20)*Pricing!$D$41)*D417*Pricing!$B$19*D38</f>
        <v/>
      </c>
      <c r="E440" s="8">
        <f>E269*(Pricing!$B$20*Pricing!$D$43+(1-Pricing!$B$20)*Pricing!$D$41)*E417*Pricing!$B$19*E38</f>
        <v/>
      </c>
      <c r="F440" s="8">
        <f>F269*(Pricing!$B$20*Pricing!$D$43+(1-Pricing!$B$20)*Pricing!$D$41)*F417*Pricing!$B$19*F38</f>
        <v/>
      </c>
      <c r="G440" s="8">
        <f>G269*(Pricing!$B$20*Pricing!$D$43+(1-Pricing!$B$20)*Pricing!$D$41)*G417*Pricing!$B$19*G38</f>
        <v/>
      </c>
      <c r="H440" s="8">
        <f>H269*(Pricing!$B$20*Pricing!$D$43+(1-Pricing!$B$20)*Pricing!$D$41)*H417*Pricing!$B$19*H38</f>
        <v/>
      </c>
      <c r="I440" s="8">
        <f>I269*(Pricing!$B$20*Pricing!$D$43+(1-Pricing!$B$20)*Pricing!$D$41)*I417*Pricing!$B$19*I38</f>
        <v/>
      </c>
      <c r="J440" s="8">
        <f>J269*(Pricing!$B$20*Pricing!$D$43+(1-Pricing!$B$20)*Pricing!$D$41)*J417*Pricing!$B$19*J38</f>
        <v/>
      </c>
      <c r="K440" s="8">
        <f>K269*(Pricing!$B$20*Pricing!$D$43+(1-Pricing!$B$20)*Pricing!$D$41)*K417*Pricing!$B$19*K38</f>
        <v/>
      </c>
      <c r="L440" s="8">
        <f>L269*(Pricing!$B$20*Pricing!$D$43+(1-Pricing!$B$20)*Pricing!$D$41)*L417*Pricing!$B$19*L38</f>
        <v/>
      </c>
      <c r="M440" s="8">
        <f>M269*(Pricing!$B$20*Pricing!$D$43+(1-Pricing!$B$20)*Pricing!$D$41)*M417*Pricing!$B$19*M38</f>
        <v/>
      </c>
      <c r="N440" s="8">
        <f>N269*(Pricing!$B$20*Pricing!$D$43+(1-Pricing!$B$20)*Pricing!$D$41)*N417*Pricing!$B$19*N38</f>
        <v/>
      </c>
      <c r="O440" s="8">
        <f>O269*(Pricing!$B$20*Pricing!$D$43+(1-Pricing!$B$20)*Pricing!$D$41)*O417*Pricing!$B$19*O38</f>
        <v/>
      </c>
      <c r="P440" s="8">
        <f>P269*(Pricing!$B$20*Pricing!$D$43+(1-Pricing!$B$20)*Pricing!$D$41)*P417*Pricing!$B$19*P38</f>
        <v/>
      </c>
      <c r="Q440" s="8">
        <f>Q269*(Pricing!$B$20*Pricing!$D$43+(1-Pricing!$B$20)*Pricing!$D$41)*Q417*Pricing!$B$19*Q38</f>
        <v/>
      </c>
      <c r="R440" s="8">
        <f>R269*(Pricing!$B$20*Pricing!$D$43+(1-Pricing!$B$20)*Pricing!$D$41)*R417*Pricing!$B$19*R38</f>
        <v/>
      </c>
      <c r="S440" s="8">
        <f>S269*(Pricing!$B$20*Pricing!$D$43+(1-Pricing!$B$20)*Pricing!$D$41)*S417*Pricing!$B$19*S38</f>
        <v/>
      </c>
      <c r="T440" s="8">
        <f>T269*(Pricing!$B$20*Pricing!$D$43+(1-Pricing!$B$20)*Pricing!$D$41)*T417*Pricing!$B$19*T38</f>
        <v/>
      </c>
      <c r="U440" s="8">
        <f>U269*(Pricing!$B$20*Pricing!$D$43+(1-Pricing!$B$20)*Pricing!$D$41)*U417*Pricing!$B$19*U38</f>
        <v/>
      </c>
      <c r="V440" s="8">
        <f>V269*(Pricing!$B$20*Pricing!$D$43+(1-Pricing!$B$20)*Pricing!$D$41)*V417*Pricing!$B$19*V38</f>
        <v/>
      </c>
      <c r="W440" s="8">
        <f>W269*(Pricing!$B$20*Pricing!$D$43+(1-Pricing!$B$20)*Pricing!$D$41)*W417*Pricing!$B$19*W38</f>
        <v/>
      </c>
      <c r="X440" s="8">
        <f>X269*(Pricing!$B$20*Pricing!$D$43+(1-Pricing!$B$20)*Pricing!$D$41)*X417*Pricing!$B$19*X38</f>
        <v/>
      </c>
      <c r="Y440" s="8">
        <f>Y269*(Pricing!$B$20*Pricing!$D$43+(1-Pricing!$B$20)*Pricing!$D$41)*Y417*Pricing!$B$19*Y38</f>
        <v/>
      </c>
      <c r="Z440" s="8">
        <f>Z269*(Pricing!$B$20*Pricing!$D$43+(1-Pricing!$B$20)*Pricing!$D$41)*Z417*Pricing!$B$19*Z38</f>
        <v/>
      </c>
      <c r="AA440" s="8">
        <f>AA269*(Pricing!$B$20*Pricing!$D$43+(1-Pricing!$B$20)*Pricing!$D$41)*AA417*Pricing!$B$19*AA38</f>
        <v/>
      </c>
      <c r="AB440" s="8">
        <f>AB269*(Pricing!$B$20*Pricing!$D$43+(1-Pricing!$B$20)*Pricing!$D$41)*AB417*Pricing!$B$19*AB38</f>
        <v/>
      </c>
      <c r="AC440" s="8">
        <f>AC269*(Pricing!$B$20*Pricing!$D$43+(1-Pricing!$B$20)*Pricing!$D$41)*AC417*Pricing!$B$19*AC38</f>
        <v/>
      </c>
      <c r="AD440" s="8">
        <f>AD269*(Pricing!$B$20*Pricing!$D$43+(1-Pricing!$B$20)*Pricing!$D$41)*AD417*Pricing!$B$19*AD38</f>
        <v/>
      </c>
      <c r="AE440" s="8">
        <f>AE269*(Pricing!$B$20*Pricing!$D$43+(1-Pricing!$B$20)*Pricing!$D$41)*AE417*Pricing!$B$19*AE38</f>
        <v/>
      </c>
      <c r="AF440" s="8">
        <f>AF269*(Pricing!$B$20*Pricing!$D$43+(1-Pricing!$B$20)*Pricing!$D$41)*AF417*Pricing!$B$19*AF38</f>
        <v/>
      </c>
      <c r="AG440" s="8">
        <f>AG269*(Pricing!$B$20*Pricing!$D$43+(1-Pricing!$B$20)*Pricing!$D$41)*AG417*Pricing!$B$19*AG38</f>
        <v/>
      </c>
      <c r="AH440" s="8">
        <f>AH269*(Pricing!$B$20*Pricing!$D$43+(1-Pricing!$B$20)*Pricing!$D$41)*AH417*Pricing!$B$19*AH38</f>
        <v/>
      </c>
      <c r="AI440" s="8">
        <f>AI269*(Pricing!$B$20*Pricing!$D$43+(1-Pricing!$B$20)*Pricing!$D$41)*AI417*Pricing!$B$19*AI38</f>
        <v/>
      </c>
      <c r="AJ440" s="8">
        <f>AJ269*(Pricing!$B$20*Pricing!$D$43+(1-Pricing!$B$20)*Pricing!$D$41)*AJ417*Pricing!$B$19*AJ38</f>
        <v/>
      </c>
      <c r="AK440" s="8">
        <f>AK269*(Pricing!$B$20*Pricing!$D$43+(1-Pricing!$B$20)*Pricing!$D$41)*AK417*Pricing!$B$19*AK38</f>
        <v/>
      </c>
      <c r="AL440" s="8">
        <f>AL269*(Pricing!$B$20*Pricing!$D$43+(1-Pricing!$B$20)*Pricing!$D$41)*AL417*Pricing!$B$19*AL38</f>
        <v/>
      </c>
      <c r="AM440" s="8">
        <f>AM269*(Pricing!$B$20*Pricing!$D$43+(1-Pricing!$B$20)*Pricing!$D$41)*AM417*Pricing!$B$19*AM38</f>
        <v/>
      </c>
      <c r="AN440" s="8">
        <f>AN269*(Pricing!$B$20*Pricing!$D$43+(1-Pricing!$B$20)*Pricing!$D$41)*AN417*Pricing!$B$19*AN38</f>
        <v/>
      </c>
      <c r="AO440" s="8">
        <f>AO269*(Pricing!$B$20*Pricing!$D$43+(1-Pricing!$B$20)*Pricing!$D$41)*AO417*Pricing!$B$19*AO38</f>
        <v/>
      </c>
      <c r="AP440" s="8">
        <f>AP269*(Pricing!$B$20*Pricing!$D$43+(1-Pricing!$B$20)*Pricing!$D$41)*AP417*Pricing!$B$19*AP38</f>
        <v/>
      </c>
      <c r="AQ440" s="8">
        <f>AQ269*(Pricing!$B$20*Pricing!$D$43+(1-Pricing!$B$20)*Pricing!$D$41)*AQ417*Pricing!$B$19*AQ38</f>
        <v/>
      </c>
      <c r="AR440" s="8">
        <f>AR269*(Pricing!$B$20*Pricing!$D$43+(1-Pricing!$B$20)*Pricing!$D$41)*AR417*Pricing!$B$19*AR38</f>
        <v/>
      </c>
      <c r="AS440" s="8">
        <f>AS269*(Pricing!$B$20*Pricing!$D$43+(1-Pricing!$B$20)*Pricing!$D$41)*AS417*Pricing!$B$19*AS38</f>
        <v/>
      </c>
      <c r="AT440" s="8">
        <f>AT269*(Pricing!$B$20*Pricing!$D$43+(1-Pricing!$B$20)*Pricing!$D$41)*AT417*Pricing!$B$19*AT38</f>
        <v/>
      </c>
      <c r="AU440" s="8">
        <f>AU269*(Pricing!$B$20*Pricing!$D$43+(1-Pricing!$B$20)*Pricing!$D$41)*AU417*Pricing!$B$19*AU38</f>
        <v/>
      </c>
      <c r="AV440" s="8">
        <f>AV269*(Pricing!$B$20*Pricing!$D$43+(1-Pricing!$B$20)*Pricing!$D$41)*AV417*Pricing!$B$19*AV38</f>
        <v/>
      </c>
      <c r="AW440" s="8">
        <f>AW269*(Pricing!$B$20*Pricing!$D$43+(1-Pricing!$B$20)*Pricing!$D$41)*AW417*Pricing!$B$19*AW38</f>
        <v/>
      </c>
      <c r="AX440" s="8">
        <f>AX269*(Pricing!$B$20*Pricing!$D$43+(1-Pricing!$B$20)*Pricing!$D$41)*AX417*Pricing!$B$19*AX38</f>
        <v/>
      </c>
      <c r="AY440" s="8">
        <f>AY269*(Pricing!$B$20*Pricing!$D$43+(1-Pricing!$B$20)*Pricing!$D$41)*AY417*Pricing!$B$19*AY38</f>
        <v/>
      </c>
      <c r="AZ440" s="8">
        <f>AZ269*(Pricing!$B$20*Pricing!$D$43+(1-Pricing!$B$20)*Pricing!$D$41)*AZ417*Pricing!$B$19*AZ38</f>
        <v/>
      </c>
      <c r="BA440" s="8">
        <f>BA269*(Pricing!$B$20*Pricing!$D$43+(1-Pricing!$B$20)*Pricing!$D$41)*BA417*Pricing!$B$19*BA38</f>
        <v/>
      </c>
      <c r="BB440" s="8">
        <f>BB269*(Pricing!$B$20*Pricing!$D$43+(1-Pricing!$B$20)*Pricing!$D$41)*BB417*Pricing!$B$19*BB38</f>
        <v/>
      </c>
      <c r="BC440" s="8">
        <f>BC269*(Pricing!$B$20*Pricing!$D$43+(1-Pricing!$B$20)*Pricing!$D$41)*BC417*Pricing!$B$19*BC38</f>
        <v/>
      </c>
      <c r="BD440" s="8">
        <f>BD269*(Pricing!$B$20*Pricing!$D$43+(1-Pricing!$B$20)*Pricing!$D$41)*BD417*Pricing!$B$19*BD38</f>
        <v/>
      </c>
      <c r="BE440" s="8">
        <f>BE269*(Pricing!$B$20*Pricing!$D$43+(1-Pricing!$B$20)*Pricing!$D$41)*BE417*Pricing!$B$19*BE38</f>
        <v/>
      </c>
      <c r="BF440" s="8">
        <f>BF269*(Pricing!$B$20*Pricing!$D$43+(1-Pricing!$B$20)*Pricing!$D$41)*BF417*Pricing!$B$19*BF38</f>
        <v/>
      </c>
      <c r="BG440" s="8">
        <f>BG269*(Pricing!$B$20*Pricing!$D$43+(1-Pricing!$B$20)*Pricing!$D$41)*BG417*Pricing!$B$19*BG38</f>
        <v/>
      </c>
      <c r="BH440" s="8">
        <f>BH269*(Pricing!$B$20*Pricing!$D$43+(1-Pricing!$B$20)*Pricing!$D$41)*BH417*Pricing!$B$19*BH38</f>
        <v/>
      </c>
      <c r="BI440" s="8">
        <f>BI269*(Pricing!$B$20*Pricing!$D$43+(1-Pricing!$B$20)*Pricing!$D$41)*BI417*Pricing!$B$19*BI38</f>
        <v/>
      </c>
      <c r="BJ440" s="8">
        <f>BJ269*(Pricing!$B$20*Pricing!$D$43+(1-Pricing!$B$20)*Pricing!$D$41)*BJ417*Pricing!$B$19*BJ38</f>
        <v/>
      </c>
    </row>
    <row r="441">
      <c r="A441" s="4" t="inlineStr">
        <is>
          <t>Gross subscription revenue: Ghana: Solo: Nano</t>
        </is>
      </c>
      <c r="B441" s="17" t="inlineStr">
        <is>
          <t>R</t>
        </is>
      </c>
      <c r="C441" s="8">
        <f>C274*Pricing!$E$35*C417*Pricing!$B$19*C41</f>
        <v/>
      </c>
      <c r="D441" s="8">
        <f>D274*Pricing!$E$35*D417*Pricing!$B$19*D41</f>
        <v/>
      </c>
      <c r="E441" s="8">
        <f>E274*Pricing!$E$35*E417*Pricing!$B$19*E41</f>
        <v/>
      </c>
      <c r="F441" s="8">
        <f>F274*Pricing!$E$35*F417*Pricing!$B$19*F41</f>
        <v/>
      </c>
      <c r="G441" s="8">
        <f>G274*Pricing!$E$35*G417*Pricing!$B$19*G41</f>
        <v/>
      </c>
      <c r="H441" s="8">
        <f>H274*Pricing!$E$35*H417*Pricing!$B$19*H41</f>
        <v/>
      </c>
      <c r="I441" s="8">
        <f>I274*Pricing!$E$35*I417*Pricing!$B$19*I41</f>
        <v/>
      </c>
      <c r="J441" s="8">
        <f>J274*Pricing!$E$35*J417*Pricing!$B$19*J41</f>
        <v/>
      </c>
      <c r="K441" s="8">
        <f>K274*Pricing!$E$35*K417*Pricing!$B$19*K41</f>
        <v/>
      </c>
      <c r="L441" s="8">
        <f>L274*Pricing!$E$35*L417*Pricing!$B$19*L41</f>
        <v/>
      </c>
      <c r="M441" s="8">
        <f>M274*Pricing!$E$35*M417*Pricing!$B$19*M41</f>
        <v/>
      </c>
      <c r="N441" s="8">
        <f>N274*Pricing!$E$35*N417*Pricing!$B$19*N41</f>
        <v/>
      </c>
      <c r="O441" s="8">
        <f>O274*Pricing!$E$35*O417*Pricing!$B$19*O41</f>
        <v/>
      </c>
      <c r="P441" s="8">
        <f>P274*Pricing!$E$35*P417*Pricing!$B$19*P41</f>
        <v/>
      </c>
      <c r="Q441" s="8">
        <f>Q274*Pricing!$E$35*Q417*Pricing!$B$19*Q41</f>
        <v/>
      </c>
      <c r="R441" s="8">
        <f>R274*Pricing!$E$35*R417*Pricing!$B$19*R41</f>
        <v/>
      </c>
      <c r="S441" s="8">
        <f>S274*Pricing!$E$35*S417*Pricing!$B$19*S41</f>
        <v/>
      </c>
      <c r="T441" s="8">
        <f>T274*Pricing!$E$35*T417*Pricing!$B$19*T41</f>
        <v/>
      </c>
      <c r="U441" s="8">
        <f>U274*Pricing!$E$35*U417*Pricing!$B$19*U41</f>
        <v/>
      </c>
      <c r="V441" s="8">
        <f>V274*Pricing!$E$35*V417*Pricing!$B$19*V41</f>
        <v/>
      </c>
      <c r="W441" s="8">
        <f>W274*Pricing!$E$35*W417*Pricing!$B$19*W41</f>
        <v/>
      </c>
      <c r="X441" s="8">
        <f>X274*Pricing!$E$35*X417*Pricing!$B$19*X41</f>
        <v/>
      </c>
      <c r="Y441" s="8">
        <f>Y274*Pricing!$E$35*Y417*Pricing!$B$19*Y41</f>
        <v/>
      </c>
      <c r="Z441" s="8">
        <f>Z274*Pricing!$E$35*Z417*Pricing!$B$19*Z41</f>
        <v/>
      </c>
      <c r="AA441" s="8">
        <f>AA274*Pricing!$E$35*AA417*Pricing!$B$19*AA41</f>
        <v/>
      </c>
      <c r="AB441" s="8">
        <f>AB274*Pricing!$E$35*AB417*Pricing!$B$19*AB41</f>
        <v/>
      </c>
      <c r="AC441" s="8">
        <f>AC274*Pricing!$E$35*AC417*Pricing!$B$19*AC41</f>
        <v/>
      </c>
      <c r="AD441" s="8">
        <f>AD274*Pricing!$E$35*AD417*Pricing!$B$19*AD41</f>
        <v/>
      </c>
      <c r="AE441" s="8">
        <f>AE274*Pricing!$E$35*AE417*Pricing!$B$19*AE41</f>
        <v/>
      </c>
      <c r="AF441" s="8">
        <f>AF274*Pricing!$E$35*AF417*Pricing!$B$19*AF41</f>
        <v/>
      </c>
      <c r="AG441" s="8">
        <f>AG274*Pricing!$E$35*AG417*Pricing!$B$19*AG41</f>
        <v/>
      </c>
      <c r="AH441" s="8">
        <f>AH274*Pricing!$E$35*AH417*Pricing!$B$19*AH41</f>
        <v/>
      </c>
      <c r="AI441" s="8">
        <f>AI274*Pricing!$E$35*AI417*Pricing!$B$19*AI41</f>
        <v/>
      </c>
      <c r="AJ441" s="8">
        <f>AJ274*Pricing!$E$35*AJ417*Pricing!$B$19*AJ41</f>
        <v/>
      </c>
      <c r="AK441" s="8">
        <f>AK274*Pricing!$E$35*AK417*Pricing!$B$19*AK41</f>
        <v/>
      </c>
      <c r="AL441" s="8">
        <f>AL274*Pricing!$E$35*AL417*Pricing!$B$19*AL41</f>
        <v/>
      </c>
      <c r="AM441" s="8">
        <f>AM274*Pricing!$E$35*AM417*Pricing!$B$19*AM41</f>
        <v/>
      </c>
      <c r="AN441" s="8">
        <f>AN274*Pricing!$E$35*AN417*Pricing!$B$19*AN41</f>
        <v/>
      </c>
      <c r="AO441" s="8">
        <f>AO274*Pricing!$E$35*AO417*Pricing!$B$19*AO41</f>
        <v/>
      </c>
      <c r="AP441" s="8">
        <f>AP274*Pricing!$E$35*AP417*Pricing!$B$19*AP41</f>
        <v/>
      </c>
      <c r="AQ441" s="8">
        <f>AQ274*Pricing!$E$35*AQ417*Pricing!$B$19*AQ41</f>
        <v/>
      </c>
      <c r="AR441" s="8">
        <f>AR274*Pricing!$E$35*AR417*Pricing!$B$19*AR41</f>
        <v/>
      </c>
      <c r="AS441" s="8">
        <f>AS274*Pricing!$E$35*AS417*Pricing!$B$19*AS41</f>
        <v/>
      </c>
      <c r="AT441" s="8">
        <f>AT274*Pricing!$E$35*AT417*Pricing!$B$19*AT41</f>
        <v/>
      </c>
      <c r="AU441" s="8">
        <f>AU274*Pricing!$E$35*AU417*Pricing!$B$19*AU41</f>
        <v/>
      </c>
      <c r="AV441" s="8">
        <f>AV274*Pricing!$E$35*AV417*Pricing!$B$19*AV41</f>
        <v/>
      </c>
      <c r="AW441" s="8">
        <f>AW274*Pricing!$E$35*AW417*Pricing!$B$19*AW41</f>
        <v/>
      </c>
      <c r="AX441" s="8">
        <f>AX274*Pricing!$E$35*AX417*Pricing!$B$19*AX41</f>
        <v/>
      </c>
      <c r="AY441" s="8">
        <f>AY274*Pricing!$E$35*AY417*Pricing!$B$19*AY41</f>
        <v/>
      </c>
      <c r="AZ441" s="8">
        <f>AZ274*Pricing!$E$35*AZ417*Pricing!$B$19*AZ41</f>
        <v/>
      </c>
      <c r="BA441" s="8">
        <f>BA274*Pricing!$E$35*BA417*Pricing!$B$19*BA41</f>
        <v/>
      </c>
      <c r="BB441" s="8">
        <f>BB274*Pricing!$E$35*BB417*Pricing!$B$19*BB41</f>
        <v/>
      </c>
      <c r="BC441" s="8">
        <f>BC274*Pricing!$E$35*BC417*Pricing!$B$19*BC41</f>
        <v/>
      </c>
      <c r="BD441" s="8">
        <f>BD274*Pricing!$E$35*BD417*Pricing!$B$19*BD41</f>
        <v/>
      </c>
      <c r="BE441" s="8">
        <f>BE274*Pricing!$E$35*BE417*Pricing!$B$19*BE41</f>
        <v/>
      </c>
      <c r="BF441" s="8">
        <f>BF274*Pricing!$E$35*BF417*Pricing!$B$19*BF41</f>
        <v/>
      </c>
      <c r="BG441" s="8">
        <f>BG274*Pricing!$E$35*BG417*Pricing!$B$19*BG41</f>
        <v/>
      </c>
      <c r="BH441" s="8">
        <f>BH274*Pricing!$E$35*BH417*Pricing!$B$19*BH41</f>
        <v/>
      </c>
      <c r="BI441" s="8">
        <f>BI274*Pricing!$E$35*BI417*Pricing!$B$19*BI41</f>
        <v/>
      </c>
      <c r="BJ441" s="8">
        <f>BJ274*Pricing!$E$35*BJ417*Pricing!$B$19*BJ41</f>
        <v/>
      </c>
    </row>
    <row r="442">
      <c r="A442" s="4" t="inlineStr">
        <is>
          <t>Gross subscription revenue: Ghana: Solo: Micro (direct or upgraded)</t>
        </is>
      </c>
      <c r="B442" s="17" t="inlineStr">
        <is>
          <t>R</t>
        </is>
      </c>
      <c r="C442" s="8">
        <f>C279*Pricing!$E$36*C417*Pricing!$B$19*C41</f>
        <v/>
      </c>
      <c r="D442" s="8">
        <f>D279*Pricing!$E$36*D417*Pricing!$B$19*D41</f>
        <v/>
      </c>
      <c r="E442" s="8">
        <f>E279*Pricing!$E$36*E417*Pricing!$B$19*E41</f>
        <v/>
      </c>
      <c r="F442" s="8">
        <f>F279*Pricing!$E$36*F417*Pricing!$B$19*F41</f>
        <v/>
      </c>
      <c r="G442" s="8">
        <f>G279*Pricing!$E$36*G417*Pricing!$B$19*G41</f>
        <v/>
      </c>
      <c r="H442" s="8">
        <f>H279*Pricing!$E$36*H417*Pricing!$B$19*H41</f>
        <v/>
      </c>
      <c r="I442" s="8">
        <f>I279*Pricing!$E$36*I417*Pricing!$B$19*I41</f>
        <v/>
      </c>
      <c r="J442" s="8">
        <f>J279*Pricing!$E$36*J417*Pricing!$B$19*J41</f>
        <v/>
      </c>
      <c r="K442" s="8">
        <f>K279*Pricing!$E$36*K417*Pricing!$B$19*K41</f>
        <v/>
      </c>
      <c r="L442" s="8">
        <f>L279*Pricing!$E$36*L417*Pricing!$B$19*L41</f>
        <v/>
      </c>
      <c r="M442" s="8">
        <f>M279*Pricing!$E$36*M417*Pricing!$B$19*M41</f>
        <v/>
      </c>
      <c r="N442" s="8">
        <f>N279*Pricing!$E$36*N417*Pricing!$B$19*N41</f>
        <v/>
      </c>
      <c r="O442" s="8">
        <f>O279*Pricing!$E$36*O417*Pricing!$B$19*O41</f>
        <v/>
      </c>
      <c r="P442" s="8">
        <f>P279*Pricing!$E$36*P417*Pricing!$B$19*P41</f>
        <v/>
      </c>
      <c r="Q442" s="8">
        <f>Q279*Pricing!$E$36*Q417*Pricing!$B$19*Q41</f>
        <v/>
      </c>
      <c r="R442" s="8">
        <f>R279*Pricing!$E$36*R417*Pricing!$B$19*R41</f>
        <v/>
      </c>
      <c r="S442" s="8">
        <f>S279*Pricing!$E$36*S417*Pricing!$B$19*S41</f>
        <v/>
      </c>
      <c r="T442" s="8">
        <f>T279*Pricing!$E$36*T417*Pricing!$B$19*T41</f>
        <v/>
      </c>
      <c r="U442" s="8">
        <f>U279*Pricing!$E$36*U417*Pricing!$B$19*U41</f>
        <v/>
      </c>
      <c r="V442" s="8">
        <f>V279*Pricing!$E$36*V417*Pricing!$B$19*V41</f>
        <v/>
      </c>
      <c r="W442" s="8">
        <f>W279*Pricing!$E$36*W417*Pricing!$B$19*W41</f>
        <v/>
      </c>
      <c r="X442" s="8">
        <f>X279*Pricing!$E$36*X417*Pricing!$B$19*X41</f>
        <v/>
      </c>
      <c r="Y442" s="8">
        <f>Y279*Pricing!$E$36*Y417*Pricing!$B$19*Y41</f>
        <v/>
      </c>
      <c r="Z442" s="8">
        <f>Z279*Pricing!$E$36*Z417*Pricing!$B$19*Z41</f>
        <v/>
      </c>
      <c r="AA442" s="8">
        <f>AA279*Pricing!$E$36*AA417*Pricing!$B$19*AA41</f>
        <v/>
      </c>
      <c r="AB442" s="8">
        <f>AB279*Pricing!$E$36*AB417*Pricing!$B$19*AB41</f>
        <v/>
      </c>
      <c r="AC442" s="8">
        <f>AC279*Pricing!$E$36*AC417*Pricing!$B$19*AC41</f>
        <v/>
      </c>
      <c r="AD442" s="8">
        <f>AD279*Pricing!$E$36*AD417*Pricing!$B$19*AD41</f>
        <v/>
      </c>
      <c r="AE442" s="8">
        <f>AE279*Pricing!$E$36*AE417*Pricing!$B$19*AE41</f>
        <v/>
      </c>
      <c r="AF442" s="8">
        <f>AF279*Pricing!$E$36*AF417*Pricing!$B$19*AF41</f>
        <v/>
      </c>
      <c r="AG442" s="8">
        <f>AG279*Pricing!$E$36*AG417*Pricing!$B$19*AG41</f>
        <v/>
      </c>
      <c r="AH442" s="8">
        <f>AH279*Pricing!$E$36*AH417*Pricing!$B$19*AH41</f>
        <v/>
      </c>
      <c r="AI442" s="8">
        <f>AI279*Pricing!$E$36*AI417*Pricing!$B$19*AI41</f>
        <v/>
      </c>
      <c r="AJ442" s="8">
        <f>AJ279*Pricing!$E$36*AJ417*Pricing!$B$19*AJ41</f>
        <v/>
      </c>
      <c r="AK442" s="8">
        <f>AK279*Pricing!$E$36*AK417*Pricing!$B$19*AK41</f>
        <v/>
      </c>
      <c r="AL442" s="8">
        <f>AL279*Pricing!$E$36*AL417*Pricing!$B$19*AL41</f>
        <v/>
      </c>
      <c r="AM442" s="8">
        <f>AM279*Pricing!$E$36*AM417*Pricing!$B$19*AM41</f>
        <v/>
      </c>
      <c r="AN442" s="8">
        <f>AN279*Pricing!$E$36*AN417*Pricing!$B$19*AN41</f>
        <v/>
      </c>
      <c r="AO442" s="8">
        <f>AO279*Pricing!$E$36*AO417*Pricing!$B$19*AO41</f>
        <v/>
      </c>
      <c r="AP442" s="8">
        <f>AP279*Pricing!$E$36*AP417*Pricing!$B$19*AP41</f>
        <v/>
      </c>
      <c r="AQ442" s="8">
        <f>AQ279*Pricing!$E$36*AQ417*Pricing!$B$19*AQ41</f>
        <v/>
      </c>
      <c r="AR442" s="8">
        <f>AR279*Pricing!$E$36*AR417*Pricing!$B$19*AR41</f>
        <v/>
      </c>
      <c r="AS442" s="8">
        <f>AS279*Pricing!$E$36*AS417*Pricing!$B$19*AS41</f>
        <v/>
      </c>
      <c r="AT442" s="8">
        <f>AT279*Pricing!$E$36*AT417*Pricing!$B$19*AT41</f>
        <v/>
      </c>
      <c r="AU442" s="8">
        <f>AU279*Pricing!$E$36*AU417*Pricing!$B$19*AU41</f>
        <v/>
      </c>
      <c r="AV442" s="8">
        <f>AV279*Pricing!$E$36*AV417*Pricing!$B$19*AV41</f>
        <v/>
      </c>
      <c r="AW442" s="8">
        <f>AW279*Pricing!$E$36*AW417*Pricing!$B$19*AW41</f>
        <v/>
      </c>
      <c r="AX442" s="8">
        <f>AX279*Pricing!$E$36*AX417*Pricing!$B$19*AX41</f>
        <v/>
      </c>
      <c r="AY442" s="8">
        <f>AY279*Pricing!$E$36*AY417*Pricing!$B$19*AY41</f>
        <v/>
      </c>
      <c r="AZ442" s="8">
        <f>AZ279*Pricing!$E$36*AZ417*Pricing!$B$19*AZ41</f>
        <v/>
      </c>
      <c r="BA442" s="8">
        <f>BA279*Pricing!$E$36*BA417*Pricing!$B$19*BA41</f>
        <v/>
      </c>
      <c r="BB442" s="8">
        <f>BB279*Pricing!$E$36*BB417*Pricing!$B$19*BB41</f>
        <v/>
      </c>
      <c r="BC442" s="8">
        <f>BC279*Pricing!$E$36*BC417*Pricing!$B$19*BC41</f>
        <v/>
      </c>
      <c r="BD442" s="8">
        <f>BD279*Pricing!$E$36*BD417*Pricing!$B$19*BD41</f>
        <v/>
      </c>
      <c r="BE442" s="8">
        <f>BE279*Pricing!$E$36*BE417*Pricing!$B$19*BE41</f>
        <v/>
      </c>
      <c r="BF442" s="8">
        <f>BF279*Pricing!$E$36*BF417*Pricing!$B$19*BF41</f>
        <v/>
      </c>
      <c r="BG442" s="8">
        <f>BG279*Pricing!$E$36*BG417*Pricing!$B$19*BG41</f>
        <v/>
      </c>
      <c r="BH442" s="8">
        <f>BH279*Pricing!$E$36*BH417*Pricing!$B$19*BH41</f>
        <v/>
      </c>
      <c r="BI442" s="8">
        <f>BI279*Pricing!$E$36*BI417*Pricing!$B$19*BI41</f>
        <v/>
      </c>
      <c r="BJ442" s="8">
        <f>BJ279*Pricing!$E$36*BJ417*Pricing!$B$19*BJ41</f>
        <v/>
      </c>
    </row>
    <row r="443">
      <c r="A443" s="4" t="inlineStr">
        <is>
          <t>Gross subscription revenue: Ghana: Solo: Starter (direct or upgraded)</t>
        </is>
      </c>
      <c r="B443" s="17" t="inlineStr">
        <is>
          <t>R</t>
        </is>
      </c>
      <c r="C443" s="8">
        <f>C283*Pricing!$E$37*C417*Pricing!$B$19*C41</f>
        <v/>
      </c>
      <c r="D443" s="8">
        <f>D283*Pricing!$E$37*D417*Pricing!$B$19*D41</f>
        <v/>
      </c>
      <c r="E443" s="8">
        <f>E283*Pricing!$E$37*E417*Pricing!$B$19*E41</f>
        <v/>
      </c>
      <c r="F443" s="8">
        <f>F283*Pricing!$E$37*F417*Pricing!$B$19*F41</f>
        <v/>
      </c>
      <c r="G443" s="8">
        <f>G283*Pricing!$E$37*G417*Pricing!$B$19*G41</f>
        <v/>
      </c>
      <c r="H443" s="8">
        <f>H283*Pricing!$E$37*H417*Pricing!$B$19*H41</f>
        <v/>
      </c>
      <c r="I443" s="8">
        <f>I283*Pricing!$E$37*I417*Pricing!$B$19*I41</f>
        <v/>
      </c>
      <c r="J443" s="8">
        <f>J283*Pricing!$E$37*J417*Pricing!$B$19*J41</f>
        <v/>
      </c>
      <c r="K443" s="8">
        <f>K283*Pricing!$E$37*K417*Pricing!$B$19*K41</f>
        <v/>
      </c>
      <c r="L443" s="8">
        <f>L283*Pricing!$E$37*L417*Pricing!$B$19*L41</f>
        <v/>
      </c>
      <c r="M443" s="8">
        <f>M283*Pricing!$E$37*M417*Pricing!$B$19*M41</f>
        <v/>
      </c>
      <c r="N443" s="8">
        <f>N283*Pricing!$E$37*N417*Pricing!$B$19*N41</f>
        <v/>
      </c>
      <c r="O443" s="8">
        <f>O283*Pricing!$E$37*O417*Pricing!$B$19*O41</f>
        <v/>
      </c>
      <c r="P443" s="8">
        <f>P283*Pricing!$E$37*P417*Pricing!$B$19*P41</f>
        <v/>
      </c>
      <c r="Q443" s="8">
        <f>Q283*Pricing!$E$37*Q417*Pricing!$B$19*Q41</f>
        <v/>
      </c>
      <c r="R443" s="8">
        <f>R283*Pricing!$E$37*R417*Pricing!$B$19*R41</f>
        <v/>
      </c>
      <c r="S443" s="8">
        <f>S283*Pricing!$E$37*S417*Pricing!$B$19*S41</f>
        <v/>
      </c>
      <c r="T443" s="8">
        <f>T283*Pricing!$E$37*T417*Pricing!$B$19*T41</f>
        <v/>
      </c>
      <c r="U443" s="8">
        <f>U283*Pricing!$E$37*U417*Pricing!$B$19*U41</f>
        <v/>
      </c>
      <c r="V443" s="8">
        <f>V283*Pricing!$E$37*V417*Pricing!$B$19*V41</f>
        <v/>
      </c>
      <c r="W443" s="8">
        <f>W283*Pricing!$E$37*W417*Pricing!$B$19*W41</f>
        <v/>
      </c>
      <c r="X443" s="8">
        <f>X283*Pricing!$E$37*X417*Pricing!$B$19*X41</f>
        <v/>
      </c>
      <c r="Y443" s="8">
        <f>Y283*Pricing!$E$37*Y417*Pricing!$B$19*Y41</f>
        <v/>
      </c>
      <c r="Z443" s="8">
        <f>Z283*Pricing!$E$37*Z417*Pricing!$B$19*Z41</f>
        <v/>
      </c>
      <c r="AA443" s="8">
        <f>AA283*Pricing!$E$37*AA417*Pricing!$B$19*AA41</f>
        <v/>
      </c>
      <c r="AB443" s="8">
        <f>AB283*Pricing!$E$37*AB417*Pricing!$B$19*AB41</f>
        <v/>
      </c>
      <c r="AC443" s="8">
        <f>AC283*Pricing!$E$37*AC417*Pricing!$B$19*AC41</f>
        <v/>
      </c>
      <c r="AD443" s="8">
        <f>AD283*Pricing!$E$37*AD417*Pricing!$B$19*AD41</f>
        <v/>
      </c>
      <c r="AE443" s="8">
        <f>AE283*Pricing!$E$37*AE417*Pricing!$B$19*AE41</f>
        <v/>
      </c>
      <c r="AF443" s="8">
        <f>AF283*Pricing!$E$37*AF417*Pricing!$B$19*AF41</f>
        <v/>
      </c>
      <c r="AG443" s="8">
        <f>AG283*Pricing!$E$37*AG417*Pricing!$B$19*AG41</f>
        <v/>
      </c>
      <c r="AH443" s="8">
        <f>AH283*Pricing!$E$37*AH417*Pricing!$B$19*AH41</f>
        <v/>
      </c>
      <c r="AI443" s="8">
        <f>AI283*Pricing!$E$37*AI417*Pricing!$B$19*AI41</f>
        <v/>
      </c>
      <c r="AJ443" s="8">
        <f>AJ283*Pricing!$E$37*AJ417*Pricing!$B$19*AJ41</f>
        <v/>
      </c>
      <c r="AK443" s="8">
        <f>AK283*Pricing!$E$37*AK417*Pricing!$B$19*AK41</f>
        <v/>
      </c>
      <c r="AL443" s="8">
        <f>AL283*Pricing!$E$37*AL417*Pricing!$B$19*AL41</f>
        <v/>
      </c>
      <c r="AM443" s="8">
        <f>AM283*Pricing!$E$37*AM417*Pricing!$B$19*AM41</f>
        <v/>
      </c>
      <c r="AN443" s="8">
        <f>AN283*Pricing!$E$37*AN417*Pricing!$B$19*AN41</f>
        <v/>
      </c>
      <c r="AO443" s="8">
        <f>AO283*Pricing!$E$37*AO417*Pricing!$B$19*AO41</f>
        <v/>
      </c>
      <c r="AP443" s="8">
        <f>AP283*Pricing!$E$37*AP417*Pricing!$B$19*AP41</f>
        <v/>
      </c>
      <c r="AQ443" s="8">
        <f>AQ283*Pricing!$E$37*AQ417*Pricing!$B$19*AQ41</f>
        <v/>
      </c>
      <c r="AR443" s="8">
        <f>AR283*Pricing!$E$37*AR417*Pricing!$B$19*AR41</f>
        <v/>
      </c>
      <c r="AS443" s="8">
        <f>AS283*Pricing!$E$37*AS417*Pricing!$B$19*AS41</f>
        <v/>
      </c>
      <c r="AT443" s="8">
        <f>AT283*Pricing!$E$37*AT417*Pricing!$B$19*AT41</f>
        <v/>
      </c>
      <c r="AU443" s="8">
        <f>AU283*Pricing!$E$37*AU417*Pricing!$B$19*AU41</f>
        <v/>
      </c>
      <c r="AV443" s="8">
        <f>AV283*Pricing!$E$37*AV417*Pricing!$B$19*AV41</f>
        <v/>
      </c>
      <c r="AW443" s="8">
        <f>AW283*Pricing!$E$37*AW417*Pricing!$B$19*AW41</f>
        <v/>
      </c>
      <c r="AX443" s="8">
        <f>AX283*Pricing!$E$37*AX417*Pricing!$B$19*AX41</f>
        <v/>
      </c>
      <c r="AY443" s="8">
        <f>AY283*Pricing!$E$37*AY417*Pricing!$B$19*AY41</f>
        <v/>
      </c>
      <c r="AZ443" s="8">
        <f>AZ283*Pricing!$E$37*AZ417*Pricing!$B$19*AZ41</f>
        <v/>
      </c>
      <c r="BA443" s="8">
        <f>BA283*Pricing!$E$37*BA417*Pricing!$B$19*BA41</f>
        <v/>
      </c>
      <c r="BB443" s="8">
        <f>BB283*Pricing!$E$37*BB417*Pricing!$B$19*BB41</f>
        <v/>
      </c>
      <c r="BC443" s="8">
        <f>BC283*Pricing!$E$37*BC417*Pricing!$B$19*BC41</f>
        <v/>
      </c>
      <c r="BD443" s="8">
        <f>BD283*Pricing!$E$37*BD417*Pricing!$B$19*BD41</f>
        <v/>
      </c>
      <c r="BE443" s="8">
        <f>BE283*Pricing!$E$37*BE417*Pricing!$B$19*BE41</f>
        <v/>
      </c>
      <c r="BF443" s="8">
        <f>BF283*Pricing!$E$37*BF417*Pricing!$B$19*BF41</f>
        <v/>
      </c>
      <c r="BG443" s="8">
        <f>BG283*Pricing!$E$37*BG417*Pricing!$B$19*BG41</f>
        <v/>
      </c>
      <c r="BH443" s="8">
        <f>BH283*Pricing!$E$37*BH417*Pricing!$B$19*BH41</f>
        <v/>
      </c>
      <c r="BI443" s="8">
        <f>BI283*Pricing!$E$37*BI417*Pricing!$B$19*BI41</f>
        <v/>
      </c>
      <c r="BJ443" s="8">
        <f>BJ283*Pricing!$E$37*BJ417*Pricing!$B$19*BJ41</f>
        <v/>
      </c>
    </row>
    <row r="444">
      <c r="A444" s="4" t="inlineStr">
        <is>
          <t>Gross subscription revenue: Ghana: SME: Starter</t>
        </is>
      </c>
      <c r="B444" s="17" t="inlineStr">
        <is>
          <t>R</t>
        </is>
      </c>
      <c r="C444" s="8">
        <f>C288*Pricing!$E$37*C417*Pricing!$B$19*C41</f>
        <v/>
      </c>
      <c r="D444" s="8">
        <f>D288*Pricing!$E$37*D417*Pricing!$B$19*D41</f>
        <v/>
      </c>
      <c r="E444" s="8">
        <f>E288*Pricing!$E$37*E417*Pricing!$B$19*E41</f>
        <v/>
      </c>
      <c r="F444" s="8">
        <f>F288*Pricing!$E$37*F417*Pricing!$B$19*F41</f>
        <v/>
      </c>
      <c r="G444" s="8">
        <f>G288*Pricing!$E$37*G417*Pricing!$B$19*G41</f>
        <v/>
      </c>
      <c r="H444" s="8">
        <f>H288*Pricing!$E$37*H417*Pricing!$B$19*H41</f>
        <v/>
      </c>
      <c r="I444" s="8">
        <f>I288*Pricing!$E$37*I417*Pricing!$B$19*I41</f>
        <v/>
      </c>
      <c r="J444" s="8">
        <f>J288*Pricing!$E$37*J417*Pricing!$B$19*J41</f>
        <v/>
      </c>
      <c r="K444" s="8">
        <f>K288*Pricing!$E$37*K417*Pricing!$B$19*K41</f>
        <v/>
      </c>
      <c r="L444" s="8">
        <f>L288*Pricing!$E$37*L417*Pricing!$B$19*L41</f>
        <v/>
      </c>
      <c r="M444" s="8">
        <f>M288*Pricing!$E$37*M417*Pricing!$B$19*M41</f>
        <v/>
      </c>
      <c r="N444" s="8">
        <f>N288*Pricing!$E$37*N417*Pricing!$B$19*N41</f>
        <v/>
      </c>
      <c r="O444" s="8">
        <f>O288*Pricing!$E$37*O417*Pricing!$B$19*O41</f>
        <v/>
      </c>
      <c r="P444" s="8">
        <f>P288*Pricing!$E$37*P417*Pricing!$B$19*P41</f>
        <v/>
      </c>
      <c r="Q444" s="8">
        <f>Q288*Pricing!$E$37*Q417*Pricing!$B$19*Q41</f>
        <v/>
      </c>
      <c r="R444" s="8">
        <f>R288*Pricing!$E$37*R417*Pricing!$B$19*R41</f>
        <v/>
      </c>
      <c r="S444" s="8">
        <f>S288*Pricing!$E$37*S417*Pricing!$B$19*S41</f>
        <v/>
      </c>
      <c r="T444" s="8">
        <f>T288*Pricing!$E$37*T417*Pricing!$B$19*T41</f>
        <v/>
      </c>
      <c r="U444" s="8">
        <f>U288*Pricing!$E$37*U417*Pricing!$B$19*U41</f>
        <v/>
      </c>
      <c r="V444" s="8">
        <f>V288*Pricing!$E$37*V417*Pricing!$B$19*V41</f>
        <v/>
      </c>
      <c r="W444" s="8">
        <f>W288*Pricing!$E$37*W417*Pricing!$B$19*W41</f>
        <v/>
      </c>
      <c r="X444" s="8">
        <f>X288*Pricing!$E$37*X417*Pricing!$B$19*X41</f>
        <v/>
      </c>
      <c r="Y444" s="8">
        <f>Y288*Pricing!$E$37*Y417*Pricing!$B$19*Y41</f>
        <v/>
      </c>
      <c r="Z444" s="8">
        <f>Z288*Pricing!$E$37*Z417*Pricing!$B$19*Z41</f>
        <v/>
      </c>
      <c r="AA444" s="8">
        <f>AA288*Pricing!$E$37*AA417*Pricing!$B$19*AA41</f>
        <v/>
      </c>
      <c r="AB444" s="8">
        <f>AB288*Pricing!$E$37*AB417*Pricing!$B$19*AB41</f>
        <v/>
      </c>
      <c r="AC444" s="8">
        <f>AC288*Pricing!$E$37*AC417*Pricing!$B$19*AC41</f>
        <v/>
      </c>
      <c r="AD444" s="8">
        <f>AD288*Pricing!$E$37*AD417*Pricing!$B$19*AD41</f>
        <v/>
      </c>
      <c r="AE444" s="8">
        <f>AE288*Pricing!$E$37*AE417*Pricing!$B$19*AE41</f>
        <v/>
      </c>
      <c r="AF444" s="8">
        <f>AF288*Pricing!$E$37*AF417*Pricing!$B$19*AF41</f>
        <v/>
      </c>
      <c r="AG444" s="8">
        <f>AG288*Pricing!$E$37*AG417*Pricing!$B$19*AG41</f>
        <v/>
      </c>
      <c r="AH444" s="8">
        <f>AH288*Pricing!$E$37*AH417*Pricing!$B$19*AH41</f>
        <v/>
      </c>
      <c r="AI444" s="8">
        <f>AI288*Pricing!$E$37*AI417*Pricing!$B$19*AI41</f>
        <v/>
      </c>
      <c r="AJ444" s="8">
        <f>AJ288*Pricing!$E$37*AJ417*Pricing!$B$19*AJ41</f>
        <v/>
      </c>
      <c r="AK444" s="8">
        <f>AK288*Pricing!$E$37*AK417*Pricing!$B$19*AK41</f>
        <v/>
      </c>
      <c r="AL444" s="8">
        <f>AL288*Pricing!$E$37*AL417*Pricing!$B$19*AL41</f>
        <v/>
      </c>
      <c r="AM444" s="8">
        <f>AM288*Pricing!$E$37*AM417*Pricing!$B$19*AM41</f>
        <v/>
      </c>
      <c r="AN444" s="8">
        <f>AN288*Pricing!$E$37*AN417*Pricing!$B$19*AN41</f>
        <v/>
      </c>
      <c r="AO444" s="8">
        <f>AO288*Pricing!$E$37*AO417*Pricing!$B$19*AO41</f>
        <v/>
      </c>
      <c r="AP444" s="8">
        <f>AP288*Pricing!$E$37*AP417*Pricing!$B$19*AP41</f>
        <v/>
      </c>
      <c r="AQ444" s="8">
        <f>AQ288*Pricing!$E$37*AQ417*Pricing!$B$19*AQ41</f>
        <v/>
      </c>
      <c r="AR444" s="8">
        <f>AR288*Pricing!$E$37*AR417*Pricing!$B$19*AR41</f>
        <v/>
      </c>
      <c r="AS444" s="8">
        <f>AS288*Pricing!$E$37*AS417*Pricing!$B$19*AS41</f>
        <v/>
      </c>
      <c r="AT444" s="8">
        <f>AT288*Pricing!$E$37*AT417*Pricing!$B$19*AT41</f>
        <v/>
      </c>
      <c r="AU444" s="8">
        <f>AU288*Pricing!$E$37*AU417*Pricing!$B$19*AU41</f>
        <v/>
      </c>
      <c r="AV444" s="8">
        <f>AV288*Pricing!$E$37*AV417*Pricing!$B$19*AV41</f>
        <v/>
      </c>
      <c r="AW444" s="8">
        <f>AW288*Pricing!$E$37*AW417*Pricing!$B$19*AW41</f>
        <v/>
      </c>
      <c r="AX444" s="8">
        <f>AX288*Pricing!$E$37*AX417*Pricing!$B$19*AX41</f>
        <v/>
      </c>
      <c r="AY444" s="8">
        <f>AY288*Pricing!$E$37*AY417*Pricing!$B$19*AY41</f>
        <v/>
      </c>
      <c r="AZ444" s="8">
        <f>AZ288*Pricing!$E$37*AZ417*Pricing!$B$19*AZ41</f>
        <v/>
      </c>
      <c r="BA444" s="8">
        <f>BA288*Pricing!$E$37*BA417*Pricing!$B$19*BA41</f>
        <v/>
      </c>
      <c r="BB444" s="8">
        <f>BB288*Pricing!$E$37*BB417*Pricing!$B$19*BB41</f>
        <v/>
      </c>
      <c r="BC444" s="8">
        <f>BC288*Pricing!$E$37*BC417*Pricing!$B$19*BC41</f>
        <v/>
      </c>
      <c r="BD444" s="8">
        <f>BD288*Pricing!$E$37*BD417*Pricing!$B$19*BD41</f>
        <v/>
      </c>
      <c r="BE444" s="8">
        <f>BE288*Pricing!$E$37*BE417*Pricing!$B$19*BE41</f>
        <v/>
      </c>
      <c r="BF444" s="8">
        <f>BF288*Pricing!$E$37*BF417*Pricing!$B$19*BF41</f>
        <v/>
      </c>
      <c r="BG444" s="8">
        <f>BG288*Pricing!$E$37*BG417*Pricing!$B$19*BG41</f>
        <v/>
      </c>
      <c r="BH444" s="8">
        <f>BH288*Pricing!$E$37*BH417*Pricing!$B$19*BH41</f>
        <v/>
      </c>
      <c r="BI444" s="8">
        <f>BI288*Pricing!$E$37*BI417*Pricing!$B$19*BI41</f>
        <v/>
      </c>
      <c r="BJ444" s="8">
        <f>BJ288*Pricing!$E$37*BJ417*Pricing!$B$19*BJ41</f>
        <v/>
      </c>
    </row>
    <row r="445">
      <c r="A445" s="4" t="inlineStr">
        <is>
          <t>Gross subscription revenue: Ghana: SME: Growth (direct or upgraded)</t>
        </is>
      </c>
      <c r="B445" s="17" t="inlineStr">
        <is>
          <t>R</t>
        </is>
      </c>
      <c r="C445" s="8">
        <f>C293*Pricing!$E$38*C417*Pricing!$B$19*C41</f>
        <v/>
      </c>
      <c r="D445" s="8">
        <f>D293*Pricing!$E$38*D417*Pricing!$B$19*D41</f>
        <v/>
      </c>
      <c r="E445" s="8">
        <f>E293*Pricing!$E$38*E417*Pricing!$B$19*E41</f>
        <v/>
      </c>
      <c r="F445" s="8">
        <f>F293*Pricing!$E$38*F417*Pricing!$B$19*F41</f>
        <v/>
      </c>
      <c r="G445" s="8">
        <f>G293*Pricing!$E$38*G417*Pricing!$B$19*G41</f>
        <v/>
      </c>
      <c r="H445" s="8">
        <f>H293*Pricing!$E$38*H417*Pricing!$B$19*H41</f>
        <v/>
      </c>
      <c r="I445" s="8">
        <f>I293*Pricing!$E$38*I417*Pricing!$B$19*I41</f>
        <v/>
      </c>
      <c r="J445" s="8">
        <f>J293*Pricing!$E$38*J417*Pricing!$B$19*J41</f>
        <v/>
      </c>
      <c r="K445" s="8">
        <f>K293*Pricing!$E$38*K417*Pricing!$B$19*K41</f>
        <v/>
      </c>
      <c r="L445" s="8">
        <f>L293*Pricing!$E$38*L417*Pricing!$B$19*L41</f>
        <v/>
      </c>
      <c r="M445" s="8">
        <f>M293*Pricing!$E$38*M417*Pricing!$B$19*M41</f>
        <v/>
      </c>
      <c r="N445" s="8">
        <f>N293*Pricing!$E$38*N417*Pricing!$B$19*N41</f>
        <v/>
      </c>
      <c r="O445" s="8">
        <f>O293*Pricing!$E$38*O417*Pricing!$B$19*O41</f>
        <v/>
      </c>
      <c r="P445" s="8">
        <f>P293*Pricing!$E$38*P417*Pricing!$B$19*P41</f>
        <v/>
      </c>
      <c r="Q445" s="8">
        <f>Q293*Pricing!$E$38*Q417*Pricing!$B$19*Q41</f>
        <v/>
      </c>
      <c r="R445" s="8">
        <f>R293*Pricing!$E$38*R417*Pricing!$B$19*R41</f>
        <v/>
      </c>
      <c r="S445" s="8">
        <f>S293*Pricing!$E$38*S417*Pricing!$B$19*S41</f>
        <v/>
      </c>
      <c r="T445" s="8">
        <f>T293*Pricing!$E$38*T417*Pricing!$B$19*T41</f>
        <v/>
      </c>
      <c r="U445" s="8">
        <f>U293*Pricing!$E$38*U417*Pricing!$B$19*U41</f>
        <v/>
      </c>
      <c r="V445" s="8">
        <f>V293*Pricing!$E$38*V417*Pricing!$B$19*V41</f>
        <v/>
      </c>
      <c r="W445" s="8">
        <f>W293*Pricing!$E$38*W417*Pricing!$B$19*W41</f>
        <v/>
      </c>
      <c r="X445" s="8">
        <f>X293*Pricing!$E$38*X417*Pricing!$B$19*X41</f>
        <v/>
      </c>
      <c r="Y445" s="8">
        <f>Y293*Pricing!$E$38*Y417*Pricing!$B$19*Y41</f>
        <v/>
      </c>
      <c r="Z445" s="8">
        <f>Z293*Pricing!$E$38*Z417*Pricing!$B$19*Z41</f>
        <v/>
      </c>
      <c r="AA445" s="8">
        <f>AA293*Pricing!$E$38*AA417*Pricing!$B$19*AA41</f>
        <v/>
      </c>
      <c r="AB445" s="8">
        <f>AB293*Pricing!$E$38*AB417*Pricing!$B$19*AB41</f>
        <v/>
      </c>
      <c r="AC445" s="8">
        <f>AC293*Pricing!$E$38*AC417*Pricing!$B$19*AC41</f>
        <v/>
      </c>
      <c r="AD445" s="8">
        <f>AD293*Pricing!$E$38*AD417*Pricing!$B$19*AD41</f>
        <v/>
      </c>
      <c r="AE445" s="8">
        <f>AE293*Pricing!$E$38*AE417*Pricing!$B$19*AE41</f>
        <v/>
      </c>
      <c r="AF445" s="8">
        <f>AF293*Pricing!$E$38*AF417*Pricing!$B$19*AF41</f>
        <v/>
      </c>
      <c r="AG445" s="8">
        <f>AG293*Pricing!$E$38*AG417*Pricing!$B$19*AG41</f>
        <v/>
      </c>
      <c r="AH445" s="8">
        <f>AH293*Pricing!$E$38*AH417*Pricing!$B$19*AH41</f>
        <v/>
      </c>
      <c r="AI445" s="8">
        <f>AI293*Pricing!$E$38*AI417*Pricing!$B$19*AI41</f>
        <v/>
      </c>
      <c r="AJ445" s="8">
        <f>AJ293*Pricing!$E$38*AJ417*Pricing!$B$19*AJ41</f>
        <v/>
      </c>
      <c r="AK445" s="8">
        <f>AK293*Pricing!$E$38*AK417*Pricing!$B$19*AK41</f>
        <v/>
      </c>
      <c r="AL445" s="8">
        <f>AL293*Pricing!$E$38*AL417*Pricing!$B$19*AL41</f>
        <v/>
      </c>
      <c r="AM445" s="8">
        <f>AM293*Pricing!$E$38*AM417*Pricing!$B$19*AM41</f>
        <v/>
      </c>
      <c r="AN445" s="8">
        <f>AN293*Pricing!$E$38*AN417*Pricing!$B$19*AN41</f>
        <v/>
      </c>
      <c r="AO445" s="8">
        <f>AO293*Pricing!$E$38*AO417*Pricing!$B$19*AO41</f>
        <v/>
      </c>
      <c r="AP445" s="8">
        <f>AP293*Pricing!$E$38*AP417*Pricing!$B$19*AP41</f>
        <v/>
      </c>
      <c r="AQ445" s="8">
        <f>AQ293*Pricing!$E$38*AQ417*Pricing!$B$19*AQ41</f>
        <v/>
      </c>
      <c r="AR445" s="8">
        <f>AR293*Pricing!$E$38*AR417*Pricing!$B$19*AR41</f>
        <v/>
      </c>
      <c r="AS445" s="8">
        <f>AS293*Pricing!$E$38*AS417*Pricing!$B$19*AS41</f>
        <v/>
      </c>
      <c r="AT445" s="8">
        <f>AT293*Pricing!$E$38*AT417*Pricing!$B$19*AT41</f>
        <v/>
      </c>
      <c r="AU445" s="8">
        <f>AU293*Pricing!$E$38*AU417*Pricing!$B$19*AU41</f>
        <v/>
      </c>
      <c r="AV445" s="8">
        <f>AV293*Pricing!$E$38*AV417*Pricing!$B$19*AV41</f>
        <v/>
      </c>
      <c r="AW445" s="8">
        <f>AW293*Pricing!$E$38*AW417*Pricing!$B$19*AW41</f>
        <v/>
      </c>
      <c r="AX445" s="8">
        <f>AX293*Pricing!$E$38*AX417*Pricing!$B$19*AX41</f>
        <v/>
      </c>
      <c r="AY445" s="8">
        <f>AY293*Pricing!$E$38*AY417*Pricing!$B$19*AY41</f>
        <v/>
      </c>
      <c r="AZ445" s="8">
        <f>AZ293*Pricing!$E$38*AZ417*Pricing!$B$19*AZ41</f>
        <v/>
      </c>
      <c r="BA445" s="8">
        <f>BA293*Pricing!$E$38*BA417*Pricing!$B$19*BA41</f>
        <v/>
      </c>
      <c r="BB445" s="8">
        <f>BB293*Pricing!$E$38*BB417*Pricing!$B$19*BB41</f>
        <v/>
      </c>
      <c r="BC445" s="8">
        <f>BC293*Pricing!$E$38*BC417*Pricing!$B$19*BC41</f>
        <v/>
      </c>
      <c r="BD445" s="8">
        <f>BD293*Pricing!$E$38*BD417*Pricing!$B$19*BD41</f>
        <v/>
      </c>
      <c r="BE445" s="8">
        <f>BE293*Pricing!$E$38*BE417*Pricing!$B$19*BE41</f>
        <v/>
      </c>
      <c r="BF445" s="8">
        <f>BF293*Pricing!$E$38*BF417*Pricing!$B$19*BF41</f>
        <v/>
      </c>
      <c r="BG445" s="8">
        <f>BG293*Pricing!$E$38*BG417*Pricing!$B$19*BG41</f>
        <v/>
      </c>
      <c r="BH445" s="8">
        <f>BH293*Pricing!$E$38*BH417*Pricing!$B$19*BH41</f>
        <v/>
      </c>
      <c r="BI445" s="8">
        <f>BI293*Pricing!$E$38*BI417*Pricing!$B$19*BI41</f>
        <v/>
      </c>
      <c r="BJ445" s="8">
        <f>BJ293*Pricing!$E$38*BJ417*Pricing!$B$19*BJ41</f>
        <v/>
      </c>
    </row>
    <row r="446">
      <c r="A446" s="4" t="inlineStr">
        <is>
          <t>Gross subscription revenue: Ghana: SME: Scale (direct or upgraded)</t>
        </is>
      </c>
      <c r="B446" s="17" t="inlineStr">
        <is>
          <t>R</t>
        </is>
      </c>
      <c r="C446" s="8">
        <f>C297*Pricing!$E$39*C417*Pricing!$B$19*C41</f>
        <v/>
      </c>
      <c r="D446" s="8">
        <f>D297*Pricing!$E$39*D417*Pricing!$B$19*D41</f>
        <v/>
      </c>
      <c r="E446" s="8">
        <f>E297*Pricing!$E$39*E417*Pricing!$B$19*E41</f>
        <v/>
      </c>
      <c r="F446" s="8">
        <f>F297*Pricing!$E$39*F417*Pricing!$B$19*F41</f>
        <v/>
      </c>
      <c r="G446" s="8">
        <f>G297*Pricing!$E$39*G417*Pricing!$B$19*G41</f>
        <v/>
      </c>
      <c r="H446" s="8">
        <f>H297*Pricing!$E$39*H417*Pricing!$B$19*H41</f>
        <v/>
      </c>
      <c r="I446" s="8">
        <f>I297*Pricing!$E$39*I417*Pricing!$B$19*I41</f>
        <v/>
      </c>
      <c r="J446" s="8">
        <f>J297*Pricing!$E$39*J417*Pricing!$B$19*J41</f>
        <v/>
      </c>
      <c r="K446" s="8">
        <f>K297*Pricing!$E$39*K417*Pricing!$B$19*K41</f>
        <v/>
      </c>
      <c r="L446" s="8">
        <f>L297*Pricing!$E$39*L417*Pricing!$B$19*L41</f>
        <v/>
      </c>
      <c r="M446" s="8">
        <f>M297*Pricing!$E$39*M417*Pricing!$B$19*M41</f>
        <v/>
      </c>
      <c r="N446" s="8">
        <f>N297*Pricing!$E$39*N417*Pricing!$B$19*N41</f>
        <v/>
      </c>
      <c r="O446" s="8">
        <f>O297*Pricing!$E$39*O417*Pricing!$B$19*O41</f>
        <v/>
      </c>
      <c r="P446" s="8">
        <f>P297*Pricing!$E$39*P417*Pricing!$B$19*P41</f>
        <v/>
      </c>
      <c r="Q446" s="8">
        <f>Q297*Pricing!$E$39*Q417*Pricing!$B$19*Q41</f>
        <v/>
      </c>
      <c r="R446" s="8">
        <f>R297*Pricing!$E$39*R417*Pricing!$B$19*R41</f>
        <v/>
      </c>
      <c r="S446" s="8">
        <f>S297*Pricing!$E$39*S417*Pricing!$B$19*S41</f>
        <v/>
      </c>
      <c r="T446" s="8">
        <f>T297*Pricing!$E$39*T417*Pricing!$B$19*T41</f>
        <v/>
      </c>
      <c r="U446" s="8">
        <f>U297*Pricing!$E$39*U417*Pricing!$B$19*U41</f>
        <v/>
      </c>
      <c r="V446" s="8">
        <f>V297*Pricing!$E$39*V417*Pricing!$B$19*V41</f>
        <v/>
      </c>
      <c r="W446" s="8">
        <f>W297*Pricing!$E$39*W417*Pricing!$B$19*W41</f>
        <v/>
      </c>
      <c r="X446" s="8">
        <f>X297*Pricing!$E$39*X417*Pricing!$B$19*X41</f>
        <v/>
      </c>
      <c r="Y446" s="8">
        <f>Y297*Pricing!$E$39*Y417*Pricing!$B$19*Y41</f>
        <v/>
      </c>
      <c r="Z446" s="8">
        <f>Z297*Pricing!$E$39*Z417*Pricing!$B$19*Z41</f>
        <v/>
      </c>
      <c r="AA446" s="8">
        <f>AA297*Pricing!$E$39*AA417*Pricing!$B$19*AA41</f>
        <v/>
      </c>
      <c r="AB446" s="8">
        <f>AB297*Pricing!$E$39*AB417*Pricing!$B$19*AB41</f>
        <v/>
      </c>
      <c r="AC446" s="8">
        <f>AC297*Pricing!$E$39*AC417*Pricing!$B$19*AC41</f>
        <v/>
      </c>
      <c r="AD446" s="8">
        <f>AD297*Pricing!$E$39*AD417*Pricing!$B$19*AD41</f>
        <v/>
      </c>
      <c r="AE446" s="8">
        <f>AE297*Pricing!$E$39*AE417*Pricing!$B$19*AE41</f>
        <v/>
      </c>
      <c r="AF446" s="8">
        <f>AF297*Pricing!$E$39*AF417*Pricing!$B$19*AF41</f>
        <v/>
      </c>
      <c r="AG446" s="8">
        <f>AG297*Pricing!$E$39*AG417*Pricing!$B$19*AG41</f>
        <v/>
      </c>
      <c r="AH446" s="8">
        <f>AH297*Pricing!$E$39*AH417*Pricing!$B$19*AH41</f>
        <v/>
      </c>
      <c r="AI446" s="8">
        <f>AI297*Pricing!$E$39*AI417*Pricing!$B$19*AI41</f>
        <v/>
      </c>
      <c r="AJ446" s="8">
        <f>AJ297*Pricing!$E$39*AJ417*Pricing!$B$19*AJ41</f>
        <v/>
      </c>
      <c r="AK446" s="8">
        <f>AK297*Pricing!$E$39*AK417*Pricing!$B$19*AK41</f>
        <v/>
      </c>
      <c r="AL446" s="8">
        <f>AL297*Pricing!$E$39*AL417*Pricing!$B$19*AL41</f>
        <v/>
      </c>
      <c r="AM446" s="8">
        <f>AM297*Pricing!$E$39*AM417*Pricing!$B$19*AM41</f>
        <v/>
      </c>
      <c r="AN446" s="8">
        <f>AN297*Pricing!$E$39*AN417*Pricing!$B$19*AN41</f>
        <v/>
      </c>
      <c r="AO446" s="8">
        <f>AO297*Pricing!$E$39*AO417*Pricing!$B$19*AO41</f>
        <v/>
      </c>
      <c r="AP446" s="8">
        <f>AP297*Pricing!$E$39*AP417*Pricing!$B$19*AP41</f>
        <v/>
      </c>
      <c r="AQ446" s="8">
        <f>AQ297*Pricing!$E$39*AQ417*Pricing!$B$19*AQ41</f>
        <v/>
      </c>
      <c r="AR446" s="8">
        <f>AR297*Pricing!$E$39*AR417*Pricing!$B$19*AR41</f>
        <v/>
      </c>
      <c r="AS446" s="8">
        <f>AS297*Pricing!$E$39*AS417*Pricing!$B$19*AS41</f>
        <v/>
      </c>
      <c r="AT446" s="8">
        <f>AT297*Pricing!$E$39*AT417*Pricing!$B$19*AT41</f>
        <v/>
      </c>
      <c r="AU446" s="8">
        <f>AU297*Pricing!$E$39*AU417*Pricing!$B$19*AU41</f>
        <v/>
      </c>
      <c r="AV446" s="8">
        <f>AV297*Pricing!$E$39*AV417*Pricing!$B$19*AV41</f>
        <v/>
      </c>
      <c r="AW446" s="8">
        <f>AW297*Pricing!$E$39*AW417*Pricing!$B$19*AW41</f>
        <v/>
      </c>
      <c r="AX446" s="8">
        <f>AX297*Pricing!$E$39*AX417*Pricing!$B$19*AX41</f>
        <v/>
      </c>
      <c r="AY446" s="8">
        <f>AY297*Pricing!$E$39*AY417*Pricing!$B$19*AY41</f>
        <v/>
      </c>
      <c r="AZ446" s="8">
        <f>AZ297*Pricing!$E$39*AZ417*Pricing!$B$19*AZ41</f>
        <v/>
      </c>
      <c r="BA446" s="8">
        <f>BA297*Pricing!$E$39*BA417*Pricing!$B$19*BA41</f>
        <v/>
      </c>
      <c r="BB446" s="8">
        <f>BB297*Pricing!$E$39*BB417*Pricing!$B$19*BB41</f>
        <v/>
      </c>
      <c r="BC446" s="8">
        <f>BC297*Pricing!$E$39*BC417*Pricing!$B$19*BC41</f>
        <v/>
      </c>
      <c r="BD446" s="8">
        <f>BD297*Pricing!$E$39*BD417*Pricing!$B$19*BD41</f>
        <v/>
      </c>
      <c r="BE446" s="8">
        <f>BE297*Pricing!$E$39*BE417*Pricing!$B$19*BE41</f>
        <v/>
      </c>
      <c r="BF446" s="8">
        <f>BF297*Pricing!$E$39*BF417*Pricing!$B$19*BF41</f>
        <v/>
      </c>
      <c r="BG446" s="8">
        <f>BG297*Pricing!$E$39*BG417*Pricing!$B$19*BG41</f>
        <v/>
      </c>
      <c r="BH446" s="8">
        <f>BH297*Pricing!$E$39*BH417*Pricing!$B$19*BH41</f>
        <v/>
      </c>
      <c r="BI446" s="8">
        <f>BI297*Pricing!$E$39*BI417*Pricing!$B$19*BI41</f>
        <v/>
      </c>
      <c r="BJ446" s="8">
        <f>BJ297*Pricing!$E$39*BJ417*Pricing!$B$19*BJ41</f>
        <v/>
      </c>
    </row>
    <row r="447">
      <c r="A447" s="4" t="inlineStr">
        <is>
          <t>Gross subscription revenue: Ghana: Agency / partner: Agency tier</t>
        </is>
      </c>
      <c r="B447" s="17" t="inlineStr">
        <is>
          <t>R</t>
        </is>
      </c>
      <c r="C447" s="8">
        <f>C301*(Pricing!$B$20*Pricing!$E$43+(1-Pricing!$B$20)*Pricing!$E$41)*C417*Pricing!$B$19*C41</f>
        <v/>
      </c>
      <c r="D447" s="8">
        <f>D301*(Pricing!$B$20*Pricing!$E$43+(1-Pricing!$B$20)*Pricing!$E$41)*D417*Pricing!$B$19*D41</f>
        <v/>
      </c>
      <c r="E447" s="8">
        <f>E301*(Pricing!$B$20*Pricing!$E$43+(1-Pricing!$B$20)*Pricing!$E$41)*E417*Pricing!$B$19*E41</f>
        <v/>
      </c>
      <c r="F447" s="8">
        <f>F301*(Pricing!$B$20*Pricing!$E$43+(1-Pricing!$B$20)*Pricing!$E$41)*F417*Pricing!$B$19*F41</f>
        <v/>
      </c>
      <c r="G447" s="8">
        <f>G301*(Pricing!$B$20*Pricing!$E$43+(1-Pricing!$B$20)*Pricing!$E$41)*G417*Pricing!$B$19*G41</f>
        <v/>
      </c>
      <c r="H447" s="8">
        <f>H301*(Pricing!$B$20*Pricing!$E$43+(1-Pricing!$B$20)*Pricing!$E$41)*H417*Pricing!$B$19*H41</f>
        <v/>
      </c>
      <c r="I447" s="8">
        <f>I301*(Pricing!$B$20*Pricing!$E$43+(1-Pricing!$B$20)*Pricing!$E$41)*I417*Pricing!$B$19*I41</f>
        <v/>
      </c>
      <c r="J447" s="8">
        <f>J301*(Pricing!$B$20*Pricing!$E$43+(1-Pricing!$B$20)*Pricing!$E$41)*J417*Pricing!$B$19*J41</f>
        <v/>
      </c>
      <c r="K447" s="8">
        <f>K301*(Pricing!$B$20*Pricing!$E$43+(1-Pricing!$B$20)*Pricing!$E$41)*K417*Pricing!$B$19*K41</f>
        <v/>
      </c>
      <c r="L447" s="8">
        <f>L301*(Pricing!$B$20*Pricing!$E$43+(1-Pricing!$B$20)*Pricing!$E$41)*L417*Pricing!$B$19*L41</f>
        <v/>
      </c>
      <c r="M447" s="8">
        <f>M301*(Pricing!$B$20*Pricing!$E$43+(1-Pricing!$B$20)*Pricing!$E$41)*M417*Pricing!$B$19*M41</f>
        <v/>
      </c>
      <c r="N447" s="8">
        <f>N301*(Pricing!$B$20*Pricing!$E$43+(1-Pricing!$B$20)*Pricing!$E$41)*N417*Pricing!$B$19*N41</f>
        <v/>
      </c>
      <c r="O447" s="8">
        <f>O301*(Pricing!$B$20*Pricing!$E$43+(1-Pricing!$B$20)*Pricing!$E$41)*O417*Pricing!$B$19*O41</f>
        <v/>
      </c>
      <c r="P447" s="8">
        <f>P301*(Pricing!$B$20*Pricing!$E$43+(1-Pricing!$B$20)*Pricing!$E$41)*P417*Pricing!$B$19*P41</f>
        <v/>
      </c>
      <c r="Q447" s="8">
        <f>Q301*(Pricing!$B$20*Pricing!$E$43+(1-Pricing!$B$20)*Pricing!$E$41)*Q417*Pricing!$B$19*Q41</f>
        <v/>
      </c>
      <c r="R447" s="8">
        <f>R301*(Pricing!$B$20*Pricing!$E$43+(1-Pricing!$B$20)*Pricing!$E$41)*R417*Pricing!$B$19*R41</f>
        <v/>
      </c>
      <c r="S447" s="8">
        <f>S301*(Pricing!$B$20*Pricing!$E$43+(1-Pricing!$B$20)*Pricing!$E$41)*S417*Pricing!$B$19*S41</f>
        <v/>
      </c>
      <c r="T447" s="8">
        <f>T301*(Pricing!$B$20*Pricing!$E$43+(1-Pricing!$B$20)*Pricing!$E$41)*T417*Pricing!$B$19*T41</f>
        <v/>
      </c>
      <c r="U447" s="8">
        <f>U301*(Pricing!$B$20*Pricing!$E$43+(1-Pricing!$B$20)*Pricing!$E$41)*U417*Pricing!$B$19*U41</f>
        <v/>
      </c>
      <c r="V447" s="8">
        <f>V301*(Pricing!$B$20*Pricing!$E$43+(1-Pricing!$B$20)*Pricing!$E$41)*V417*Pricing!$B$19*V41</f>
        <v/>
      </c>
      <c r="W447" s="8">
        <f>W301*(Pricing!$B$20*Pricing!$E$43+(1-Pricing!$B$20)*Pricing!$E$41)*W417*Pricing!$B$19*W41</f>
        <v/>
      </c>
      <c r="X447" s="8">
        <f>X301*(Pricing!$B$20*Pricing!$E$43+(1-Pricing!$B$20)*Pricing!$E$41)*X417*Pricing!$B$19*X41</f>
        <v/>
      </c>
      <c r="Y447" s="8">
        <f>Y301*(Pricing!$B$20*Pricing!$E$43+(1-Pricing!$B$20)*Pricing!$E$41)*Y417*Pricing!$B$19*Y41</f>
        <v/>
      </c>
      <c r="Z447" s="8">
        <f>Z301*(Pricing!$B$20*Pricing!$E$43+(1-Pricing!$B$20)*Pricing!$E$41)*Z417*Pricing!$B$19*Z41</f>
        <v/>
      </c>
      <c r="AA447" s="8">
        <f>AA301*(Pricing!$B$20*Pricing!$E$43+(1-Pricing!$B$20)*Pricing!$E$41)*AA417*Pricing!$B$19*AA41</f>
        <v/>
      </c>
      <c r="AB447" s="8">
        <f>AB301*(Pricing!$B$20*Pricing!$E$43+(1-Pricing!$B$20)*Pricing!$E$41)*AB417*Pricing!$B$19*AB41</f>
        <v/>
      </c>
      <c r="AC447" s="8">
        <f>AC301*(Pricing!$B$20*Pricing!$E$43+(1-Pricing!$B$20)*Pricing!$E$41)*AC417*Pricing!$B$19*AC41</f>
        <v/>
      </c>
      <c r="AD447" s="8">
        <f>AD301*(Pricing!$B$20*Pricing!$E$43+(1-Pricing!$B$20)*Pricing!$E$41)*AD417*Pricing!$B$19*AD41</f>
        <v/>
      </c>
      <c r="AE447" s="8">
        <f>AE301*(Pricing!$B$20*Pricing!$E$43+(1-Pricing!$B$20)*Pricing!$E$41)*AE417*Pricing!$B$19*AE41</f>
        <v/>
      </c>
      <c r="AF447" s="8">
        <f>AF301*(Pricing!$B$20*Pricing!$E$43+(1-Pricing!$B$20)*Pricing!$E$41)*AF417*Pricing!$B$19*AF41</f>
        <v/>
      </c>
      <c r="AG447" s="8">
        <f>AG301*(Pricing!$B$20*Pricing!$E$43+(1-Pricing!$B$20)*Pricing!$E$41)*AG417*Pricing!$B$19*AG41</f>
        <v/>
      </c>
      <c r="AH447" s="8">
        <f>AH301*(Pricing!$B$20*Pricing!$E$43+(1-Pricing!$B$20)*Pricing!$E$41)*AH417*Pricing!$B$19*AH41</f>
        <v/>
      </c>
      <c r="AI447" s="8">
        <f>AI301*(Pricing!$B$20*Pricing!$E$43+(1-Pricing!$B$20)*Pricing!$E$41)*AI417*Pricing!$B$19*AI41</f>
        <v/>
      </c>
      <c r="AJ447" s="8">
        <f>AJ301*(Pricing!$B$20*Pricing!$E$43+(1-Pricing!$B$20)*Pricing!$E$41)*AJ417*Pricing!$B$19*AJ41</f>
        <v/>
      </c>
      <c r="AK447" s="8">
        <f>AK301*(Pricing!$B$20*Pricing!$E$43+(1-Pricing!$B$20)*Pricing!$E$41)*AK417*Pricing!$B$19*AK41</f>
        <v/>
      </c>
      <c r="AL447" s="8">
        <f>AL301*(Pricing!$B$20*Pricing!$E$43+(1-Pricing!$B$20)*Pricing!$E$41)*AL417*Pricing!$B$19*AL41</f>
        <v/>
      </c>
      <c r="AM447" s="8">
        <f>AM301*(Pricing!$B$20*Pricing!$E$43+(1-Pricing!$B$20)*Pricing!$E$41)*AM417*Pricing!$B$19*AM41</f>
        <v/>
      </c>
      <c r="AN447" s="8">
        <f>AN301*(Pricing!$B$20*Pricing!$E$43+(1-Pricing!$B$20)*Pricing!$E$41)*AN417*Pricing!$B$19*AN41</f>
        <v/>
      </c>
      <c r="AO447" s="8">
        <f>AO301*(Pricing!$B$20*Pricing!$E$43+(1-Pricing!$B$20)*Pricing!$E$41)*AO417*Pricing!$B$19*AO41</f>
        <v/>
      </c>
      <c r="AP447" s="8">
        <f>AP301*(Pricing!$B$20*Pricing!$E$43+(1-Pricing!$B$20)*Pricing!$E$41)*AP417*Pricing!$B$19*AP41</f>
        <v/>
      </c>
      <c r="AQ447" s="8">
        <f>AQ301*(Pricing!$B$20*Pricing!$E$43+(1-Pricing!$B$20)*Pricing!$E$41)*AQ417*Pricing!$B$19*AQ41</f>
        <v/>
      </c>
      <c r="AR447" s="8">
        <f>AR301*(Pricing!$B$20*Pricing!$E$43+(1-Pricing!$B$20)*Pricing!$E$41)*AR417*Pricing!$B$19*AR41</f>
        <v/>
      </c>
      <c r="AS447" s="8">
        <f>AS301*(Pricing!$B$20*Pricing!$E$43+(1-Pricing!$B$20)*Pricing!$E$41)*AS417*Pricing!$B$19*AS41</f>
        <v/>
      </c>
      <c r="AT447" s="8">
        <f>AT301*(Pricing!$B$20*Pricing!$E$43+(1-Pricing!$B$20)*Pricing!$E$41)*AT417*Pricing!$B$19*AT41</f>
        <v/>
      </c>
      <c r="AU447" s="8">
        <f>AU301*(Pricing!$B$20*Pricing!$E$43+(1-Pricing!$B$20)*Pricing!$E$41)*AU417*Pricing!$B$19*AU41</f>
        <v/>
      </c>
      <c r="AV447" s="8">
        <f>AV301*(Pricing!$B$20*Pricing!$E$43+(1-Pricing!$B$20)*Pricing!$E$41)*AV417*Pricing!$B$19*AV41</f>
        <v/>
      </c>
      <c r="AW447" s="8">
        <f>AW301*(Pricing!$B$20*Pricing!$E$43+(1-Pricing!$B$20)*Pricing!$E$41)*AW417*Pricing!$B$19*AW41</f>
        <v/>
      </c>
      <c r="AX447" s="8">
        <f>AX301*(Pricing!$B$20*Pricing!$E$43+(1-Pricing!$B$20)*Pricing!$E$41)*AX417*Pricing!$B$19*AX41</f>
        <v/>
      </c>
      <c r="AY447" s="8">
        <f>AY301*(Pricing!$B$20*Pricing!$E$43+(1-Pricing!$B$20)*Pricing!$E$41)*AY417*Pricing!$B$19*AY41</f>
        <v/>
      </c>
      <c r="AZ447" s="8">
        <f>AZ301*(Pricing!$B$20*Pricing!$E$43+(1-Pricing!$B$20)*Pricing!$E$41)*AZ417*Pricing!$B$19*AZ41</f>
        <v/>
      </c>
      <c r="BA447" s="8">
        <f>BA301*(Pricing!$B$20*Pricing!$E$43+(1-Pricing!$B$20)*Pricing!$E$41)*BA417*Pricing!$B$19*BA41</f>
        <v/>
      </c>
      <c r="BB447" s="8">
        <f>BB301*(Pricing!$B$20*Pricing!$E$43+(1-Pricing!$B$20)*Pricing!$E$41)*BB417*Pricing!$B$19*BB41</f>
        <v/>
      </c>
      <c r="BC447" s="8">
        <f>BC301*(Pricing!$B$20*Pricing!$E$43+(1-Pricing!$B$20)*Pricing!$E$41)*BC417*Pricing!$B$19*BC41</f>
        <v/>
      </c>
      <c r="BD447" s="8">
        <f>BD301*(Pricing!$B$20*Pricing!$E$43+(1-Pricing!$B$20)*Pricing!$E$41)*BD417*Pricing!$B$19*BD41</f>
        <v/>
      </c>
      <c r="BE447" s="8">
        <f>BE301*(Pricing!$B$20*Pricing!$E$43+(1-Pricing!$B$20)*Pricing!$E$41)*BE417*Pricing!$B$19*BE41</f>
        <v/>
      </c>
      <c r="BF447" s="8">
        <f>BF301*(Pricing!$B$20*Pricing!$E$43+(1-Pricing!$B$20)*Pricing!$E$41)*BF417*Pricing!$B$19*BF41</f>
        <v/>
      </c>
      <c r="BG447" s="8">
        <f>BG301*(Pricing!$B$20*Pricing!$E$43+(1-Pricing!$B$20)*Pricing!$E$41)*BG417*Pricing!$B$19*BG41</f>
        <v/>
      </c>
      <c r="BH447" s="8">
        <f>BH301*(Pricing!$B$20*Pricing!$E$43+(1-Pricing!$B$20)*Pricing!$E$41)*BH417*Pricing!$B$19*BH41</f>
        <v/>
      </c>
      <c r="BI447" s="8">
        <f>BI301*(Pricing!$B$20*Pricing!$E$43+(1-Pricing!$B$20)*Pricing!$E$41)*BI417*Pricing!$B$19*BI41</f>
        <v/>
      </c>
      <c r="BJ447" s="8">
        <f>BJ301*(Pricing!$B$20*Pricing!$E$43+(1-Pricing!$B$20)*Pricing!$E$41)*BJ417*Pricing!$B$19*BJ41</f>
        <v/>
      </c>
    </row>
    <row r="448">
      <c r="A448" s="4" t="inlineStr">
        <is>
          <t>Gross subscription revenue: Rest of Africa (USD): Solo: Nano</t>
        </is>
      </c>
      <c r="B448" s="17" t="inlineStr">
        <is>
          <t>R</t>
        </is>
      </c>
      <c r="C448" s="8">
        <f>C306*Pricing!$F$35*C417*Pricing!$B$19*C44</f>
        <v/>
      </c>
      <c r="D448" s="8">
        <f>D306*Pricing!$F$35*D417*Pricing!$B$19*D44</f>
        <v/>
      </c>
      <c r="E448" s="8">
        <f>E306*Pricing!$F$35*E417*Pricing!$B$19*E44</f>
        <v/>
      </c>
      <c r="F448" s="8">
        <f>F306*Pricing!$F$35*F417*Pricing!$B$19*F44</f>
        <v/>
      </c>
      <c r="G448" s="8">
        <f>G306*Pricing!$F$35*G417*Pricing!$B$19*G44</f>
        <v/>
      </c>
      <c r="H448" s="8">
        <f>H306*Pricing!$F$35*H417*Pricing!$B$19*H44</f>
        <v/>
      </c>
      <c r="I448" s="8">
        <f>I306*Pricing!$F$35*I417*Pricing!$B$19*I44</f>
        <v/>
      </c>
      <c r="J448" s="8">
        <f>J306*Pricing!$F$35*J417*Pricing!$B$19*J44</f>
        <v/>
      </c>
      <c r="K448" s="8">
        <f>K306*Pricing!$F$35*K417*Pricing!$B$19*K44</f>
        <v/>
      </c>
      <c r="L448" s="8">
        <f>L306*Pricing!$F$35*L417*Pricing!$B$19*L44</f>
        <v/>
      </c>
      <c r="M448" s="8">
        <f>M306*Pricing!$F$35*M417*Pricing!$B$19*M44</f>
        <v/>
      </c>
      <c r="N448" s="8">
        <f>N306*Pricing!$F$35*N417*Pricing!$B$19*N44</f>
        <v/>
      </c>
      <c r="O448" s="8">
        <f>O306*Pricing!$F$35*O417*Pricing!$B$19*O44</f>
        <v/>
      </c>
      <c r="P448" s="8">
        <f>P306*Pricing!$F$35*P417*Pricing!$B$19*P44</f>
        <v/>
      </c>
      <c r="Q448" s="8">
        <f>Q306*Pricing!$F$35*Q417*Pricing!$B$19*Q44</f>
        <v/>
      </c>
      <c r="R448" s="8">
        <f>R306*Pricing!$F$35*R417*Pricing!$B$19*R44</f>
        <v/>
      </c>
      <c r="S448" s="8">
        <f>S306*Pricing!$F$35*S417*Pricing!$B$19*S44</f>
        <v/>
      </c>
      <c r="T448" s="8">
        <f>T306*Pricing!$F$35*T417*Pricing!$B$19*T44</f>
        <v/>
      </c>
      <c r="U448" s="8">
        <f>U306*Pricing!$F$35*U417*Pricing!$B$19*U44</f>
        <v/>
      </c>
      <c r="V448" s="8">
        <f>V306*Pricing!$F$35*V417*Pricing!$B$19*V44</f>
        <v/>
      </c>
      <c r="W448" s="8">
        <f>W306*Pricing!$F$35*W417*Pricing!$B$19*W44</f>
        <v/>
      </c>
      <c r="X448" s="8">
        <f>X306*Pricing!$F$35*X417*Pricing!$B$19*X44</f>
        <v/>
      </c>
      <c r="Y448" s="8">
        <f>Y306*Pricing!$F$35*Y417*Pricing!$B$19*Y44</f>
        <v/>
      </c>
      <c r="Z448" s="8">
        <f>Z306*Pricing!$F$35*Z417*Pricing!$B$19*Z44</f>
        <v/>
      </c>
      <c r="AA448" s="8">
        <f>AA306*Pricing!$F$35*AA417*Pricing!$B$19*AA44</f>
        <v/>
      </c>
      <c r="AB448" s="8">
        <f>AB306*Pricing!$F$35*AB417*Pricing!$B$19*AB44</f>
        <v/>
      </c>
      <c r="AC448" s="8">
        <f>AC306*Pricing!$F$35*AC417*Pricing!$B$19*AC44</f>
        <v/>
      </c>
      <c r="AD448" s="8">
        <f>AD306*Pricing!$F$35*AD417*Pricing!$B$19*AD44</f>
        <v/>
      </c>
      <c r="AE448" s="8">
        <f>AE306*Pricing!$F$35*AE417*Pricing!$B$19*AE44</f>
        <v/>
      </c>
      <c r="AF448" s="8">
        <f>AF306*Pricing!$F$35*AF417*Pricing!$B$19*AF44</f>
        <v/>
      </c>
      <c r="AG448" s="8">
        <f>AG306*Pricing!$F$35*AG417*Pricing!$B$19*AG44</f>
        <v/>
      </c>
      <c r="AH448" s="8">
        <f>AH306*Pricing!$F$35*AH417*Pricing!$B$19*AH44</f>
        <v/>
      </c>
      <c r="AI448" s="8">
        <f>AI306*Pricing!$F$35*AI417*Pricing!$B$19*AI44</f>
        <v/>
      </c>
      <c r="AJ448" s="8">
        <f>AJ306*Pricing!$F$35*AJ417*Pricing!$B$19*AJ44</f>
        <v/>
      </c>
      <c r="AK448" s="8">
        <f>AK306*Pricing!$F$35*AK417*Pricing!$B$19*AK44</f>
        <v/>
      </c>
      <c r="AL448" s="8">
        <f>AL306*Pricing!$F$35*AL417*Pricing!$B$19*AL44</f>
        <v/>
      </c>
      <c r="AM448" s="8">
        <f>AM306*Pricing!$F$35*AM417*Pricing!$B$19*AM44</f>
        <v/>
      </c>
      <c r="AN448" s="8">
        <f>AN306*Pricing!$F$35*AN417*Pricing!$B$19*AN44</f>
        <v/>
      </c>
      <c r="AO448" s="8">
        <f>AO306*Pricing!$F$35*AO417*Pricing!$B$19*AO44</f>
        <v/>
      </c>
      <c r="AP448" s="8">
        <f>AP306*Pricing!$F$35*AP417*Pricing!$B$19*AP44</f>
        <v/>
      </c>
      <c r="AQ448" s="8">
        <f>AQ306*Pricing!$F$35*AQ417*Pricing!$B$19*AQ44</f>
        <v/>
      </c>
      <c r="AR448" s="8">
        <f>AR306*Pricing!$F$35*AR417*Pricing!$B$19*AR44</f>
        <v/>
      </c>
      <c r="AS448" s="8">
        <f>AS306*Pricing!$F$35*AS417*Pricing!$B$19*AS44</f>
        <v/>
      </c>
      <c r="AT448" s="8">
        <f>AT306*Pricing!$F$35*AT417*Pricing!$B$19*AT44</f>
        <v/>
      </c>
      <c r="AU448" s="8">
        <f>AU306*Pricing!$F$35*AU417*Pricing!$B$19*AU44</f>
        <v/>
      </c>
      <c r="AV448" s="8">
        <f>AV306*Pricing!$F$35*AV417*Pricing!$B$19*AV44</f>
        <v/>
      </c>
      <c r="AW448" s="8">
        <f>AW306*Pricing!$F$35*AW417*Pricing!$B$19*AW44</f>
        <v/>
      </c>
      <c r="AX448" s="8">
        <f>AX306*Pricing!$F$35*AX417*Pricing!$B$19*AX44</f>
        <v/>
      </c>
      <c r="AY448" s="8">
        <f>AY306*Pricing!$F$35*AY417*Pricing!$B$19*AY44</f>
        <v/>
      </c>
      <c r="AZ448" s="8">
        <f>AZ306*Pricing!$F$35*AZ417*Pricing!$B$19*AZ44</f>
        <v/>
      </c>
      <c r="BA448" s="8">
        <f>BA306*Pricing!$F$35*BA417*Pricing!$B$19*BA44</f>
        <v/>
      </c>
      <c r="BB448" s="8">
        <f>BB306*Pricing!$F$35*BB417*Pricing!$B$19*BB44</f>
        <v/>
      </c>
      <c r="BC448" s="8">
        <f>BC306*Pricing!$F$35*BC417*Pricing!$B$19*BC44</f>
        <v/>
      </c>
      <c r="BD448" s="8">
        <f>BD306*Pricing!$F$35*BD417*Pricing!$B$19*BD44</f>
        <v/>
      </c>
      <c r="BE448" s="8">
        <f>BE306*Pricing!$F$35*BE417*Pricing!$B$19*BE44</f>
        <v/>
      </c>
      <c r="BF448" s="8">
        <f>BF306*Pricing!$F$35*BF417*Pricing!$B$19*BF44</f>
        <v/>
      </c>
      <c r="BG448" s="8">
        <f>BG306*Pricing!$F$35*BG417*Pricing!$B$19*BG44</f>
        <v/>
      </c>
      <c r="BH448" s="8">
        <f>BH306*Pricing!$F$35*BH417*Pricing!$B$19*BH44</f>
        <v/>
      </c>
      <c r="BI448" s="8">
        <f>BI306*Pricing!$F$35*BI417*Pricing!$B$19*BI44</f>
        <v/>
      </c>
      <c r="BJ448" s="8">
        <f>BJ306*Pricing!$F$35*BJ417*Pricing!$B$19*BJ44</f>
        <v/>
      </c>
    </row>
    <row r="449">
      <c r="A449" s="4" t="inlineStr">
        <is>
          <t>Gross subscription revenue: Rest of Africa (USD): Solo: Micro (direct or upgraded)</t>
        </is>
      </c>
      <c r="B449" s="17" t="inlineStr">
        <is>
          <t>R</t>
        </is>
      </c>
      <c r="C449" s="8">
        <f>C311*Pricing!$F$36*C417*Pricing!$B$19*C44</f>
        <v/>
      </c>
      <c r="D449" s="8">
        <f>D311*Pricing!$F$36*D417*Pricing!$B$19*D44</f>
        <v/>
      </c>
      <c r="E449" s="8">
        <f>E311*Pricing!$F$36*E417*Pricing!$B$19*E44</f>
        <v/>
      </c>
      <c r="F449" s="8">
        <f>F311*Pricing!$F$36*F417*Pricing!$B$19*F44</f>
        <v/>
      </c>
      <c r="G449" s="8">
        <f>G311*Pricing!$F$36*G417*Pricing!$B$19*G44</f>
        <v/>
      </c>
      <c r="H449" s="8">
        <f>H311*Pricing!$F$36*H417*Pricing!$B$19*H44</f>
        <v/>
      </c>
      <c r="I449" s="8">
        <f>I311*Pricing!$F$36*I417*Pricing!$B$19*I44</f>
        <v/>
      </c>
      <c r="J449" s="8">
        <f>J311*Pricing!$F$36*J417*Pricing!$B$19*J44</f>
        <v/>
      </c>
      <c r="K449" s="8">
        <f>K311*Pricing!$F$36*K417*Pricing!$B$19*K44</f>
        <v/>
      </c>
      <c r="L449" s="8">
        <f>L311*Pricing!$F$36*L417*Pricing!$B$19*L44</f>
        <v/>
      </c>
      <c r="M449" s="8">
        <f>M311*Pricing!$F$36*M417*Pricing!$B$19*M44</f>
        <v/>
      </c>
      <c r="N449" s="8">
        <f>N311*Pricing!$F$36*N417*Pricing!$B$19*N44</f>
        <v/>
      </c>
      <c r="O449" s="8">
        <f>O311*Pricing!$F$36*O417*Pricing!$B$19*O44</f>
        <v/>
      </c>
      <c r="P449" s="8">
        <f>P311*Pricing!$F$36*P417*Pricing!$B$19*P44</f>
        <v/>
      </c>
      <c r="Q449" s="8">
        <f>Q311*Pricing!$F$36*Q417*Pricing!$B$19*Q44</f>
        <v/>
      </c>
      <c r="R449" s="8">
        <f>R311*Pricing!$F$36*R417*Pricing!$B$19*R44</f>
        <v/>
      </c>
      <c r="S449" s="8">
        <f>S311*Pricing!$F$36*S417*Pricing!$B$19*S44</f>
        <v/>
      </c>
      <c r="T449" s="8">
        <f>T311*Pricing!$F$36*T417*Pricing!$B$19*T44</f>
        <v/>
      </c>
      <c r="U449" s="8">
        <f>U311*Pricing!$F$36*U417*Pricing!$B$19*U44</f>
        <v/>
      </c>
      <c r="V449" s="8">
        <f>V311*Pricing!$F$36*V417*Pricing!$B$19*V44</f>
        <v/>
      </c>
      <c r="W449" s="8">
        <f>W311*Pricing!$F$36*W417*Pricing!$B$19*W44</f>
        <v/>
      </c>
      <c r="X449" s="8">
        <f>X311*Pricing!$F$36*X417*Pricing!$B$19*X44</f>
        <v/>
      </c>
      <c r="Y449" s="8">
        <f>Y311*Pricing!$F$36*Y417*Pricing!$B$19*Y44</f>
        <v/>
      </c>
      <c r="Z449" s="8">
        <f>Z311*Pricing!$F$36*Z417*Pricing!$B$19*Z44</f>
        <v/>
      </c>
      <c r="AA449" s="8">
        <f>AA311*Pricing!$F$36*AA417*Pricing!$B$19*AA44</f>
        <v/>
      </c>
      <c r="AB449" s="8">
        <f>AB311*Pricing!$F$36*AB417*Pricing!$B$19*AB44</f>
        <v/>
      </c>
      <c r="AC449" s="8">
        <f>AC311*Pricing!$F$36*AC417*Pricing!$B$19*AC44</f>
        <v/>
      </c>
      <c r="AD449" s="8">
        <f>AD311*Pricing!$F$36*AD417*Pricing!$B$19*AD44</f>
        <v/>
      </c>
      <c r="AE449" s="8">
        <f>AE311*Pricing!$F$36*AE417*Pricing!$B$19*AE44</f>
        <v/>
      </c>
      <c r="AF449" s="8">
        <f>AF311*Pricing!$F$36*AF417*Pricing!$B$19*AF44</f>
        <v/>
      </c>
      <c r="AG449" s="8">
        <f>AG311*Pricing!$F$36*AG417*Pricing!$B$19*AG44</f>
        <v/>
      </c>
      <c r="AH449" s="8">
        <f>AH311*Pricing!$F$36*AH417*Pricing!$B$19*AH44</f>
        <v/>
      </c>
      <c r="AI449" s="8">
        <f>AI311*Pricing!$F$36*AI417*Pricing!$B$19*AI44</f>
        <v/>
      </c>
      <c r="AJ449" s="8">
        <f>AJ311*Pricing!$F$36*AJ417*Pricing!$B$19*AJ44</f>
        <v/>
      </c>
      <c r="AK449" s="8">
        <f>AK311*Pricing!$F$36*AK417*Pricing!$B$19*AK44</f>
        <v/>
      </c>
      <c r="AL449" s="8">
        <f>AL311*Pricing!$F$36*AL417*Pricing!$B$19*AL44</f>
        <v/>
      </c>
      <c r="AM449" s="8">
        <f>AM311*Pricing!$F$36*AM417*Pricing!$B$19*AM44</f>
        <v/>
      </c>
      <c r="AN449" s="8">
        <f>AN311*Pricing!$F$36*AN417*Pricing!$B$19*AN44</f>
        <v/>
      </c>
      <c r="AO449" s="8">
        <f>AO311*Pricing!$F$36*AO417*Pricing!$B$19*AO44</f>
        <v/>
      </c>
      <c r="AP449" s="8">
        <f>AP311*Pricing!$F$36*AP417*Pricing!$B$19*AP44</f>
        <v/>
      </c>
      <c r="AQ449" s="8">
        <f>AQ311*Pricing!$F$36*AQ417*Pricing!$B$19*AQ44</f>
        <v/>
      </c>
      <c r="AR449" s="8">
        <f>AR311*Pricing!$F$36*AR417*Pricing!$B$19*AR44</f>
        <v/>
      </c>
      <c r="AS449" s="8">
        <f>AS311*Pricing!$F$36*AS417*Pricing!$B$19*AS44</f>
        <v/>
      </c>
      <c r="AT449" s="8">
        <f>AT311*Pricing!$F$36*AT417*Pricing!$B$19*AT44</f>
        <v/>
      </c>
      <c r="AU449" s="8">
        <f>AU311*Pricing!$F$36*AU417*Pricing!$B$19*AU44</f>
        <v/>
      </c>
      <c r="AV449" s="8">
        <f>AV311*Pricing!$F$36*AV417*Pricing!$B$19*AV44</f>
        <v/>
      </c>
      <c r="AW449" s="8">
        <f>AW311*Pricing!$F$36*AW417*Pricing!$B$19*AW44</f>
        <v/>
      </c>
      <c r="AX449" s="8">
        <f>AX311*Pricing!$F$36*AX417*Pricing!$B$19*AX44</f>
        <v/>
      </c>
      <c r="AY449" s="8">
        <f>AY311*Pricing!$F$36*AY417*Pricing!$B$19*AY44</f>
        <v/>
      </c>
      <c r="AZ449" s="8">
        <f>AZ311*Pricing!$F$36*AZ417*Pricing!$B$19*AZ44</f>
        <v/>
      </c>
      <c r="BA449" s="8">
        <f>BA311*Pricing!$F$36*BA417*Pricing!$B$19*BA44</f>
        <v/>
      </c>
      <c r="BB449" s="8">
        <f>BB311*Pricing!$F$36*BB417*Pricing!$B$19*BB44</f>
        <v/>
      </c>
      <c r="BC449" s="8">
        <f>BC311*Pricing!$F$36*BC417*Pricing!$B$19*BC44</f>
        <v/>
      </c>
      <c r="BD449" s="8">
        <f>BD311*Pricing!$F$36*BD417*Pricing!$B$19*BD44</f>
        <v/>
      </c>
      <c r="BE449" s="8">
        <f>BE311*Pricing!$F$36*BE417*Pricing!$B$19*BE44</f>
        <v/>
      </c>
      <c r="BF449" s="8">
        <f>BF311*Pricing!$F$36*BF417*Pricing!$B$19*BF44</f>
        <v/>
      </c>
      <c r="BG449" s="8">
        <f>BG311*Pricing!$F$36*BG417*Pricing!$B$19*BG44</f>
        <v/>
      </c>
      <c r="BH449" s="8">
        <f>BH311*Pricing!$F$36*BH417*Pricing!$B$19*BH44</f>
        <v/>
      </c>
      <c r="BI449" s="8">
        <f>BI311*Pricing!$F$36*BI417*Pricing!$B$19*BI44</f>
        <v/>
      </c>
      <c r="BJ449" s="8">
        <f>BJ311*Pricing!$F$36*BJ417*Pricing!$B$19*BJ44</f>
        <v/>
      </c>
    </row>
    <row r="450">
      <c r="A450" s="4" t="inlineStr">
        <is>
          <t>Gross subscription revenue: Rest of Africa (USD): Solo: Starter (direct or upgraded)</t>
        </is>
      </c>
      <c r="B450" s="17" t="inlineStr">
        <is>
          <t>R</t>
        </is>
      </c>
      <c r="C450" s="8">
        <f>C315*Pricing!$F$37*C417*Pricing!$B$19*C44</f>
        <v/>
      </c>
      <c r="D450" s="8">
        <f>D315*Pricing!$F$37*D417*Pricing!$B$19*D44</f>
        <v/>
      </c>
      <c r="E450" s="8">
        <f>E315*Pricing!$F$37*E417*Pricing!$B$19*E44</f>
        <v/>
      </c>
      <c r="F450" s="8">
        <f>F315*Pricing!$F$37*F417*Pricing!$B$19*F44</f>
        <v/>
      </c>
      <c r="G450" s="8">
        <f>G315*Pricing!$F$37*G417*Pricing!$B$19*G44</f>
        <v/>
      </c>
      <c r="H450" s="8">
        <f>H315*Pricing!$F$37*H417*Pricing!$B$19*H44</f>
        <v/>
      </c>
      <c r="I450" s="8">
        <f>I315*Pricing!$F$37*I417*Pricing!$B$19*I44</f>
        <v/>
      </c>
      <c r="J450" s="8">
        <f>J315*Pricing!$F$37*J417*Pricing!$B$19*J44</f>
        <v/>
      </c>
      <c r="K450" s="8">
        <f>K315*Pricing!$F$37*K417*Pricing!$B$19*K44</f>
        <v/>
      </c>
      <c r="L450" s="8">
        <f>L315*Pricing!$F$37*L417*Pricing!$B$19*L44</f>
        <v/>
      </c>
      <c r="M450" s="8">
        <f>M315*Pricing!$F$37*M417*Pricing!$B$19*M44</f>
        <v/>
      </c>
      <c r="N450" s="8">
        <f>N315*Pricing!$F$37*N417*Pricing!$B$19*N44</f>
        <v/>
      </c>
      <c r="O450" s="8">
        <f>O315*Pricing!$F$37*O417*Pricing!$B$19*O44</f>
        <v/>
      </c>
      <c r="P450" s="8">
        <f>P315*Pricing!$F$37*P417*Pricing!$B$19*P44</f>
        <v/>
      </c>
      <c r="Q450" s="8">
        <f>Q315*Pricing!$F$37*Q417*Pricing!$B$19*Q44</f>
        <v/>
      </c>
      <c r="R450" s="8">
        <f>R315*Pricing!$F$37*R417*Pricing!$B$19*R44</f>
        <v/>
      </c>
      <c r="S450" s="8">
        <f>S315*Pricing!$F$37*S417*Pricing!$B$19*S44</f>
        <v/>
      </c>
      <c r="T450" s="8">
        <f>T315*Pricing!$F$37*T417*Pricing!$B$19*T44</f>
        <v/>
      </c>
      <c r="U450" s="8">
        <f>U315*Pricing!$F$37*U417*Pricing!$B$19*U44</f>
        <v/>
      </c>
      <c r="V450" s="8">
        <f>V315*Pricing!$F$37*V417*Pricing!$B$19*V44</f>
        <v/>
      </c>
      <c r="W450" s="8">
        <f>W315*Pricing!$F$37*W417*Pricing!$B$19*W44</f>
        <v/>
      </c>
      <c r="X450" s="8">
        <f>X315*Pricing!$F$37*X417*Pricing!$B$19*X44</f>
        <v/>
      </c>
      <c r="Y450" s="8">
        <f>Y315*Pricing!$F$37*Y417*Pricing!$B$19*Y44</f>
        <v/>
      </c>
      <c r="Z450" s="8">
        <f>Z315*Pricing!$F$37*Z417*Pricing!$B$19*Z44</f>
        <v/>
      </c>
      <c r="AA450" s="8">
        <f>AA315*Pricing!$F$37*AA417*Pricing!$B$19*AA44</f>
        <v/>
      </c>
      <c r="AB450" s="8">
        <f>AB315*Pricing!$F$37*AB417*Pricing!$B$19*AB44</f>
        <v/>
      </c>
      <c r="AC450" s="8">
        <f>AC315*Pricing!$F$37*AC417*Pricing!$B$19*AC44</f>
        <v/>
      </c>
      <c r="AD450" s="8">
        <f>AD315*Pricing!$F$37*AD417*Pricing!$B$19*AD44</f>
        <v/>
      </c>
      <c r="AE450" s="8">
        <f>AE315*Pricing!$F$37*AE417*Pricing!$B$19*AE44</f>
        <v/>
      </c>
      <c r="AF450" s="8">
        <f>AF315*Pricing!$F$37*AF417*Pricing!$B$19*AF44</f>
        <v/>
      </c>
      <c r="AG450" s="8">
        <f>AG315*Pricing!$F$37*AG417*Pricing!$B$19*AG44</f>
        <v/>
      </c>
      <c r="AH450" s="8">
        <f>AH315*Pricing!$F$37*AH417*Pricing!$B$19*AH44</f>
        <v/>
      </c>
      <c r="AI450" s="8">
        <f>AI315*Pricing!$F$37*AI417*Pricing!$B$19*AI44</f>
        <v/>
      </c>
      <c r="AJ450" s="8">
        <f>AJ315*Pricing!$F$37*AJ417*Pricing!$B$19*AJ44</f>
        <v/>
      </c>
      <c r="AK450" s="8">
        <f>AK315*Pricing!$F$37*AK417*Pricing!$B$19*AK44</f>
        <v/>
      </c>
      <c r="AL450" s="8">
        <f>AL315*Pricing!$F$37*AL417*Pricing!$B$19*AL44</f>
        <v/>
      </c>
      <c r="AM450" s="8">
        <f>AM315*Pricing!$F$37*AM417*Pricing!$B$19*AM44</f>
        <v/>
      </c>
      <c r="AN450" s="8">
        <f>AN315*Pricing!$F$37*AN417*Pricing!$B$19*AN44</f>
        <v/>
      </c>
      <c r="AO450" s="8">
        <f>AO315*Pricing!$F$37*AO417*Pricing!$B$19*AO44</f>
        <v/>
      </c>
      <c r="AP450" s="8">
        <f>AP315*Pricing!$F$37*AP417*Pricing!$B$19*AP44</f>
        <v/>
      </c>
      <c r="AQ450" s="8">
        <f>AQ315*Pricing!$F$37*AQ417*Pricing!$B$19*AQ44</f>
        <v/>
      </c>
      <c r="AR450" s="8">
        <f>AR315*Pricing!$F$37*AR417*Pricing!$B$19*AR44</f>
        <v/>
      </c>
      <c r="AS450" s="8">
        <f>AS315*Pricing!$F$37*AS417*Pricing!$B$19*AS44</f>
        <v/>
      </c>
      <c r="AT450" s="8">
        <f>AT315*Pricing!$F$37*AT417*Pricing!$B$19*AT44</f>
        <v/>
      </c>
      <c r="AU450" s="8">
        <f>AU315*Pricing!$F$37*AU417*Pricing!$B$19*AU44</f>
        <v/>
      </c>
      <c r="AV450" s="8">
        <f>AV315*Pricing!$F$37*AV417*Pricing!$B$19*AV44</f>
        <v/>
      </c>
      <c r="AW450" s="8">
        <f>AW315*Pricing!$F$37*AW417*Pricing!$B$19*AW44</f>
        <v/>
      </c>
      <c r="AX450" s="8">
        <f>AX315*Pricing!$F$37*AX417*Pricing!$B$19*AX44</f>
        <v/>
      </c>
      <c r="AY450" s="8">
        <f>AY315*Pricing!$F$37*AY417*Pricing!$B$19*AY44</f>
        <v/>
      </c>
      <c r="AZ450" s="8">
        <f>AZ315*Pricing!$F$37*AZ417*Pricing!$B$19*AZ44</f>
        <v/>
      </c>
      <c r="BA450" s="8">
        <f>BA315*Pricing!$F$37*BA417*Pricing!$B$19*BA44</f>
        <v/>
      </c>
      <c r="BB450" s="8">
        <f>BB315*Pricing!$F$37*BB417*Pricing!$B$19*BB44</f>
        <v/>
      </c>
      <c r="BC450" s="8">
        <f>BC315*Pricing!$F$37*BC417*Pricing!$B$19*BC44</f>
        <v/>
      </c>
      <c r="BD450" s="8">
        <f>BD315*Pricing!$F$37*BD417*Pricing!$B$19*BD44</f>
        <v/>
      </c>
      <c r="BE450" s="8">
        <f>BE315*Pricing!$F$37*BE417*Pricing!$B$19*BE44</f>
        <v/>
      </c>
      <c r="BF450" s="8">
        <f>BF315*Pricing!$F$37*BF417*Pricing!$B$19*BF44</f>
        <v/>
      </c>
      <c r="BG450" s="8">
        <f>BG315*Pricing!$F$37*BG417*Pricing!$B$19*BG44</f>
        <v/>
      </c>
      <c r="BH450" s="8">
        <f>BH315*Pricing!$F$37*BH417*Pricing!$B$19*BH44</f>
        <v/>
      </c>
      <c r="BI450" s="8">
        <f>BI315*Pricing!$F$37*BI417*Pricing!$B$19*BI44</f>
        <v/>
      </c>
      <c r="BJ450" s="8">
        <f>BJ315*Pricing!$F$37*BJ417*Pricing!$B$19*BJ44</f>
        <v/>
      </c>
    </row>
    <row r="451">
      <c r="A451" s="4" t="inlineStr">
        <is>
          <t>Gross subscription revenue: Rest of Africa (USD): SME: Starter</t>
        </is>
      </c>
      <c r="B451" s="17" t="inlineStr">
        <is>
          <t>R</t>
        </is>
      </c>
      <c r="C451" s="8">
        <f>C320*Pricing!$F$37*C417*Pricing!$B$19*C44</f>
        <v/>
      </c>
      <c r="D451" s="8">
        <f>D320*Pricing!$F$37*D417*Pricing!$B$19*D44</f>
        <v/>
      </c>
      <c r="E451" s="8">
        <f>E320*Pricing!$F$37*E417*Pricing!$B$19*E44</f>
        <v/>
      </c>
      <c r="F451" s="8">
        <f>F320*Pricing!$F$37*F417*Pricing!$B$19*F44</f>
        <v/>
      </c>
      <c r="G451" s="8">
        <f>G320*Pricing!$F$37*G417*Pricing!$B$19*G44</f>
        <v/>
      </c>
      <c r="H451" s="8">
        <f>H320*Pricing!$F$37*H417*Pricing!$B$19*H44</f>
        <v/>
      </c>
      <c r="I451" s="8">
        <f>I320*Pricing!$F$37*I417*Pricing!$B$19*I44</f>
        <v/>
      </c>
      <c r="J451" s="8">
        <f>J320*Pricing!$F$37*J417*Pricing!$B$19*J44</f>
        <v/>
      </c>
      <c r="K451" s="8">
        <f>K320*Pricing!$F$37*K417*Pricing!$B$19*K44</f>
        <v/>
      </c>
      <c r="L451" s="8">
        <f>L320*Pricing!$F$37*L417*Pricing!$B$19*L44</f>
        <v/>
      </c>
      <c r="M451" s="8">
        <f>M320*Pricing!$F$37*M417*Pricing!$B$19*M44</f>
        <v/>
      </c>
      <c r="N451" s="8">
        <f>N320*Pricing!$F$37*N417*Pricing!$B$19*N44</f>
        <v/>
      </c>
      <c r="O451" s="8">
        <f>O320*Pricing!$F$37*O417*Pricing!$B$19*O44</f>
        <v/>
      </c>
      <c r="P451" s="8">
        <f>P320*Pricing!$F$37*P417*Pricing!$B$19*P44</f>
        <v/>
      </c>
      <c r="Q451" s="8">
        <f>Q320*Pricing!$F$37*Q417*Pricing!$B$19*Q44</f>
        <v/>
      </c>
      <c r="R451" s="8">
        <f>R320*Pricing!$F$37*R417*Pricing!$B$19*R44</f>
        <v/>
      </c>
      <c r="S451" s="8">
        <f>S320*Pricing!$F$37*S417*Pricing!$B$19*S44</f>
        <v/>
      </c>
      <c r="T451" s="8">
        <f>T320*Pricing!$F$37*T417*Pricing!$B$19*T44</f>
        <v/>
      </c>
      <c r="U451" s="8">
        <f>U320*Pricing!$F$37*U417*Pricing!$B$19*U44</f>
        <v/>
      </c>
      <c r="V451" s="8">
        <f>V320*Pricing!$F$37*V417*Pricing!$B$19*V44</f>
        <v/>
      </c>
      <c r="W451" s="8">
        <f>W320*Pricing!$F$37*W417*Pricing!$B$19*W44</f>
        <v/>
      </c>
      <c r="X451" s="8">
        <f>X320*Pricing!$F$37*X417*Pricing!$B$19*X44</f>
        <v/>
      </c>
      <c r="Y451" s="8">
        <f>Y320*Pricing!$F$37*Y417*Pricing!$B$19*Y44</f>
        <v/>
      </c>
      <c r="Z451" s="8">
        <f>Z320*Pricing!$F$37*Z417*Pricing!$B$19*Z44</f>
        <v/>
      </c>
      <c r="AA451" s="8">
        <f>AA320*Pricing!$F$37*AA417*Pricing!$B$19*AA44</f>
        <v/>
      </c>
      <c r="AB451" s="8">
        <f>AB320*Pricing!$F$37*AB417*Pricing!$B$19*AB44</f>
        <v/>
      </c>
      <c r="AC451" s="8">
        <f>AC320*Pricing!$F$37*AC417*Pricing!$B$19*AC44</f>
        <v/>
      </c>
      <c r="AD451" s="8">
        <f>AD320*Pricing!$F$37*AD417*Pricing!$B$19*AD44</f>
        <v/>
      </c>
      <c r="AE451" s="8">
        <f>AE320*Pricing!$F$37*AE417*Pricing!$B$19*AE44</f>
        <v/>
      </c>
      <c r="AF451" s="8">
        <f>AF320*Pricing!$F$37*AF417*Pricing!$B$19*AF44</f>
        <v/>
      </c>
      <c r="AG451" s="8">
        <f>AG320*Pricing!$F$37*AG417*Pricing!$B$19*AG44</f>
        <v/>
      </c>
      <c r="AH451" s="8">
        <f>AH320*Pricing!$F$37*AH417*Pricing!$B$19*AH44</f>
        <v/>
      </c>
      <c r="AI451" s="8">
        <f>AI320*Pricing!$F$37*AI417*Pricing!$B$19*AI44</f>
        <v/>
      </c>
      <c r="AJ451" s="8">
        <f>AJ320*Pricing!$F$37*AJ417*Pricing!$B$19*AJ44</f>
        <v/>
      </c>
      <c r="AK451" s="8">
        <f>AK320*Pricing!$F$37*AK417*Pricing!$B$19*AK44</f>
        <v/>
      </c>
      <c r="AL451" s="8">
        <f>AL320*Pricing!$F$37*AL417*Pricing!$B$19*AL44</f>
        <v/>
      </c>
      <c r="AM451" s="8">
        <f>AM320*Pricing!$F$37*AM417*Pricing!$B$19*AM44</f>
        <v/>
      </c>
      <c r="AN451" s="8">
        <f>AN320*Pricing!$F$37*AN417*Pricing!$B$19*AN44</f>
        <v/>
      </c>
      <c r="AO451" s="8">
        <f>AO320*Pricing!$F$37*AO417*Pricing!$B$19*AO44</f>
        <v/>
      </c>
      <c r="AP451" s="8">
        <f>AP320*Pricing!$F$37*AP417*Pricing!$B$19*AP44</f>
        <v/>
      </c>
      <c r="AQ451" s="8">
        <f>AQ320*Pricing!$F$37*AQ417*Pricing!$B$19*AQ44</f>
        <v/>
      </c>
      <c r="AR451" s="8">
        <f>AR320*Pricing!$F$37*AR417*Pricing!$B$19*AR44</f>
        <v/>
      </c>
      <c r="AS451" s="8">
        <f>AS320*Pricing!$F$37*AS417*Pricing!$B$19*AS44</f>
        <v/>
      </c>
      <c r="AT451" s="8">
        <f>AT320*Pricing!$F$37*AT417*Pricing!$B$19*AT44</f>
        <v/>
      </c>
      <c r="AU451" s="8">
        <f>AU320*Pricing!$F$37*AU417*Pricing!$B$19*AU44</f>
        <v/>
      </c>
      <c r="AV451" s="8">
        <f>AV320*Pricing!$F$37*AV417*Pricing!$B$19*AV44</f>
        <v/>
      </c>
      <c r="AW451" s="8">
        <f>AW320*Pricing!$F$37*AW417*Pricing!$B$19*AW44</f>
        <v/>
      </c>
      <c r="AX451" s="8">
        <f>AX320*Pricing!$F$37*AX417*Pricing!$B$19*AX44</f>
        <v/>
      </c>
      <c r="AY451" s="8">
        <f>AY320*Pricing!$F$37*AY417*Pricing!$B$19*AY44</f>
        <v/>
      </c>
      <c r="AZ451" s="8">
        <f>AZ320*Pricing!$F$37*AZ417*Pricing!$B$19*AZ44</f>
        <v/>
      </c>
      <c r="BA451" s="8">
        <f>BA320*Pricing!$F$37*BA417*Pricing!$B$19*BA44</f>
        <v/>
      </c>
      <c r="BB451" s="8">
        <f>BB320*Pricing!$F$37*BB417*Pricing!$B$19*BB44</f>
        <v/>
      </c>
      <c r="BC451" s="8">
        <f>BC320*Pricing!$F$37*BC417*Pricing!$B$19*BC44</f>
        <v/>
      </c>
      <c r="BD451" s="8">
        <f>BD320*Pricing!$F$37*BD417*Pricing!$B$19*BD44</f>
        <v/>
      </c>
      <c r="BE451" s="8">
        <f>BE320*Pricing!$F$37*BE417*Pricing!$B$19*BE44</f>
        <v/>
      </c>
      <c r="BF451" s="8">
        <f>BF320*Pricing!$F$37*BF417*Pricing!$B$19*BF44</f>
        <v/>
      </c>
      <c r="BG451" s="8">
        <f>BG320*Pricing!$F$37*BG417*Pricing!$B$19*BG44</f>
        <v/>
      </c>
      <c r="BH451" s="8">
        <f>BH320*Pricing!$F$37*BH417*Pricing!$B$19*BH44</f>
        <v/>
      </c>
      <c r="BI451" s="8">
        <f>BI320*Pricing!$F$37*BI417*Pricing!$B$19*BI44</f>
        <v/>
      </c>
      <c r="BJ451" s="8">
        <f>BJ320*Pricing!$F$37*BJ417*Pricing!$B$19*BJ44</f>
        <v/>
      </c>
    </row>
    <row r="452">
      <c r="A452" s="4" t="inlineStr">
        <is>
          <t>Gross subscription revenue: Rest of Africa (USD): SME: Growth (direct or upgraded)</t>
        </is>
      </c>
      <c r="B452" s="17" t="inlineStr">
        <is>
          <t>R</t>
        </is>
      </c>
      <c r="C452" s="8">
        <f>C325*Pricing!$F$38*C417*Pricing!$B$19*C44</f>
        <v/>
      </c>
      <c r="D452" s="8">
        <f>D325*Pricing!$F$38*D417*Pricing!$B$19*D44</f>
        <v/>
      </c>
      <c r="E452" s="8">
        <f>E325*Pricing!$F$38*E417*Pricing!$B$19*E44</f>
        <v/>
      </c>
      <c r="F452" s="8">
        <f>F325*Pricing!$F$38*F417*Pricing!$B$19*F44</f>
        <v/>
      </c>
      <c r="G452" s="8">
        <f>G325*Pricing!$F$38*G417*Pricing!$B$19*G44</f>
        <v/>
      </c>
      <c r="H452" s="8">
        <f>H325*Pricing!$F$38*H417*Pricing!$B$19*H44</f>
        <v/>
      </c>
      <c r="I452" s="8">
        <f>I325*Pricing!$F$38*I417*Pricing!$B$19*I44</f>
        <v/>
      </c>
      <c r="J452" s="8">
        <f>J325*Pricing!$F$38*J417*Pricing!$B$19*J44</f>
        <v/>
      </c>
      <c r="K452" s="8">
        <f>K325*Pricing!$F$38*K417*Pricing!$B$19*K44</f>
        <v/>
      </c>
      <c r="L452" s="8">
        <f>L325*Pricing!$F$38*L417*Pricing!$B$19*L44</f>
        <v/>
      </c>
      <c r="M452" s="8">
        <f>M325*Pricing!$F$38*M417*Pricing!$B$19*M44</f>
        <v/>
      </c>
      <c r="N452" s="8">
        <f>N325*Pricing!$F$38*N417*Pricing!$B$19*N44</f>
        <v/>
      </c>
      <c r="O452" s="8">
        <f>O325*Pricing!$F$38*O417*Pricing!$B$19*O44</f>
        <v/>
      </c>
      <c r="P452" s="8">
        <f>P325*Pricing!$F$38*P417*Pricing!$B$19*P44</f>
        <v/>
      </c>
      <c r="Q452" s="8">
        <f>Q325*Pricing!$F$38*Q417*Pricing!$B$19*Q44</f>
        <v/>
      </c>
      <c r="R452" s="8">
        <f>R325*Pricing!$F$38*R417*Pricing!$B$19*R44</f>
        <v/>
      </c>
      <c r="S452" s="8">
        <f>S325*Pricing!$F$38*S417*Pricing!$B$19*S44</f>
        <v/>
      </c>
      <c r="T452" s="8">
        <f>T325*Pricing!$F$38*T417*Pricing!$B$19*T44</f>
        <v/>
      </c>
      <c r="U452" s="8">
        <f>U325*Pricing!$F$38*U417*Pricing!$B$19*U44</f>
        <v/>
      </c>
      <c r="V452" s="8">
        <f>V325*Pricing!$F$38*V417*Pricing!$B$19*V44</f>
        <v/>
      </c>
      <c r="W452" s="8">
        <f>W325*Pricing!$F$38*W417*Pricing!$B$19*W44</f>
        <v/>
      </c>
      <c r="X452" s="8">
        <f>X325*Pricing!$F$38*X417*Pricing!$B$19*X44</f>
        <v/>
      </c>
      <c r="Y452" s="8">
        <f>Y325*Pricing!$F$38*Y417*Pricing!$B$19*Y44</f>
        <v/>
      </c>
      <c r="Z452" s="8">
        <f>Z325*Pricing!$F$38*Z417*Pricing!$B$19*Z44</f>
        <v/>
      </c>
      <c r="AA452" s="8">
        <f>AA325*Pricing!$F$38*AA417*Pricing!$B$19*AA44</f>
        <v/>
      </c>
      <c r="AB452" s="8">
        <f>AB325*Pricing!$F$38*AB417*Pricing!$B$19*AB44</f>
        <v/>
      </c>
      <c r="AC452" s="8">
        <f>AC325*Pricing!$F$38*AC417*Pricing!$B$19*AC44</f>
        <v/>
      </c>
      <c r="AD452" s="8">
        <f>AD325*Pricing!$F$38*AD417*Pricing!$B$19*AD44</f>
        <v/>
      </c>
      <c r="AE452" s="8">
        <f>AE325*Pricing!$F$38*AE417*Pricing!$B$19*AE44</f>
        <v/>
      </c>
      <c r="AF452" s="8">
        <f>AF325*Pricing!$F$38*AF417*Pricing!$B$19*AF44</f>
        <v/>
      </c>
      <c r="AG452" s="8">
        <f>AG325*Pricing!$F$38*AG417*Pricing!$B$19*AG44</f>
        <v/>
      </c>
      <c r="AH452" s="8">
        <f>AH325*Pricing!$F$38*AH417*Pricing!$B$19*AH44</f>
        <v/>
      </c>
      <c r="AI452" s="8">
        <f>AI325*Pricing!$F$38*AI417*Pricing!$B$19*AI44</f>
        <v/>
      </c>
      <c r="AJ452" s="8">
        <f>AJ325*Pricing!$F$38*AJ417*Pricing!$B$19*AJ44</f>
        <v/>
      </c>
      <c r="AK452" s="8">
        <f>AK325*Pricing!$F$38*AK417*Pricing!$B$19*AK44</f>
        <v/>
      </c>
      <c r="AL452" s="8">
        <f>AL325*Pricing!$F$38*AL417*Pricing!$B$19*AL44</f>
        <v/>
      </c>
      <c r="AM452" s="8">
        <f>AM325*Pricing!$F$38*AM417*Pricing!$B$19*AM44</f>
        <v/>
      </c>
      <c r="AN452" s="8">
        <f>AN325*Pricing!$F$38*AN417*Pricing!$B$19*AN44</f>
        <v/>
      </c>
      <c r="AO452" s="8">
        <f>AO325*Pricing!$F$38*AO417*Pricing!$B$19*AO44</f>
        <v/>
      </c>
      <c r="AP452" s="8">
        <f>AP325*Pricing!$F$38*AP417*Pricing!$B$19*AP44</f>
        <v/>
      </c>
      <c r="AQ452" s="8">
        <f>AQ325*Pricing!$F$38*AQ417*Pricing!$B$19*AQ44</f>
        <v/>
      </c>
      <c r="AR452" s="8">
        <f>AR325*Pricing!$F$38*AR417*Pricing!$B$19*AR44</f>
        <v/>
      </c>
      <c r="AS452" s="8">
        <f>AS325*Pricing!$F$38*AS417*Pricing!$B$19*AS44</f>
        <v/>
      </c>
      <c r="AT452" s="8">
        <f>AT325*Pricing!$F$38*AT417*Pricing!$B$19*AT44</f>
        <v/>
      </c>
      <c r="AU452" s="8">
        <f>AU325*Pricing!$F$38*AU417*Pricing!$B$19*AU44</f>
        <v/>
      </c>
      <c r="AV452" s="8">
        <f>AV325*Pricing!$F$38*AV417*Pricing!$B$19*AV44</f>
        <v/>
      </c>
      <c r="AW452" s="8">
        <f>AW325*Pricing!$F$38*AW417*Pricing!$B$19*AW44</f>
        <v/>
      </c>
      <c r="AX452" s="8">
        <f>AX325*Pricing!$F$38*AX417*Pricing!$B$19*AX44</f>
        <v/>
      </c>
      <c r="AY452" s="8">
        <f>AY325*Pricing!$F$38*AY417*Pricing!$B$19*AY44</f>
        <v/>
      </c>
      <c r="AZ452" s="8">
        <f>AZ325*Pricing!$F$38*AZ417*Pricing!$B$19*AZ44</f>
        <v/>
      </c>
      <c r="BA452" s="8">
        <f>BA325*Pricing!$F$38*BA417*Pricing!$B$19*BA44</f>
        <v/>
      </c>
      <c r="BB452" s="8">
        <f>BB325*Pricing!$F$38*BB417*Pricing!$B$19*BB44</f>
        <v/>
      </c>
      <c r="BC452" s="8">
        <f>BC325*Pricing!$F$38*BC417*Pricing!$B$19*BC44</f>
        <v/>
      </c>
      <c r="BD452" s="8">
        <f>BD325*Pricing!$F$38*BD417*Pricing!$B$19*BD44</f>
        <v/>
      </c>
      <c r="BE452" s="8">
        <f>BE325*Pricing!$F$38*BE417*Pricing!$B$19*BE44</f>
        <v/>
      </c>
      <c r="BF452" s="8">
        <f>BF325*Pricing!$F$38*BF417*Pricing!$B$19*BF44</f>
        <v/>
      </c>
      <c r="BG452" s="8">
        <f>BG325*Pricing!$F$38*BG417*Pricing!$B$19*BG44</f>
        <v/>
      </c>
      <c r="BH452" s="8">
        <f>BH325*Pricing!$F$38*BH417*Pricing!$B$19*BH44</f>
        <v/>
      </c>
      <c r="BI452" s="8">
        <f>BI325*Pricing!$F$38*BI417*Pricing!$B$19*BI44</f>
        <v/>
      </c>
      <c r="BJ452" s="8">
        <f>BJ325*Pricing!$F$38*BJ417*Pricing!$B$19*BJ44</f>
        <v/>
      </c>
    </row>
    <row r="453">
      <c r="A453" s="4" t="inlineStr">
        <is>
          <t>Gross subscription revenue: Rest of Africa (USD): SME: Scale (direct or upgraded)</t>
        </is>
      </c>
      <c r="B453" s="17" t="inlineStr">
        <is>
          <t>R</t>
        </is>
      </c>
      <c r="C453" s="8">
        <f>C329*Pricing!$F$39*C417*Pricing!$B$19*C44</f>
        <v/>
      </c>
      <c r="D453" s="8">
        <f>D329*Pricing!$F$39*D417*Pricing!$B$19*D44</f>
        <v/>
      </c>
      <c r="E453" s="8">
        <f>E329*Pricing!$F$39*E417*Pricing!$B$19*E44</f>
        <v/>
      </c>
      <c r="F453" s="8">
        <f>F329*Pricing!$F$39*F417*Pricing!$B$19*F44</f>
        <v/>
      </c>
      <c r="G453" s="8">
        <f>G329*Pricing!$F$39*G417*Pricing!$B$19*G44</f>
        <v/>
      </c>
      <c r="H453" s="8">
        <f>H329*Pricing!$F$39*H417*Pricing!$B$19*H44</f>
        <v/>
      </c>
      <c r="I453" s="8">
        <f>I329*Pricing!$F$39*I417*Pricing!$B$19*I44</f>
        <v/>
      </c>
      <c r="J453" s="8">
        <f>J329*Pricing!$F$39*J417*Pricing!$B$19*J44</f>
        <v/>
      </c>
      <c r="K453" s="8">
        <f>K329*Pricing!$F$39*K417*Pricing!$B$19*K44</f>
        <v/>
      </c>
      <c r="L453" s="8">
        <f>L329*Pricing!$F$39*L417*Pricing!$B$19*L44</f>
        <v/>
      </c>
      <c r="M453" s="8">
        <f>M329*Pricing!$F$39*M417*Pricing!$B$19*M44</f>
        <v/>
      </c>
      <c r="N453" s="8">
        <f>N329*Pricing!$F$39*N417*Pricing!$B$19*N44</f>
        <v/>
      </c>
      <c r="O453" s="8">
        <f>O329*Pricing!$F$39*O417*Pricing!$B$19*O44</f>
        <v/>
      </c>
      <c r="P453" s="8">
        <f>P329*Pricing!$F$39*P417*Pricing!$B$19*P44</f>
        <v/>
      </c>
      <c r="Q453" s="8">
        <f>Q329*Pricing!$F$39*Q417*Pricing!$B$19*Q44</f>
        <v/>
      </c>
      <c r="R453" s="8">
        <f>R329*Pricing!$F$39*R417*Pricing!$B$19*R44</f>
        <v/>
      </c>
      <c r="S453" s="8">
        <f>S329*Pricing!$F$39*S417*Pricing!$B$19*S44</f>
        <v/>
      </c>
      <c r="T453" s="8">
        <f>T329*Pricing!$F$39*T417*Pricing!$B$19*T44</f>
        <v/>
      </c>
      <c r="U453" s="8">
        <f>U329*Pricing!$F$39*U417*Pricing!$B$19*U44</f>
        <v/>
      </c>
      <c r="V453" s="8">
        <f>V329*Pricing!$F$39*V417*Pricing!$B$19*V44</f>
        <v/>
      </c>
      <c r="W453" s="8">
        <f>W329*Pricing!$F$39*W417*Pricing!$B$19*W44</f>
        <v/>
      </c>
      <c r="X453" s="8">
        <f>X329*Pricing!$F$39*X417*Pricing!$B$19*X44</f>
        <v/>
      </c>
      <c r="Y453" s="8">
        <f>Y329*Pricing!$F$39*Y417*Pricing!$B$19*Y44</f>
        <v/>
      </c>
      <c r="Z453" s="8">
        <f>Z329*Pricing!$F$39*Z417*Pricing!$B$19*Z44</f>
        <v/>
      </c>
      <c r="AA453" s="8">
        <f>AA329*Pricing!$F$39*AA417*Pricing!$B$19*AA44</f>
        <v/>
      </c>
      <c r="AB453" s="8">
        <f>AB329*Pricing!$F$39*AB417*Pricing!$B$19*AB44</f>
        <v/>
      </c>
      <c r="AC453" s="8">
        <f>AC329*Pricing!$F$39*AC417*Pricing!$B$19*AC44</f>
        <v/>
      </c>
      <c r="AD453" s="8">
        <f>AD329*Pricing!$F$39*AD417*Pricing!$B$19*AD44</f>
        <v/>
      </c>
      <c r="AE453" s="8">
        <f>AE329*Pricing!$F$39*AE417*Pricing!$B$19*AE44</f>
        <v/>
      </c>
      <c r="AF453" s="8">
        <f>AF329*Pricing!$F$39*AF417*Pricing!$B$19*AF44</f>
        <v/>
      </c>
      <c r="AG453" s="8">
        <f>AG329*Pricing!$F$39*AG417*Pricing!$B$19*AG44</f>
        <v/>
      </c>
      <c r="AH453" s="8">
        <f>AH329*Pricing!$F$39*AH417*Pricing!$B$19*AH44</f>
        <v/>
      </c>
      <c r="AI453" s="8">
        <f>AI329*Pricing!$F$39*AI417*Pricing!$B$19*AI44</f>
        <v/>
      </c>
      <c r="AJ453" s="8">
        <f>AJ329*Pricing!$F$39*AJ417*Pricing!$B$19*AJ44</f>
        <v/>
      </c>
      <c r="AK453" s="8">
        <f>AK329*Pricing!$F$39*AK417*Pricing!$B$19*AK44</f>
        <v/>
      </c>
      <c r="AL453" s="8">
        <f>AL329*Pricing!$F$39*AL417*Pricing!$B$19*AL44</f>
        <v/>
      </c>
      <c r="AM453" s="8">
        <f>AM329*Pricing!$F$39*AM417*Pricing!$B$19*AM44</f>
        <v/>
      </c>
      <c r="AN453" s="8">
        <f>AN329*Pricing!$F$39*AN417*Pricing!$B$19*AN44</f>
        <v/>
      </c>
      <c r="AO453" s="8">
        <f>AO329*Pricing!$F$39*AO417*Pricing!$B$19*AO44</f>
        <v/>
      </c>
      <c r="AP453" s="8">
        <f>AP329*Pricing!$F$39*AP417*Pricing!$B$19*AP44</f>
        <v/>
      </c>
      <c r="AQ453" s="8">
        <f>AQ329*Pricing!$F$39*AQ417*Pricing!$B$19*AQ44</f>
        <v/>
      </c>
      <c r="AR453" s="8">
        <f>AR329*Pricing!$F$39*AR417*Pricing!$B$19*AR44</f>
        <v/>
      </c>
      <c r="AS453" s="8">
        <f>AS329*Pricing!$F$39*AS417*Pricing!$B$19*AS44</f>
        <v/>
      </c>
      <c r="AT453" s="8">
        <f>AT329*Pricing!$F$39*AT417*Pricing!$B$19*AT44</f>
        <v/>
      </c>
      <c r="AU453" s="8">
        <f>AU329*Pricing!$F$39*AU417*Pricing!$B$19*AU44</f>
        <v/>
      </c>
      <c r="AV453" s="8">
        <f>AV329*Pricing!$F$39*AV417*Pricing!$B$19*AV44</f>
        <v/>
      </c>
      <c r="AW453" s="8">
        <f>AW329*Pricing!$F$39*AW417*Pricing!$B$19*AW44</f>
        <v/>
      </c>
      <c r="AX453" s="8">
        <f>AX329*Pricing!$F$39*AX417*Pricing!$B$19*AX44</f>
        <v/>
      </c>
      <c r="AY453" s="8">
        <f>AY329*Pricing!$F$39*AY417*Pricing!$B$19*AY44</f>
        <v/>
      </c>
      <c r="AZ453" s="8">
        <f>AZ329*Pricing!$F$39*AZ417*Pricing!$B$19*AZ44</f>
        <v/>
      </c>
      <c r="BA453" s="8">
        <f>BA329*Pricing!$F$39*BA417*Pricing!$B$19*BA44</f>
        <v/>
      </c>
      <c r="BB453" s="8">
        <f>BB329*Pricing!$F$39*BB417*Pricing!$B$19*BB44</f>
        <v/>
      </c>
      <c r="BC453" s="8">
        <f>BC329*Pricing!$F$39*BC417*Pricing!$B$19*BC44</f>
        <v/>
      </c>
      <c r="BD453" s="8">
        <f>BD329*Pricing!$F$39*BD417*Pricing!$B$19*BD44</f>
        <v/>
      </c>
      <c r="BE453" s="8">
        <f>BE329*Pricing!$F$39*BE417*Pricing!$B$19*BE44</f>
        <v/>
      </c>
      <c r="BF453" s="8">
        <f>BF329*Pricing!$F$39*BF417*Pricing!$B$19*BF44</f>
        <v/>
      </c>
      <c r="BG453" s="8">
        <f>BG329*Pricing!$F$39*BG417*Pricing!$B$19*BG44</f>
        <v/>
      </c>
      <c r="BH453" s="8">
        <f>BH329*Pricing!$F$39*BH417*Pricing!$B$19*BH44</f>
        <v/>
      </c>
      <c r="BI453" s="8">
        <f>BI329*Pricing!$F$39*BI417*Pricing!$B$19*BI44</f>
        <v/>
      </c>
      <c r="BJ453" s="8">
        <f>BJ329*Pricing!$F$39*BJ417*Pricing!$B$19*BJ44</f>
        <v/>
      </c>
    </row>
    <row r="454">
      <c r="A454" s="4" t="inlineStr">
        <is>
          <t>Gross subscription revenue: Botswana &amp; Namibia: Solo: Nano</t>
        </is>
      </c>
      <c r="B454" s="17" t="inlineStr">
        <is>
          <t>R</t>
        </is>
      </c>
      <c r="C454" s="8">
        <f>C334*Pricing!$G$35*C417*Pricing!$B$19</f>
        <v/>
      </c>
      <c r="D454" s="8">
        <f>D334*Pricing!$G$35*D417*Pricing!$B$19</f>
        <v/>
      </c>
      <c r="E454" s="8">
        <f>E334*Pricing!$G$35*E417*Pricing!$B$19</f>
        <v/>
      </c>
      <c r="F454" s="8">
        <f>F334*Pricing!$G$35*F417*Pricing!$B$19</f>
        <v/>
      </c>
      <c r="G454" s="8">
        <f>G334*Pricing!$G$35*G417*Pricing!$B$19</f>
        <v/>
      </c>
      <c r="H454" s="8">
        <f>H334*Pricing!$G$35*H417*Pricing!$B$19</f>
        <v/>
      </c>
      <c r="I454" s="8">
        <f>I334*Pricing!$G$35*I417*Pricing!$B$19</f>
        <v/>
      </c>
      <c r="J454" s="8">
        <f>J334*Pricing!$G$35*J417*Pricing!$B$19</f>
        <v/>
      </c>
      <c r="K454" s="8">
        <f>K334*Pricing!$G$35*K417*Pricing!$B$19</f>
        <v/>
      </c>
      <c r="L454" s="8">
        <f>L334*Pricing!$G$35*L417*Pricing!$B$19</f>
        <v/>
      </c>
      <c r="M454" s="8">
        <f>M334*Pricing!$G$35*M417*Pricing!$B$19</f>
        <v/>
      </c>
      <c r="N454" s="8">
        <f>N334*Pricing!$G$35*N417*Pricing!$B$19</f>
        <v/>
      </c>
      <c r="O454" s="8">
        <f>O334*Pricing!$G$35*O417*Pricing!$B$19</f>
        <v/>
      </c>
      <c r="P454" s="8">
        <f>P334*Pricing!$G$35*P417*Pricing!$B$19</f>
        <v/>
      </c>
      <c r="Q454" s="8">
        <f>Q334*Pricing!$G$35*Q417*Pricing!$B$19</f>
        <v/>
      </c>
      <c r="R454" s="8">
        <f>R334*Pricing!$G$35*R417*Pricing!$B$19</f>
        <v/>
      </c>
      <c r="S454" s="8">
        <f>S334*Pricing!$G$35*S417*Pricing!$B$19</f>
        <v/>
      </c>
      <c r="T454" s="8">
        <f>T334*Pricing!$G$35*T417*Pricing!$B$19</f>
        <v/>
      </c>
      <c r="U454" s="8">
        <f>U334*Pricing!$G$35*U417*Pricing!$B$19</f>
        <v/>
      </c>
      <c r="V454" s="8">
        <f>V334*Pricing!$G$35*V417*Pricing!$B$19</f>
        <v/>
      </c>
      <c r="W454" s="8">
        <f>W334*Pricing!$G$35*W417*Pricing!$B$19</f>
        <v/>
      </c>
      <c r="X454" s="8">
        <f>X334*Pricing!$G$35*X417*Pricing!$B$19</f>
        <v/>
      </c>
      <c r="Y454" s="8">
        <f>Y334*Pricing!$G$35*Y417*Pricing!$B$19</f>
        <v/>
      </c>
      <c r="Z454" s="8">
        <f>Z334*Pricing!$G$35*Z417*Pricing!$B$19</f>
        <v/>
      </c>
      <c r="AA454" s="8">
        <f>AA334*Pricing!$G$35*AA417*Pricing!$B$19</f>
        <v/>
      </c>
      <c r="AB454" s="8">
        <f>AB334*Pricing!$G$35*AB417*Pricing!$B$19</f>
        <v/>
      </c>
      <c r="AC454" s="8">
        <f>AC334*Pricing!$G$35*AC417*Pricing!$B$19</f>
        <v/>
      </c>
      <c r="AD454" s="8">
        <f>AD334*Pricing!$G$35*AD417*Pricing!$B$19</f>
        <v/>
      </c>
      <c r="AE454" s="8">
        <f>AE334*Pricing!$G$35*AE417*Pricing!$B$19</f>
        <v/>
      </c>
      <c r="AF454" s="8">
        <f>AF334*Pricing!$G$35*AF417*Pricing!$B$19</f>
        <v/>
      </c>
      <c r="AG454" s="8">
        <f>AG334*Pricing!$G$35*AG417*Pricing!$B$19</f>
        <v/>
      </c>
      <c r="AH454" s="8">
        <f>AH334*Pricing!$G$35*AH417*Pricing!$B$19</f>
        <v/>
      </c>
      <c r="AI454" s="8">
        <f>AI334*Pricing!$G$35*AI417*Pricing!$B$19</f>
        <v/>
      </c>
      <c r="AJ454" s="8">
        <f>AJ334*Pricing!$G$35*AJ417*Pricing!$B$19</f>
        <v/>
      </c>
      <c r="AK454" s="8">
        <f>AK334*Pricing!$G$35*AK417*Pricing!$B$19</f>
        <v/>
      </c>
      <c r="AL454" s="8">
        <f>AL334*Pricing!$G$35*AL417*Pricing!$B$19</f>
        <v/>
      </c>
      <c r="AM454" s="8">
        <f>AM334*Pricing!$G$35*AM417*Pricing!$B$19</f>
        <v/>
      </c>
      <c r="AN454" s="8">
        <f>AN334*Pricing!$G$35*AN417*Pricing!$B$19</f>
        <v/>
      </c>
      <c r="AO454" s="8">
        <f>AO334*Pricing!$G$35*AO417*Pricing!$B$19</f>
        <v/>
      </c>
      <c r="AP454" s="8">
        <f>AP334*Pricing!$G$35*AP417*Pricing!$B$19</f>
        <v/>
      </c>
      <c r="AQ454" s="8">
        <f>AQ334*Pricing!$G$35*AQ417*Pricing!$B$19</f>
        <v/>
      </c>
      <c r="AR454" s="8">
        <f>AR334*Pricing!$G$35*AR417*Pricing!$B$19</f>
        <v/>
      </c>
      <c r="AS454" s="8">
        <f>AS334*Pricing!$G$35*AS417*Pricing!$B$19</f>
        <v/>
      </c>
      <c r="AT454" s="8">
        <f>AT334*Pricing!$G$35*AT417*Pricing!$B$19</f>
        <v/>
      </c>
      <c r="AU454" s="8">
        <f>AU334*Pricing!$G$35*AU417*Pricing!$B$19</f>
        <v/>
      </c>
      <c r="AV454" s="8">
        <f>AV334*Pricing!$G$35*AV417*Pricing!$B$19</f>
        <v/>
      </c>
      <c r="AW454" s="8">
        <f>AW334*Pricing!$G$35*AW417*Pricing!$B$19</f>
        <v/>
      </c>
      <c r="AX454" s="8">
        <f>AX334*Pricing!$G$35*AX417*Pricing!$B$19</f>
        <v/>
      </c>
      <c r="AY454" s="8">
        <f>AY334*Pricing!$G$35*AY417*Pricing!$B$19</f>
        <v/>
      </c>
      <c r="AZ454" s="8">
        <f>AZ334*Pricing!$G$35*AZ417*Pricing!$B$19</f>
        <v/>
      </c>
      <c r="BA454" s="8">
        <f>BA334*Pricing!$G$35*BA417*Pricing!$B$19</f>
        <v/>
      </c>
      <c r="BB454" s="8">
        <f>BB334*Pricing!$G$35*BB417*Pricing!$B$19</f>
        <v/>
      </c>
      <c r="BC454" s="8">
        <f>BC334*Pricing!$G$35*BC417*Pricing!$B$19</f>
        <v/>
      </c>
      <c r="BD454" s="8">
        <f>BD334*Pricing!$G$35*BD417*Pricing!$B$19</f>
        <v/>
      </c>
      <c r="BE454" s="8">
        <f>BE334*Pricing!$G$35*BE417*Pricing!$B$19</f>
        <v/>
      </c>
      <c r="BF454" s="8">
        <f>BF334*Pricing!$G$35*BF417*Pricing!$B$19</f>
        <v/>
      </c>
      <c r="BG454" s="8">
        <f>BG334*Pricing!$G$35*BG417*Pricing!$B$19</f>
        <v/>
      </c>
      <c r="BH454" s="8">
        <f>BH334*Pricing!$G$35*BH417*Pricing!$B$19</f>
        <v/>
      </c>
      <c r="BI454" s="8">
        <f>BI334*Pricing!$G$35*BI417*Pricing!$B$19</f>
        <v/>
      </c>
      <c r="BJ454" s="8">
        <f>BJ334*Pricing!$G$35*BJ417*Pricing!$B$19</f>
        <v/>
      </c>
    </row>
    <row r="455">
      <c r="A455" s="4" t="inlineStr">
        <is>
          <t>Gross subscription revenue: Botswana &amp; Namibia: Solo: Micro (direct or upgraded)</t>
        </is>
      </c>
      <c r="B455" s="17" t="inlineStr">
        <is>
          <t>R</t>
        </is>
      </c>
      <c r="C455" s="8">
        <f>C339*Pricing!$G$36*C417*Pricing!$B$19</f>
        <v/>
      </c>
      <c r="D455" s="8">
        <f>D339*Pricing!$G$36*D417*Pricing!$B$19</f>
        <v/>
      </c>
      <c r="E455" s="8">
        <f>E339*Pricing!$G$36*E417*Pricing!$B$19</f>
        <v/>
      </c>
      <c r="F455" s="8">
        <f>F339*Pricing!$G$36*F417*Pricing!$B$19</f>
        <v/>
      </c>
      <c r="G455" s="8">
        <f>G339*Pricing!$G$36*G417*Pricing!$B$19</f>
        <v/>
      </c>
      <c r="H455" s="8">
        <f>H339*Pricing!$G$36*H417*Pricing!$B$19</f>
        <v/>
      </c>
      <c r="I455" s="8">
        <f>I339*Pricing!$G$36*I417*Pricing!$B$19</f>
        <v/>
      </c>
      <c r="J455" s="8">
        <f>J339*Pricing!$G$36*J417*Pricing!$B$19</f>
        <v/>
      </c>
      <c r="K455" s="8">
        <f>K339*Pricing!$G$36*K417*Pricing!$B$19</f>
        <v/>
      </c>
      <c r="L455" s="8">
        <f>L339*Pricing!$G$36*L417*Pricing!$B$19</f>
        <v/>
      </c>
      <c r="M455" s="8">
        <f>M339*Pricing!$G$36*M417*Pricing!$B$19</f>
        <v/>
      </c>
      <c r="N455" s="8">
        <f>N339*Pricing!$G$36*N417*Pricing!$B$19</f>
        <v/>
      </c>
      <c r="O455" s="8">
        <f>O339*Pricing!$G$36*O417*Pricing!$B$19</f>
        <v/>
      </c>
      <c r="P455" s="8">
        <f>P339*Pricing!$G$36*P417*Pricing!$B$19</f>
        <v/>
      </c>
      <c r="Q455" s="8">
        <f>Q339*Pricing!$G$36*Q417*Pricing!$B$19</f>
        <v/>
      </c>
      <c r="R455" s="8">
        <f>R339*Pricing!$G$36*R417*Pricing!$B$19</f>
        <v/>
      </c>
      <c r="S455" s="8">
        <f>S339*Pricing!$G$36*S417*Pricing!$B$19</f>
        <v/>
      </c>
      <c r="T455" s="8">
        <f>T339*Pricing!$G$36*T417*Pricing!$B$19</f>
        <v/>
      </c>
      <c r="U455" s="8">
        <f>U339*Pricing!$G$36*U417*Pricing!$B$19</f>
        <v/>
      </c>
      <c r="V455" s="8">
        <f>V339*Pricing!$G$36*V417*Pricing!$B$19</f>
        <v/>
      </c>
      <c r="W455" s="8">
        <f>W339*Pricing!$G$36*W417*Pricing!$B$19</f>
        <v/>
      </c>
      <c r="X455" s="8">
        <f>X339*Pricing!$G$36*X417*Pricing!$B$19</f>
        <v/>
      </c>
      <c r="Y455" s="8">
        <f>Y339*Pricing!$G$36*Y417*Pricing!$B$19</f>
        <v/>
      </c>
      <c r="Z455" s="8">
        <f>Z339*Pricing!$G$36*Z417*Pricing!$B$19</f>
        <v/>
      </c>
      <c r="AA455" s="8">
        <f>AA339*Pricing!$G$36*AA417*Pricing!$B$19</f>
        <v/>
      </c>
      <c r="AB455" s="8">
        <f>AB339*Pricing!$G$36*AB417*Pricing!$B$19</f>
        <v/>
      </c>
      <c r="AC455" s="8">
        <f>AC339*Pricing!$G$36*AC417*Pricing!$B$19</f>
        <v/>
      </c>
      <c r="AD455" s="8">
        <f>AD339*Pricing!$G$36*AD417*Pricing!$B$19</f>
        <v/>
      </c>
      <c r="AE455" s="8">
        <f>AE339*Pricing!$G$36*AE417*Pricing!$B$19</f>
        <v/>
      </c>
      <c r="AF455" s="8">
        <f>AF339*Pricing!$G$36*AF417*Pricing!$B$19</f>
        <v/>
      </c>
      <c r="AG455" s="8">
        <f>AG339*Pricing!$G$36*AG417*Pricing!$B$19</f>
        <v/>
      </c>
      <c r="AH455" s="8">
        <f>AH339*Pricing!$G$36*AH417*Pricing!$B$19</f>
        <v/>
      </c>
      <c r="AI455" s="8">
        <f>AI339*Pricing!$G$36*AI417*Pricing!$B$19</f>
        <v/>
      </c>
      <c r="AJ455" s="8">
        <f>AJ339*Pricing!$G$36*AJ417*Pricing!$B$19</f>
        <v/>
      </c>
      <c r="AK455" s="8">
        <f>AK339*Pricing!$G$36*AK417*Pricing!$B$19</f>
        <v/>
      </c>
      <c r="AL455" s="8">
        <f>AL339*Pricing!$G$36*AL417*Pricing!$B$19</f>
        <v/>
      </c>
      <c r="AM455" s="8">
        <f>AM339*Pricing!$G$36*AM417*Pricing!$B$19</f>
        <v/>
      </c>
      <c r="AN455" s="8">
        <f>AN339*Pricing!$G$36*AN417*Pricing!$B$19</f>
        <v/>
      </c>
      <c r="AO455" s="8">
        <f>AO339*Pricing!$G$36*AO417*Pricing!$B$19</f>
        <v/>
      </c>
      <c r="AP455" s="8">
        <f>AP339*Pricing!$G$36*AP417*Pricing!$B$19</f>
        <v/>
      </c>
      <c r="AQ455" s="8">
        <f>AQ339*Pricing!$G$36*AQ417*Pricing!$B$19</f>
        <v/>
      </c>
      <c r="AR455" s="8">
        <f>AR339*Pricing!$G$36*AR417*Pricing!$B$19</f>
        <v/>
      </c>
      <c r="AS455" s="8">
        <f>AS339*Pricing!$G$36*AS417*Pricing!$B$19</f>
        <v/>
      </c>
      <c r="AT455" s="8">
        <f>AT339*Pricing!$G$36*AT417*Pricing!$B$19</f>
        <v/>
      </c>
      <c r="AU455" s="8">
        <f>AU339*Pricing!$G$36*AU417*Pricing!$B$19</f>
        <v/>
      </c>
      <c r="AV455" s="8">
        <f>AV339*Pricing!$G$36*AV417*Pricing!$B$19</f>
        <v/>
      </c>
      <c r="AW455" s="8">
        <f>AW339*Pricing!$G$36*AW417*Pricing!$B$19</f>
        <v/>
      </c>
      <c r="AX455" s="8">
        <f>AX339*Pricing!$G$36*AX417*Pricing!$B$19</f>
        <v/>
      </c>
      <c r="AY455" s="8">
        <f>AY339*Pricing!$G$36*AY417*Pricing!$B$19</f>
        <v/>
      </c>
      <c r="AZ455" s="8">
        <f>AZ339*Pricing!$G$36*AZ417*Pricing!$B$19</f>
        <v/>
      </c>
      <c r="BA455" s="8">
        <f>BA339*Pricing!$G$36*BA417*Pricing!$B$19</f>
        <v/>
      </c>
      <c r="BB455" s="8">
        <f>BB339*Pricing!$G$36*BB417*Pricing!$B$19</f>
        <v/>
      </c>
      <c r="BC455" s="8">
        <f>BC339*Pricing!$G$36*BC417*Pricing!$B$19</f>
        <v/>
      </c>
      <c r="BD455" s="8">
        <f>BD339*Pricing!$G$36*BD417*Pricing!$B$19</f>
        <v/>
      </c>
      <c r="BE455" s="8">
        <f>BE339*Pricing!$G$36*BE417*Pricing!$B$19</f>
        <v/>
      </c>
      <c r="BF455" s="8">
        <f>BF339*Pricing!$G$36*BF417*Pricing!$B$19</f>
        <v/>
      </c>
      <c r="BG455" s="8">
        <f>BG339*Pricing!$G$36*BG417*Pricing!$B$19</f>
        <v/>
      </c>
      <c r="BH455" s="8">
        <f>BH339*Pricing!$G$36*BH417*Pricing!$B$19</f>
        <v/>
      </c>
      <c r="BI455" s="8">
        <f>BI339*Pricing!$G$36*BI417*Pricing!$B$19</f>
        <v/>
      </c>
      <c r="BJ455" s="8">
        <f>BJ339*Pricing!$G$36*BJ417*Pricing!$B$19</f>
        <v/>
      </c>
    </row>
    <row r="456">
      <c r="A456" s="4" t="inlineStr">
        <is>
          <t>Gross subscription revenue: Botswana &amp; Namibia: Solo: Starter (direct or upgraded)</t>
        </is>
      </c>
      <c r="B456" s="17" t="inlineStr">
        <is>
          <t>R</t>
        </is>
      </c>
      <c r="C456" s="8">
        <f>C343*Pricing!$G$37*C417*Pricing!$B$19</f>
        <v/>
      </c>
      <c r="D456" s="8">
        <f>D343*Pricing!$G$37*D417*Pricing!$B$19</f>
        <v/>
      </c>
      <c r="E456" s="8">
        <f>E343*Pricing!$G$37*E417*Pricing!$B$19</f>
        <v/>
      </c>
      <c r="F456" s="8">
        <f>F343*Pricing!$G$37*F417*Pricing!$B$19</f>
        <v/>
      </c>
      <c r="G456" s="8">
        <f>G343*Pricing!$G$37*G417*Pricing!$B$19</f>
        <v/>
      </c>
      <c r="H456" s="8">
        <f>H343*Pricing!$G$37*H417*Pricing!$B$19</f>
        <v/>
      </c>
      <c r="I456" s="8">
        <f>I343*Pricing!$G$37*I417*Pricing!$B$19</f>
        <v/>
      </c>
      <c r="J456" s="8">
        <f>J343*Pricing!$G$37*J417*Pricing!$B$19</f>
        <v/>
      </c>
      <c r="K456" s="8">
        <f>K343*Pricing!$G$37*K417*Pricing!$B$19</f>
        <v/>
      </c>
      <c r="L456" s="8">
        <f>L343*Pricing!$G$37*L417*Pricing!$B$19</f>
        <v/>
      </c>
      <c r="M456" s="8">
        <f>M343*Pricing!$G$37*M417*Pricing!$B$19</f>
        <v/>
      </c>
      <c r="N456" s="8">
        <f>N343*Pricing!$G$37*N417*Pricing!$B$19</f>
        <v/>
      </c>
      <c r="O456" s="8">
        <f>O343*Pricing!$G$37*O417*Pricing!$B$19</f>
        <v/>
      </c>
      <c r="P456" s="8">
        <f>P343*Pricing!$G$37*P417*Pricing!$B$19</f>
        <v/>
      </c>
      <c r="Q456" s="8">
        <f>Q343*Pricing!$G$37*Q417*Pricing!$B$19</f>
        <v/>
      </c>
      <c r="R456" s="8">
        <f>R343*Pricing!$G$37*R417*Pricing!$B$19</f>
        <v/>
      </c>
      <c r="S456" s="8">
        <f>S343*Pricing!$G$37*S417*Pricing!$B$19</f>
        <v/>
      </c>
      <c r="T456" s="8">
        <f>T343*Pricing!$G$37*T417*Pricing!$B$19</f>
        <v/>
      </c>
      <c r="U456" s="8">
        <f>U343*Pricing!$G$37*U417*Pricing!$B$19</f>
        <v/>
      </c>
      <c r="V456" s="8">
        <f>V343*Pricing!$G$37*V417*Pricing!$B$19</f>
        <v/>
      </c>
      <c r="W456" s="8">
        <f>W343*Pricing!$G$37*W417*Pricing!$B$19</f>
        <v/>
      </c>
      <c r="X456" s="8">
        <f>X343*Pricing!$G$37*X417*Pricing!$B$19</f>
        <v/>
      </c>
      <c r="Y456" s="8">
        <f>Y343*Pricing!$G$37*Y417*Pricing!$B$19</f>
        <v/>
      </c>
      <c r="Z456" s="8">
        <f>Z343*Pricing!$G$37*Z417*Pricing!$B$19</f>
        <v/>
      </c>
      <c r="AA456" s="8">
        <f>AA343*Pricing!$G$37*AA417*Pricing!$B$19</f>
        <v/>
      </c>
      <c r="AB456" s="8">
        <f>AB343*Pricing!$G$37*AB417*Pricing!$B$19</f>
        <v/>
      </c>
      <c r="AC456" s="8">
        <f>AC343*Pricing!$G$37*AC417*Pricing!$B$19</f>
        <v/>
      </c>
      <c r="AD456" s="8">
        <f>AD343*Pricing!$G$37*AD417*Pricing!$B$19</f>
        <v/>
      </c>
      <c r="AE456" s="8">
        <f>AE343*Pricing!$G$37*AE417*Pricing!$B$19</f>
        <v/>
      </c>
      <c r="AF456" s="8">
        <f>AF343*Pricing!$G$37*AF417*Pricing!$B$19</f>
        <v/>
      </c>
      <c r="AG456" s="8">
        <f>AG343*Pricing!$G$37*AG417*Pricing!$B$19</f>
        <v/>
      </c>
      <c r="AH456" s="8">
        <f>AH343*Pricing!$G$37*AH417*Pricing!$B$19</f>
        <v/>
      </c>
      <c r="AI456" s="8">
        <f>AI343*Pricing!$G$37*AI417*Pricing!$B$19</f>
        <v/>
      </c>
      <c r="AJ456" s="8">
        <f>AJ343*Pricing!$G$37*AJ417*Pricing!$B$19</f>
        <v/>
      </c>
      <c r="AK456" s="8">
        <f>AK343*Pricing!$G$37*AK417*Pricing!$B$19</f>
        <v/>
      </c>
      <c r="AL456" s="8">
        <f>AL343*Pricing!$G$37*AL417*Pricing!$B$19</f>
        <v/>
      </c>
      <c r="AM456" s="8">
        <f>AM343*Pricing!$G$37*AM417*Pricing!$B$19</f>
        <v/>
      </c>
      <c r="AN456" s="8">
        <f>AN343*Pricing!$G$37*AN417*Pricing!$B$19</f>
        <v/>
      </c>
      <c r="AO456" s="8">
        <f>AO343*Pricing!$G$37*AO417*Pricing!$B$19</f>
        <v/>
      </c>
      <c r="AP456" s="8">
        <f>AP343*Pricing!$G$37*AP417*Pricing!$B$19</f>
        <v/>
      </c>
      <c r="AQ456" s="8">
        <f>AQ343*Pricing!$G$37*AQ417*Pricing!$B$19</f>
        <v/>
      </c>
      <c r="AR456" s="8">
        <f>AR343*Pricing!$G$37*AR417*Pricing!$B$19</f>
        <v/>
      </c>
      <c r="AS456" s="8">
        <f>AS343*Pricing!$G$37*AS417*Pricing!$B$19</f>
        <v/>
      </c>
      <c r="AT456" s="8">
        <f>AT343*Pricing!$G$37*AT417*Pricing!$B$19</f>
        <v/>
      </c>
      <c r="AU456" s="8">
        <f>AU343*Pricing!$G$37*AU417*Pricing!$B$19</f>
        <v/>
      </c>
      <c r="AV456" s="8">
        <f>AV343*Pricing!$G$37*AV417*Pricing!$B$19</f>
        <v/>
      </c>
      <c r="AW456" s="8">
        <f>AW343*Pricing!$G$37*AW417*Pricing!$B$19</f>
        <v/>
      </c>
      <c r="AX456" s="8">
        <f>AX343*Pricing!$G$37*AX417*Pricing!$B$19</f>
        <v/>
      </c>
      <c r="AY456" s="8">
        <f>AY343*Pricing!$G$37*AY417*Pricing!$B$19</f>
        <v/>
      </c>
      <c r="AZ456" s="8">
        <f>AZ343*Pricing!$G$37*AZ417*Pricing!$B$19</f>
        <v/>
      </c>
      <c r="BA456" s="8">
        <f>BA343*Pricing!$G$37*BA417*Pricing!$B$19</f>
        <v/>
      </c>
      <c r="BB456" s="8">
        <f>BB343*Pricing!$G$37*BB417*Pricing!$B$19</f>
        <v/>
      </c>
      <c r="BC456" s="8">
        <f>BC343*Pricing!$G$37*BC417*Pricing!$B$19</f>
        <v/>
      </c>
      <c r="BD456" s="8">
        <f>BD343*Pricing!$G$37*BD417*Pricing!$B$19</f>
        <v/>
      </c>
      <c r="BE456" s="8">
        <f>BE343*Pricing!$G$37*BE417*Pricing!$B$19</f>
        <v/>
      </c>
      <c r="BF456" s="8">
        <f>BF343*Pricing!$G$37*BF417*Pricing!$B$19</f>
        <v/>
      </c>
      <c r="BG456" s="8">
        <f>BG343*Pricing!$G$37*BG417*Pricing!$B$19</f>
        <v/>
      </c>
      <c r="BH456" s="8">
        <f>BH343*Pricing!$G$37*BH417*Pricing!$B$19</f>
        <v/>
      </c>
      <c r="BI456" s="8">
        <f>BI343*Pricing!$G$37*BI417*Pricing!$B$19</f>
        <v/>
      </c>
      <c r="BJ456" s="8">
        <f>BJ343*Pricing!$G$37*BJ417*Pricing!$B$19</f>
        <v/>
      </c>
    </row>
    <row r="457">
      <c r="A457" s="4" t="inlineStr">
        <is>
          <t>Gross subscription revenue: Botswana &amp; Namibia: SME: Starter</t>
        </is>
      </c>
      <c r="B457" s="17" t="inlineStr">
        <is>
          <t>R</t>
        </is>
      </c>
      <c r="C457" s="8">
        <f>C348*Pricing!$G$37*C417*Pricing!$B$19</f>
        <v/>
      </c>
      <c r="D457" s="8">
        <f>D348*Pricing!$G$37*D417*Pricing!$B$19</f>
        <v/>
      </c>
      <c r="E457" s="8">
        <f>E348*Pricing!$G$37*E417*Pricing!$B$19</f>
        <v/>
      </c>
      <c r="F457" s="8">
        <f>F348*Pricing!$G$37*F417*Pricing!$B$19</f>
        <v/>
      </c>
      <c r="G457" s="8">
        <f>G348*Pricing!$G$37*G417*Pricing!$B$19</f>
        <v/>
      </c>
      <c r="H457" s="8">
        <f>H348*Pricing!$G$37*H417*Pricing!$B$19</f>
        <v/>
      </c>
      <c r="I457" s="8">
        <f>I348*Pricing!$G$37*I417*Pricing!$B$19</f>
        <v/>
      </c>
      <c r="J457" s="8">
        <f>J348*Pricing!$G$37*J417*Pricing!$B$19</f>
        <v/>
      </c>
      <c r="K457" s="8">
        <f>K348*Pricing!$G$37*K417*Pricing!$B$19</f>
        <v/>
      </c>
      <c r="L457" s="8">
        <f>L348*Pricing!$G$37*L417*Pricing!$B$19</f>
        <v/>
      </c>
      <c r="M457" s="8">
        <f>M348*Pricing!$G$37*M417*Pricing!$B$19</f>
        <v/>
      </c>
      <c r="N457" s="8">
        <f>N348*Pricing!$G$37*N417*Pricing!$B$19</f>
        <v/>
      </c>
      <c r="O457" s="8">
        <f>O348*Pricing!$G$37*O417*Pricing!$B$19</f>
        <v/>
      </c>
      <c r="P457" s="8">
        <f>P348*Pricing!$G$37*P417*Pricing!$B$19</f>
        <v/>
      </c>
      <c r="Q457" s="8">
        <f>Q348*Pricing!$G$37*Q417*Pricing!$B$19</f>
        <v/>
      </c>
      <c r="R457" s="8">
        <f>R348*Pricing!$G$37*R417*Pricing!$B$19</f>
        <v/>
      </c>
      <c r="S457" s="8">
        <f>S348*Pricing!$G$37*S417*Pricing!$B$19</f>
        <v/>
      </c>
      <c r="T457" s="8">
        <f>T348*Pricing!$G$37*T417*Pricing!$B$19</f>
        <v/>
      </c>
      <c r="U457" s="8">
        <f>U348*Pricing!$G$37*U417*Pricing!$B$19</f>
        <v/>
      </c>
      <c r="V457" s="8">
        <f>V348*Pricing!$G$37*V417*Pricing!$B$19</f>
        <v/>
      </c>
      <c r="W457" s="8">
        <f>W348*Pricing!$G$37*W417*Pricing!$B$19</f>
        <v/>
      </c>
      <c r="X457" s="8">
        <f>X348*Pricing!$G$37*X417*Pricing!$B$19</f>
        <v/>
      </c>
      <c r="Y457" s="8">
        <f>Y348*Pricing!$G$37*Y417*Pricing!$B$19</f>
        <v/>
      </c>
      <c r="Z457" s="8">
        <f>Z348*Pricing!$G$37*Z417*Pricing!$B$19</f>
        <v/>
      </c>
      <c r="AA457" s="8">
        <f>AA348*Pricing!$G$37*AA417*Pricing!$B$19</f>
        <v/>
      </c>
      <c r="AB457" s="8">
        <f>AB348*Pricing!$G$37*AB417*Pricing!$B$19</f>
        <v/>
      </c>
      <c r="AC457" s="8">
        <f>AC348*Pricing!$G$37*AC417*Pricing!$B$19</f>
        <v/>
      </c>
      <c r="AD457" s="8">
        <f>AD348*Pricing!$G$37*AD417*Pricing!$B$19</f>
        <v/>
      </c>
      <c r="AE457" s="8">
        <f>AE348*Pricing!$G$37*AE417*Pricing!$B$19</f>
        <v/>
      </c>
      <c r="AF457" s="8">
        <f>AF348*Pricing!$G$37*AF417*Pricing!$B$19</f>
        <v/>
      </c>
      <c r="AG457" s="8">
        <f>AG348*Pricing!$G$37*AG417*Pricing!$B$19</f>
        <v/>
      </c>
      <c r="AH457" s="8">
        <f>AH348*Pricing!$G$37*AH417*Pricing!$B$19</f>
        <v/>
      </c>
      <c r="AI457" s="8">
        <f>AI348*Pricing!$G$37*AI417*Pricing!$B$19</f>
        <v/>
      </c>
      <c r="AJ457" s="8">
        <f>AJ348*Pricing!$G$37*AJ417*Pricing!$B$19</f>
        <v/>
      </c>
      <c r="AK457" s="8">
        <f>AK348*Pricing!$G$37*AK417*Pricing!$B$19</f>
        <v/>
      </c>
      <c r="AL457" s="8">
        <f>AL348*Pricing!$G$37*AL417*Pricing!$B$19</f>
        <v/>
      </c>
      <c r="AM457" s="8">
        <f>AM348*Pricing!$G$37*AM417*Pricing!$B$19</f>
        <v/>
      </c>
      <c r="AN457" s="8">
        <f>AN348*Pricing!$G$37*AN417*Pricing!$B$19</f>
        <v/>
      </c>
      <c r="AO457" s="8">
        <f>AO348*Pricing!$G$37*AO417*Pricing!$B$19</f>
        <v/>
      </c>
      <c r="AP457" s="8">
        <f>AP348*Pricing!$G$37*AP417*Pricing!$B$19</f>
        <v/>
      </c>
      <c r="AQ457" s="8">
        <f>AQ348*Pricing!$G$37*AQ417*Pricing!$B$19</f>
        <v/>
      </c>
      <c r="AR457" s="8">
        <f>AR348*Pricing!$G$37*AR417*Pricing!$B$19</f>
        <v/>
      </c>
      <c r="AS457" s="8">
        <f>AS348*Pricing!$G$37*AS417*Pricing!$B$19</f>
        <v/>
      </c>
      <c r="AT457" s="8">
        <f>AT348*Pricing!$G$37*AT417*Pricing!$B$19</f>
        <v/>
      </c>
      <c r="AU457" s="8">
        <f>AU348*Pricing!$G$37*AU417*Pricing!$B$19</f>
        <v/>
      </c>
      <c r="AV457" s="8">
        <f>AV348*Pricing!$G$37*AV417*Pricing!$B$19</f>
        <v/>
      </c>
      <c r="AW457" s="8">
        <f>AW348*Pricing!$G$37*AW417*Pricing!$B$19</f>
        <v/>
      </c>
      <c r="AX457" s="8">
        <f>AX348*Pricing!$G$37*AX417*Pricing!$B$19</f>
        <v/>
      </c>
      <c r="AY457" s="8">
        <f>AY348*Pricing!$G$37*AY417*Pricing!$B$19</f>
        <v/>
      </c>
      <c r="AZ457" s="8">
        <f>AZ348*Pricing!$G$37*AZ417*Pricing!$B$19</f>
        <v/>
      </c>
      <c r="BA457" s="8">
        <f>BA348*Pricing!$G$37*BA417*Pricing!$B$19</f>
        <v/>
      </c>
      <c r="BB457" s="8">
        <f>BB348*Pricing!$G$37*BB417*Pricing!$B$19</f>
        <v/>
      </c>
      <c r="BC457" s="8">
        <f>BC348*Pricing!$G$37*BC417*Pricing!$B$19</f>
        <v/>
      </c>
      <c r="BD457" s="8">
        <f>BD348*Pricing!$G$37*BD417*Pricing!$B$19</f>
        <v/>
      </c>
      <c r="BE457" s="8">
        <f>BE348*Pricing!$G$37*BE417*Pricing!$B$19</f>
        <v/>
      </c>
      <c r="BF457" s="8">
        <f>BF348*Pricing!$G$37*BF417*Pricing!$B$19</f>
        <v/>
      </c>
      <c r="BG457" s="8">
        <f>BG348*Pricing!$G$37*BG417*Pricing!$B$19</f>
        <v/>
      </c>
      <c r="BH457" s="8">
        <f>BH348*Pricing!$G$37*BH417*Pricing!$B$19</f>
        <v/>
      </c>
      <c r="BI457" s="8">
        <f>BI348*Pricing!$G$37*BI417*Pricing!$B$19</f>
        <v/>
      </c>
      <c r="BJ457" s="8">
        <f>BJ348*Pricing!$G$37*BJ417*Pricing!$B$19</f>
        <v/>
      </c>
    </row>
    <row r="458">
      <c r="A458" s="4" t="inlineStr">
        <is>
          <t>Gross subscription revenue: Botswana &amp; Namibia: SME: Growth (direct or upgraded)</t>
        </is>
      </c>
      <c r="B458" s="17" t="inlineStr">
        <is>
          <t>R</t>
        </is>
      </c>
      <c r="C458" s="8">
        <f>C353*Pricing!$G$38*C417*Pricing!$B$19</f>
        <v/>
      </c>
      <c r="D458" s="8">
        <f>D353*Pricing!$G$38*D417*Pricing!$B$19</f>
        <v/>
      </c>
      <c r="E458" s="8">
        <f>E353*Pricing!$G$38*E417*Pricing!$B$19</f>
        <v/>
      </c>
      <c r="F458" s="8">
        <f>F353*Pricing!$G$38*F417*Pricing!$B$19</f>
        <v/>
      </c>
      <c r="G458" s="8">
        <f>G353*Pricing!$G$38*G417*Pricing!$B$19</f>
        <v/>
      </c>
      <c r="H458" s="8">
        <f>H353*Pricing!$G$38*H417*Pricing!$B$19</f>
        <v/>
      </c>
      <c r="I458" s="8">
        <f>I353*Pricing!$G$38*I417*Pricing!$B$19</f>
        <v/>
      </c>
      <c r="J458" s="8">
        <f>J353*Pricing!$G$38*J417*Pricing!$B$19</f>
        <v/>
      </c>
      <c r="K458" s="8">
        <f>K353*Pricing!$G$38*K417*Pricing!$B$19</f>
        <v/>
      </c>
      <c r="L458" s="8">
        <f>L353*Pricing!$G$38*L417*Pricing!$B$19</f>
        <v/>
      </c>
      <c r="M458" s="8">
        <f>M353*Pricing!$G$38*M417*Pricing!$B$19</f>
        <v/>
      </c>
      <c r="N458" s="8">
        <f>N353*Pricing!$G$38*N417*Pricing!$B$19</f>
        <v/>
      </c>
      <c r="O458" s="8">
        <f>O353*Pricing!$G$38*O417*Pricing!$B$19</f>
        <v/>
      </c>
      <c r="P458" s="8">
        <f>P353*Pricing!$G$38*P417*Pricing!$B$19</f>
        <v/>
      </c>
      <c r="Q458" s="8">
        <f>Q353*Pricing!$G$38*Q417*Pricing!$B$19</f>
        <v/>
      </c>
      <c r="R458" s="8">
        <f>R353*Pricing!$G$38*R417*Pricing!$B$19</f>
        <v/>
      </c>
      <c r="S458" s="8">
        <f>S353*Pricing!$G$38*S417*Pricing!$B$19</f>
        <v/>
      </c>
      <c r="T458" s="8">
        <f>T353*Pricing!$G$38*T417*Pricing!$B$19</f>
        <v/>
      </c>
      <c r="U458" s="8">
        <f>U353*Pricing!$G$38*U417*Pricing!$B$19</f>
        <v/>
      </c>
      <c r="V458" s="8">
        <f>V353*Pricing!$G$38*V417*Pricing!$B$19</f>
        <v/>
      </c>
      <c r="W458" s="8">
        <f>W353*Pricing!$G$38*W417*Pricing!$B$19</f>
        <v/>
      </c>
      <c r="X458" s="8">
        <f>X353*Pricing!$G$38*X417*Pricing!$B$19</f>
        <v/>
      </c>
      <c r="Y458" s="8">
        <f>Y353*Pricing!$G$38*Y417*Pricing!$B$19</f>
        <v/>
      </c>
      <c r="Z458" s="8">
        <f>Z353*Pricing!$G$38*Z417*Pricing!$B$19</f>
        <v/>
      </c>
      <c r="AA458" s="8">
        <f>AA353*Pricing!$G$38*AA417*Pricing!$B$19</f>
        <v/>
      </c>
      <c r="AB458" s="8">
        <f>AB353*Pricing!$G$38*AB417*Pricing!$B$19</f>
        <v/>
      </c>
      <c r="AC458" s="8">
        <f>AC353*Pricing!$G$38*AC417*Pricing!$B$19</f>
        <v/>
      </c>
      <c r="AD458" s="8">
        <f>AD353*Pricing!$G$38*AD417*Pricing!$B$19</f>
        <v/>
      </c>
      <c r="AE458" s="8">
        <f>AE353*Pricing!$G$38*AE417*Pricing!$B$19</f>
        <v/>
      </c>
      <c r="AF458" s="8">
        <f>AF353*Pricing!$G$38*AF417*Pricing!$B$19</f>
        <v/>
      </c>
      <c r="AG458" s="8">
        <f>AG353*Pricing!$G$38*AG417*Pricing!$B$19</f>
        <v/>
      </c>
      <c r="AH458" s="8">
        <f>AH353*Pricing!$G$38*AH417*Pricing!$B$19</f>
        <v/>
      </c>
      <c r="AI458" s="8">
        <f>AI353*Pricing!$G$38*AI417*Pricing!$B$19</f>
        <v/>
      </c>
      <c r="AJ458" s="8">
        <f>AJ353*Pricing!$G$38*AJ417*Pricing!$B$19</f>
        <v/>
      </c>
      <c r="AK458" s="8">
        <f>AK353*Pricing!$G$38*AK417*Pricing!$B$19</f>
        <v/>
      </c>
      <c r="AL458" s="8">
        <f>AL353*Pricing!$G$38*AL417*Pricing!$B$19</f>
        <v/>
      </c>
      <c r="AM458" s="8">
        <f>AM353*Pricing!$G$38*AM417*Pricing!$B$19</f>
        <v/>
      </c>
      <c r="AN458" s="8">
        <f>AN353*Pricing!$G$38*AN417*Pricing!$B$19</f>
        <v/>
      </c>
      <c r="AO458" s="8">
        <f>AO353*Pricing!$G$38*AO417*Pricing!$B$19</f>
        <v/>
      </c>
      <c r="AP458" s="8">
        <f>AP353*Pricing!$G$38*AP417*Pricing!$B$19</f>
        <v/>
      </c>
      <c r="AQ458" s="8">
        <f>AQ353*Pricing!$G$38*AQ417*Pricing!$B$19</f>
        <v/>
      </c>
      <c r="AR458" s="8">
        <f>AR353*Pricing!$G$38*AR417*Pricing!$B$19</f>
        <v/>
      </c>
      <c r="AS458" s="8">
        <f>AS353*Pricing!$G$38*AS417*Pricing!$B$19</f>
        <v/>
      </c>
      <c r="AT458" s="8">
        <f>AT353*Pricing!$G$38*AT417*Pricing!$B$19</f>
        <v/>
      </c>
      <c r="AU458" s="8">
        <f>AU353*Pricing!$G$38*AU417*Pricing!$B$19</f>
        <v/>
      </c>
      <c r="AV458" s="8">
        <f>AV353*Pricing!$G$38*AV417*Pricing!$B$19</f>
        <v/>
      </c>
      <c r="AW458" s="8">
        <f>AW353*Pricing!$G$38*AW417*Pricing!$B$19</f>
        <v/>
      </c>
      <c r="AX458" s="8">
        <f>AX353*Pricing!$G$38*AX417*Pricing!$B$19</f>
        <v/>
      </c>
      <c r="AY458" s="8">
        <f>AY353*Pricing!$G$38*AY417*Pricing!$B$19</f>
        <v/>
      </c>
      <c r="AZ458" s="8">
        <f>AZ353*Pricing!$G$38*AZ417*Pricing!$B$19</f>
        <v/>
      </c>
      <c r="BA458" s="8">
        <f>BA353*Pricing!$G$38*BA417*Pricing!$B$19</f>
        <v/>
      </c>
      <c r="BB458" s="8">
        <f>BB353*Pricing!$G$38*BB417*Pricing!$B$19</f>
        <v/>
      </c>
      <c r="BC458" s="8">
        <f>BC353*Pricing!$G$38*BC417*Pricing!$B$19</f>
        <v/>
      </c>
      <c r="BD458" s="8">
        <f>BD353*Pricing!$G$38*BD417*Pricing!$B$19</f>
        <v/>
      </c>
      <c r="BE458" s="8">
        <f>BE353*Pricing!$G$38*BE417*Pricing!$B$19</f>
        <v/>
      </c>
      <c r="BF458" s="8">
        <f>BF353*Pricing!$G$38*BF417*Pricing!$B$19</f>
        <v/>
      </c>
      <c r="BG458" s="8">
        <f>BG353*Pricing!$G$38*BG417*Pricing!$B$19</f>
        <v/>
      </c>
      <c r="BH458" s="8">
        <f>BH353*Pricing!$G$38*BH417*Pricing!$B$19</f>
        <v/>
      </c>
      <c r="BI458" s="8">
        <f>BI353*Pricing!$G$38*BI417*Pricing!$B$19</f>
        <v/>
      </c>
      <c r="BJ458" s="8">
        <f>BJ353*Pricing!$G$38*BJ417*Pricing!$B$19</f>
        <v/>
      </c>
    </row>
    <row r="459">
      <c r="A459" s="4" t="inlineStr">
        <is>
          <t>Gross subscription revenue: Botswana &amp; Namibia: SME: Scale (direct or upgraded)</t>
        </is>
      </c>
      <c r="B459" s="17" t="inlineStr">
        <is>
          <t>R</t>
        </is>
      </c>
      <c r="C459" s="8">
        <f>C357*Pricing!$G$39*C417*Pricing!$B$19</f>
        <v/>
      </c>
      <c r="D459" s="8">
        <f>D357*Pricing!$G$39*D417*Pricing!$B$19</f>
        <v/>
      </c>
      <c r="E459" s="8">
        <f>E357*Pricing!$G$39*E417*Pricing!$B$19</f>
        <v/>
      </c>
      <c r="F459" s="8">
        <f>F357*Pricing!$G$39*F417*Pricing!$B$19</f>
        <v/>
      </c>
      <c r="G459" s="8">
        <f>G357*Pricing!$G$39*G417*Pricing!$B$19</f>
        <v/>
      </c>
      <c r="H459" s="8">
        <f>H357*Pricing!$G$39*H417*Pricing!$B$19</f>
        <v/>
      </c>
      <c r="I459" s="8">
        <f>I357*Pricing!$G$39*I417*Pricing!$B$19</f>
        <v/>
      </c>
      <c r="J459" s="8">
        <f>J357*Pricing!$G$39*J417*Pricing!$B$19</f>
        <v/>
      </c>
      <c r="K459" s="8">
        <f>K357*Pricing!$G$39*K417*Pricing!$B$19</f>
        <v/>
      </c>
      <c r="L459" s="8">
        <f>L357*Pricing!$G$39*L417*Pricing!$B$19</f>
        <v/>
      </c>
      <c r="M459" s="8">
        <f>M357*Pricing!$G$39*M417*Pricing!$B$19</f>
        <v/>
      </c>
      <c r="N459" s="8">
        <f>N357*Pricing!$G$39*N417*Pricing!$B$19</f>
        <v/>
      </c>
      <c r="O459" s="8">
        <f>O357*Pricing!$G$39*O417*Pricing!$B$19</f>
        <v/>
      </c>
      <c r="P459" s="8">
        <f>P357*Pricing!$G$39*P417*Pricing!$B$19</f>
        <v/>
      </c>
      <c r="Q459" s="8">
        <f>Q357*Pricing!$G$39*Q417*Pricing!$B$19</f>
        <v/>
      </c>
      <c r="R459" s="8">
        <f>R357*Pricing!$G$39*R417*Pricing!$B$19</f>
        <v/>
      </c>
      <c r="S459" s="8">
        <f>S357*Pricing!$G$39*S417*Pricing!$B$19</f>
        <v/>
      </c>
      <c r="T459" s="8">
        <f>T357*Pricing!$G$39*T417*Pricing!$B$19</f>
        <v/>
      </c>
      <c r="U459" s="8">
        <f>U357*Pricing!$G$39*U417*Pricing!$B$19</f>
        <v/>
      </c>
      <c r="V459" s="8">
        <f>V357*Pricing!$G$39*V417*Pricing!$B$19</f>
        <v/>
      </c>
      <c r="W459" s="8">
        <f>W357*Pricing!$G$39*W417*Pricing!$B$19</f>
        <v/>
      </c>
      <c r="X459" s="8">
        <f>X357*Pricing!$G$39*X417*Pricing!$B$19</f>
        <v/>
      </c>
      <c r="Y459" s="8">
        <f>Y357*Pricing!$G$39*Y417*Pricing!$B$19</f>
        <v/>
      </c>
      <c r="Z459" s="8">
        <f>Z357*Pricing!$G$39*Z417*Pricing!$B$19</f>
        <v/>
      </c>
      <c r="AA459" s="8">
        <f>AA357*Pricing!$G$39*AA417*Pricing!$B$19</f>
        <v/>
      </c>
      <c r="AB459" s="8">
        <f>AB357*Pricing!$G$39*AB417*Pricing!$B$19</f>
        <v/>
      </c>
      <c r="AC459" s="8">
        <f>AC357*Pricing!$G$39*AC417*Pricing!$B$19</f>
        <v/>
      </c>
      <c r="AD459" s="8">
        <f>AD357*Pricing!$G$39*AD417*Pricing!$B$19</f>
        <v/>
      </c>
      <c r="AE459" s="8">
        <f>AE357*Pricing!$G$39*AE417*Pricing!$B$19</f>
        <v/>
      </c>
      <c r="AF459" s="8">
        <f>AF357*Pricing!$G$39*AF417*Pricing!$B$19</f>
        <v/>
      </c>
      <c r="AG459" s="8">
        <f>AG357*Pricing!$G$39*AG417*Pricing!$B$19</f>
        <v/>
      </c>
      <c r="AH459" s="8">
        <f>AH357*Pricing!$G$39*AH417*Pricing!$B$19</f>
        <v/>
      </c>
      <c r="AI459" s="8">
        <f>AI357*Pricing!$G$39*AI417*Pricing!$B$19</f>
        <v/>
      </c>
      <c r="AJ459" s="8">
        <f>AJ357*Pricing!$G$39*AJ417*Pricing!$B$19</f>
        <v/>
      </c>
      <c r="AK459" s="8">
        <f>AK357*Pricing!$G$39*AK417*Pricing!$B$19</f>
        <v/>
      </c>
      <c r="AL459" s="8">
        <f>AL357*Pricing!$G$39*AL417*Pricing!$B$19</f>
        <v/>
      </c>
      <c r="AM459" s="8">
        <f>AM357*Pricing!$G$39*AM417*Pricing!$B$19</f>
        <v/>
      </c>
      <c r="AN459" s="8">
        <f>AN357*Pricing!$G$39*AN417*Pricing!$B$19</f>
        <v/>
      </c>
      <c r="AO459" s="8">
        <f>AO357*Pricing!$G$39*AO417*Pricing!$B$19</f>
        <v/>
      </c>
      <c r="AP459" s="8">
        <f>AP357*Pricing!$G$39*AP417*Pricing!$B$19</f>
        <v/>
      </c>
      <c r="AQ459" s="8">
        <f>AQ357*Pricing!$G$39*AQ417*Pricing!$B$19</f>
        <v/>
      </c>
      <c r="AR459" s="8">
        <f>AR357*Pricing!$G$39*AR417*Pricing!$B$19</f>
        <v/>
      </c>
      <c r="AS459" s="8">
        <f>AS357*Pricing!$G$39*AS417*Pricing!$B$19</f>
        <v/>
      </c>
      <c r="AT459" s="8">
        <f>AT357*Pricing!$G$39*AT417*Pricing!$B$19</f>
        <v/>
      </c>
      <c r="AU459" s="8">
        <f>AU357*Pricing!$G$39*AU417*Pricing!$B$19</f>
        <v/>
      </c>
      <c r="AV459" s="8">
        <f>AV357*Pricing!$G$39*AV417*Pricing!$B$19</f>
        <v/>
      </c>
      <c r="AW459" s="8">
        <f>AW357*Pricing!$G$39*AW417*Pricing!$B$19</f>
        <v/>
      </c>
      <c r="AX459" s="8">
        <f>AX357*Pricing!$G$39*AX417*Pricing!$B$19</f>
        <v/>
      </c>
      <c r="AY459" s="8">
        <f>AY357*Pricing!$G$39*AY417*Pricing!$B$19</f>
        <v/>
      </c>
      <c r="AZ459" s="8">
        <f>AZ357*Pricing!$G$39*AZ417*Pricing!$B$19</f>
        <v/>
      </c>
      <c r="BA459" s="8">
        <f>BA357*Pricing!$G$39*BA417*Pricing!$B$19</f>
        <v/>
      </c>
      <c r="BB459" s="8">
        <f>BB357*Pricing!$G$39*BB417*Pricing!$B$19</f>
        <v/>
      </c>
      <c r="BC459" s="8">
        <f>BC357*Pricing!$G$39*BC417*Pricing!$B$19</f>
        <v/>
      </c>
      <c r="BD459" s="8">
        <f>BD357*Pricing!$G$39*BD417*Pricing!$B$19</f>
        <v/>
      </c>
      <c r="BE459" s="8">
        <f>BE357*Pricing!$G$39*BE417*Pricing!$B$19</f>
        <v/>
      </c>
      <c r="BF459" s="8">
        <f>BF357*Pricing!$G$39*BF417*Pricing!$B$19</f>
        <v/>
      </c>
      <c r="BG459" s="8">
        <f>BG357*Pricing!$G$39*BG417*Pricing!$B$19</f>
        <v/>
      </c>
      <c r="BH459" s="8">
        <f>BH357*Pricing!$G$39*BH417*Pricing!$B$19</f>
        <v/>
      </c>
      <c r="BI459" s="8">
        <f>BI357*Pricing!$G$39*BI417*Pricing!$B$19</f>
        <v/>
      </c>
      <c r="BJ459" s="8">
        <f>BJ357*Pricing!$G$39*BJ417*Pricing!$B$19</f>
        <v/>
      </c>
    </row>
    <row r="460">
      <c r="A460" s="4" t="inlineStr">
        <is>
          <t>Gross subscription revenue: South Africa</t>
        </is>
      </c>
      <c r="B460" s="17" t="inlineStr">
        <is>
          <t>R</t>
        </is>
      </c>
      <c r="C460" s="8">
        <f>C418+C419+C420+C421+C422+C423+C424+C425+C426</f>
        <v/>
      </c>
      <c r="D460" s="8">
        <f>D418+D419+D420+D421+D422+D423+D424+D425+D426</f>
        <v/>
      </c>
      <c r="E460" s="8">
        <f>E418+E419+E420+E421+E422+E423+E424+E425+E426</f>
        <v/>
      </c>
      <c r="F460" s="8">
        <f>F418+F419+F420+F421+F422+F423+F424+F425+F426</f>
        <v/>
      </c>
      <c r="G460" s="8">
        <f>G418+G419+G420+G421+G422+G423+G424+G425+G426</f>
        <v/>
      </c>
      <c r="H460" s="8">
        <f>H418+H419+H420+H421+H422+H423+H424+H425+H426</f>
        <v/>
      </c>
      <c r="I460" s="8">
        <f>I418+I419+I420+I421+I422+I423+I424+I425+I426</f>
        <v/>
      </c>
      <c r="J460" s="8">
        <f>J418+J419+J420+J421+J422+J423+J424+J425+J426</f>
        <v/>
      </c>
      <c r="K460" s="8">
        <f>K418+K419+K420+K421+K422+K423+K424+K425+K426</f>
        <v/>
      </c>
      <c r="L460" s="8">
        <f>L418+L419+L420+L421+L422+L423+L424+L425+L426</f>
        <v/>
      </c>
      <c r="M460" s="8">
        <f>M418+M419+M420+M421+M422+M423+M424+M425+M426</f>
        <v/>
      </c>
      <c r="N460" s="8">
        <f>N418+N419+N420+N421+N422+N423+N424+N425+N426</f>
        <v/>
      </c>
      <c r="O460" s="8">
        <f>O418+O419+O420+O421+O422+O423+O424+O425+O426</f>
        <v/>
      </c>
      <c r="P460" s="8">
        <f>P418+P419+P420+P421+P422+P423+P424+P425+P426</f>
        <v/>
      </c>
      <c r="Q460" s="8">
        <f>Q418+Q419+Q420+Q421+Q422+Q423+Q424+Q425+Q426</f>
        <v/>
      </c>
      <c r="R460" s="8">
        <f>R418+R419+R420+R421+R422+R423+R424+R425+R426</f>
        <v/>
      </c>
      <c r="S460" s="8">
        <f>S418+S419+S420+S421+S422+S423+S424+S425+S426</f>
        <v/>
      </c>
      <c r="T460" s="8">
        <f>T418+T419+T420+T421+T422+T423+T424+T425+T426</f>
        <v/>
      </c>
      <c r="U460" s="8">
        <f>U418+U419+U420+U421+U422+U423+U424+U425+U426</f>
        <v/>
      </c>
      <c r="V460" s="8">
        <f>V418+V419+V420+V421+V422+V423+V424+V425+V426</f>
        <v/>
      </c>
      <c r="W460" s="8">
        <f>W418+W419+W420+W421+W422+W423+W424+W425+W426</f>
        <v/>
      </c>
      <c r="X460" s="8">
        <f>X418+X419+X420+X421+X422+X423+X424+X425+X426</f>
        <v/>
      </c>
      <c r="Y460" s="8">
        <f>Y418+Y419+Y420+Y421+Y422+Y423+Y424+Y425+Y426</f>
        <v/>
      </c>
      <c r="Z460" s="8">
        <f>Z418+Z419+Z420+Z421+Z422+Z423+Z424+Z425+Z426</f>
        <v/>
      </c>
      <c r="AA460" s="8">
        <f>AA418+AA419+AA420+AA421+AA422+AA423+AA424+AA425+AA426</f>
        <v/>
      </c>
      <c r="AB460" s="8">
        <f>AB418+AB419+AB420+AB421+AB422+AB423+AB424+AB425+AB426</f>
        <v/>
      </c>
      <c r="AC460" s="8">
        <f>AC418+AC419+AC420+AC421+AC422+AC423+AC424+AC425+AC426</f>
        <v/>
      </c>
      <c r="AD460" s="8">
        <f>AD418+AD419+AD420+AD421+AD422+AD423+AD424+AD425+AD426</f>
        <v/>
      </c>
      <c r="AE460" s="8">
        <f>AE418+AE419+AE420+AE421+AE422+AE423+AE424+AE425+AE426</f>
        <v/>
      </c>
      <c r="AF460" s="8">
        <f>AF418+AF419+AF420+AF421+AF422+AF423+AF424+AF425+AF426</f>
        <v/>
      </c>
      <c r="AG460" s="8">
        <f>AG418+AG419+AG420+AG421+AG422+AG423+AG424+AG425+AG426</f>
        <v/>
      </c>
      <c r="AH460" s="8">
        <f>AH418+AH419+AH420+AH421+AH422+AH423+AH424+AH425+AH426</f>
        <v/>
      </c>
      <c r="AI460" s="8">
        <f>AI418+AI419+AI420+AI421+AI422+AI423+AI424+AI425+AI426</f>
        <v/>
      </c>
      <c r="AJ460" s="8">
        <f>AJ418+AJ419+AJ420+AJ421+AJ422+AJ423+AJ424+AJ425+AJ426</f>
        <v/>
      </c>
      <c r="AK460" s="8">
        <f>AK418+AK419+AK420+AK421+AK422+AK423+AK424+AK425+AK426</f>
        <v/>
      </c>
      <c r="AL460" s="8">
        <f>AL418+AL419+AL420+AL421+AL422+AL423+AL424+AL425+AL426</f>
        <v/>
      </c>
      <c r="AM460" s="8">
        <f>AM418+AM419+AM420+AM421+AM422+AM423+AM424+AM425+AM426</f>
        <v/>
      </c>
      <c r="AN460" s="8">
        <f>AN418+AN419+AN420+AN421+AN422+AN423+AN424+AN425+AN426</f>
        <v/>
      </c>
      <c r="AO460" s="8">
        <f>AO418+AO419+AO420+AO421+AO422+AO423+AO424+AO425+AO426</f>
        <v/>
      </c>
      <c r="AP460" s="8">
        <f>AP418+AP419+AP420+AP421+AP422+AP423+AP424+AP425+AP426</f>
        <v/>
      </c>
      <c r="AQ460" s="8">
        <f>AQ418+AQ419+AQ420+AQ421+AQ422+AQ423+AQ424+AQ425+AQ426</f>
        <v/>
      </c>
      <c r="AR460" s="8">
        <f>AR418+AR419+AR420+AR421+AR422+AR423+AR424+AR425+AR426</f>
        <v/>
      </c>
      <c r="AS460" s="8">
        <f>AS418+AS419+AS420+AS421+AS422+AS423+AS424+AS425+AS426</f>
        <v/>
      </c>
      <c r="AT460" s="8">
        <f>AT418+AT419+AT420+AT421+AT422+AT423+AT424+AT425+AT426</f>
        <v/>
      </c>
      <c r="AU460" s="8">
        <f>AU418+AU419+AU420+AU421+AU422+AU423+AU424+AU425+AU426</f>
        <v/>
      </c>
      <c r="AV460" s="8">
        <f>AV418+AV419+AV420+AV421+AV422+AV423+AV424+AV425+AV426</f>
        <v/>
      </c>
      <c r="AW460" s="8">
        <f>AW418+AW419+AW420+AW421+AW422+AW423+AW424+AW425+AW426</f>
        <v/>
      </c>
      <c r="AX460" s="8">
        <f>AX418+AX419+AX420+AX421+AX422+AX423+AX424+AX425+AX426</f>
        <v/>
      </c>
      <c r="AY460" s="8">
        <f>AY418+AY419+AY420+AY421+AY422+AY423+AY424+AY425+AY426</f>
        <v/>
      </c>
      <c r="AZ460" s="8">
        <f>AZ418+AZ419+AZ420+AZ421+AZ422+AZ423+AZ424+AZ425+AZ426</f>
        <v/>
      </c>
      <c r="BA460" s="8">
        <f>BA418+BA419+BA420+BA421+BA422+BA423+BA424+BA425+BA426</f>
        <v/>
      </c>
      <c r="BB460" s="8">
        <f>BB418+BB419+BB420+BB421+BB422+BB423+BB424+BB425+BB426</f>
        <v/>
      </c>
      <c r="BC460" s="8">
        <f>BC418+BC419+BC420+BC421+BC422+BC423+BC424+BC425+BC426</f>
        <v/>
      </c>
      <c r="BD460" s="8">
        <f>BD418+BD419+BD420+BD421+BD422+BD423+BD424+BD425+BD426</f>
        <v/>
      </c>
      <c r="BE460" s="8">
        <f>BE418+BE419+BE420+BE421+BE422+BE423+BE424+BE425+BE426</f>
        <v/>
      </c>
      <c r="BF460" s="8">
        <f>BF418+BF419+BF420+BF421+BF422+BF423+BF424+BF425+BF426</f>
        <v/>
      </c>
      <c r="BG460" s="8">
        <f>BG418+BG419+BG420+BG421+BG422+BG423+BG424+BG425+BG426</f>
        <v/>
      </c>
      <c r="BH460" s="8">
        <f>BH418+BH419+BH420+BH421+BH422+BH423+BH424+BH425+BH426</f>
        <v/>
      </c>
      <c r="BI460" s="8">
        <f>BI418+BI419+BI420+BI421+BI422+BI423+BI424+BI425+BI426</f>
        <v/>
      </c>
      <c r="BJ460" s="8">
        <f>BJ418+BJ419+BJ420+BJ421+BJ422+BJ423+BJ424+BJ425+BJ426</f>
        <v/>
      </c>
    </row>
    <row r="461">
      <c r="A461" s="4" t="inlineStr">
        <is>
          <t>Gross subscription revenue: Nigeria</t>
        </is>
      </c>
      <c r="B461" s="17" t="inlineStr">
        <is>
          <t>R</t>
        </is>
      </c>
      <c r="C461" s="8">
        <f>C427+C428+C429+C430+C431+C432+C433</f>
        <v/>
      </c>
      <c r="D461" s="8">
        <f>D427+D428+D429+D430+D431+D432+D433</f>
        <v/>
      </c>
      <c r="E461" s="8">
        <f>E427+E428+E429+E430+E431+E432+E433</f>
        <v/>
      </c>
      <c r="F461" s="8">
        <f>F427+F428+F429+F430+F431+F432+F433</f>
        <v/>
      </c>
      <c r="G461" s="8">
        <f>G427+G428+G429+G430+G431+G432+G433</f>
        <v/>
      </c>
      <c r="H461" s="8">
        <f>H427+H428+H429+H430+H431+H432+H433</f>
        <v/>
      </c>
      <c r="I461" s="8">
        <f>I427+I428+I429+I430+I431+I432+I433</f>
        <v/>
      </c>
      <c r="J461" s="8">
        <f>J427+J428+J429+J430+J431+J432+J433</f>
        <v/>
      </c>
      <c r="K461" s="8">
        <f>K427+K428+K429+K430+K431+K432+K433</f>
        <v/>
      </c>
      <c r="L461" s="8">
        <f>L427+L428+L429+L430+L431+L432+L433</f>
        <v/>
      </c>
      <c r="M461" s="8">
        <f>M427+M428+M429+M430+M431+M432+M433</f>
        <v/>
      </c>
      <c r="N461" s="8">
        <f>N427+N428+N429+N430+N431+N432+N433</f>
        <v/>
      </c>
      <c r="O461" s="8">
        <f>O427+O428+O429+O430+O431+O432+O433</f>
        <v/>
      </c>
      <c r="P461" s="8">
        <f>P427+P428+P429+P430+P431+P432+P433</f>
        <v/>
      </c>
      <c r="Q461" s="8">
        <f>Q427+Q428+Q429+Q430+Q431+Q432+Q433</f>
        <v/>
      </c>
      <c r="R461" s="8">
        <f>R427+R428+R429+R430+R431+R432+R433</f>
        <v/>
      </c>
      <c r="S461" s="8">
        <f>S427+S428+S429+S430+S431+S432+S433</f>
        <v/>
      </c>
      <c r="T461" s="8">
        <f>T427+T428+T429+T430+T431+T432+T433</f>
        <v/>
      </c>
      <c r="U461" s="8">
        <f>U427+U428+U429+U430+U431+U432+U433</f>
        <v/>
      </c>
      <c r="V461" s="8">
        <f>V427+V428+V429+V430+V431+V432+V433</f>
        <v/>
      </c>
      <c r="W461" s="8">
        <f>W427+W428+W429+W430+W431+W432+W433</f>
        <v/>
      </c>
      <c r="X461" s="8">
        <f>X427+X428+X429+X430+X431+X432+X433</f>
        <v/>
      </c>
      <c r="Y461" s="8">
        <f>Y427+Y428+Y429+Y430+Y431+Y432+Y433</f>
        <v/>
      </c>
      <c r="Z461" s="8">
        <f>Z427+Z428+Z429+Z430+Z431+Z432+Z433</f>
        <v/>
      </c>
      <c r="AA461" s="8">
        <f>AA427+AA428+AA429+AA430+AA431+AA432+AA433</f>
        <v/>
      </c>
      <c r="AB461" s="8">
        <f>AB427+AB428+AB429+AB430+AB431+AB432+AB433</f>
        <v/>
      </c>
      <c r="AC461" s="8">
        <f>AC427+AC428+AC429+AC430+AC431+AC432+AC433</f>
        <v/>
      </c>
      <c r="AD461" s="8">
        <f>AD427+AD428+AD429+AD430+AD431+AD432+AD433</f>
        <v/>
      </c>
      <c r="AE461" s="8">
        <f>AE427+AE428+AE429+AE430+AE431+AE432+AE433</f>
        <v/>
      </c>
      <c r="AF461" s="8">
        <f>AF427+AF428+AF429+AF430+AF431+AF432+AF433</f>
        <v/>
      </c>
      <c r="AG461" s="8">
        <f>AG427+AG428+AG429+AG430+AG431+AG432+AG433</f>
        <v/>
      </c>
      <c r="AH461" s="8">
        <f>AH427+AH428+AH429+AH430+AH431+AH432+AH433</f>
        <v/>
      </c>
      <c r="AI461" s="8">
        <f>AI427+AI428+AI429+AI430+AI431+AI432+AI433</f>
        <v/>
      </c>
      <c r="AJ461" s="8">
        <f>AJ427+AJ428+AJ429+AJ430+AJ431+AJ432+AJ433</f>
        <v/>
      </c>
      <c r="AK461" s="8">
        <f>AK427+AK428+AK429+AK430+AK431+AK432+AK433</f>
        <v/>
      </c>
      <c r="AL461" s="8">
        <f>AL427+AL428+AL429+AL430+AL431+AL432+AL433</f>
        <v/>
      </c>
      <c r="AM461" s="8">
        <f>AM427+AM428+AM429+AM430+AM431+AM432+AM433</f>
        <v/>
      </c>
      <c r="AN461" s="8">
        <f>AN427+AN428+AN429+AN430+AN431+AN432+AN433</f>
        <v/>
      </c>
      <c r="AO461" s="8">
        <f>AO427+AO428+AO429+AO430+AO431+AO432+AO433</f>
        <v/>
      </c>
      <c r="AP461" s="8">
        <f>AP427+AP428+AP429+AP430+AP431+AP432+AP433</f>
        <v/>
      </c>
      <c r="AQ461" s="8">
        <f>AQ427+AQ428+AQ429+AQ430+AQ431+AQ432+AQ433</f>
        <v/>
      </c>
      <c r="AR461" s="8">
        <f>AR427+AR428+AR429+AR430+AR431+AR432+AR433</f>
        <v/>
      </c>
      <c r="AS461" s="8">
        <f>AS427+AS428+AS429+AS430+AS431+AS432+AS433</f>
        <v/>
      </c>
      <c r="AT461" s="8">
        <f>AT427+AT428+AT429+AT430+AT431+AT432+AT433</f>
        <v/>
      </c>
      <c r="AU461" s="8">
        <f>AU427+AU428+AU429+AU430+AU431+AU432+AU433</f>
        <v/>
      </c>
      <c r="AV461" s="8">
        <f>AV427+AV428+AV429+AV430+AV431+AV432+AV433</f>
        <v/>
      </c>
      <c r="AW461" s="8">
        <f>AW427+AW428+AW429+AW430+AW431+AW432+AW433</f>
        <v/>
      </c>
      <c r="AX461" s="8">
        <f>AX427+AX428+AX429+AX430+AX431+AX432+AX433</f>
        <v/>
      </c>
      <c r="AY461" s="8">
        <f>AY427+AY428+AY429+AY430+AY431+AY432+AY433</f>
        <v/>
      </c>
      <c r="AZ461" s="8">
        <f>AZ427+AZ428+AZ429+AZ430+AZ431+AZ432+AZ433</f>
        <v/>
      </c>
      <c r="BA461" s="8">
        <f>BA427+BA428+BA429+BA430+BA431+BA432+BA433</f>
        <v/>
      </c>
      <c r="BB461" s="8">
        <f>BB427+BB428+BB429+BB430+BB431+BB432+BB433</f>
        <v/>
      </c>
      <c r="BC461" s="8">
        <f>BC427+BC428+BC429+BC430+BC431+BC432+BC433</f>
        <v/>
      </c>
      <c r="BD461" s="8">
        <f>BD427+BD428+BD429+BD430+BD431+BD432+BD433</f>
        <v/>
      </c>
      <c r="BE461" s="8">
        <f>BE427+BE428+BE429+BE430+BE431+BE432+BE433</f>
        <v/>
      </c>
      <c r="BF461" s="8">
        <f>BF427+BF428+BF429+BF430+BF431+BF432+BF433</f>
        <v/>
      </c>
      <c r="BG461" s="8">
        <f>BG427+BG428+BG429+BG430+BG431+BG432+BG433</f>
        <v/>
      </c>
      <c r="BH461" s="8">
        <f>BH427+BH428+BH429+BH430+BH431+BH432+BH433</f>
        <v/>
      </c>
      <c r="BI461" s="8">
        <f>BI427+BI428+BI429+BI430+BI431+BI432+BI433</f>
        <v/>
      </c>
      <c r="BJ461" s="8">
        <f>BJ427+BJ428+BJ429+BJ430+BJ431+BJ432+BJ433</f>
        <v/>
      </c>
    </row>
    <row r="462">
      <c r="A462" s="4" t="inlineStr">
        <is>
          <t>Gross subscription revenue: Kenya</t>
        </is>
      </c>
      <c r="B462" s="17" t="inlineStr">
        <is>
          <t>R</t>
        </is>
      </c>
      <c r="C462" s="8">
        <f>C434+C435+C436+C437+C438+C439+C440</f>
        <v/>
      </c>
      <c r="D462" s="8">
        <f>D434+D435+D436+D437+D438+D439+D440</f>
        <v/>
      </c>
      <c r="E462" s="8">
        <f>E434+E435+E436+E437+E438+E439+E440</f>
        <v/>
      </c>
      <c r="F462" s="8">
        <f>F434+F435+F436+F437+F438+F439+F440</f>
        <v/>
      </c>
      <c r="G462" s="8">
        <f>G434+G435+G436+G437+G438+G439+G440</f>
        <v/>
      </c>
      <c r="H462" s="8">
        <f>H434+H435+H436+H437+H438+H439+H440</f>
        <v/>
      </c>
      <c r="I462" s="8">
        <f>I434+I435+I436+I437+I438+I439+I440</f>
        <v/>
      </c>
      <c r="J462" s="8">
        <f>J434+J435+J436+J437+J438+J439+J440</f>
        <v/>
      </c>
      <c r="K462" s="8">
        <f>K434+K435+K436+K437+K438+K439+K440</f>
        <v/>
      </c>
      <c r="L462" s="8">
        <f>L434+L435+L436+L437+L438+L439+L440</f>
        <v/>
      </c>
      <c r="M462" s="8">
        <f>M434+M435+M436+M437+M438+M439+M440</f>
        <v/>
      </c>
      <c r="N462" s="8">
        <f>N434+N435+N436+N437+N438+N439+N440</f>
        <v/>
      </c>
      <c r="O462" s="8">
        <f>O434+O435+O436+O437+O438+O439+O440</f>
        <v/>
      </c>
      <c r="P462" s="8">
        <f>P434+P435+P436+P437+P438+P439+P440</f>
        <v/>
      </c>
      <c r="Q462" s="8">
        <f>Q434+Q435+Q436+Q437+Q438+Q439+Q440</f>
        <v/>
      </c>
      <c r="R462" s="8">
        <f>R434+R435+R436+R437+R438+R439+R440</f>
        <v/>
      </c>
      <c r="S462" s="8">
        <f>S434+S435+S436+S437+S438+S439+S440</f>
        <v/>
      </c>
      <c r="T462" s="8">
        <f>T434+T435+T436+T437+T438+T439+T440</f>
        <v/>
      </c>
      <c r="U462" s="8">
        <f>U434+U435+U436+U437+U438+U439+U440</f>
        <v/>
      </c>
      <c r="V462" s="8">
        <f>V434+V435+V436+V437+V438+V439+V440</f>
        <v/>
      </c>
      <c r="W462" s="8">
        <f>W434+W435+W436+W437+W438+W439+W440</f>
        <v/>
      </c>
      <c r="X462" s="8">
        <f>X434+X435+X436+X437+X438+X439+X440</f>
        <v/>
      </c>
      <c r="Y462" s="8">
        <f>Y434+Y435+Y436+Y437+Y438+Y439+Y440</f>
        <v/>
      </c>
      <c r="Z462" s="8">
        <f>Z434+Z435+Z436+Z437+Z438+Z439+Z440</f>
        <v/>
      </c>
      <c r="AA462" s="8">
        <f>AA434+AA435+AA436+AA437+AA438+AA439+AA440</f>
        <v/>
      </c>
      <c r="AB462" s="8">
        <f>AB434+AB435+AB436+AB437+AB438+AB439+AB440</f>
        <v/>
      </c>
      <c r="AC462" s="8">
        <f>AC434+AC435+AC436+AC437+AC438+AC439+AC440</f>
        <v/>
      </c>
      <c r="AD462" s="8">
        <f>AD434+AD435+AD436+AD437+AD438+AD439+AD440</f>
        <v/>
      </c>
      <c r="AE462" s="8">
        <f>AE434+AE435+AE436+AE437+AE438+AE439+AE440</f>
        <v/>
      </c>
      <c r="AF462" s="8">
        <f>AF434+AF435+AF436+AF437+AF438+AF439+AF440</f>
        <v/>
      </c>
      <c r="AG462" s="8">
        <f>AG434+AG435+AG436+AG437+AG438+AG439+AG440</f>
        <v/>
      </c>
      <c r="AH462" s="8">
        <f>AH434+AH435+AH436+AH437+AH438+AH439+AH440</f>
        <v/>
      </c>
      <c r="AI462" s="8">
        <f>AI434+AI435+AI436+AI437+AI438+AI439+AI440</f>
        <v/>
      </c>
      <c r="AJ462" s="8">
        <f>AJ434+AJ435+AJ436+AJ437+AJ438+AJ439+AJ440</f>
        <v/>
      </c>
      <c r="AK462" s="8">
        <f>AK434+AK435+AK436+AK437+AK438+AK439+AK440</f>
        <v/>
      </c>
      <c r="AL462" s="8">
        <f>AL434+AL435+AL436+AL437+AL438+AL439+AL440</f>
        <v/>
      </c>
      <c r="AM462" s="8">
        <f>AM434+AM435+AM436+AM437+AM438+AM439+AM440</f>
        <v/>
      </c>
      <c r="AN462" s="8">
        <f>AN434+AN435+AN436+AN437+AN438+AN439+AN440</f>
        <v/>
      </c>
      <c r="AO462" s="8">
        <f>AO434+AO435+AO436+AO437+AO438+AO439+AO440</f>
        <v/>
      </c>
      <c r="AP462" s="8">
        <f>AP434+AP435+AP436+AP437+AP438+AP439+AP440</f>
        <v/>
      </c>
      <c r="AQ462" s="8">
        <f>AQ434+AQ435+AQ436+AQ437+AQ438+AQ439+AQ440</f>
        <v/>
      </c>
      <c r="AR462" s="8">
        <f>AR434+AR435+AR436+AR437+AR438+AR439+AR440</f>
        <v/>
      </c>
      <c r="AS462" s="8">
        <f>AS434+AS435+AS436+AS437+AS438+AS439+AS440</f>
        <v/>
      </c>
      <c r="AT462" s="8">
        <f>AT434+AT435+AT436+AT437+AT438+AT439+AT440</f>
        <v/>
      </c>
      <c r="AU462" s="8">
        <f>AU434+AU435+AU436+AU437+AU438+AU439+AU440</f>
        <v/>
      </c>
      <c r="AV462" s="8">
        <f>AV434+AV435+AV436+AV437+AV438+AV439+AV440</f>
        <v/>
      </c>
      <c r="AW462" s="8">
        <f>AW434+AW435+AW436+AW437+AW438+AW439+AW440</f>
        <v/>
      </c>
      <c r="AX462" s="8">
        <f>AX434+AX435+AX436+AX437+AX438+AX439+AX440</f>
        <v/>
      </c>
      <c r="AY462" s="8">
        <f>AY434+AY435+AY436+AY437+AY438+AY439+AY440</f>
        <v/>
      </c>
      <c r="AZ462" s="8">
        <f>AZ434+AZ435+AZ436+AZ437+AZ438+AZ439+AZ440</f>
        <v/>
      </c>
      <c r="BA462" s="8">
        <f>BA434+BA435+BA436+BA437+BA438+BA439+BA440</f>
        <v/>
      </c>
      <c r="BB462" s="8">
        <f>BB434+BB435+BB436+BB437+BB438+BB439+BB440</f>
        <v/>
      </c>
      <c r="BC462" s="8">
        <f>BC434+BC435+BC436+BC437+BC438+BC439+BC440</f>
        <v/>
      </c>
      <c r="BD462" s="8">
        <f>BD434+BD435+BD436+BD437+BD438+BD439+BD440</f>
        <v/>
      </c>
      <c r="BE462" s="8">
        <f>BE434+BE435+BE436+BE437+BE438+BE439+BE440</f>
        <v/>
      </c>
      <c r="BF462" s="8">
        <f>BF434+BF435+BF436+BF437+BF438+BF439+BF440</f>
        <v/>
      </c>
      <c r="BG462" s="8">
        <f>BG434+BG435+BG436+BG437+BG438+BG439+BG440</f>
        <v/>
      </c>
      <c r="BH462" s="8">
        <f>BH434+BH435+BH436+BH437+BH438+BH439+BH440</f>
        <v/>
      </c>
      <c r="BI462" s="8">
        <f>BI434+BI435+BI436+BI437+BI438+BI439+BI440</f>
        <v/>
      </c>
      <c r="BJ462" s="8">
        <f>BJ434+BJ435+BJ436+BJ437+BJ438+BJ439+BJ440</f>
        <v/>
      </c>
    </row>
    <row r="463">
      <c r="A463" s="4" t="inlineStr">
        <is>
          <t>Gross subscription revenue: Ghana</t>
        </is>
      </c>
      <c r="B463" s="17" t="inlineStr">
        <is>
          <t>R</t>
        </is>
      </c>
      <c r="C463" s="8">
        <f>C441+C442+C443+C444+C445+C446+C447</f>
        <v/>
      </c>
      <c r="D463" s="8">
        <f>D441+D442+D443+D444+D445+D446+D447</f>
        <v/>
      </c>
      <c r="E463" s="8">
        <f>E441+E442+E443+E444+E445+E446+E447</f>
        <v/>
      </c>
      <c r="F463" s="8">
        <f>F441+F442+F443+F444+F445+F446+F447</f>
        <v/>
      </c>
      <c r="G463" s="8">
        <f>G441+G442+G443+G444+G445+G446+G447</f>
        <v/>
      </c>
      <c r="H463" s="8">
        <f>H441+H442+H443+H444+H445+H446+H447</f>
        <v/>
      </c>
      <c r="I463" s="8">
        <f>I441+I442+I443+I444+I445+I446+I447</f>
        <v/>
      </c>
      <c r="J463" s="8">
        <f>J441+J442+J443+J444+J445+J446+J447</f>
        <v/>
      </c>
      <c r="K463" s="8">
        <f>K441+K442+K443+K444+K445+K446+K447</f>
        <v/>
      </c>
      <c r="L463" s="8">
        <f>L441+L442+L443+L444+L445+L446+L447</f>
        <v/>
      </c>
      <c r="M463" s="8">
        <f>M441+M442+M443+M444+M445+M446+M447</f>
        <v/>
      </c>
      <c r="N463" s="8">
        <f>N441+N442+N443+N444+N445+N446+N447</f>
        <v/>
      </c>
      <c r="O463" s="8">
        <f>O441+O442+O443+O444+O445+O446+O447</f>
        <v/>
      </c>
      <c r="P463" s="8">
        <f>P441+P442+P443+P444+P445+P446+P447</f>
        <v/>
      </c>
      <c r="Q463" s="8">
        <f>Q441+Q442+Q443+Q444+Q445+Q446+Q447</f>
        <v/>
      </c>
      <c r="R463" s="8">
        <f>R441+R442+R443+R444+R445+R446+R447</f>
        <v/>
      </c>
      <c r="S463" s="8">
        <f>S441+S442+S443+S444+S445+S446+S447</f>
        <v/>
      </c>
      <c r="T463" s="8">
        <f>T441+T442+T443+T444+T445+T446+T447</f>
        <v/>
      </c>
      <c r="U463" s="8">
        <f>U441+U442+U443+U444+U445+U446+U447</f>
        <v/>
      </c>
      <c r="V463" s="8">
        <f>V441+V442+V443+V444+V445+V446+V447</f>
        <v/>
      </c>
      <c r="W463" s="8">
        <f>W441+W442+W443+W444+W445+W446+W447</f>
        <v/>
      </c>
      <c r="X463" s="8">
        <f>X441+X442+X443+X444+X445+X446+X447</f>
        <v/>
      </c>
      <c r="Y463" s="8">
        <f>Y441+Y442+Y443+Y444+Y445+Y446+Y447</f>
        <v/>
      </c>
      <c r="Z463" s="8">
        <f>Z441+Z442+Z443+Z444+Z445+Z446+Z447</f>
        <v/>
      </c>
      <c r="AA463" s="8">
        <f>AA441+AA442+AA443+AA444+AA445+AA446+AA447</f>
        <v/>
      </c>
      <c r="AB463" s="8">
        <f>AB441+AB442+AB443+AB444+AB445+AB446+AB447</f>
        <v/>
      </c>
      <c r="AC463" s="8">
        <f>AC441+AC442+AC443+AC444+AC445+AC446+AC447</f>
        <v/>
      </c>
      <c r="AD463" s="8">
        <f>AD441+AD442+AD443+AD444+AD445+AD446+AD447</f>
        <v/>
      </c>
      <c r="AE463" s="8">
        <f>AE441+AE442+AE443+AE444+AE445+AE446+AE447</f>
        <v/>
      </c>
      <c r="AF463" s="8">
        <f>AF441+AF442+AF443+AF444+AF445+AF446+AF447</f>
        <v/>
      </c>
      <c r="AG463" s="8">
        <f>AG441+AG442+AG443+AG444+AG445+AG446+AG447</f>
        <v/>
      </c>
      <c r="AH463" s="8">
        <f>AH441+AH442+AH443+AH444+AH445+AH446+AH447</f>
        <v/>
      </c>
      <c r="AI463" s="8">
        <f>AI441+AI442+AI443+AI444+AI445+AI446+AI447</f>
        <v/>
      </c>
      <c r="AJ463" s="8">
        <f>AJ441+AJ442+AJ443+AJ444+AJ445+AJ446+AJ447</f>
        <v/>
      </c>
      <c r="AK463" s="8">
        <f>AK441+AK442+AK443+AK444+AK445+AK446+AK447</f>
        <v/>
      </c>
      <c r="AL463" s="8">
        <f>AL441+AL442+AL443+AL444+AL445+AL446+AL447</f>
        <v/>
      </c>
      <c r="AM463" s="8">
        <f>AM441+AM442+AM443+AM444+AM445+AM446+AM447</f>
        <v/>
      </c>
      <c r="AN463" s="8">
        <f>AN441+AN442+AN443+AN444+AN445+AN446+AN447</f>
        <v/>
      </c>
      <c r="AO463" s="8">
        <f>AO441+AO442+AO443+AO444+AO445+AO446+AO447</f>
        <v/>
      </c>
      <c r="AP463" s="8">
        <f>AP441+AP442+AP443+AP444+AP445+AP446+AP447</f>
        <v/>
      </c>
      <c r="AQ463" s="8">
        <f>AQ441+AQ442+AQ443+AQ444+AQ445+AQ446+AQ447</f>
        <v/>
      </c>
      <c r="AR463" s="8">
        <f>AR441+AR442+AR443+AR444+AR445+AR446+AR447</f>
        <v/>
      </c>
      <c r="AS463" s="8">
        <f>AS441+AS442+AS443+AS444+AS445+AS446+AS447</f>
        <v/>
      </c>
      <c r="AT463" s="8">
        <f>AT441+AT442+AT443+AT444+AT445+AT446+AT447</f>
        <v/>
      </c>
      <c r="AU463" s="8">
        <f>AU441+AU442+AU443+AU444+AU445+AU446+AU447</f>
        <v/>
      </c>
      <c r="AV463" s="8">
        <f>AV441+AV442+AV443+AV444+AV445+AV446+AV447</f>
        <v/>
      </c>
      <c r="AW463" s="8">
        <f>AW441+AW442+AW443+AW444+AW445+AW446+AW447</f>
        <v/>
      </c>
      <c r="AX463" s="8">
        <f>AX441+AX442+AX443+AX444+AX445+AX446+AX447</f>
        <v/>
      </c>
      <c r="AY463" s="8">
        <f>AY441+AY442+AY443+AY444+AY445+AY446+AY447</f>
        <v/>
      </c>
      <c r="AZ463" s="8">
        <f>AZ441+AZ442+AZ443+AZ444+AZ445+AZ446+AZ447</f>
        <v/>
      </c>
      <c r="BA463" s="8">
        <f>BA441+BA442+BA443+BA444+BA445+BA446+BA447</f>
        <v/>
      </c>
      <c r="BB463" s="8">
        <f>BB441+BB442+BB443+BB444+BB445+BB446+BB447</f>
        <v/>
      </c>
      <c r="BC463" s="8">
        <f>BC441+BC442+BC443+BC444+BC445+BC446+BC447</f>
        <v/>
      </c>
      <c r="BD463" s="8">
        <f>BD441+BD442+BD443+BD444+BD445+BD446+BD447</f>
        <v/>
      </c>
      <c r="BE463" s="8">
        <f>BE441+BE442+BE443+BE444+BE445+BE446+BE447</f>
        <v/>
      </c>
      <c r="BF463" s="8">
        <f>BF441+BF442+BF443+BF444+BF445+BF446+BF447</f>
        <v/>
      </c>
      <c r="BG463" s="8">
        <f>BG441+BG442+BG443+BG444+BG445+BG446+BG447</f>
        <v/>
      </c>
      <c r="BH463" s="8">
        <f>BH441+BH442+BH443+BH444+BH445+BH446+BH447</f>
        <v/>
      </c>
      <c r="BI463" s="8">
        <f>BI441+BI442+BI443+BI444+BI445+BI446+BI447</f>
        <v/>
      </c>
      <c r="BJ463" s="8">
        <f>BJ441+BJ442+BJ443+BJ444+BJ445+BJ446+BJ447</f>
        <v/>
      </c>
    </row>
    <row r="464">
      <c r="A464" s="4" t="inlineStr">
        <is>
          <t>Gross subscription revenue: Rest of Africa (USD)</t>
        </is>
      </c>
      <c r="B464" s="17" t="inlineStr">
        <is>
          <t>R</t>
        </is>
      </c>
      <c r="C464" s="8">
        <f>C448+C449+C450+C451+C452+C453</f>
        <v/>
      </c>
      <c r="D464" s="8">
        <f>D448+D449+D450+D451+D452+D453</f>
        <v/>
      </c>
      <c r="E464" s="8">
        <f>E448+E449+E450+E451+E452+E453</f>
        <v/>
      </c>
      <c r="F464" s="8">
        <f>F448+F449+F450+F451+F452+F453</f>
        <v/>
      </c>
      <c r="G464" s="8">
        <f>G448+G449+G450+G451+G452+G453</f>
        <v/>
      </c>
      <c r="H464" s="8">
        <f>H448+H449+H450+H451+H452+H453</f>
        <v/>
      </c>
      <c r="I464" s="8">
        <f>I448+I449+I450+I451+I452+I453</f>
        <v/>
      </c>
      <c r="J464" s="8">
        <f>J448+J449+J450+J451+J452+J453</f>
        <v/>
      </c>
      <c r="K464" s="8">
        <f>K448+K449+K450+K451+K452+K453</f>
        <v/>
      </c>
      <c r="L464" s="8">
        <f>L448+L449+L450+L451+L452+L453</f>
        <v/>
      </c>
      <c r="M464" s="8">
        <f>M448+M449+M450+M451+M452+M453</f>
        <v/>
      </c>
      <c r="N464" s="8">
        <f>N448+N449+N450+N451+N452+N453</f>
        <v/>
      </c>
      <c r="O464" s="8">
        <f>O448+O449+O450+O451+O452+O453</f>
        <v/>
      </c>
      <c r="P464" s="8">
        <f>P448+P449+P450+P451+P452+P453</f>
        <v/>
      </c>
      <c r="Q464" s="8">
        <f>Q448+Q449+Q450+Q451+Q452+Q453</f>
        <v/>
      </c>
      <c r="R464" s="8">
        <f>R448+R449+R450+R451+R452+R453</f>
        <v/>
      </c>
      <c r="S464" s="8">
        <f>S448+S449+S450+S451+S452+S453</f>
        <v/>
      </c>
      <c r="T464" s="8">
        <f>T448+T449+T450+T451+T452+T453</f>
        <v/>
      </c>
      <c r="U464" s="8">
        <f>U448+U449+U450+U451+U452+U453</f>
        <v/>
      </c>
      <c r="V464" s="8">
        <f>V448+V449+V450+V451+V452+V453</f>
        <v/>
      </c>
      <c r="W464" s="8">
        <f>W448+W449+W450+W451+W452+W453</f>
        <v/>
      </c>
      <c r="X464" s="8">
        <f>X448+X449+X450+X451+X452+X453</f>
        <v/>
      </c>
      <c r="Y464" s="8">
        <f>Y448+Y449+Y450+Y451+Y452+Y453</f>
        <v/>
      </c>
      <c r="Z464" s="8">
        <f>Z448+Z449+Z450+Z451+Z452+Z453</f>
        <v/>
      </c>
      <c r="AA464" s="8">
        <f>AA448+AA449+AA450+AA451+AA452+AA453</f>
        <v/>
      </c>
      <c r="AB464" s="8">
        <f>AB448+AB449+AB450+AB451+AB452+AB453</f>
        <v/>
      </c>
      <c r="AC464" s="8">
        <f>AC448+AC449+AC450+AC451+AC452+AC453</f>
        <v/>
      </c>
      <c r="AD464" s="8">
        <f>AD448+AD449+AD450+AD451+AD452+AD453</f>
        <v/>
      </c>
      <c r="AE464" s="8">
        <f>AE448+AE449+AE450+AE451+AE452+AE453</f>
        <v/>
      </c>
      <c r="AF464" s="8">
        <f>AF448+AF449+AF450+AF451+AF452+AF453</f>
        <v/>
      </c>
      <c r="AG464" s="8">
        <f>AG448+AG449+AG450+AG451+AG452+AG453</f>
        <v/>
      </c>
      <c r="AH464" s="8">
        <f>AH448+AH449+AH450+AH451+AH452+AH453</f>
        <v/>
      </c>
      <c r="AI464" s="8">
        <f>AI448+AI449+AI450+AI451+AI452+AI453</f>
        <v/>
      </c>
      <c r="AJ464" s="8">
        <f>AJ448+AJ449+AJ450+AJ451+AJ452+AJ453</f>
        <v/>
      </c>
      <c r="AK464" s="8">
        <f>AK448+AK449+AK450+AK451+AK452+AK453</f>
        <v/>
      </c>
      <c r="AL464" s="8">
        <f>AL448+AL449+AL450+AL451+AL452+AL453</f>
        <v/>
      </c>
      <c r="AM464" s="8">
        <f>AM448+AM449+AM450+AM451+AM452+AM453</f>
        <v/>
      </c>
      <c r="AN464" s="8">
        <f>AN448+AN449+AN450+AN451+AN452+AN453</f>
        <v/>
      </c>
      <c r="AO464" s="8">
        <f>AO448+AO449+AO450+AO451+AO452+AO453</f>
        <v/>
      </c>
      <c r="AP464" s="8">
        <f>AP448+AP449+AP450+AP451+AP452+AP453</f>
        <v/>
      </c>
      <c r="AQ464" s="8">
        <f>AQ448+AQ449+AQ450+AQ451+AQ452+AQ453</f>
        <v/>
      </c>
      <c r="AR464" s="8">
        <f>AR448+AR449+AR450+AR451+AR452+AR453</f>
        <v/>
      </c>
      <c r="AS464" s="8">
        <f>AS448+AS449+AS450+AS451+AS452+AS453</f>
        <v/>
      </c>
      <c r="AT464" s="8">
        <f>AT448+AT449+AT450+AT451+AT452+AT453</f>
        <v/>
      </c>
      <c r="AU464" s="8">
        <f>AU448+AU449+AU450+AU451+AU452+AU453</f>
        <v/>
      </c>
      <c r="AV464" s="8">
        <f>AV448+AV449+AV450+AV451+AV452+AV453</f>
        <v/>
      </c>
      <c r="AW464" s="8">
        <f>AW448+AW449+AW450+AW451+AW452+AW453</f>
        <v/>
      </c>
      <c r="AX464" s="8">
        <f>AX448+AX449+AX450+AX451+AX452+AX453</f>
        <v/>
      </c>
      <c r="AY464" s="8">
        <f>AY448+AY449+AY450+AY451+AY452+AY453</f>
        <v/>
      </c>
      <c r="AZ464" s="8">
        <f>AZ448+AZ449+AZ450+AZ451+AZ452+AZ453</f>
        <v/>
      </c>
      <c r="BA464" s="8">
        <f>BA448+BA449+BA450+BA451+BA452+BA453</f>
        <v/>
      </c>
      <c r="BB464" s="8">
        <f>BB448+BB449+BB450+BB451+BB452+BB453</f>
        <v/>
      </c>
      <c r="BC464" s="8">
        <f>BC448+BC449+BC450+BC451+BC452+BC453</f>
        <v/>
      </c>
      <c r="BD464" s="8">
        <f>BD448+BD449+BD450+BD451+BD452+BD453</f>
        <v/>
      </c>
      <c r="BE464" s="8">
        <f>BE448+BE449+BE450+BE451+BE452+BE453</f>
        <v/>
      </c>
      <c r="BF464" s="8">
        <f>BF448+BF449+BF450+BF451+BF452+BF453</f>
        <v/>
      </c>
      <c r="BG464" s="8">
        <f>BG448+BG449+BG450+BG451+BG452+BG453</f>
        <v/>
      </c>
      <c r="BH464" s="8">
        <f>BH448+BH449+BH450+BH451+BH452+BH453</f>
        <v/>
      </c>
      <c r="BI464" s="8">
        <f>BI448+BI449+BI450+BI451+BI452+BI453</f>
        <v/>
      </c>
      <c r="BJ464" s="8">
        <f>BJ448+BJ449+BJ450+BJ451+BJ452+BJ453</f>
        <v/>
      </c>
    </row>
    <row r="465">
      <c r="A465" s="4" t="inlineStr">
        <is>
          <t>Gross subscription revenue: Botswana &amp; Namibia</t>
        </is>
      </c>
      <c r="B465" s="17" t="inlineStr">
        <is>
          <t>R</t>
        </is>
      </c>
      <c r="C465" s="8">
        <f>C454+C455+C456+C457+C458+C459</f>
        <v/>
      </c>
      <c r="D465" s="8">
        <f>D454+D455+D456+D457+D458+D459</f>
        <v/>
      </c>
      <c r="E465" s="8">
        <f>E454+E455+E456+E457+E458+E459</f>
        <v/>
      </c>
      <c r="F465" s="8">
        <f>F454+F455+F456+F457+F458+F459</f>
        <v/>
      </c>
      <c r="G465" s="8">
        <f>G454+G455+G456+G457+G458+G459</f>
        <v/>
      </c>
      <c r="H465" s="8">
        <f>H454+H455+H456+H457+H458+H459</f>
        <v/>
      </c>
      <c r="I465" s="8">
        <f>I454+I455+I456+I457+I458+I459</f>
        <v/>
      </c>
      <c r="J465" s="8">
        <f>J454+J455+J456+J457+J458+J459</f>
        <v/>
      </c>
      <c r="K465" s="8">
        <f>K454+K455+K456+K457+K458+K459</f>
        <v/>
      </c>
      <c r="L465" s="8">
        <f>L454+L455+L456+L457+L458+L459</f>
        <v/>
      </c>
      <c r="M465" s="8">
        <f>M454+M455+M456+M457+M458+M459</f>
        <v/>
      </c>
      <c r="N465" s="8">
        <f>N454+N455+N456+N457+N458+N459</f>
        <v/>
      </c>
      <c r="O465" s="8">
        <f>O454+O455+O456+O457+O458+O459</f>
        <v/>
      </c>
      <c r="P465" s="8">
        <f>P454+P455+P456+P457+P458+P459</f>
        <v/>
      </c>
      <c r="Q465" s="8">
        <f>Q454+Q455+Q456+Q457+Q458+Q459</f>
        <v/>
      </c>
      <c r="R465" s="8">
        <f>R454+R455+R456+R457+R458+R459</f>
        <v/>
      </c>
      <c r="S465" s="8">
        <f>S454+S455+S456+S457+S458+S459</f>
        <v/>
      </c>
      <c r="T465" s="8">
        <f>T454+T455+T456+T457+T458+T459</f>
        <v/>
      </c>
      <c r="U465" s="8">
        <f>U454+U455+U456+U457+U458+U459</f>
        <v/>
      </c>
      <c r="V465" s="8">
        <f>V454+V455+V456+V457+V458+V459</f>
        <v/>
      </c>
      <c r="W465" s="8">
        <f>W454+W455+W456+W457+W458+W459</f>
        <v/>
      </c>
      <c r="X465" s="8">
        <f>X454+X455+X456+X457+X458+X459</f>
        <v/>
      </c>
      <c r="Y465" s="8">
        <f>Y454+Y455+Y456+Y457+Y458+Y459</f>
        <v/>
      </c>
      <c r="Z465" s="8">
        <f>Z454+Z455+Z456+Z457+Z458+Z459</f>
        <v/>
      </c>
      <c r="AA465" s="8">
        <f>AA454+AA455+AA456+AA457+AA458+AA459</f>
        <v/>
      </c>
      <c r="AB465" s="8">
        <f>AB454+AB455+AB456+AB457+AB458+AB459</f>
        <v/>
      </c>
      <c r="AC465" s="8">
        <f>AC454+AC455+AC456+AC457+AC458+AC459</f>
        <v/>
      </c>
      <c r="AD465" s="8">
        <f>AD454+AD455+AD456+AD457+AD458+AD459</f>
        <v/>
      </c>
      <c r="AE465" s="8">
        <f>AE454+AE455+AE456+AE457+AE458+AE459</f>
        <v/>
      </c>
      <c r="AF465" s="8">
        <f>AF454+AF455+AF456+AF457+AF458+AF459</f>
        <v/>
      </c>
      <c r="AG465" s="8">
        <f>AG454+AG455+AG456+AG457+AG458+AG459</f>
        <v/>
      </c>
      <c r="AH465" s="8">
        <f>AH454+AH455+AH456+AH457+AH458+AH459</f>
        <v/>
      </c>
      <c r="AI465" s="8">
        <f>AI454+AI455+AI456+AI457+AI458+AI459</f>
        <v/>
      </c>
      <c r="AJ465" s="8">
        <f>AJ454+AJ455+AJ456+AJ457+AJ458+AJ459</f>
        <v/>
      </c>
      <c r="AK465" s="8">
        <f>AK454+AK455+AK456+AK457+AK458+AK459</f>
        <v/>
      </c>
      <c r="AL465" s="8">
        <f>AL454+AL455+AL456+AL457+AL458+AL459</f>
        <v/>
      </c>
      <c r="AM465" s="8">
        <f>AM454+AM455+AM456+AM457+AM458+AM459</f>
        <v/>
      </c>
      <c r="AN465" s="8">
        <f>AN454+AN455+AN456+AN457+AN458+AN459</f>
        <v/>
      </c>
      <c r="AO465" s="8">
        <f>AO454+AO455+AO456+AO457+AO458+AO459</f>
        <v/>
      </c>
      <c r="AP465" s="8">
        <f>AP454+AP455+AP456+AP457+AP458+AP459</f>
        <v/>
      </c>
      <c r="AQ465" s="8">
        <f>AQ454+AQ455+AQ456+AQ457+AQ458+AQ459</f>
        <v/>
      </c>
      <c r="AR465" s="8">
        <f>AR454+AR455+AR456+AR457+AR458+AR459</f>
        <v/>
      </c>
      <c r="AS465" s="8">
        <f>AS454+AS455+AS456+AS457+AS458+AS459</f>
        <v/>
      </c>
      <c r="AT465" s="8">
        <f>AT454+AT455+AT456+AT457+AT458+AT459</f>
        <v/>
      </c>
      <c r="AU465" s="8">
        <f>AU454+AU455+AU456+AU457+AU458+AU459</f>
        <v/>
      </c>
      <c r="AV465" s="8">
        <f>AV454+AV455+AV456+AV457+AV458+AV459</f>
        <v/>
      </c>
      <c r="AW465" s="8">
        <f>AW454+AW455+AW456+AW457+AW458+AW459</f>
        <v/>
      </c>
      <c r="AX465" s="8">
        <f>AX454+AX455+AX456+AX457+AX458+AX459</f>
        <v/>
      </c>
      <c r="AY465" s="8">
        <f>AY454+AY455+AY456+AY457+AY458+AY459</f>
        <v/>
      </c>
      <c r="AZ465" s="8">
        <f>AZ454+AZ455+AZ456+AZ457+AZ458+AZ459</f>
        <v/>
      </c>
      <c r="BA465" s="8">
        <f>BA454+BA455+BA456+BA457+BA458+BA459</f>
        <v/>
      </c>
      <c r="BB465" s="8">
        <f>BB454+BB455+BB456+BB457+BB458+BB459</f>
        <v/>
      </c>
      <c r="BC465" s="8">
        <f>BC454+BC455+BC456+BC457+BC458+BC459</f>
        <v/>
      </c>
      <c r="BD465" s="8">
        <f>BD454+BD455+BD456+BD457+BD458+BD459</f>
        <v/>
      </c>
      <c r="BE465" s="8">
        <f>BE454+BE455+BE456+BE457+BE458+BE459</f>
        <v/>
      </c>
      <c r="BF465" s="8">
        <f>BF454+BF455+BF456+BF457+BF458+BF459</f>
        <v/>
      </c>
      <c r="BG465" s="8">
        <f>BG454+BG455+BG456+BG457+BG458+BG459</f>
        <v/>
      </c>
      <c r="BH465" s="8">
        <f>BH454+BH455+BH456+BH457+BH458+BH459</f>
        <v/>
      </c>
      <c r="BI465" s="8">
        <f>BI454+BI455+BI456+BI457+BI458+BI459</f>
        <v/>
      </c>
      <c r="BJ465" s="8">
        <f>BJ454+BJ455+BJ456+BJ457+BJ458+BJ459</f>
        <v/>
      </c>
    </row>
    <row r="466">
      <c r="A466" s="4" t="inlineStr">
        <is>
          <t>Gross subscription revenue: Solo</t>
        </is>
      </c>
      <c r="B466" s="17" t="inlineStr">
        <is>
          <t>R</t>
        </is>
      </c>
      <c r="C466" s="8">
        <f>C418+C419+C420+C427+C428+C429+C434+C435+C436+C441+C442+C443+C448+C449+C450+C454+C455+C456</f>
        <v/>
      </c>
      <c r="D466" s="8">
        <f>D418+D419+D420+D427+D428+D429+D434+D435+D436+D441+D442+D443+D448+D449+D450+D454+D455+D456</f>
        <v/>
      </c>
      <c r="E466" s="8">
        <f>E418+E419+E420+E427+E428+E429+E434+E435+E436+E441+E442+E443+E448+E449+E450+E454+E455+E456</f>
        <v/>
      </c>
      <c r="F466" s="8">
        <f>F418+F419+F420+F427+F428+F429+F434+F435+F436+F441+F442+F443+F448+F449+F450+F454+F455+F456</f>
        <v/>
      </c>
      <c r="G466" s="8">
        <f>G418+G419+G420+G427+G428+G429+G434+G435+G436+G441+G442+G443+G448+G449+G450+G454+G455+G456</f>
        <v/>
      </c>
      <c r="H466" s="8">
        <f>H418+H419+H420+H427+H428+H429+H434+H435+H436+H441+H442+H443+H448+H449+H450+H454+H455+H456</f>
        <v/>
      </c>
      <c r="I466" s="8">
        <f>I418+I419+I420+I427+I428+I429+I434+I435+I436+I441+I442+I443+I448+I449+I450+I454+I455+I456</f>
        <v/>
      </c>
      <c r="J466" s="8">
        <f>J418+J419+J420+J427+J428+J429+J434+J435+J436+J441+J442+J443+J448+J449+J450+J454+J455+J456</f>
        <v/>
      </c>
      <c r="K466" s="8">
        <f>K418+K419+K420+K427+K428+K429+K434+K435+K436+K441+K442+K443+K448+K449+K450+K454+K455+K456</f>
        <v/>
      </c>
      <c r="L466" s="8">
        <f>L418+L419+L420+L427+L428+L429+L434+L435+L436+L441+L442+L443+L448+L449+L450+L454+L455+L456</f>
        <v/>
      </c>
      <c r="M466" s="8">
        <f>M418+M419+M420+M427+M428+M429+M434+M435+M436+M441+M442+M443+M448+M449+M450+M454+M455+M456</f>
        <v/>
      </c>
      <c r="N466" s="8">
        <f>N418+N419+N420+N427+N428+N429+N434+N435+N436+N441+N442+N443+N448+N449+N450+N454+N455+N456</f>
        <v/>
      </c>
      <c r="O466" s="8">
        <f>O418+O419+O420+O427+O428+O429+O434+O435+O436+O441+O442+O443+O448+O449+O450+O454+O455+O456</f>
        <v/>
      </c>
      <c r="P466" s="8">
        <f>P418+P419+P420+P427+P428+P429+P434+P435+P436+P441+P442+P443+P448+P449+P450+P454+P455+P456</f>
        <v/>
      </c>
      <c r="Q466" s="8">
        <f>Q418+Q419+Q420+Q427+Q428+Q429+Q434+Q435+Q436+Q441+Q442+Q443+Q448+Q449+Q450+Q454+Q455+Q456</f>
        <v/>
      </c>
      <c r="R466" s="8">
        <f>R418+R419+R420+R427+R428+R429+R434+R435+R436+R441+R442+R443+R448+R449+R450+R454+R455+R456</f>
        <v/>
      </c>
      <c r="S466" s="8">
        <f>S418+S419+S420+S427+S428+S429+S434+S435+S436+S441+S442+S443+S448+S449+S450+S454+S455+S456</f>
        <v/>
      </c>
      <c r="T466" s="8">
        <f>T418+T419+T420+T427+T428+T429+T434+T435+T436+T441+T442+T443+T448+T449+T450+T454+T455+T456</f>
        <v/>
      </c>
      <c r="U466" s="8">
        <f>U418+U419+U420+U427+U428+U429+U434+U435+U436+U441+U442+U443+U448+U449+U450+U454+U455+U456</f>
        <v/>
      </c>
      <c r="V466" s="8">
        <f>V418+V419+V420+V427+V428+V429+V434+V435+V436+V441+V442+V443+V448+V449+V450+V454+V455+V456</f>
        <v/>
      </c>
      <c r="W466" s="8">
        <f>W418+W419+W420+W427+W428+W429+W434+W435+W436+W441+W442+W443+W448+W449+W450+W454+W455+W456</f>
        <v/>
      </c>
      <c r="X466" s="8">
        <f>X418+X419+X420+X427+X428+X429+X434+X435+X436+X441+X442+X443+X448+X449+X450+X454+X455+X456</f>
        <v/>
      </c>
      <c r="Y466" s="8">
        <f>Y418+Y419+Y420+Y427+Y428+Y429+Y434+Y435+Y436+Y441+Y442+Y443+Y448+Y449+Y450+Y454+Y455+Y456</f>
        <v/>
      </c>
      <c r="Z466" s="8">
        <f>Z418+Z419+Z420+Z427+Z428+Z429+Z434+Z435+Z436+Z441+Z442+Z443+Z448+Z449+Z450+Z454+Z455+Z456</f>
        <v/>
      </c>
      <c r="AA466" s="8">
        <f>AA418+AA419+AA420+AA427+AA428+AA429+AA434+AA435+AA436+AA441+AA442+AA443+AA448+AA449+AA450+AA454+AA455+AA456</f>
        <v/>
      </c>
      <c r="AB466" s="8">
        <f>AB418+AB419+AB420+AB427+AB428+AB429+AB434+AB435+AB436+AB441+AB442+AB443+AB448+AB449+AB450+AB454+AB455+AB456</f>
        <v/>
      </c>
      <c r="AC466" s="8">
        <f>AC418+AC419+AC420+AC427+AC428+AC429+AC434+AC435+AC436+AC441+AC442+AC443+AC448+AC449+AC450+AC454+AC455+AC456</f>
        <v/>
      </c>
      <c r="AD466" s="8">
        <f>AD418+AD419+AD420+AD427+AD428+AD429+AD434+AD435+AD436+AD441+AD442+AD443+AD448+AD449+AD450+AD454+AD455+AD456</f>
        <v/>
      </c>
      <c r="AE466" s="8">
        <f>AE418+AE419+AE420+AE427+AE428+AE429+AE434+AE435+AE436+AE441+AE442+AE443+AE448+AE449+AE450+AE454+AE455+AE456</f>
        <v/>
      </c>
      <c r="AF466" s="8">
        <f>AF418+AF419+AF420+AF427+AF428+AF429+AF434+AF435+AF436+AF441+AF442+AF443+AF448+AF449+AF450+AF454+AF455+AF456</f>
        <v/>
      </c>
      <c r="AG466" s="8">
        <f>AG418+AG419+AG420+AG427+AG428+AG429+AG434+AG435+AG436+AG441+AG442+AG443+AG448+AG449+AG450+AG454+AG455+AG456</f>
        <v/>
      </c>
      <c r="AH466" s="8">
        <f>AH418+AH419+AH420+AH427+AH428+AH429+AH434+AH435+AH436+AH441+AH442+AH443+AH448+AH449+AH450+AH454+AH455+AH456</f>
        <v/>
      </c>
      <c r="AI466" s="8">
        <f>AI418+AI419+AI420+AI427+AI428+AI429+AI434+AI435+AI436+AI441+AI442+AI443+AI448+AI449+AI450+AI454+AI455+AI456</f>
        <v/>
      </c>
      <c r="AJ466" s="8">
        <f>AJ418+AJ419+AJ420+AJ427+AJ428+AJ429+AJ434+AJ435+AJ436+AJ441+AJ442+AJ443+AJ448+AJ449+AJ450+AJ454+AJ455+AJ456</f>
        <v/>
      </c>
      <c r="AK466" s="8">
        <f>AK418+AK419+AK420+AK427+AK428+AK429+AK434+AK435+AK436+AK441+AK442+AK443+AK448+AK449+AK450+AK454+AK455+AK456</f>
        <v/>
      </c>
      <c r="AL466" s="8">
        <f>AL418+AL419+AL420+AL427+AL428+AL429+AL434+AL435+AL436+AL441+AL442+AL443+AL448+AL449+AL450+AL454+AL455+AL456</f>
        <v/>
      </c>
      <c r="AM466" s="8">
        <f>AM418+AM419+AM420+AM427+AM428+AM429+AM434+AM435+AM436+AM441+AM442+AM443+AM448+AM449+AM450+AM454+AM455+AM456</f>
        <v/>
      </c>
      <c r="AN466" s="8">
        <f>AN418+AN419+AN420+AN427+AN428+AN429+AN434+AN435+AN436+AN441+AN442+AN443+AN448+AN449+AN450+AN454+AN455+AN456</f>
        <v/>
      </c>
      <c r="AO466" s="8">
        <f>AO418+AO419+AO420+AO427+AO428+AO429+AO434+AO435+AO436+AO441+AO442+AO443+AO448+AO449+AO450+AO454+AO455+AO456</f>
        <v/>
      </c>
      <c r="AP466" s="8">
        <f>AP418+AP419+AP420+AP427+AP428+AP429+AP434+AP435+AP436+AP441+AP442+AP443+AP448+AP449+AP450+AP454+AP455+AP456</f>
        <v/>
      </c>
      <c r="AQ466" s="8">
        <f>AQ418+AQ419+AQ420+AQ427+AQ428+AQ429+AQ434+AQ435+AQ436+AQ441+AQ442+AQ443+AQ448+AQ449+AQ450+AQ454+AQ455+AQ456</f>
        <v/>
      </c>
      <c r="AR466" s="8">
        <f>AR418+AR419+AR420+AR427+AR428+AR429+AR434+AR435+AR436+AR441+AR442+AR443+AR448+AR449+AR450+AR454+AR455+AR456</f>
        <v/>
      </c>
      <c r="AS466" s="8">
        <f>AS418+AS419+AS420+AS427+AS428+AS429+AS434+AS435+AS436+AS441+AS442+AS443+AS448+AS449+AS450+AS454+AS455+AS456</f>
        <v/>
      </c>
      <c r="AT466" s="8">
        <f>AT418+AT419+AT420+AT427+AT428+AT429+AT434+AT435+AT436+AT441+AT442+AT443+AT448+AT449+AT450+AT454+AT455+AT456</f>
        <v/>
      </c>
      <c r="AU466" s="8">
        <f>AU418+AU419+AU420+AU427+AU428+AU429+AU434+AU435+AU436+AU441+AU442+AU443+AU448+AU449+AU450+AU454+AU455+AU456</f>
        <v/>
      </c>
      <c r="AV466" s="8">
        <f>AV418+AV419+AV420+AV427+AV428+AV429+AV434+AV435+AV436+AV441+AV442+AV443+AV448+AV449+AV450+AV454+AV455+AV456</f>
        <v/>
      </c>
      <c r="AW466" s="8">
        <f>AW418+AW419+AW420+AW427+AW428+AW429+AW434+AW435+AW436+AW441+AW442+AW443+AW448+AW449+AW450+AW454+AW455+AW456</f>
        <v/>
      </c>
      <c r="AX466" s="8">
        <f>AX418+AX419+AX420+AX427+AX428+AX429+AX434+AX435+AX436+AX441+AX442+AX443+AX448+AX449+AX450+AX454+AX455+AX456</f>
        <v/>
      </c>
      <c r="AY466" s="8">
        <f>AY418+AY419+AY420+AY427+AY428+AY429+AY434+AY435+AY436+AY441+AY442+AY443+AY448+AY449+AY450+AY454+AY455+AY456</f>
        <v/>
      </c>
      <c r="AZ466" s="8">
        <f>AZ418+AZ419+AZ420+AZ427+AZ428+AZ429+AZ434+AZ435+AZ436+AZ441+AZ442+AZ443+AZ448+AZ449+AZ450+AZ454+AZ455+AZ456</f>
        <v/>
      </c>
      <c r="BA466" s="8">
        <f>BA418+BA419+BA420+BA427+BA428+BA429+BA434+BA435+BA436+BA441+BA442+BA443+BA448+BA449+BA450+BA454+BA455+BA456</f>
        <v/>
      </c>
      <c r="BB466" s="8">
        <f>BB418+BB419+BB420+BB427+BB428+BB429+BB434+BB435+BB436+BB441+BB442+BB443+BB448+BB449+BB450+BB454+BB455+BB456</f>
        <v/>
      </c>
      <c r="BC466" s="8">
        <f>BC418+BC419+BC420+BC427+BC428+BC429+BC434+BC435+BC436+BC441+BC442+BC443+BC448+BC449+BC450+BC454+BC455+BC456</f>
        <v/>
      </c>
      <c r="BD466" s="8">
        <f>BD418+BD419+BD420+BD427+BD428+BD429+BD434+BD435+BD436+BD441+BD442+BD443+BD448+BD449+BD450+BD454+BD455+BD456</f>
        <v/>
      </c>
      <c r="BE466" s="8">
        <f>BE418+BE419+BE420+BE427+BE428+BE429+BE434+BE435+BE436+BE441+BE442+BE443+BE448+BE449+BE450+BE454+BE455+BE456</f>
        <v/>
      </c>
      <c r="BF466" s="8">
        <f>BF418+BF419+BF420+BF427+BF428+BF429+BF434+BF435+BF436+BF441+BF442+BF443+BF448+BF449+BF450+BF454+BF455+BF456</f>
        <v/>
      </c>
      <c r="BG466" s="8">
        <f>BG418+BG419+BG420+BG427+BG428+BG429+BG434+BG435+BG436+BG441+BG442+BG443+BG448+BG449+BG450+BG454+BG455+BG456</f>
        <v/>
      </c>
      <c r="BH466" s="8">
        <f>BH418+BH419+BH420+BH427+BH428+BH429+BH434+BH435+BH436+BH441+BH442+BH443+BH448+BH449+BH450+BH454+BH455+BH456</f>
        <v/>
      </c>
      <c r="BI466" s="8">
        <f>BI418+BI419+BI420+BI427+BI428+BI429+BI434+BI435+BI436+BI441+BI442+BI443+BI448+BI449+BI450+BI454+BI455+BI456</f>
        <v/>
      </c>
      <c r="BJ466" s="8">
        <f>BJ418+BJ419+BJ420+BJ427+BJ428+BJ429+BJ434+BJ435+BJ436+BJ441+BJ442+BJ443+BJ448+BJ449+BJ450+BJ454+BJ455+BJ456</f>
        <v/>
      </c>
    </row>
    <row r="467">
      <c r="A467" s="4" t="inlineStr">
        <is>
          <t>Gross subscription revenue: SMEs</t>
        </is>
      </c>
      <c r="B467" s="17" t="inlineStr">
        <is>
          <t>R</t>
        </is>
      </c>
      <c r="C467" s="8">
        <f>C421+C422+C423+C430+C431+C432+C437+C438+C439+C444+C445+C446+C451+C452+C453+C457+C458+C459</f>
        <v/>
      </c>
      <c r="D467" s="8">
        <f>D421+D422+D423+D430+D431+D432+D437+D438+D439+D444+D445+D446+D451+D452+D453+D457+D458+D459</f>
        <v/>
      </c>
      <c r="E467" s="8">
        <f>E421+E422+E423+E430+E431+E432+E437+E438+E439+E444+E445+E446+E451+E452+E453+E457+E458+E459</f>
        <v/>
      </c>
      <c r="F467" s="8">
        <f>F421+F422+F423+F430+F431+F432+F437+F438+F439+F444+F445+F446+F451+F452+F453+F457+F458+F459</f>
        <v/>
      </c>
      <c r="G467" s="8">
        <f>G421+G422+G423+G430+G431+G432+G437+G438+G439+G444+G445+G446+G451+G452+G453+G457+G458+G459</f>
        <v/>
      </c>
      <c r="H467" s="8">
        <f>H421+H422+H423+H430+H431+H432+H437+H438+H439+H444+H445+H446+H451+H452+H453+H457+H458+H459</f>
        <v/>
      </c>
      <c r="I467" s="8">
        <f>I421+I422+I423+I430+I431+I432+I437+I438+I439+I444+I445+I446+I451+I452+I453+I457+I458+I459</f>
        <v/>
      </c>
      <c r="J467" s="8">
        <f>J421+J422+J423+J430+J431+J432+J437+J438+J439+J444+J445+J446+J451+J452+J453+J457+J458+J459</f>
        <v/>
      </c>
      <c r="K467" s="8">
        <f>K421+K422+K423+K430+K431+K432+K437+K438+K439+K444+K445+K446+K451+K452+K453+K457+K458+K459</f>
        <v/>
      </c>
      <c r="L467" s="8">
        <f>L421+L422+L423+L430+L431+L432+L437+L438+L439+L444+L445+L446+L451+L452+L453+L457+L458+L459</f>
        <v/>
      </c>
      <c r="M467" s="8">
        <f>M421+M422+M423+M430+M431+M432+M437+M438+M439+M444+M445+M446+M451+M452+M453+M457+M458+M459</f>
        <v/>
      </c>
      <c r="N467" s="8">
        <f>N421+N422+N423+N430+N431+N432+N437+N438+N439+N444+N445+N446+N451+N452+N453+N457+N458+N459</f>
        <v/>
      </c>
      <c r="O467" s="8">
        <f>O421+O422+O423+O430+O431+O432+O437+O438+O439+O444+O445+O446+O451+O452+O453+O457+O458+O459</f>
        <v/>
      </c>
      <c r="P467" s="8">
        <f>P421+P422+P423+P430+P431+P432+P437+P438+P439+P444+P445+P446+P451+P452+P453+P457+P458+P459</f>
        <v/>
      </c>
      <c r="Q467" s="8">
        <f>Q421+Q422+Q423+Q430+Q431+Q432+Q437+Q438+Q439+Q444+Q445+Q446+Q451+Q452+Q453+Q457+Q458+Q459</f>
        <v/>
      </c>
      <c r="R467" s="8">
        <f>R421+R422+R423+R430+R431+R432+R437+R438+R439+R444+R445+R446+R451+R452+R453+R457+R458+R459</f>
        <v/>
      </c>
      <c r="S467" s="8">
        <f>S421+S422+S423+S430+S431+S432+S437+S438+S439+S444+S445+S446+S451+S452+S453+S457+S458+S459</f>
        <v/>
      </c>
      <c r="T467" s="8">
        <f>T421+T422+T423+T430+T431+T432+T437+T438+T439+T444+T445+T446+T451+T452+T453+T457+T458+T459</f>
        <v/>
      </c>
      <c r="U467" s="8">
        <f>U421+U422+U423+U430+U431+U432+U437+U438+U439+U444+U445+U446+U451+U452+U453+U457+U458+U459</f>
        <v/>
      </c>
      <c r="V467" s="8">
        <f>V421+V422+V423+V430+V431+V432+V437+V438+V439+V444+V445+V446+V451+V452+V453+V457+V458+V459</f>
        <v/>
      </c>
      <c r="W467" s="8">
        <f>W421+W422+W423+W430+W431+W432+W437+W438+W439+W444+W445+W446+W451+W452+W453+W457+W458+W459</f>
        <v/>
      </c>
      <c r="X467" s="8">
        <f>X421+X422+X423+X430+X431+X432+X437+X438+X439+X444+X445+X446+X451+X452+X453+X457+X458+X459</f>
        <v/>
      </c>
      <c r="Y467" s="8">
        <f>Y421+Y422+Y423+Y430+Y431+Y432+Y437+Y438+Y439+Y444+Y445+Y446+Y451+Y452+Y453+Y457+Y458+Y459</f>
        <v/>
      </c>
      <c r="Z467" s="8">
        <f>Z421+Z422+Z423+Z430+Z431+Z432+Z437+Z438+Z439+Z444+Z445+Z446+Z451+Z452+Z453+Z457+Z458+Z459</f>
        <v/>
      </c>
      <c r="AA467" s="8">
        <f>AA421+AA422+AA423+AA430+AA431+AA432+AA437+AA438+AA439+AA444+AA445+AA446+AA451+AA452+AA453+AA457+AA458+AA459</f>
        <v/>
      </c>
      <c r="AB467" s="8">
        <f>AB421+AB422+AB423+AB430+AB431+AB432+AB437+AB438+AB439+AB444+AB445+AB446+AB451+AB452+AB453+AB457+AB458+AB459</f>
        <v/>
      </c>
      <c r="AC467" s="8">
        <f>AC421+AC422+AC423+AC430+AC431+AC432+AC437+AC438+AC439+AC444+AC445+AC446+AC451+AC452+AC453+AC457+AC458+AC459</f>
        <v/>
      </c>
      <c r="AD467" s="8">
        <f>AD421+AD422+AD423+AD430+AD431+AD432+AD437+AD438+AD439+AD444+AD445+AD446+AD451+AD452+AD453+AD457+AD458+AD459</f>
        <v/>
      </c>
      <c r="AE467" s="8">
        <f>AE421+AE422+AE423+AE430+AE431+AE432+AE437+AE438+AE439+AE444+AE445+AE446+AE451+AE452+AE453+AE457+AE458+AE459</f>
        <v/>
      </c>
      <c r="AF467" s="8">
        <f>AF421+AF422+AF423+AF430+AF431+AF432+AF437+AF438+AF439+AF444+AF445+AF446+AF451+AF452+AF453+AF457+AF458+AF459</f>
        <v/>
      </c>
      <c r="AG467" s="8">
        <f>AG421+AG422+AG423+AG430+AG431+AG432+AG437+AG438+AG439+AG444+AG445+AG446+AG451+AG452+AG453+AG457+AG458+AG459</f>
        <v/>
      </c>
      <c r="AH467" s="8">
        <f>AH421+AH422+AH423+AH430+AH431+AH432+AH437+AH438+AH439+AH444+AH445+AH446+AH451+AH452+AH453+AH457+AH458+AH459</f>
        <v/>
      </c>
      <c r="AI467" s="8">
        <f>AI421+AI422+AI423+AI430+AI431+AI432+AI437+AI438+AI439+AI444+AI445+AI446+AI451+AI452+AI453+AI457+AI458+AI459</f>
        <v/>
      </c>
      <c r="AJ467" s="8">
        <f>AJ421+AJ422+AJ423+AJ430+AJ431+AJ432+AJ437+AJ438+AJ439+AJ444+AJ445+AJ446+AJ451+AJ452+AJ453+AJ457+AJ458+AJ459</f>
        <v/>
      </c>
      <c r="AK467" s="8">
        <f>AK421+AK422+AK423+AK430+AK431+AK432+AK437+AK438+AK439+AK444+AK445+AK446+AK451+AK452+AK453+AK457+AK458+AK459</f>
        <v/>
      </c>
      <c r="AL467" s="8">
        <f>AL421+AL422+AL423+AL430+AL431+AL432+AL437+AL438+AL439+AL444+AL445+AL446+AL451+AL452+AL453+AL457+AL458+AL459</f>
        <v/>
      </c>
      <c r="AM467" s="8">
        <f>AM421+AM422+AM423+AM430+AM431+AM432+AM437+AM438+AM439+AM444+AM445+AM446+AM451+AM452+AM453+AM457+AM458+AM459</f>
        <v/>
      </c>
      <c r="AN467" s="8">
        <f>AN421+AN422+AN423+AN430+AN431+AN432+AN437+AN438+AN439+AN444+AN445+AN446+AN451+AN452+AN453+AN457+AN458+AN459</f>
        <v/>
      </c>
      <c r="AO467" s="8">
        <f>AO421+AO422+AO423+AO430+AO431+AO432+AO437+AO438+AO439+AO444+AO445+AO446+AO451+AO452+AO453+AO457+AO458+AO459</f>
        <v/>
      </c>
      <c r="AP467" s="8">
        <f>AP421+AP422+AP423+AP430+AP431+AP432+AP437+AP438+AP439+AP444+AP445+AP446+AP451+AP452+AP453+AP457+AP458+AP459</f>
        <v/>
      </c>
      <c r="AQ467" s="8">
        <f>AQ421+AQ422+AQ423+AQ430+AQ431+AQ432+AQ437+AQ438+AQ439+AQ444+AQ445+AQ446+AQ451+AQ452+AQ453+AQ457+AQ458+AQ459</f>
        <v/>
      </c>
      <c r="AR467" s="8">
        <f>AR421+AR422+AR423+AR430+AR431+AR432+AR437+AR438+AR439+AR444+AR445+AR446+AR451+AR452+AR453+AR457+AR458+AR459</f>
        <v/>
      </c>
      <c r="AS467" s="8">
        <f>AS421+AS422+AS423+AS430+AS431+AS432+AS437+AS438+AS439+AS444+AS445+AS446+AS451+AS452+AS453+AS457+AS458+AS459</f>
        <v/>
      </c>
      <c r="AT467" s="8">
        <f>AT421+AT422+AT423+AT430+AT431+AT432+AT437+AT438+AT439+AT444+AT445+AT446+AT451+AT452+AT453+AT457+AT458+AT459</f>
        <v/>
      </c>
      <c r="AU467" s="8">
        <f>AU421+AU422+AU423+AU430+AU431+AU432+AU437+AU438+AU439+AU444+AU445+AU446+AU451+AU452+AU453+AU457+AU458+AU459</f>
        <v/>
      </c>
      <c r="AV467" s="8">
        <f>AV421+AV422+AV423+AV430+AV431+AV432+AV437+AV438+AV439+AV444+AV445+AV446+AV451+AV452+AV453+AV457+AV458+AV459</f>
        <v/>
      </c>
      <c r="AW467" s="8">
        <f>AW421+AW422+AW423+AW430+AW431+AW432+AW437+AW438+AW439+AW444+AW445+AW446+AW451+AW452+AW453+AW457+AW458+AW459</f>
        <v/>
      </c>
      <c r="AX467" s="8">
        <f>AX421+AX422+AX423+AX430+AX431+AX432+AX437+AX438+AX439+AX444+AX445+AX446+AX451+AX452+AX453+AX457+AX458+AX459</f>
        <v/>
      </c>
      <c r="AY467" s="8">
        <f>AY421+AY422+AY423+AY430+AY431+AY432+AY437+AY438+AY439+AY444+AY445+AY446+AY451+AY452+AY453+AY457+AY458+AY459</f>
        <v/>
      </c>
      <c r="AZ467" s="8">
        <f>AZ421+AZ422+AZ423+AZ430+AZ431+AZ432+AZ437+AZ438+AZ439+AZ444+AZ445+AZ446+AZ451+AZ452+AZ453+AZ457+AZ458+AZ459</f>
        <v/>
      </c>
      <c r="BA467" s="8">
        <f>BA421+BA422+BA423+BA430+BA431+BA432+BA437+BA438+BA439+BA444+BA445+BA446+BA451+BA452+BA453+BA457+BA458+BA459</f>
        <v/>
      </c>
      <c r="BB467" s="8">
        <f>BB421+BB422+BB423+BB430+BB431+BB432+BB437+BB438+BB439+BB444+BB445+BB446+BB451+BB452+BB453+BB457+BB458+BB459</f>
        <v/>
      </c>
      <c r="BC467" s="8">
        <f>BC421+BC422+BC423+BC430+BC431+BC432+BC437+BC438+BC439+BC444+BC445+BC446+BC451+BC452+BC453+BC457+BC458+BC459</f>
        <v/>
      </c>
      <c r="BD467" s="8">
        <f>BD421+BD422+BD423+BD430+BD431+BD432+BD437+BD438+BD439+BD444+BD445+BD446+BD451+BD452+BD453+BD457+BD458+BD459</f>
        <v/>
      </c>
      <c r="BE467" s="8">
        <f>BE421+BE422+BE423+BE430+BE431+BE432+BE437+BE438+BE439+BE444+BE445+BE446+BE451+BE452+BE453+BE457+BE458+BE459</f>
        <v/>
      </c>
      <c r="BF467" s="8">
        <f>BF421+BF422+BF423+BF430+BF431+BF432+BF437+BF438+BF439+BF444+BF445+BF446+BF451+BF452+BF453+BF457+BF458+BF459</f>
        <v/>
      </c>
      <c r="BG467" s="8">
        <f>BG421+BG422+BG423+BG430+BG431+BG432+BG437+BG438+BG439+BG444+BG445+BG446+BG451+BG452+BG453+BG457+BG458+BG459</f>
        <v/>
      </c>
      <c r="BH467" s="8">
        <f>BH421+BH422+BH423+BH430+BH431+BH432+BH437+BH438+BH439+BH444+BH445+BH446+BH451+BH452+BH453+BH457+BH458+BH459</f>
        <v/>
      </c>
      <c r="BI467" s="8">
        <f>BI421+BI422+BI423+BI430+BI431+BI432+BI437+BI438+BI439+BI444+BI445+BI446+BI451+BI452+BI453+BI457+BI458+BI459</f>
        <v/>
      </c>
      <c r="BJ467" s="8">
        <f>BJ421+BJ422+BJ423+BJ430+BJ431+BJ432+BJ437+BJ438+BJ439+BJ444+BJ445+BJ446+BJ451+BJ452+BJ453+BJ457+BJ458+BJ459</f>
        <v/>
      </c>
    </row>
    <row r="468">
      <c r="A468" s="4" t="inlineStr">
        <is>
          <t>Gross subscription revenue: Agencies</t>
        </is>
      </c>
      <c r="B468" s="17" t="inlineStr">
        <is>
          <t>R</t>
        </is>
      </c>
      <c r="C468" s="8">
        <f>C424+C433+C440+C447</f>
        <v/>
      </c>
      <c r="D468" s="8">
        <f>D424+D433+D440+D447</f>
        <v/>
      </c>
      <c r="E468" s="8">
        <f>E424+E433+E440+E447</f>
        <v/>
      </c>
      <c r="F468" s="8">
        <f>F424+F433+F440+F447</f>
        <v/>
      </c>
      <c r="G468" s="8">
        <f>G424+G433+G440+G447</f>
        <v/>
      </c>
      <c r="H468" s="8">
        <f>H424+H433+H440+H447</f>
        <v/>
      </c>
      <c r="I468" s="8">
        <f>I424+I433+I440+I447</f>
        <v/>
      </c>
      <c r="J468" s="8">
        <f>J424+J433+J440+J447</f>
        <v/>
      </c>
      <c r="K468" s="8">
        <f>K424+K433+K440+K447</f>
        <v/>
      </c>
      <c r="L468" s="8">
        <f>L424+L433+L440+L447</f>
        <v/>
      </c>
      <c r="M468" s="8">
        <f>M424+M433+M440+M447</f>
        <v/>
      </c>
      <c r="N468" s="8">
        <f>N424+N433+N440+N447</f>
        <v/>
      </c>
      <c r="O468" s="8">
        <f>O424+O433+O440+O447</f>
        <v/>
      </c>
      <c r="P468" s="8">
        <f>P424+P433+P440+P447</f>
        <v/>
      </c>
      <c r="Q468" s="8">
        <f>Q424+Q433+Q440+Q447</f>
        <v/>
      </c>
      <c r="R468" s="8">
        <f>R424+R433+R440+R447</f>
        <v/>
      </c>
      <c r="S468" s="8">
        <f>S424+S433+S440+S447</f>
        <v/>
      </c>
      <c r="T468" s="8">
        <f>T424+T433+T440+T447</f>
        <v/>
      </c>
      <c r="U468" s="8">
        <f>U424+U433+U440+U447</f>
        <v/>
      </c>
      <c r="V468" s="8">
        <f>V424+V433+V440+V447</f>
        <v/>
      </c>
      <c r="W468" s="8">
        <f>W424+W433+W440+W447</f>
        <v/>
      </c>
      <c r="X468" s="8">
        <f>X424+X433+X440+X447</f>
        <v/>
      </c>
      <c r="Y468" s="8">
        <f>Y424+Y433+Y440+Y447</f>
        <v/>
      </c>
      <c r="Z468" s="8">
        <f>Z424+Z433+Z440+Z447</f>
        <v/>
      </c>
      <c r="AA468" s="8">
        <f>AA424+AA433+AA440+AA447</f>
        <v/>
      </c>
      <c r="AB468" s="8">
        <f>AB424+AB433+AB440+AB447</f>
        <v/>
      </c>
      <c r="AC468" s="8">
        <f>AC424+AC433+AC440+AC447</f>
        <v/>
      </c>
      <c r="AD468" s="8">
        <f>AD424+AD433+AD440+AD447</f>
        <v/>
      </c>
      <c r="AE468" s="8">
        <f>AE424+AE433+AE440+AE447</f>
        <v/>
      </c>
      <c r="AF468" s="8">
        <f>AF424+AF433+AF440+AF447</f>
        <v/>
      </c>
      <c r="AG468" s="8">
        <f>AG424+AG433+AG440+AG447</f>
        <v/>
      </c>
      <c r="AH468" s="8">
        <f>AH424+AH433+AH440+AH447</f>
        <v/>
      </c>
      <c r="AI468" s="8">
        <f>AI424+AI433+AI440+AI447</f>
        <v/>
      </c>
      <c r="AJ468" s="8">
        <f>AJ424+AJ433+AJ440+AJ447</f>
        <v/>
      </c>
      <c r="AK468" s="8">
        <f>AK424+AK433+AK440+AK447</f>
        <v/>
      </c>
      <c r="AL468" s="8">
        <f>AL424+AL433+AL440+AL447</f>
        <v/>
      </c>
      <c r="AM468" s="8">
        <f>AM424+AM433+AM440+AM447</f>
        <v/>
      </c>
      <c r="AN468" s="8">
        <f>AN424+AN433+AN440+AN447</f>
        <v/>
      </c>
      <c r="AO468" s="8">
        <f>AO424+AO433+AO440+AO447</f>
        <v/>
      </c>
      <c r="AP468" s="8">
        <f>AP424+AP433+AP440+AP447</f>
        <v/>
      </c>
      <c r="AQ468" s="8">
        <f>AQ424+AQ433+AQ440+AQ447</f>
        <v/>
      </c>
      <c r="AR468" s="8">
        <f>AR424+AR433+AR440+AR447</f>
        <v/>
      </c>
      <c r="AS468" s="8">
        <f>AS424+AS433+AS440+AS447</f>
        <v/>
      </c>
      <c r="AT468" s="8">
        <f>AT424+AT433+AT440+AT447</f>
        <v/>
      </c>
      <c r="AU468" s="8">
        <f>AU424+AU433+AU440+AU447</f>
        <v/>
      </c>
      <c r="AV468" s="8">
        <f>AV424+AV433+AV440+AV447</f>
        <v/>
      </c>
      <c r="AW468" s="8">
        <f>AW424+AW433+AW440+AW447</f>
        <v/>
      </c>
      <c r="AX468" s="8">
        <f>AX424+AX433+AX440+AX447</f>
        <v/>
      </c>
      <c r="AY468" s="8">
        <f>AY424+AY433+AY440+AY447</f>
        <v/>
      </c>
      <c r="AZ468" s="8">
        <f>AZ424+AZ433+AZ440+AZ447</f>
        <v/>
      </c>
      <c r="BA468" s="8">
        <f>BA424+BA433+BA440+BA447</f>
        <v/>
      </c>
      <c r="BB468" s="8">
        <f>BB424+BB433+BB440+BB447</f>
        <v/>
      </c>
      <c r="BC468" s="8">
        <f>BC424+BC433+BC440+BC447</f>
        <v/>
      </c>
      <c r="BD468" s="8">
        <f>BD424+BD433+BD440+BD447</f>
        <v/>
      </c>
      <c r="BE468" s="8">
        <f>BE424+BE433+BE440+BE447</f>
        <v/>
      </c>
      <c r="BF468" s="8">
        <f>BF424+BF433+BF440+BF447</f>
        <v/>
      </c>
      <c r="BG468" s="8">
        <f>BG424+BG433+BG440+BG447</f>
        <v/>
      </c>
      <c r="BH468" s="8">
        <f>BH424+BH433+BH440+BH447</f>
        <v/>
      </c>
      <c r="BI468" s="8">
        <f>BI424+BI433+BI440+BI447</f>
        <v/>
      </c>
      <c r="BJ468" s="8">
        <f>BJ424+BJ433+BJ440+BJ447</f>
        <v/>
      </c>
    </row>
    <row r="469">
      <c r="A469" s="4" t="inlineStr">
        <is>
          <t>Gross subscription revenue: Corporate</t>
        </is>
      </c>
      <c r="B469" s="17" t="inlineStr">
        <is>
          <t>R</t>
        </is>
      </c>
      <c r="C469" s="8">
        <f>C425</f>
        <v/>
      </c>
      <c r="D469" s="8">
        <f>D425</f>
        <v/>
      </c>
      <c r="E469" s="8">
        <f>E425</f>
        <v/>
      </c>
      <c r="F469" s="8">
        <f>F425</f>
        <v/>
      </c>
      <c r="G469" s="8">
        <f>G425</f>
        <v/>
      </c>
      <c r="H469" s="8">
        <f>H425</f>
        <v/>
      </c>
      <c r="I469" s="8">
        <f>I425</f>
        <v/>
      </c>
      <c r="J469" s="8">
        <f>J425</f>
        <v/>
      </c>
      <c r="K469" s="8">
        <f>K425</f>
        <v/>
      </c>
      <c r="L469" s="8">
        <f>L425</f>
        <v/>
      </c>
      <c r="M469" s="8">
        <f>M425</f>
        <v/>
      </c>
      <c r="N469" s="8">
        <f>N425</f>
        <v/>
      </c>
      <c r="O469" s="8">
        <f>O425</f>
        <v/>
      </c>
      <c r="P469" s="8">
        <f>P425</f>
        <v/>
      </c>
      <c r="Q469" s="8">
        <f>Q425</f>
        <v/>
      </c>
      <c r="R469" s="8">
        <f>R425</f>
        <v/>
      </c>
      <c r="S469" s="8">
        <f>S425</f>
        <v/>
      </c>
      <c r="T469" s="8">
        <f>T425</f>
        <v/>
      </c>
      <c r="U469" s="8">
        <f>U425</f>
        <v/>
      </c>
      <c r="V469" s="8">
        <f>V425</f>
        <v/>
      </c>
      <c r="W469" s="8">
        <f>W425</f>
        <v/>
      </c>
      <c r="X469" s="8">
        <f>X425</f>
        <v/>
      </c>
      <c r="Y469" s="8">
        <f>Y425</f>
        <v/>
      </c>
      <c r="Z469" s="8">
        <f>Z425</f>
        <v/>
      </c>
      <c r="AA469" s="8">
        <f>AA425</f>
        <v/>
      </c>
      <c r="AB469" s="8">
        <f>AB425</f>
        <v/>
      </c>
      <c r="AC469" s="8">
        <f>AC425</f>
        <v/>
      </c>
      <c r="AD469" s="8">
        <f>AD425</f>
        <v/>
      </c>
      <c r="AE469" s="8">
        <f>AE425</f>
        <v/>
      </c>
      <c r="AF469" s="8">
        <f>AF425</f>
        <v/>
      </c>
      <c r="AG469" s="8">
        <f>AG425</f>
        <v/>
      </c>
      <c r="AH469" s="8">
        <f>AH425</f>
        <v/>
      </c>
      <c r="AI469" s="8">
        <f>AI425</f>
        <v/>
      </c>
      <c r="AJ469" s="8">
        <f>AJ425</f>
        <v/>
      </c>
      <c r="AK469" s="8">
        <f>AK425</f>
        <v/>
      </c>
      <c r="AL469" s="8">
        <f>AL425</f>
        <v/>
      </c>
      <c r="AM469" s="8">
        <f>AM425</f>
        <v/>
      </c>
      <c r="AN469" s="8">
        <f>AN425</f>
        <v/>
      </c>
      <c r="AO469" s="8">
        <f>AO425</f>
        <v/>
      </c>
      <c r="AP469" s="8">
        <f>AP425</f>
        <v/>
      </c>
      <c r="AQ469" s="8">
        <f>AQ425</f>
        <v/>
      </c>
      <c r="AR469" s="8">
        <f>AR425</f>
        <v/>
      </c>
      <c r="AS469" s="8">
        <f>AS425</f>
        <v/>
      </c>
      <c r="AT469" s="8">
        <f>AT425</f>
        <v/>
      </c>
      <c r="AU469" s="8">
        <f>AU425</f>
        <v/>
      </c>
      <c r="AV469" s="8">
        <f>AV425</f>
        <v/>
      </c>
      <c r="AW469" s="8">
        <f>AW425</f>
        <v/>
      </c>
      <c r="AX469" s="8">
        <f>AX425</f>
        <v/>
      </c>
      <c r="AY469" s="8">
        <f>AY425</f>
        <v/>
      </c>
      <c r="AZ469" s="8">
        <f>AZ425</f>
        <v/>
      </c>
      <c r="BA469" s="8">
        <f>BA425</f>
        <v/>
      </c>
      <c r="BB469" s="8">
        <f>BB425</f>
        <v/>
      </c>
      <c r="BC469" s="8">
        <f>BC425</f>
        <v/>
      </c>
      <c r="BD469" s="8">
        <f>BD425</f>
        <v/>
      </c>
      <c r="BE469" s="8">
        <f>BE425</f>
        <v/>
      </c>
      <c r="BF469" s="8">
        <f>BF425</f>
        <v/>
      </c>
      <c r="BG469" s="8">
        <f>BG425</f>
        <v/>
      </c>
      <c r="BH469" s="8">
        <f>BH425</f>
        <v/>
      </c>
      <c r="BI469" s="8">
        <f>BI425</f>
        <v/>
      </c>
      <c r="BJ469" s="8">
        <f>BJ425</f>
        <v/>
      </c>
    </row>
    <row r="470">
      <c r="A470" s="4" t="inlineStr">
        <is>
          <t>Gross subscription revenue: Enterprise</t>
        </is>
      </c>
      <c r="B470" s="17" t="inlineStr">
        <is>
          <t>R</t>
        </is>
      </c>
      <c r="C470" s="8">
        <f>C426</f>
        <v/>
      </c>
      <c r="D470" s="8">
        <f>D426</f>
        <v/>
      </c>
      <c r="E470" s="8">
        <f>E426</f>
        <v/>
      </c>
      <c r="F470" s="8">
        <f>F426</f>
        <v/>
      </c>
      <c r="G470" s="8">
        <f>G426</f>
        <v/>
      </c>
      <c r="H470" s="8">
        <f>H426</f>
        <v/>
      </c>
      <c r="I470" s="8">
        <f>I426</f>
        <v/>
      </c>
      <c r="J470" s="8">
        <f>J426</f>
        <v/>
      </c>
      <c r="K470" s="8">
        <f>K426</f>
        <v/>
      </c>
      <c r="L470" s="8">
        <f>L426</f>
        <v/>
      </c>
      <c r="M470" s="8">
        <f>M426</f>
        <v/>
      </c>
      <c r="N470" s="8">
        <f>N426</f>
        <v/>
      </c>
      <c r="O470" s="8">
        <f>O426</f>
        <v/>
      </c>
      <c r="P470" s="8">
        <f>P426</f>
        <v/>
      </c>
      <c r="Q470" s="8">
        <f>Q426</f>
        <v/>
      </c>
      <c r="R470" s="8">
        <f>R426</f>
        <v/>
      </c>
      <c r="S470" s="8">
        <f>S426</f>
        <v/>
      </c>
      <c r="T470" s="8">
        <f>T426</f>
        <v/>
      </c>
      <c r="U470" s="8">
        <f>U426</f>
        <v/>
      </c>
      <c r="V470" s="8">
        <f>V426</f>
        <v/>
      </c>
      <c r="W470" s="8">
        <f>W426</f>
        <v/>
      </c>
      <c r="X470" s="8">
        <f>X426</f>
        <v/>
      </c>
      <c r="Y470" s="8">
        <f>Y426</f>
        <v/>
      </c>
      <c r="Z470" s="8">
        <f>Z426</f>
        <v/>
      </c>
      <c r="AA470" s="8">
        <f>AA426</f>
        <v/>
      </c>
      <c r="AB470" s="8">
        <f>AB426</f>
        <v/>
      </c>
      <c r="AC470" s="8">
        <f>AC426</f>
        <v/>
      </c>
      <c r="AD470" s="8">
        <f>AD426</f>
        <v/>
      </c>
      <c r="AE470" s="8">
        <f>AE426</f>
        <v/>
      </c>
      <c r="AF470" s="8">
        <f>AF426</f>
        <v/>
      </c>
      <c r="AG470" s="8">
        <f>AG426</f>
        <v/>
      </c>
      <c r="AH470" s="8">
        <f>AH426</f>
        <v/>
      </c>
      <c r="AI470" s="8">
        <f>AI426</f>
        <v/>
      </c>
      <c r="AJ470" s="8">
        <f>AJ426</f>
        <v/>
      </c>
      <c r="AK470" s="8">
        <f>AK426</f>
        <v/>
      </c>
      <c r="AL470" s="8">
        <f>AL426</f>
        <v/>
      </c>
      <c r="AM470" s="8">
        <f>AM426</f>
        <v/>
      </c>
      <c r="AN470" s="8">
        <f>AN426</f>
        <v/>
      </c>
      <c r="AO470" s="8">
        <f>AO426</f>
        <v/>
      </c>
      <c r="AP470" s="8">
        <f>AP426</f>
        <v/>
      </c>
      <c r="AQ470" s="8">
        <f>AQ426</f>
        <v/>
      </c>
      <c r="AR470" s="8">
        <f>AR426</f>
        <v/>
      </c>
      <c r="AS470" s="8">
        <f>AS426</f>
        <v/>
      </c>
      <c r="AT470" s="8">
        <f>AT426</f>
        <v/>
      </c>
      <c r="AU470" s="8">
        <f>AU426</f>
        <v/>
      </c>
      <c r="AV470" s="8">
        <f>AV426</f>
        <v/>
      </c>
      <c r="AW470" s="8">
        <f>AW426</f>
        <v/>
      </c>
      <c r="AX470" s="8">
        <f>AX426</f>
        <v/>
      </c>
      <c r="AY470" s="8">
        <f>AY426</f>
        <v/>
      </c>
      <c r="AZ470" s="8">
        <f>AZ426</f>
        <v/>
      </c>
      <c r="BA470" s="8">
        <f>BA426</f>
        <v/>
      </c>
      <c r="BB470" s="8">
        <f>BB426</f>
        <v/>
      </c>
      <c r="BC470" s="8">
        <f>BC426</f>
        <v/>
      </c>
      <c r="BD470" s="8">
        <f>BD426</f>
        <v/>
      </c>
      <c r="BE470" s="8">
        <f>BE426</f>
        <v/>
      </c>
      <c r="BF470" s="8">
        <f>BF426</f>
        <v/>
      </c>
      <c r="BG470" s="8">
        <f>BG426</f>
        <v/>
      </c>
      <c r="BH470" s="8">
        <f>BH426</f>
        <v/>
      </c>
      <c r="BI470" s="8">
        <f>BI426</f>
        <v/>
      </c>
      <c r="BJ470" s="8">
        <f>BJ426</f>
        <v/>
      </c>
    </row>
    <row r="471">
      <c r="A471" s="4" t="inlineStr">
        <is>
          <t>Gross subscription revenue: Nano tier</t>
        </is>
      </c>
      <c r="B471" s="17" t="inlineStr">
        <is>
          <t>R</t>
        </is>
      </c>
      <c r="C471" s="8">
        <f>C418+C427+C434+C441+C448+C454</f>
        <v/>
      </c>
      <c r="D471" s="8">
        <f>D418+D427+D434+D441+D448+D454</f>
        <v/>
      </c>
      <c r="E471" s="8">
        <f>E418+E427+E434+E441+E448+E454</f>
        <v/>
      </c>
      <c r="F471" s="8">
        <f>F418+F427+F434+F441+F448+F454</f>
        <v/>
      </c>
      <c r="G471" s="8">
        <f>G418+G427+G434+G441+G448+G454</f>
        <v/>
      </c>
      <c r="H471" s="8">
        <f>H418+H427+H434+H441+H448+H454</f>
        <v/>
      </c>
      <c r="I471" s="8">
        <f>I418+I427+I434+I441+I448+I454</f>
        <v/>
      </c>
      <c r="J471" s="8">
        <f>J418+J427+J434+J441+J448+J454</f>
        <v/>
      </c>
      <c r="K471" s="8">
        <f>K418+K427+K434+K441+K448+K454</f>
        <v/>
      </c>
      <c r="L471" s="8">
        <f>L418+L427+L434+L441+L448+L454</f>
        <v/>
      </c>
      <c r="M471" s="8">
        <f>M418+M427+M434+M441+M448+M454</f>
        <v/>
      </c>
      <c r="N471" s="8">
        <f>N418+N427+N434+N441+N448+N454</f>
        <v/>
      </c>
      <c r="O471" s="8">
        <f>O418+O427+O434+O441+O448+O454</f>
        <v/>
      </c>
      <c r="P471" s="8">
        <f>P418+P427+P434+P441+P448+P454</f>
        <v/>
      </c>
      <c r="Q471" s="8">
        <f>Q418+Q427+Q434+Q441+Q448+Q454</f>
        <v/>
      </c>
      <c r="R471" s="8">
        <f>R418+R427+R434+R441+R448+R454</f>
        <v/>
      </c>
      <c r="S471" s="8">
        <f>S418+S427+S434+S441+S448+S454</f>
        <v/>
      </c>
      <c r="T471" s="8">
        <f>T418+T427+T434+T441+T448+T454</f>
        <v/>
      </c>
      <c r="U471" s="8">
        <f>U418+U427+U434+U441+U448+U454</f>
        <v/>
      </c>
      <c r="V471" s="8">
        <f>V418+V427+V434+V441+V448+V454</f>
        <v/>
      </c>
      <c r="W471" s="8">
        <f>W418+W427+W434+W441+W448+W454</f>
        <v/>
      </c>
      <c r="X471" s="8">
        <f>X418+X427+X434+X441+X448+X454</f>
        <v/>
      </c>
      <c r="Y471" s="8">
        <f>Y418+Y427+Y434+Y441+Y448+Y454</f>
        <v/>
      </c>
      <c r="Z471" s="8">
        <f>Z418+Z427+Z434+Z441+Z448+Z454</f>
        <v/>
      </c>
      <c r="AA471" s="8">
        <f>AA418+AA427+AA434+AA441+AA448+AA454</f>
        <v/>
      </c>
      <c r="AB471" s="8">
        <f>AB418+AB427+AB434+AB441+AB448+AB454</f>
        <v/>
      </c>
      <c r="AC471" s="8">
        <f>AC418+AC427+AC434+AC441+AC448+AC454</f>
        <v/>
      </c>
      <c r="AD471" s="8">
        <f>AD418+AD427+AD434+AD441+AD448+AD454</f>
        <v/>
      </c>
      <c r="AE471" s="8">
        <f>AE418+AE427+AE434+AE441+AE448+AE454</f>
        <v/>
      </c>
      <c r="AF471" s="8">
        <f>AF418+AF427+AF434+AF441+AF448+AF454</f>
        <v/>
      </c>
      <c r="AG471" s="8">
        <f>AG418+AG427+AG434+AG441+AG448+AG454</f>
        <v/>
      </c>
      <c r="AH471" s="8">
        <f>AH418+AH427+AH434+AH441+AH448+AH454</f>
        <v/>
      </c>
      <c r="AI471" s="8">
        <f>AI418+AI427+AI434+AI441+AI448+AI454</f>
        <v/>
      </c>
      <c r="AJ471" s="8">
        <f>AJ418+AJ427+AJ434+AJ441+AJ448+AJ454</f>
        <v/>
      </c>
      <c r="AK471" s="8">
        <f>AK418+AK427+AK434+AK441+AK448+AK454</f>
        <v/>
      </c>
      <c r="AL471" s="8">
        <f>AL418+AL427+AL434+AL441+AL448+AL454</f>
        <v/>
      </c>
      <c r="AM471" s="8">
        <f>AM418+AM427+AM434+AM441+AM448+AM454</f>
        <v/>
      </c>
      <c r="AN471" s="8">
        <f>AN418+AN427+AN434+AN441+AN448+AN454</f>
        <v/>
      </c>
      <c r="AO471" s="8">
        <f>AO418+AO427+AO434+AO441+AO448+AO454</f>
        <v/>
      </c>
      <c r="AP471" s="8">
        <f>AP418+AP427+AP434+AP441+AP448+AP454</f>
        <v/>
      </c>
      <c r="AQ471" s="8">
        <f>AQ418+AQ427+AQ434+AQ441+AQ448+AQ454</f>
        <v/>
      </c>
      <c r="AR471" s="8">
        <f>AR418+AR427+AR434+AR441+AR448+AR454</f>
        <v/>
      </c>
      <c r="AS471" s="8">
        <f>AS418+AS427+AS434+AS441+AS448+AS454</f>
        <v/>
      </c>
      <c r="AT471" s="8">
        <f>AT418+AT427+AT434+AT441+AT448+AT454</f>
        <v/>
      </c>
      <c r="AU471" s="8">
        <f>AU418+AU427+AU434+AU441+AU448+AU454</f>
        <v/>
      </c>
      <c r="AV471" s="8">
        <f>AV418+AV427+AV434+AV441+AV448+AV454</f>
        <v/>
      </c>
      <c r="AW471" s="8">
        <f>AW418+AW427+AW434+AW441+AW448+AW454</f>
        <v/>
      </c>
      <c r="AX471" s="8">
        <f>AX418+AX427+AX434+AX441+AX448+AX454</f>
        <v/>
      </c>
      <c r="AY471" s="8">
        <f>AY418+AY427+AY434+AY441+AY448+AY454</f>
        <v/>
      </c>
      <c r="AZ471" s="8">
        <f>AZ418+AZ427+AZ434+AZ441+AZ448+AZ454</f>
        <v/>
      </c>
      <c r="BA471" s="8">
        <f>BA418+BA427+BA434+BA441+BA448+BA454</f>
        <v/>
      </c>
      <c r="BB471" s="8">
        <f>BB418+BB427+BB434+BB441+BB448+BB454</f>
        <v/>
      </c>
      <c r="BC471" s="8">
        <f>BC418+BC427+BC434+BC441+BC448+BC454</f>
        <v/>
      </c>
      <c r="BD471" s="8">
        <f>BD418+BD427+BD434+BD441+BD448+BD454</f>
        <v/>
      </c>
      <c r="BE471" s="8">
        <f>BE418+BE427+BE434+BE441+BE448+BE454</f>
        <v/>
      </c>
      <c r="BF471" s="8">
        <f>BF418+BF427+BF434+BF441+BF448+BF454</f>
        <v/>
      </c>
      <c r="BG471" s="8">
        <f>BG418+BG427+BG434+BG441+BG448+BG454</f>
        <v/>
      </c>
      <c r="BH471" s="8">
        <f>BH418+BH427+BH434+BH441+BH448+BH454</f>
        <v/>
      </c>
      <c r="BI471" s="8">
        <f>BI418+BI427+BI434+BI441+BI448+BI454</f>
        <v/>
      </c>
      <c r="BJ471" s="8">
        <f>BJ418+BJ427+BJ434+BJ441+BJ448+BJ454</f>
        <v/>
      </c>
    </row>
    <row r="472">
      <c r="A472" s="4" t="inlineStr">
        <is>
          <t>Gross subscription revenue: Micro tier</t>
        </is>
      </c>
      <c r="B472" s="17" t="inlineStr">
        <is>
          <t>R</t>
        </is>
      </c>
      <c r="C472" s="8">
        <f>C419+C428+C435+C442+C449+C455</f>
        <v/>
      </c>
      <c r="D472" s="8">
        <f>D419+D428+D435+D442+D449+D455</f>
        <v/>
      </c>
      <c r="E472" s="8">
        <f>E419+E428+E435+E442+E449+E455</f>
        <v/>
      </c>
      <c r="F472" s="8">
        <f>F419+F428+F435+F442+F449+F455</f>
        <v/>
      </c>
      <c r="G472" s="8">
        <f>G419+G428+G435+G442+G449+G455</f>
        <v/>
      </c>
      <c r="H472" s="8">
        <f>H419+H428+H435+H442+H449+H455</f>
        <v/>
      </c>
      <c r="I472" s="8">
        <f>I419+I428+I435+I442+I449+I455</f>
        <v/>
      </c>
      <c r="J472" s="8">
        <f>J419+J428+J435+J442+J449+J455</f>
        <v/>
      </c>
      <c r="K472" s="8">
        <f>K419+K428+K435+K442+K449+K455</f>
        <v/>
      </c>
      <c r="L472" s="8">
        <f>L419+L428+L435+L442+L449+L455</f>
        <v/>
      </c>
      <c r="M472" s="8">
        <f>M419+M428+M435+M442+M449+M455</f>
        <v/>
      </c>
      <c r="N472" s="8">
        <f>N419+N428+N435+N442+N449+N455</f>
        <v/>
      </c>
      <c r="O472" s="8">
        <f>O419+O428+O435+O442+O449+O455</f>
        <v/>
      </c>
      <c r="P472" s="8">
        <f>P419+P428+P435+P442+P449+P455</f>
        <v/>
      </c>
      <c r="Q472" s="8">
        <f>Q419+Q428+Q435+Q442+Q449+Q455</f>
        <v/>
      </c>
      <c r="R472" s="8">
        <f>R419+R428+R435+R442+R449+R455</f>
        <v/>
      </c>
      <c r="S472" s="8">
        <f>S419+S428+S435+S442+S449+S455</f>
        <v/>
      </c>
      <c r="T472" s="8">
        <f>T419+T428+T435+T442+T449+T455</f>
        <v/>
      </c>
      <c r="U472" s="8">
        <f>U419+U428+U435+U442+U449+U455</f>
        <v/>
      </c>
      <c r="V472" s="8">
        <f>V419+V428+V435+V442+V449+V455</f>
        <v/>
      </c>
      <c r="W472" s="8">
        <f>W419+W428+W435+W442+W449+W455</f>
        <v/>
      </c>
      <c r="X472" s="8">
        <f>X419+X428+X435+X442+X449+X455</f>
        <v/>
      </c>
      <c r="Y472" s="8">
        <f>Y419+Y428+Y435+Y442+Y449+Y455</f>
        <v/>
      </c>
      <c r="Z472" s="8">
        <f>Z419+Z428+Z435+Z442+Z449+Z455</f>
        <v/>
      </c>
      <c r="AA472" s="8">
        <f>AA419+AA428+AA435+AA442+AA449+AA455</f>
        <v/>
      </c>
      <c r="AB472" s="8">
        <f>AB419+AB428+AB435+AB442+AB449+AB455</f>
        <v/>
      </c>
      <c r="AC472" s="8">
        <f>AC419+AC428+AC435+AC442+AC449+AC455</f>
        <v/>
      </c>
      <c r="AD472" s="8">
        <f>AD419+AD428+AD435+AD442+AD449+AD455</f>
        <v/>
      </c>
      <c r="AE472" s="8">
        <f>AE419+AE428+AE435+AE442+AE449+AE455</f>
        <v/>
      </c>
      <c r="AF472" s="8">
        <f>AF419+AF428+AF435+AF442+AF449+AF455</f>
        <v/>
      </c>
      <c r="AG472" s="8">
        <f>AG419+AG428+AG435+AG442+AG449+AG455</f>
        <v/>
      </c>
      <c r="AH472" s="8">
        <f>AH419+AH428+AH435+AH442+AH449+AH455</f>
        <v/>
      </c>
      <c r="AI472" s="8">
        <f>AI419+AI428+AI435+AI442+AI449+AI455</f>
        <v/>
      </c>
      <c r="AJ472" s="8">
        <f>AJ419+AJ428+AJ435+AJ442+AJ449+AJ455</f>
        <v/>
      </c>
      <c r="AK472" s="8">
        <f>AK419+AK428+AK435+AK442+AK449+AK455</f>
        <v/>
      </c>
      <c r="AL472" s="8">
        <f>AL419+AL428+AL435+AL442+AL449+AL455</f>
        <v/>
      </c>
      <c r="AM472" s="8">
        <f>AM419+AM428+AM435+AM442+AM449+AM455</f>
        <v/>
      </c>
      <c r="AN472" s="8">
        <f>AN419+AN428+AN435+AN442+AN449+AN455</f>
        <v/>
      </c>
      <c r="AO472" s="8">
        <f>AO419+AO428+AO435+AO442+AO449+AO455</f>
        <v/>
      </c>
      <c r="AP472" s="8">
        <f>AP419+AP428+AP435+AP442+AP449+AP455</f>
        <v/>
      </c>
      <c r="AQ472" s="8">
        <f>AQ419+AQ428+AQ435+AQ442+AQ449+AQ455</f>
        <v/>
      </c>
      <c r="AR472" s="8">
        <f>AR419+AR428+AR435+AR442+AR449+AR455</f>
        <v/>
      </c>
      <c r="AS472" s="8">
        <f>AS419+AS428+AS435+AS442+AS449+AS455</f>
        <v/>
      </c>
      <c r="AT472" s="8">
        <f>AT419+AT428+AT435+AT442+AT449+AT455</f>
        <v/>
      </c>
      <c r="AU472" s="8">
        <f>AU419+AU428+AU435+AU442+AU449+AU455</f>
        <v/>
      </c>
      <c r="AV472" s="8">
        <f>AV419+AV428+AV435+AV442+AV449+AV455</f>
        <v/>
      </c>
      <c r="AW472" s="8">
        <f>AW419+AW428+AW435+AW442+AW449+AW455</f>
        <v/>
      </c>
      <c r="AX472" s="8">
        <f>AX419+AX428+AX435+AX442+AX449+AX455</f>
        <v/>
      </c>
      <c r="AY472" s="8">
        <f>AY419+AY428+AY435+AY442+AY449+AY455</f>
        <v/>
      </c>
      <c r="AZ472" s="8">
        <f>AZ419+AZ428+AZ435+AZ442+AZ449+AZ455</f>
        <v/>
      </c>
      <c r="BA472" s="8">
        <f>BA419+BA428+BA435+BA442+BA449+BA455</f>
        <v/>
      </c>
      <c r="BB472" s="8">
        <f>BB419+BB428+BB435+BB442+BB449+BB455</f>
        <v/>
      </c>
      <c r="BC472" s="8">
        <f>BC419+BC428+BC435+BC442+BC449+BC455</f>
        <v/>
      </c>
      <c r="BD472" s="8">
        <f>BD419+BD428+BD435+BD442+BD449+BD455</f>
        <v/>
      </c>
      <c r="BE472" s="8">
        <f>BE419+BE428+BE435+BE442+BE449+BE455</f>
        <v/>
      </c>
      <c r="BF472" s="8">
        <f>BF419+BF428+BF435+BF442+BF449+BF455</f>
        <v/>
      </c>
      <c r="BG472" s="8">
        <f>BG419+BG428+BG435+BG442+BG449+BG455</f>
        <v/>
      </c>
      <c r="BH472" s="8">
        <f>BH419+BH428+BH435+BH442+BH449+BH455</f>
        <v/>
      </c>
      <c r="BI472" s="8">
        <f>BI419+BI428+BI435+BI442+BI449+BI455</f>
        <v/>
      </c>
      <c r="BJ472" s="8">
        <f>BJ419+BJ428+BJ435+BJ442+BJ449+BJ455</f>
        <v/>
      </c>
    </row>
    <row r="473">
      <c r="A473" s="4" t="inlineStr">
        <is>
          <t>Gross subscription revenue: Starter tier</t>
        </is>
      </c>
      <c r="B473" s="17" t="inlineStr">
        <is>
          <t>R</t>
        </is>
      </c>
      <c r="C473" s="8">
        <f>C420+C421+C429+C430+C436+C437+C443+C444+C450+C451+C456+C457</f>
        <v/>
      </c>
      <c r="D473" s="8">
        <f>D420+D421+D429+D430+D436+D437+D443+D444+D450+D451+D456+D457</f>
        <v/>
      </c>
      <c r="E473" s="8">
        <f>E420+E421+E429+E430+E436+E437+E443+E444+E450+E451+E456+E457</f>
        <v/>
      </c>
      <c r="F473" s="8">
        <f>F420+F421+F429+F430+F436+F437+F443+F444+F450+F451+F456+F457</f>
        <v/>
      </c>
      <c r="G473" s="8">
        <f>G420+G421+G429+G430+G436+G437+G443+G444+G450+G451+G456+G457</f>
        <v/>
      </c>
      <c r="H473" s="8">
        <f>H420+H421+H429+H430+H436+H437+H443+H444+H450+H451+H456+H457</f>
        <v/>
      </c>
      <c r="I473" s="8">
        <f>I420+I421+I429+I430+I436+I437+I443+I444+I450+I451+I456+I457</f>
        <v/>
      </c>
      <c r="J473" s="8">
        <f>J420+J421+J429+J430+J436+J437+J443+J444+J450+J451+J456+J457</f>
        <v/>
      </c>
      <c r="K473" s="8">
        <f>K420+K421+K429+K430+K436+K437+K443+K444+K450+K451+K456+K457</f>
        <v/>
      </c>
      <c r="L473" s="8">
        <f>L420+L421+L429+L430+L436+L437+L443+L444+L450+L451+L456+L457</f>
        <v/>
      </c>
      <c r="M473" s="8">
        <f>M420+M421+M429+M430+M436+M437+M443+M444+M450+M451+M456+M457</f>
        <v/>
      </c>
      <c r="N473" s="8">
        <f>N420+N421+N429+N430+N436+N437+N443+N444+N450+N451+N456+N457</f>
        <v/>
      </c>
      <c r="O473" s="8">
        <f>O420+O421+O429+O430+O436+O437+O443+O444+O450+O451+O456+O457</f>
        <v/>
      </c>
      <c r="P473" s="8">
        <f>P420+P421+P429+P430+P436+P437+P443+P444+P450+P451+P456+P457</f>
        <v/>
      </c>
      <c r="Q473" s="8">
        <f>Q420+Q421+Q429+Q430+Q436+Q437+Q443+Q444+Q450+Q451+Q456+Q457</f>
        <v/>
      </c>
      <c r="R473" s="8">
        <f>R420+R421+R429+R430+R436+R437+R443+R444+R450+R451+R456+R457</f>
        <v/>
      </c>
      <c r="S473" s="8">
        <f>S420+S421+S429+S430+S436+S437+S443+S444+S450+S451+S456+S457</f>
        <v/>
      </c>
      <c r="T473" s="8">
        <f>T420+T421+T429+T430+T436+T437+T443+T444+T450+T451+T456+T457</f>
        <v/>
      </c>
      <c r="U473" s="8">
        <f>U420+U421+U429+U430+U436+U437+U443+U444+U450+U451+U456+U457</f>
        <v/>
      </c>
      <c r="V473" s="8">
        <f>V420+V421+V429+V430+V436+V437+V443+V444+V450+V451+V456+V457</f>
        <v/>
      </c>
      <c r="W473" s="8">
        <f>W420+W421+W429+W430+W436+W437+W443+W444+W450+W451+W456+W457</f>
        <v/>
      </c>
      <c r="X473" s="8">
        <f>X420+X421+X429+X430+X436+X437+X443+X444+X450+X451+X456+X457</f>
        <v/>
      </c>
      <c r="Y473" s="8">
        <f>Y420+Y421+Y429+Y430+Y436+Y437+Y443+Y444+Y450+Y451+Y456+Y457</f>
        <v/>
      </c>
      <c r="Z473" s="8">
        <f>Z420+Z421+Z429+Z430+Z436+Z437+Z443+Z444+Z450+Z451+Z456+Z457</f>
        <v/>
      </c>
      <c r="AA473" s="8">
        <f>AA420+AA421+AA429+AA430+AA436+AA437+AA443+AA444+AA450+AA451+AA456+AA457</f>
        <v/>
      </c>
      <c r="AB473" s="8">
        <f>AB420+AB421+AB429+AB430+AB436+AB437+AB443+AB444+AB450+AB451+AB456+AB457</f>
        <v/>
      </c>
      <c r="AC473" s="8">
        <f>AC420+AC421+AC429+AC430+AC436+AC437+AC443+AC444+AC450+AC451+AC456+AC457</f>
        <v/>
      </c>
      <c r="AD473" s="8">
        <f>AD420+AD421+AD429+AD430+AD436+AD437+AD443+AD444+AD450+AD451+AD456+AD457</f>
        <v/>
      </c>
      <c r="AE473" s="8">
        <f>AE420+AE421+AE429+AE430+AE436+AE437+AE443+AE444+AE450+AE451+AE456+AE457</f>
        <v/>
      </c>
      <c r="AF473" s="8">
        <f>AF420+AF421+AF429+AF430+AF436+AF437+AF443+AF444+AF450+AF451+AF456+AF457</f>
        <v/>
      </c>
      <c r="AG473" s="8">
        <f>AG420+AG421+AG429+AG430+AG436+AG437+AG443+AG444+AG450+AG451+AG456+AG457</f>
        <v/>
      </c>
      <c r="AH473" s="8">
        <f>AH420+AH421+AH429+AH430+AH436+AH437+AH443+AH444+AH450+AH451+AH456+AH457</f>
        <v/>
      </c>
      <c r="AI473" s="8">
        <f>AI420+AI421+AI429+AI430+AI436+AI437+AI443+AI444+AI450+AI451+AI456+AI457</f>
        <v/>
      </c>
      <c r="AJ473" s="8">
        <f>AJ420+AJ421+AJ429+AJ430+AJ436+AJ437+AJ443+AJ444+AJ450+AJ451+AJ456+AJ457</f>
        <v/>
      </c>
      <c r="AK473" s="8">
        <f>AK420+AK421+AK429+AK430+AK436+AK437+AK443+AK444+AK450+AK451+AK456+AK457</f>
        <v/>
      </c>
      <c r="AL473" s="8">
        <f>AL420+AL421+AL429+AL430+AL436+AL437+AL443+AL444+AL450+AL451+AL456+AL457</f>
        <v/>
      </c>
      <c r="AM473" s="8">
        <f>AM420+AM421+AM429+AM430+AM436+AM437+AM443+AM444+AM450+AM451+AM456+AM457</f>
        <v/>
      </c>
      <c r="AN473" s="8">
        <f>AN420+AN421+AN429+AN430+AN436+AN437+AN443+AN444+AN450+AN451+AN456+AN457</f>
        <v/>
      </c>
      <c r="AO473" s="8">
        <f>AO420+AO421+AO429+AO430+AO436+AO437+AO443+AO444+AO450+AO451+AO456+AO457</f>
        <v/>
      </c>
      <c r="AP473" s="8">
        <f>AP420+AP421+AP429+AP430+AP436+AP437+AP443+AP444+AP450+AP451+AP456+AP457</f>
        <v/>
      </c>
      <c r="AQ473" s="8">
        <f>AQ420+AQ421+AQ429+AQ430+AQ436+AQ437+AQ443+AQ444+AQ450+AQ451+AQ456+AQ457</f>
        <v/>
      </c>
      <c r="AR473" s="8">
        <f>AR420+AR421+AR429+AR430+AR436+AR437+AR443+AR444+AR450+AR451+AR456+AR457</f>
        <v/>
      </c>
      <c r="AS473" s="8">
        <f>AS420+AS421+AS429+AS430+AS436+AS437+AS443+AS444+AS450+AS451+AS456+AS457</f>
        <v/>
      </c>
      <c r="AT473" s="8">
        <f>AT420+AT421+AT429+AT430+AT436+AT437+AT443+AT444+AT450+AT451+AT456+AT457</f>
        <v/>
      </c>
      <c r="AU473" s="8">
        <f>AU420+AU421+AU429+AU430+AU436+AU437+AU443+AU444+AU450+AU451+AU456+AU457</f>
        <v/>
      </c>
      <c r="AV473" s="8">
        <f>AV420+AV421+AV429+AV430+AV436+AV437+AV443+AV444+AV450+AV451+AV456+AV457</f>
        <v/>
      </c>
      <c r="AW473" s="8">
        <f>AW420+AW421+AW429+AW430+AW436+AW437+AW443+AW444+AW450+AW451+AW456+AW457</f>
        <v/>
      </c>
      <c r="AX473" s="8">
        <f>AX420+AX421+AX429+AX430+AX436+AX437+AX443+AX444+AX450+AX451+AX456+AX457</f>
        <v/>
      </c>
      <c r="AY473" s="8">
        <f>AY420+AY421+AY429+AY430+AY436+AY437+AY443+AY444+AY450+AY451+AY456+AY457</f>
        <v/>
      </c>
      <c r="AZ473" s="8">
        <f>AZ420+AZ421+AZ429+AZ430+AZ436+AZ437+AZ443+AZ444+AZ450+AZ451+AZ456+AZ457</f>
        <v/>
      </c>
      <c r="BA473" s="8">
        <f>BA420+BA421+BA429+BA430+BA436+BA437+BA443+BA444+BA450+BA451+BA456+BA457</f>
        <v/>
      </c>
      <c r="BB473" s="8">
        <f>BB420+BB421+BB429+BB430+BB436+BB437+BB443+BB444+BB450+BB451+BB456+BB457</f>
        <v/>
      </c>
      <c r="BC473" s="8">
        <f>BC420+BC421+BC429+BC430+BC436+BC437+BC443+BC444+BC450+BC451+BC456+BC457</f>
        <v/>
      </c>
      <c r="BD473" s="8">
        <f>BD420+BD421+BD429+BD430+BD436+BD437+BD443+BD444+BD450+BD451+BD456+BD457</f>
        <v/>
      </c>
      <c r="BE473" s="8">
        <f>BE420+BE421+BE429+BE430+BE436+BE437+BE443+BE444+BE450+BE451+BE456+BE457</f>
        <v/>
      </c>
      <c r="BF473" s="8">
        <f>BF420+BF421+BF429+BF430+BF436+BF437+BF443+BF444+BF450+BF451+BF456+BF457</f>
        <v/>
      </c>
      <c r="BG473" s="8">
        <f>BG420+BG421+BG429+BG430+BG436+BG437+BG443+BG444+BG450+BG451+BG456+BG457</f>
        <v/>
      </c>
      <c r="BH473" s="8">
        <f>BH420+BH421+BH429+BH430+BH436+BH437+BH443+BH444+BH450+BH451+BH456+BH457</f>
        <v/>
      </c>
      <c r="BI473" s="8">
        <f>BI420+BI421+BI429+BI430+BI436+BI437+BI443+BI444+BI450+BI451+BI456+BI457</f>
        <v/>
      </c>
      <c r="BJ473" s="8">
        <f>BJ420+BJ421+BJ429+BJ430+BJ436+BJ437+BJ443+BJ444+BJ450+BJ451+BJ456+BJ457</f>
        <v/>
      </c>
    </row>
    <row r="474">
      <c r="A474" s="4" t="inlineStr">
        <is>
          <t>Gross subscription revenue: Growth tier</t>
        </is>
      </c>
      <c r="B474" s="17" t="inlineStr">
        <is>
          <t>R</t>
        </is>
      </c>
      <c r="C474" s="8">
        <f>C422+C431+C438+C445+C452+C458</f>
        <v/>
      </c>
      <c r="D474" s="8">
        <f>D422+D431+D438+D445+D452+D458</f>
        <v/>
      </c>
      <c r="E474" s="8">
        <f>E422+E431+E438+E445+E452+E458</f>
        <v/>
      </c>
      <c r="F474" s="8">
        <f>F422+F431+F438+F445+F452+F458</f>
        <v/>
      </c>
      <c r="G474" s="8">
        <f>G422+G431+G438+G445+G452+G458</f>
        <v/>
      </c>
      <c r="H474" s="8">
        <f>H422+H431+H438+H445+H452+H458</f>
        <v/>
      </c>
      <c r="I474" s="8">
        <f>I422+I431+I438+I445+I452+I458</f>
        <v/>
      </c>
      <c r="J474" s="8">
        <f>J422+J431+J438+J445+J452+J458</f>
        <v/>
      </c>
      <c r="K474" s="8">
        <f>K422+K431+K438+K445+K452+K458</f>
        <v/>
      </c>
      <c r="L474" s="8">
        <f>L422+L431+L438+L445+L452+L458</f>
        <v/>
      </c>
      <c r="M474" s="8">
        <f>M422+M431+M438+M445+M452+M458</f>
        <v/>
      </c>
      <c r="N474" s="8">
        <f>N422+N431+N438+N445+N452+N458</f>
        <v/>
      </c>
      <c r="O474" s="8">
        <f>O422+O431+O438+O445+O452+O458</f>
        <v/>
      </c>
      <c r="P474" s="8">
        <f>P422+P431+P438+P445+P452+P458</f>
        <v/>
      </c>
      <c r="Q474" s="8">
        <f>Q422+Q431+Q438+Q445+Q452+Q458</f>
        <v/>
      </c>
      <c r="R474" s="8">
        <f>R422+R431+R438+R445+R452+R458</f>
        <v/>
      </c>
      <c r="S474" s="8">
        <f>S422+S431+S438+S445+S452+S458</f>
        <v/>
      </c>
      <c r="T474" s="8">
        <f>T422+T431+T438+T445+T452+T458</f>
        <v/>
      </c>
      <c r="U474" s="8">
        <f>U422+U431+U438+U445+U452+U458</f>
        <v/>
      </c>
      <c r="V474" s="8">
        <f>V422+V431+V438+V445+V452+V458</f>
        <v/>
      </c>
      <c r="W474" s="8">
        <f>W422+W431+W438+W445+W452+W458</f>
        <v/>
      </c>
      <c r="X474" s="8">
        <f>X422+X431+X438+X445+X452+X458</f>
        <v/>
      </c>
      <c r="Y474" s="8">
        <f>Y422+Y431+Y438+Y445+Y452+Y458</f>
        <v/>
      </c>
      <c r="Z474" s="8">
        <f>Z422+Z431+Z438+Z445+Z452+Z458</f>
        <v/>
      </c>
      <c r="AA474" s="8">
        <f>AA422+AA431+AA438+AA445+AA452+AA458</f>
        <v/>
      </c>
      <c r="AB474" s="8">
        <f>AB422+AB431+AB438+AB445+AB452+AB458</f>
        <v/>
      </c>
      <c r="AC474" s="8">
        <f>AC422+AC431+AC438+AC445+AC452+AC458</f>
        <v/>
      </c>
      <c r="AD474" s="8">
        <f>AD422+AD431+AD438+AD445+AD452+AD458</f>
        <v/>
      </c>
      <c r="AE474" s="8">
        <f>AE422+AE431+AE438+AE445+AE452+AE458</f>
        <v/>
      </c>
      <c r="AF474" s="8">
        <f>AF422+AF431+AF438+AF445+AF452+AF458</f>
        <v/>
      </c>
      <c r="AG474" s="8">
        <f>AG422+AG431+AG438+AG445+AG452+AG458</f>
        <v/>
      </c>
      <c r="AH474" s="8">
        <f>AH422+AH431+AH438+AH445+AH452+AH458</f>
        <v/>
      </c>
      <c r="AI474" s="8">
        <f>AI422+AI431+AI438+AI445+AI452+AI458</f>
        <v/>
      </c>
      <c r="AJ474" s="8">
        <f>AJ422+AJ431+AJ438+AJ445+AJ452+AJ458</f>
        <v/>
      </c>
      <c r="AK474" s="8">
        <f>AK422+AK431+AK438+AK445+AK452+AK458</f>
        <v/>
      </c>
      <c r="AL474" s="8">
        <f>AL422+AL431+AL438+AL445+AL452+AL458</f>
        <v/>
      </c>
      <c r="AM474" s="8">
        <f>AM422+AM431+AM438+AM445+AM452+AM458</f>
        <v/>
      </c>
      <c r="AN474" s="8">
        <f>AN422+AN431+AN438+AN445+AN452+AN458</f>
        <v/>
      </c>
      <c r="AO474" s="8">
        <f>AO422+AO431+AO438+AO445+AO452+AO458</f>
        <v/>
      </c>
      <c r="AP474" s="8">
        <f>AP422+AP431+AP438+AP445+AP452+AP458</f>
        <v/>
      </c>
      <c r="AQ474" s="8">
        <f>AQ422+AQ431+AQ438+AQ445+AQ452+AQ458</f>
        <v/>
      </c>
      <c r="AR474" s="8">
        <f>AR422+AR431+AR438+AR445+AR452+AR458</f>
        <v/>
      </c>
      <c r="AS474" s="8">
        <f>AS422+AS431+AS438+AS445+AS452+AS458</f>
        <v/>
      </c>
      <c r="AT474" s="8">
        <f>AT422+AT431+AT438+AT445+AT452+AT458</f>
        <v/>
      </c>
      <c r="AU474" s="8">
        <f>AU422+AU431+AU438+AU445+AU452+AU458</f>
        <v/>
      </c>
      <c r="AV474" s="8">
        <f>AV422+AV431+AV438+AV445+AV452+AV458</f>
        <v/>
      </c>
      <c r="AW474" s="8">
        <f>AW422+AW431+AW438+AW445+AW452+AW458</f>
        <v/>
      </c>
      <c r="AX474" s="8">
        <f>AX422+AX431+AX438+AX445+AX452+AX458</f>
        <v/>
      </c>
      <c r="AY474" s="8">
        <f>AY422+AY431+AY438+AY445+AY452+AY458</f>
        <v/>
      </c>
      <c r="AZ474" s="8">
        <f>AZ422+AZ431+AZ438+AZ445+AZ452+AZ458</f>
        <v/>
      </c>
      <c r="BA474" s="8">
        <f>BA422+BA431+BA438+BA445+BA452+BA458</f>
        <v/>
      </c>
      <c r="BB474" s="8">
        <f>BB422+BB431+BB438+BB445+BB452+BB458</f>
        <v/>
      </c>
      <c r="BC474" s="8">
        <f>BC422+BC431+BC438+BC445+BC452+BC458</f>
        <v/>
      </c>
      <c r="BD474" s="8">
        <f>BD422+BD431+BD438+BD445+BD452+BD458</f>
        <v/>
      </c>
      <c r="BE474" s="8">
        <f>BE422+BE431+BE438+BE445+BE452+BE458</f>
        <v/>
      </c>
      <c r="BF474" s="8">
        <f>BF422+BF431+BF438+BF445+BF452+BF458</f>
        <v/>
      </c>
      <c r="BG474" s="8">
        <f>BG422+BG431+BG438+BG445+BG452+BG458</f>
        <v/>
      </c>
      <c r="BH474" s="8">
        <f>BH422+BH431+BH438+BH445+BH452+BH458</f>
        <v/>
      </c>
      <c r="BI474" s="8">
        <f>BI422+BI431+BI438+BI445+BI452+BI458</f>
        <v/>
      </c>
      <c r="BJ474" s="8">
        <f>BJ422+BJ431+BJ438+BJ445+BJ452+BJ458</f>
        <v/>
      </c>
    </row>
    <row r="475">
      <c r="A475" s="4" t="inlineStr">
        <is>
          <t>Gross subscription revenue: Scale tier</t>
        </is>
      </c>
      <c r="B475" s="17" t="inlineStr">
        <is>
          <t>R</t>
        </is>
      </c>
      <c r="C475" s="8">
        <f>C423+C432+C439+C446+C453+C459</f>
        <v/>
      </c>
      <c r="D475" s="8">
        <f>D423+D432+D439+D446+D453+D459</f>
        <v/>
      </c>
      <c r="E475" s="8">
        <f>E423+E432+E439+E446+E453+E459</f>
        <v/>
      </c>
      <c r="F475" s="8">
        <f>F423+F432+F439+F446+F453+F459</f>
        <v/>
      </c>
      <c r="G475" s="8">
        <f>G423+G432+G439+G446+G453+G459</f>
        <v/>
      </c>
      <c r="H475" s="8">
        <f>H423+H432+H439+H446+H453+H459</f>
        <v/>
      </c>
      <c r="I475" s="8">
        <f>I423+I432+I439+I446+I453+I459</f>
        <v/>
      </c>
      <c r="J475" s="8">
        <f>J423+J432+J439+J446+J453+J459</f>
        <v/>
      </c>
      <c r="K475" s="8">
        <f>K423+K432+K439+K446+K453+K459</f>
        <v/>
      </c>
      <c r="L475" s="8">
        <f>L423+L432+L439+L446+L453+L459</f>
        <v/>
      </c>
      <c r="M475" s="8">
        <f>M423+M432+M439+M446+M453+M459</f>
        <v/>
      </c>
      <c r="N475" s="8">
        <f>N423+N432+N439+N446+N453+N459</f>
        <v/>
      </c>
      <c r="O475" s="8">
        <f>O423+O432+O439+O446+O453+O459</f>
        <v/>
      </c>
      <c r="P475" s="8">
        <f>P423+P432+P439+P446+P453+P459</f>
        <v/>
      </c>
      <c r="Q475" s="8">
        <f>Q423+Q432+Q439+Q446+Q453+Q459</f>
        <v/>
      </c>
      <c r="R475" s="8">
        <f>R423+R432+R439+R446+R453+R459</f>
        <v/>
      </c>
      <c r="S475" s="8">
        <f>S423+S432+S439+S446+S453+S459</f>
        <v/>
      </c>
      <c r="T475" s="8">
        <f>T423+T432+T439+T446+T453+T459</f>
        <v/>
      </c>
      <c r="U475" s="8">
        <f>U423+U432+U439+U446+U453+U459</f>
        <v/>
      </c>
      <c r="V475" s="8">
        <f>V423+V432+V439+V446+V453+V459</f>
        <v/>
      </c>
      <c r="W475" s="8">
        <f>W423+W432+W439+W446+W453+W459</f>
        <v/>
      </c>
      <c r="X475" s="8">
        <f>X423+X432+X439+X446+X453+X459</f>
        <v/>
      </c>
      <c r="Y475" s="8">
        <f>Y423+Y432+Y439+Y446+Y453+Y459</f>
        <v/>
      </c>
      <c r="Z475" s="8">
        <f>Z423+Z432+Z439+Z446+Z453+Z459</f>
        <v/>
      </c>
      <c r="AA475" s="8">
        <f>AA423+AA432+AA439+AA446+AA453+AA459</f>
        <v/>
      </c>
      <c r="AB475" s="8">
        <f>AB423+AB432+AB439+AB446+AB453+AB459</f>
        <v/>
      </c>
      <c r="AC475" s="8">
        <f>AC423+AC432+AC439+AC446+AC453+AC459</f>
        <v/>
      </c>
      <c r="AD475" s="8">
        <f>AD423+AD432+AD439+AD446+AD453+AD459</f>
        <v/>
      </c>
      <c r="AE475" s="8">
        <f>AE423+AE432+AE439+AE446+AE453+AE459</f>
        <v/>
      </c>
      <c r="AF475" s="8">
        <f>AF423+AF432+AF439+AF446+AF453+AF459</f>
        <v/>
      </c>
      <c r="AG475" s="8">
        <f>AG423+AG432+AG439+AG446+AG453+AG459</f>
        <v/>
      </c>
      <c r="AH475" s="8">
        <f>AH423+AH432+AH439+AH446+AH453+AH459</f>
        <v/>
      </c>
      <c r="AI475" s="8">
        <f>AI423+AI432+AI439+AI446+AI453+AI459</f>
        <v/>
      </c>
      <c r="AJ475" s="8">
        <f>AJ423+AJ432+AJ439+AJ446+AJ453+AJ459</f>
        <v/>
      </c>
      <c r="AK475" s="8">
        <f>AK423+AK432+AK439+AK446+AK453+AK459</f>
        <v/>
      </c>
      <c r="AL475" s="8">
        <f>AL423+AL432+AL439+AL446+AL453+AL459</f>
        <v/>
      </c>
      <c r="AM475" s="8">
        <f>AM423+AM432+AM439+AM446+AM453+AM459</f>
        <v/>
      </c>
      <c r="AN475" s="8">
        <f>AN423+AN432+AN439+AN446+AN453+AN459</f>
        <v/>
      </c>
      <c r="AO475" s="8">
        <f>AO423+AO432+AO439+AO446+AO453+AO459</f>
        <v/>
      </c>
      <c r="AP475" s="8">
        <f>AP423+AP432+AP439+AP446+AP453+AP459</f>
        <v/>
      </c>
      <c r="AQ475" s="8">
        <f>AQ423+AQ432+AQ439+AQ446+AQ453+AQ459</f>
        <v/>
      </c>
      <c r="AR475" s="8">
        <f>AR423+AR432+AR439+AR446+AR453+AR459</f>
        <v/>
      </c>
      <c r="AS475" s="8">
        <f>AS423+AS432+AS439+AS446+AS453+AS459</f>
        <v/>
      </c>
      <c r="AT475" s="8">
        <f>AT423+AT432+AT439+AT446+AT453+AT459</f>
        <v/>
      </c>
      <c r="AU475" s="8">
        <f>AU423+AU432+AU439+AU446+AU453+AU459</f>
        <v/>
      </c>
      <c r="AV475" s="8">
        <f>AV423+AV432+AV439+AV446+AV453+AV459</f>
        <v/>
      </c>
      <c r="AW475" s="8">
        <f>AW423+AW432+AW439+AW446+AW453+AW459</f>
        <v/>
      </c>
      <c r="AX475" s="8">
        <f>AX423+AX432+AX439+AX446+AX453+AX459</f>
        <v/>
      </c>
      <c r="AY475" s="8">
        <f>AY423+AY432+AY439+AY446+AY453+AY459</f>
        <v/>
      </c>
      <c r="AZ475" s="8">
        <f>AZ423+AZ432+AZ439+AZ446+AZ453+AZ459</f>
        <v/>
      </c>
      <c r="BA475" s="8">
        <f>BA423+BA432+BA439+BA446+BA453+BA459</f>
        <v/>
      </c>
      <c r="BB475" s="8">
        <f>BB423+BB432+BB439+BB446+BB453+BB459</f>
        <v/>
      </c>
      <c r="BC475" s="8">
        <f>BC423+BC432+BC439+BC446+BC453+BC459</f>
        <v/>
      </c>
      <c r="BD475" s="8">
        <f>BD423+BD432+BD439+BD446+BD453+BD459</f>
        <v/>
      </c>
      <c r="BE475" s="8">
        <f>BE423+BE432+BE439+BE446+BE453+BE459</f>
        <v/>
      </c>
      <c r="BF475" s="8">
        <f>BF423+BF432+BF439+BF446+BF453+BF459</f>
        <v/>
      </c>
      <c r="BG475" s="8">
        <f>BG423+BG432+BG439+BG446+BG453+BG459</f>
        <v/>
      </c>
      <c r="BH475" s="8">
        <f>BH423+BH432+BH439+BH446+BH453+BH459</f>
        <v/>
      </c>
      <c r="BI475" s="8">
        <f>BI423+BI432+BI439+BI446+BI453+BI459</f>
        <v/>
      </c>
      <c r="BJ475" s="8">
        <f>BJ423+BJ432+BJ439+BJ446+BJ453+BJ459</f>
        <v/>
      </c>
    </row>
    <row r="476">
      <c r="A476" s="4" t="inlineStr">
        <is>
          <t>Gross subscription revenue: Corporate tier</t>
        </is>
      </c>
      <c r="B476" s="17" t="inlineStr">
        <is>
          <t>R</t>
        </is>
      </c>
      <c r="C476" s="8">
        <f>C425</f>
        <v/>
      </c>
      <c r="D476" s="8">
        <f>D425</f>
        <v/>
      </c>
      <c r="E476" s="8">
        <f>E425</f>
        <v/>
      </c>
      <c r="F476" s="8">
        <f>F425</f>
        <v/>
      </c>
      <c r="G476" s="8">
        <f>G425</f>
        <v/>
      </c>
      <c r="H476" s="8">
        <f>H425</f>
        <v/>
      </c>
      <c r="I476" s="8">
        <f>I425</f>
        <v/>
      </c>
      <c r="J476" s="8">
        <f>J425</f>
        <v/>
      </c>
      <c r="K476" s="8">
        <f>K425</f>
        <v/>
      </c>
      <c r="L476" s="8">
        <f>L425</f>
        <v/>
      </c>
      <c r="M476" s="8">
        <f>M425</f>
        <v/>
      </c>
      <c r="N476" s="8">
        <f>N425</f>
        <v/>
      </c>
      <c r="O476" s="8">
        <f>O425</f>
        <v/>
      </c>
      <c r="P476" s="8">
        <f>P425</f>
        <v/>
      </c>
      <c r="Q476" s="8">
        <f>Q425</f>
        <v/>
      </c>
      <c r="R476" s="8">
        <f>R425</f>
        <v/>
      </c>
      <c r="S476" s="8">
        <f>S425</f>
        <v/>
      </c>
      <c r="T476" s="8">
        <f>T425</f>
        <v/>
      </c>
      <c r="U476" s="8">
        <f>U425</f>
        <v/>
      </c>
      <c r="V476" s="8">
        <f>V425</f>
        <v/>
      </c>
      <c r="W476" s="8">
        <f>W425</f>
        <v/>
      </c>
      <c r="X476" s="8">
        <f>X425</f>
        <v/>
      </c>
      <c r="Y476" s="8">
        <f>Y425</f>
        <v/>
      </c>
      <c r="Z476" s="8">
        <f>Z425</f>
        <v/>
      </c>
      <c r="AA476" s="8">
        <f>AA425</f>
        <v/>
      </c>
      <c r="AB476" s="8">
        <f>AB425</f>
        <v/>
      </c>
      <c r="AC476" s="8">
        <f>AC425</f>
        <v/>
      </c>
      <c r="AD476" s="8">
        <f>AD425</f>
        <v/>
      </c>
      <c r="AE476" s="8">
        <f>AE425</f>
        <v/>
      </c>
      <c r="AF476" s="8">
        <f>AF425</f>
        <v/>
      </c>
      <c r="AG476" s="8">
        <f>AG425</f>
        <v/>
      </c>
      <c r="AH476" s="8">
        <f>AH425</f>
        <v/>
      </c>
      <c r="AI476" s="8">
        <f>AI425</f>
        <v/>
      </c>
      <c r="AJ476" s="8">
        <f>AJ425</f>
        <v/>
      </c>
      <c r="AK476" s="8">
        <f>AK425</f>
        <v/>
      </c>
      <c r="AL476" s="8">
        <f>AL425</f>
        <v/>
      </c>
      <c r="AM476" s="8">
        <f>AM425</f>
        <v/>
      </c>
      <c r="AN476" s="8">
        <f>AN425</f>
        <v/>
      </c>
      <c r="AO476" s="8">
        <f>AO425</f>
        <v/>
      </c>
      <c r="AP476" s="8">
        <f>AP425</f>
        <v/>
      </c>
      <c r="AQ476" s="8">
        <f>AQ425</f>
        <v/>
      </c>
      <c r="AR476" s="8">
        <f>AR425</f>
        <v/>
      </c>
      <c r="AS476" s="8">
        <f>AS425</f>
        <v/>
      </c>
      <c r="AT476" s="8">
        <f>AT425</f>
        <v/>
      </c>
      <c r="AU476" s="8">
        <f>AU425</f>
        <v/>
      </c>
      <c r="AV476" s="8">
        <f>AV425</f>
        <v/>
      </c>
      <c r="AW476" s="8">
        <f>AW425</f>
        <v/>
      </c>
      <c r="AX476" s="8">
        <f>AX425</f>
        <v/>
      </c>
      <c r="AY476" s="8">
        <f>AY425</f>
        <v/>
      </c>
      <c r="AZ476" s="8">
        <f>AZ425</f>
        <v/>
      </c>
      <c r="BA476" s="8">
        <f>BA425</f>
        <v/>
      </c>
      <c r="BB476" s="8">
        <f>BB425</f>
        <v/>
      </c>
      <c r="BC476" s="8">
        <f>BC425</f>
        <v/>
      </c>
      <c r="BD476" s="8">
        <f>BD425</f>
        <v/>
      </c>
      <c r="BE476" s="8">
        <f>BE425</f>
        <v/>
      </c>
      <c r="BF476" s="8">
        <f>BF425</f>
        <v/>
      </c>
      <c r="BG476" s="8">
        <f>BG425</f>
        <v/>
      </c>
      <c r="BH476" s="8">
        <f>BH425</f>
        <v/>
      </c>
      <c r="BI476" s="8">
        <f>BI425</f>
        <v/>
      </c>
      <c r="BJ476" s="8">
        <f>BJ425</f>
        <v/>
      </c>
    </row>
    <row r="477">
      <c r="A477" s="4" t="inlineStr">
        <is>
          <t>Gross subscription revenue: Agency tier</t>
        </is>
      </c>
      <c r="B477" s="17" t="inlineStr">
        <is>
          <t>R</t>
        </is>
      </c>
      <c r="C477" s="8">
        <f>C424+C433+C440+C447</f>
        <v/>
      </c>
      <c r="D477" s="8">
        <f>D424+D433+D440+D447</f>
        <v/>
      </c>
      <c r="E477" s="8">
        <f>E424+E433+E440+E447</f>
        <v/>
      </c>
      <c r="F477" s="8">
        <f>F424+F433+F440+F447</f>
        <v/>
      </c>
      <c r="G477" s="8">
        <f>G424+G433+G440+G447</f>
        <v/>
      </c>
      <c r="H477" s="8">
        <f>H424+H433+H440+H447</f>
        <v/>
      </c>
      <c r="I477" s="8">
        <f>I424+I433+I440+I447</f>
        <v/>
      </c>
      <c r="J477" s="8">
        <f>J424+J433+J440+J447</f>
        <v/>
      </c>
      <c r="K477" s="8">
        <f>K424+K433+K440+K447</f>
        <v/>
      </c>
      <c r="L477" s="8">
        <f>L424+L433+L440+L447</f>
        <v/>
      </c>
      <c r="M477" s="8">
        <f>M424+M433+M440+M447</f>
        <v/>
      </c>
      <c r="N477" s="8">
        <f>N424+N433+N440+N447</f>
        <v/>
      </c>
      <c r="O477" s="8">
        <f>O424+O433+O440+O447</f>
        <v/>
      </c>
      <c r="P477" s="8">
        <f>P424+P433+P440+P447</f>
        <v/>
      </c>
      <c r="Q477" s="8">
        <f>Q424+Q433+Q440+Q447</f>
        <v/>
      </c>
      <c r="R477" s="8">
        <f>R424+R433+R440+R447</f>
        <v/>
      </c>
      <c r="S477" s="8">
        <f>S424+S433+S440+S447</f>
        <v/>
      </c>
      <c r="T477" s="8">
        <f>T424+T433+T440+T447</f>
        <v/>
      </c>
      <c r="U477" s="8">
        <f>U424+U433+U440+U447</f>
        <v/>
      </c>
      <c r="V477" s="8">
        <f>V424+V433+V440+V447</f>
        <v/>
      </c>
      <c r="W477" s="8">
        <f>W424+W433+W440+W447</f>
        <v/>
      </c>
      <c r="X477" s="8">
        <f>X424+X433+X440+X447</f>
        <v/>
      </c>
      <c r="Y477" s="8">
        <f>Y424+Y433+Y440+Y447</f>
        <v/>
      </c>
      <c r="Z477" s="8">
        <f>Z424+Z433+Z440+Z447</f>
        <v/>
      </c>
      <c r="AA477" s="8">
        <f>AA424+AA433+AA440+AA447</f>
        <v/>
      </c>
      <c r="AB477" s="8">
        <f>AB424+AB433+AB440+AB447</f>
        <v/>
      </c>
      <c r="AC477" s="8">
        <f>AC424+AC433+AC440+AC447</f>
        <v/>
      </c>
      <c r="AD477" s="8">
        <f>AD424+AD433+AD440+AD447</f>
        <v/>
      </c>
      <c r="AE477" s="8">
        <f>AE424+AE433+AE440+AE447</f>
        <v/>
      </c>
      <c r="AF477" s="8">
        <f>AF424+AF433+AF440+AF447</f>
        <v/>
      </c>
      <c r="AG477" s="8">
        <f>AG424+AG433+AG440+AG447</f>
        <v/>
      </c>
      <c r="AH477" s="8">
        <f>AH424+AH433+AH440+AH447</f>
        <v/>
      </c>
      <c r="AI477" s="8">
        <f>AI424+AI433+AI440+AI447</f>
        <v/>
      </c>
      <c r="AJ477" s="8">
        <f>AJ424+AJ433+AJ440+AJ447</f>
        <v/>
      </c>
      <c r="AK477" s="8">
        <f>AK424+AK433+AK440+AK447</f>
        <v/>
      </c>
      <c r="AL477" s="8">
        <f>AL424+AL433+AL440+AL447</f>
        <v/>
      </c>
      <c r="AM477" s="8">
        <f>AM424+AM433+AM440+AM447</f>
        <v/>
      </c>
      <c r="AN477" s="8">
        <f>AN424+AN433+AN440+AN447</f>
        <v/>
      </c>
      <c r="AO477" s="8">
        <f>AO424+AO433+AO440+AO447</f>
        <v/>
      </c>
      <c r="AP477" s="8">
        <f>AP424+AP433+AP440+AP447</f>
        <v/>
      </c>
      <c r="AQ477" s="8">
        <f>AQ424+AQ433+AQ440+AQ447</f>
        <v/>
      </c>
      <c r="AR477" s="8">
        <f>AR424+AR433+AR440+AR447</f>
        <v/>
      </c>
      <c r="AS477" s="8">
        <f>AS424+AS433+AS440+AS447</f>
        <v/>
      </c>
      <c r="AT477" s="8">
        <f>AT424+AT433+AT440+AT447</f>
        <v/>
      </c>
      <c r="AU477" s="8">
        <f>AU424+AU433+AU440+AU447</f>
        <v/>
      </c>
      <c r="AV477" s="8">
        <f>AV424+AV433+AV440+AV447</f>
        <v/>
      </c>
      <c r="AW477" s="8">
        <f>AW424+AW433+AW440+AW447</f>
        <v/>
      </c>
      <c r="AX477" s="8">
        <f>AX424+AX433+AX440+AX447</f>
        <v/>
      </c>
      <c r="AY477" s="8">
        <f>AY424+AY433+AY440+AY447</f>
        <v/>
      </c>
      <c r="AZ477" s="8">
        <f>AZ424+AZ433+AZ440+AZ447</f>
        <v/>
      </c>
      <c r="BA477" s="8">
        <f>BA424+BA433+BA440+BA447</f>
        <v/>
      </c>
      <c r="BB477" s="8">
        <f>BB424+BB433+BB440+BB447</f>
        <v/>
      </c>
      <c r="BC477" s="8">
        <f>BC424+BC433+BC440+BC447</f>
        <v/>
      </c>
      <c r="BD477" s="8">
        <f>BD424+BD433+BD440+BD447</f>
        <v/>
      </c>
      <c r="BE477" s="8">
        <f>BE424+BE433+BE440+BE447</f>
        <v/>
      </c>
      <c r="BF477" s="8">
        <f>BF424+BF433+BF440+BF447</f>
        <v/>
      </c>
      <c r="BG477" s="8">
        <f>BG424+BG433+BG440+BG447</f>
        <v/>
      </c>
      <c r="BH477" s="8">
        <f>BH424+BH433+BH440+BH447</f>
        <v/>
      </c>
      <c r="BI477" s="8">
        <f>BI424+BI433+BI440+BI447</f>
        <v/>
      </c>
      <c r="BJ477" s="8">
        <f>BJ424+BJ433+BJ440+BJ447</f>
        <v/>
      </c>
    </row>
    <row r="478">
      <c r="A478" s="4" t="inlineStr">
        <is>
          <t>Gross subscription revenue: Custom tier</t>
        </is>
      </c>
      <c r="B478" s="17" t="inlineStr">
        <is>
          <t>R</t>
        </is>
      </c>
      <c r="C478" s="8">
        <f>C426</f>
        <v/>
      </c>
      <c r="D478" s="8">
        <f>D426</f>
        <v/>
      </c>
      <c r="E478" s="8">
        <f>E426</f>
        <v/>
      </c>
      <c r="F478" s="8">
        <f>F426</f>
        <v/>
      </c>
      <c r="G478" s="8">
        <f>G426</f>
        <v/>
      </c>
      <c r="H478" s="8">
        <f>H426</f>
        <v/>
      </c>
      <c r="I478" s="8">
        <f>I426</f>
        <v/>
      </c>
      <c r="J478" s="8">
        <f>J426</f>
        <v/>
      </c>
      <c r="K478" s="8">
        <f>K426</f>
        <v/>
      </c>
      <c r="L478" s="8">
        <f>L426</f>
        <v/>
      </c>
      <c r="M478" s="8">
        <f>M426</f>
        <v/>
      </c>
      <c r="N478" s="8">
        <f>N426</f>
        <v/>
      </c>
      <c r="O478" s="8">
        <f>O426</f>
        <v/>
      </c>
      <c r="P478" s="8">
        <f>P426</f>
        <v/>
      </c>
      <c r="Q478" s="8">
        <f>Q426</f>
        <v/>
      </c>
      <c r="R478" s="8">
        <f>R426</f>
        <v/>
      </c>
      <c r="S478" s="8">
        <f>S426</f>
        <v/>
      </c>
      <c r="T478" s="8">
        <f>T426</f>
        <v/>
      </c>
      <c r="U478" s="8">
        <f>U426</f>
        <v/>
      </c>
      <c r="V478" s="8">
        <f>V426</f>
        <v/>
      </c>
      <c r="W478" s="8">
        <f>W426</f>
        <v/>
      </c>
      <c r="X478" s="8">
        <f>X426</f>
        <v/>
      </c>
      <c r="Y478" s="8">
        <f>Y426</f>
        <v/>
      </c>
      <c r="Z478" s="8">
        <f>Z426</f>
        <v/>
      </c>
      <c r="AA478" s="8">
        <f>AA426</f>
        <v/>
      </c>
      <c r="AB478" s="8">
        <f>AB426</f>
        <v/>
      </c>
      <c r="AC478" s="8">
        <f>AC426</f>
        <v/>
      </c>
      <c r="AD478" s="8">
        <f>AD426</f>
        <v/>
      </c>
      <c r="AE478" s="8">
        <f>AE426</f>
        <v/>
      </c>
      <c r="AF478" s="8">
        <f>AF426</f>
        <v/>
      </c>
      <c r="AG478" s="8">
        <f>AG426</f>
        <v/>
      </c>
      <c r="AH478" s="8">
        <f>AH426</f>
        <v/>
      </c>
      <c r="AI478" s="8">
        <f>AI426</f>
        <v/>
      </c>
      <c r="AJ478" s="8">
        <f>AJ426</f>
        <v/>
      </c>
      <c r="AK478" s="8">
        <f>AK426</f>
        <v/>
      </c>
      <c r="AL478" s="8">
        <f>AL426</f>
        <v/>
      </c>
      <c r="AM478" s="8">
        <f>AM426</f>
        <v/>
      </c>
      <c r="AN478" s="8">
        <f>AN426</f>
        <v/>
      </c>
      <c r="AO478" s="8">
        <f>AO426</f>
        <v/>
      </c>
      <c r="AP478" s="8">
        <f>AP426</f>
        <v/>
      </c>
      <c r="AQ478" s="8">
        <f>AQ426</f>
        <v/>
      </c>
      <c r="AR478" s="8">
        <f>AR426</f>
        <v/>
      </c>
      <c r="AS478" s="8">
        <f>AS426</f>
        <v/>
      </c>
      <c r="AT478" s="8">
        <f>AT426</f>
        <v/>
      </c>
      <c r="AU478" s="8">
        <f>AU426</f>
        <v/>
      </c>
      <c r="AV478" s="8">
        <f>AV426</f>
        <v/>
      </c>
      <c r="AW478" s="8">
        <f>AW426</f>
        <v/>
      </c>
      <c r="AX478" s="8">
        <f>AX426</f>
        <v/>
      </c>
      <c r="AY478" s="8">
        <f>AY426</f>
        <v/>
      </c>
      <c r="AZ478" s="8">
        <f>AZ426</f>
        <v/>
      </c>
      <c r="BA478" s="8">
        <f>BA426</f>
        <v/>
      </c>
      <c r="BB478" s="8">
        <f>BB426</f>
        <v/>
      </c>
      <c r="BC478" s="8">
        <f>BC426</f>
        <v/>
      </c>
      <c r="BD478" s="8">
        <f>BD426</f>
        <v/>
      </c>
      <c r="BE478" s="8">
        <f>BE426</f>
        <v/>
      </c>
      <c r="BF478" s="8">
        <f>BF426</f>
        <v/>
      </c>
      <c r="BG478" s="8">
        <f>BG426</f>
        <v/>
      </c>
      <c r="BH478" s="8">
        <f>BH426</f>
        <v/>
      </c>
      <c r="BI478" s="8">
        <f>BI426</f>
        <v/>
      </c>
      <c r="BJ478" s="8">
        <f>BJ426</f>
        <v/>
      </c>
    </row>
    <row r="479">
      <c r="A479" s="3" t="inlineStr">
        <is>
          <t>Gross subscription revenue (before launch discounts)</t>
        </is>
      </c>
      <c r="B479" s="17" t="inlineStr">
        <is>
          <t>R</t>
        </is>
      </c>
      <c r="C479" s="42">
        <f>C460+C461+C462+C463+C464+C465</f>
        <v/>
      </c>
      <c r="D479" s="42">
        <f>D460+D461+D462+D463+D464+D465</f>
        <v/>
      </c>
      <c r="E479" s="42">
        <f>E460+E461+E462+E463+E464+E465</f>
        <v/>
      </c>
      <c r="F479" s="42">
        <f>F460+F461+F462+F463+F464+F465</f>
        <v/>
      </c>
      <c r="G479" s="42">
        <f>G460+G461+G462+G463+G464+G465</f>
        <v/>
      </c>
      <c r="H479" s="42">
        <f>H460+H461+H462+H463+H464+H465</f>
        <v/>
      </c>
      <c r="I479" s="42">
        <f>I460+I461+I462+I463+I464+I465</f>
        <v/>
      </c>
      <c r="J479" s="42">
        <f>J460+J461+J462+J463+J464+J465</f>
        <v/>
      </c>
      <c r="K479" s="42">
        <f>K460+K461+K462+K463+K464+K465</f>
        <v/>
      </c>
      <c r="L479" s="42">
        <f>L460+L461+L462+L463+L464+L465</f>
        <v/>
      </c>
      <c r="M479" s="42">
        <f>M460+M461+M462+M463+M464+M465</f>
        <v/>
      </c>
      <c r="N479" s="42">
        <f>N460+N461+N462+N463+N464+N465</f>
        <v/>
      </c>
      <c r="O479" s="42">
        <f>O460+O461+O462+O463+O464+O465</f>
        <v/>
      </c>
      <c r="P479" s="42">
        <f>P460+P461+P462+P463+P464+P465</f>
        <v/>
      </c>
      <c r="Q479" s="42">
        <f>Q460+Q461+Q462+Q463+Q464+Q465</f>
        <v/>
      </c>
      <c r="R479" s="42">
        <f>R460+R461+R462+R463+R464+R465</f>
        <v/>
      </c>
      <c r="S479" s="42">
        <f>S460+S461+S462+S463+S464+S465</f>
        <v/>
      </c>
      <c r="T479" s="42">
        <f>T460+T461+T462+T463+T464+T465</f>
        <v/>
      </c>
      <c r="U479" s="42">
        <f>U460+U461+U462+U463+U464+U465</f>
        <v/>
      </c>
      <c r="V479" s="42">
        <f>V460+V461+V462+V463+V464+V465</f>
        <v/>
      </c>
      <c r="W479" s="42">
        <f>W460+W461+W462+W463+W464+W465</f>
        <v/>
      </c>
      <c r="X479" s="42">
        <f>X460+X461+X462+X463+X464+X465</f>
        <v/>
      </c>
      <c r="Y479" s="42">
        <f>Y460+Y461+Y462+Y463+Y464+Y465</f>
        <v/>
      </c>
      <c r="Z479" s="42">
        <f>Z460+Z461+Z462+Z463+Z464+Z465</f>
        <v/>
      </c>
      <c r="AA479" s="42">
        <f>AA460+AA461+AA462+AA463+AA464+AA465</f>
        <v/>
      </c>
      <c r="AB479" s="42">
        <f>AB460+AB461+AB462+AB463+AB464+AB465</f>
        <v/>
      </c>
      <c r="AC479" s="42">
        <f>AC460+AC461+AC462+AC463+AC464+AC465</f>
        <v/>
      </c>
      <c r="AD479" s="42">
        <f>AD460+AD461+AD462+AD463+AD464+AD465</f>
        <v/>
      </c>
      <c r="AE479" s="42">
        <f>AE460+AE461+AE462+AE463+AE464+AE465</f>
        <v/>
      </c>
      <c r="AF479" s="42">
        <f>AF460+AF461+AF462+AF463+AF464+AF465</f>
        <v/>
      </c>
      <c r="AG479" s="42">
        <f>AG460+AG461+AG462+AG463+AG464+AG465</f>
        <v/>
      </c>
      <c r="AH479" s="42">
        <f>AH460+AH461+AH462+AH463+AH464+AH465</f>
        <v/>
      </c>
      <c r="AI479" s="42">
        <f>AI460+AI461+AI462+AI463+AI464+AI465</f>
        <v/>
      </c>
      <c r="AJ479" s="42">
        <f>AJ460+AJ461+AJ462+AJ463+AJ464+AJ465</f>
        <v/>
      </c>
      <c r="AK479" s="42">
        <f>AK460+AK461+AK462+AK463+AK464+AK465</f>
        <v/>
      </c>
      <c r="AL479" s="42">
        <f>AL460+AL461+AL462+AL463+AL464+AL465</f>
        <v/>
      </c>
      <c r="AM479" s="42">
        <f>AM460+AM461+AM462+AM463+AM464+AM465</f>
        <v/>
      </c>
      <c r="AN479" s="42">
        <f>AN460+AN461+AN462+AN463+AN464+AN465</f>
        <v/>
      </c>
      <c r="AO479" s="42">
        <f>AO460+AO461+AO462+AO463+AO464+AO465</f>
        <v/>
      </c>
      <c r="AP479" s="42">
        <f>AP460+AP461+AP462+AP463+AP464+AP465</f>
        <v/>
      </c>
      <c r="AQ479" s="42">
        <f>AQ460+AQ461+AQ462+AQ463+AQ464+AQ465</f>
        <v/>
      </c>
      <c r="AR479" s="42">
        <f>AR460+AR461+AR462+AR463+AR464+AR465</f>
        <v/>
      </c>
      <c r="AS479" s="42">
        <f>AS460+AS461+AS462+AS463+AS464+AS465</f>
        <v/>
      </c>
      <c r="AT479" s="42">
        <f>AT460+AT461+AT462+AT463+AT464+AT465</f>
        <v/>
      </c>
      <c r="AU479" s="42">
        <f>AU460+AU461+AU462+AU463+AU464+AU465</f>
        <v/>
      </c>
      <c r="AV479" s="42">
        <f>AV460+AV461+AV462+AV463+AV464+AV465</f>
        <v/>
      </c>
      <c r="AW479" s="42">
        <f>AW460+AW461+AW462+AW463+AW464+AW465</f>
        <v/>
      </c>
      <c r="AX479" s="42">
        <f>AX460+AX461+AX462+AX463+AX464+AX465</f>
        <v/>
      </c>
      <c r="AY479" s="42">
        <f>AY460+AY461+AY462+AY463+AY464+AY465</f>
        <v/>
      </c>
      <c r="AZ479" s="42">
        <f>AZ460+AZ461+AZ462+AZ463+AZ464+AZ465</f>
        <v/>
      </c>
      <c r="BA479" s="42">
        <f>BA460+BA461+BA462+BA463+BA464+BA465</f>
        <v/>
      </c>
      <c r="BB479" s="42">
        <f>BB460+BB461+BB462+BB463+BB464+BB465</f>
        <v/>
      </c>
      <c r="BC479" s="42">
        <f>BC460+BC461+BC462+BC463+BC464+BC465</f>
        <v/>
      </c>
      <c r="BD479" s="42">
        <f>BD460+BD461+BD462+BD463+BD464+BD465</f>
        <v/>
      </c>
      <c r="BE479" s="42">
        <f>BE460+BE461+BE462+BE463+BE464+BE465</f>
        <v/>
      </c>
      <c r="BF479" s="42">
        <f>BF460+BF461+BF462+BF463+BF464+BF465</f>
        <v/>
      </c>
      <c r="BG479" s="42">
        <f>BG460+BG461+BG462+BG463+BG464+BG465</f>
        <v/>
      </c>
      <c r="BH479" s="42">
        <f>BH460+BH461+BH462+BH463+BH464+BH465</f>
        <v/>
      </c>
      <c r="BI479" s="42">
        <f>BI460+BI461+BI462+BI463+BI464+BI465</f>
        <v/>
      </c>
      <c r="BJ479" s="42">
        <f>BJ460+BJ461+BJ462+BJ463+BJ464+BJ465</f>
        <v/>
      </c>
    </row>
    <row r="480"/>
    <row r="481">
      <c r="A481" s="19" t="inlineStr">
        <is>
          <t>Launch discount: Founding Member, 30% off the first 2 monthly bills for South African Solo &amp; SME sign-ups while the offer runs (not Agency, Corporate or Custom; no stacking with partner wholesale; annual plans not discounted)</t>
        </is>
      </c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  <c r="AI481" s="19" t="n"/>
      <c r="AJ481" s="19" t="n"/>
      <c r="AK481" s="19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19" t="n"/>
      <c r="BA481" s="19" t="n"/>
      <c r="BB481" s="19" t="n"/>
      <c r="BC481" s="19" t="n"/>
      <c r="BD481" s="19" t="n"/>
      <c r="BE481" s="19" t="n"/>
      <c r="BF481" s="19" t="n"/>
      <c r="BG481" s="19" t="n"/>
      <c r="BH481" s="19" t="n"/>
      <c r="BI481" s="19" t="n"/>
      <c r="BJ481" s="19" t="n"/>
    </row>
    <row r="482">
      <c r="A482" s="4" t="inlineStr">
        <is>
          <t>List MRR of new Solo &amp; SME sign-ups while the offer runs: South Africa</t>
        </is>
      </c>
      <c r="B482" s="17" t="inlineStr">
        <is>
          <t>R</t>
        </is>
      </c>
      <c r="C482" s="8">
        <f>C30*C417*(C146*(Assumptions!$B$124*Pricing!$B$35+Assumptions!$B$125*Pricing!$B$36+Assumptions!$B$126*Pricing!$B$37)+C147*(Assumptions!$B$127*Pricing!$B$37+Assumptions!$B$128*Pricing!$B$38+Assumptions!$B$129*Pricing!$B$39))</f>
        <v/>
      </c>
      <c r="D482" s="8">
        <f>D30*D417*(D146*(Assumptions!$B$124*Pricing!$B$35+Assumptions!$B$125*Pricing!$B$36+Assumptions!$B$126*Pricing!$B$37)+D147*(Assumptions!$B$127*Pricing!$B$37+Assumptions!$B$128*Pricing!$B$38+Assumptions!$B$129*Pricing!$B$39))</f>
        <v/>
      </c>
      <c r="E482" s="8">
        <f>E30*E417*(E146*(Assumptions!$B$124*Pricing!$B$35+Assumptions!$B$125*Pricing!$B$36+Assumptions!$B$126*Pricing!$B$37)+E147*(Assumptions!$B$127*Pricing!$B$37+Assumptions!$B$128*Pricing!$B$38+Assumptions!$B$129*Pricing!$B$39))</f>
        <v/>
      </c>
      <c r="F482" s="8">
        <f>F30*F417*(F146*(Assumptions!$B$124*Pricing!$B$35+Assumptions!$B$125*Pricing!$B$36+Assumptions!$B$126*Pricing!$B$37)+F147*(Assumptions!$B$127*Pricing!$B$37+Assumptions!$B$128*Pricing!$B$38+Assumptions!$B$129*Pricing!$B$39))</f>
        <v/>
      </c>
      <c r="G482" s="8">
        <f>G30*G417*(G146*(Assumptions!$B$124*Pricing!$B$35+Assumptions!$B$125*Pricing!$B$36+Assumptions!$B$126*Pricing!$B$37)+G147*(Assumptions!$B$127*Pricing!$B$37+Assumptions!$B$128*Pricing!$B$38+Assumptions!$B$129*Pricing!$B$39))</f>
        <v/>
      </c>
      <c r="H482" s="8">
        <f>H30*H417*(H146*(Assumptions!$B$124*Pricing!$B$35+Assumptions!$B$125*Pricing!$B$36+Assumptions!$B$126*Pricing!$B$37)+H147*(Assumptions!$B$127*Pricing!$B$37+Assumptions!$B$128*Pricing!$B$38+Assumptions!$B$129*Pricing!$B$39))</f>
        <v/>
      </c>
      <c r="I482" s="8">
        <f>I30*I417*(I146*(Assumptions!$B$124*Pricing!$B$35+Assumptions!$B$125*Pricing!$B$36+Assumptions!$B$126*Pricing!$B$37)+I147*(Assumptions!$B$127*Pricing!$B$37+Assumptions!$B$128*Pricing!$B$38+Assumptions!$B$129*Pricing!$B$39))</f>
        <v/>
      </c>
      <c r="J482" s="8">
        <f>J30*J417*(J146*(Assumptions!$B$124*Pricing!$B$35+Assumptions!$B$125*Pricing!$B$36+Assumptions!$B$126*Pricing!$B$37)+J147*(Assumptions!$B$127*Pricing!$B$37+Assumptions!$B$128*Pricing!$B$38+Assumptions!$B$129*Pricing!$B$39))</f>
        <v/>
      </c>
      <c r="K482" s="8">
        <f>K30*K417*(K146*(Assumptions!$B$124*Pricing!$B$35+Assumptions!$B$125*Pricing!$B$36+Assumptions!$B$126*Pricing!$B$37)+K147*(Assumptions!$B$127*Pricing!$B$37+Assumptions!$B$128*Pricing!$B$38+Assumptions!$B$129*Pricing!$B$39))</f>
        <v/>
      </c>
      <c r="L482" s="8">
        <f>L30*L417*(L146*(Assumptions!$B$124*Pricing!$B$35+Assumptions!$B$125*Pricing!$B$36+Assumptions!$B$126*Pricing!$B$37)+L147*(Assumptions!$B$127*Pricing!$B$37+Assumptions!$B$128*Pricing!$B$38+Assumptions!$B$129*Pricing!$B$39))</f>
        <v/>
      </c>
      <c r="M482" s="8">
        <f>M30*M417*(M146*(Assumptions!$B$124*Pricing!$B$35+Assumptions!$B$125*Pricing!$B$36+Assumptions!$B$126*Pricing!$B$37)+M147*(Assumptions!$B$127*Pricing!$B$37+Assumptions!$B$128*Pricing!$B$38+Assumptions!$B$129*Pricing!$B$39))</f>
        <v/>
      </c>
      <c r="N482" s="8">
        <f>N30*N417*(N146*(Assumptions!$B$124*Pricing!$B$35+Assumptions!$B$125*Pricing!$B$36+Assumptions!$B$126*Pricing!$B$37)+N147*(Assumptions!$B$127*Pricing!$B$37+Assumptions!$B$128*Pricing!$B$38+Assumptions!$B$129*Pricing!$B$39))</f>
        <v/>
      </c>
      <c r="O482" s="8">
        <f>O30*O417*(O146*(Assumptions!$B$124*Pricing!$B$35+Assumptions!$B$125*Pricing!$B$36+Assumptions!$B$126*Pricing!$B$37)+O147*(Assumptions!$B$127*Pricing!$B$37+Assumptions!$B$128*Pricing!$B$38+Assumptions!$B$129*Pricing!$B$39))</f>
        <v/>
      </c>
      <c r="P482" s="8">
        <f>P30*P417*(P146*(Assumptions!$B$124*Pricing!$B$35+Assumptions!$B$125*Pricing!$B$36+Assumptions!$B$126*Pricing!$B$37)+P147*(Assumptions!$B$127*Pricing!$B$37+Assumptions!$B$128*Pricing!$B$38+Assumptions!$B$129*Pricing!$B$39))</f>
        <v/>
      </c>
      <c r="Q482" s="8">
        <f>Q30*Q417*(Q146*(Assumptions!$B$124*Pricing!$B$35+Assumptions!$B$125*Pricing!$B$36+Assumptions!$B$126*Pricing!$B$37)+Q147*(Assumptions!$B$127*Pricing!$B$37+Assumptions!$B$128*Pricing!$B$38+Assumptions!$B$129*Pricing!$B$39))</f>
        <v/>
      </c>
      <c r="R482" s="8">
        <f>R30*R417*(R146*(Assumptions!$B$124*Pricing!$B$35+Assumptions!$B$125*Pricing!$B$36+Assumptions!$B$126*Pricing!$B$37)+R147*(Assumptions!$B$127*Pricing!$B$37+Assumptions!$B$128*Pricing!$B$38+Assumptions!$B$129*Pricing!$B$39))</f>
        <v/>
      </c>
      <c r="S482" s="8">
        <f>S30*S417*(S146*(Assumptions!$B$124*Pricing!$B$35+Assumptions!$B$125*Pricing!$B$36+Assumptions!$B$126*Pricing!$B$37)+S147*(Assumptions!$B$127*Pricing!$B$37+Assumptions!$B$128*Pricing!$B$38+Assumptions!$B$129*Pricing!$B$39))</f>
        <v/>
      </c>
      <c r="T482" s="8">
        <f>T30*T417*(T146*(Assumptions!$B$124*Pricing!$B$35+Assumptions!$B$125*Pricing!$B$36+Assumptions!$B$126*Pricing!$B$37)+T147*(Assumptions!$B$127*Pricing!$B$37+Assumptions!$B$128*Pricing!$B$38+Assumptions!$B$129*Pricing!$B$39))</f>
        <v/>
      </c>
      <c r="U482" s="8">
        <f>U30*U417*(U146*(Assumptions!$B$124*Pricing!$B$35+Assumptions!$B$125*Pricing!$B$36+Assumptions!$B$126*Pricing!$B$37)+U147*(Assumptions!$B$127*Pricing!$B$37+Assumptions!$B$128*Pricing!$B$38+Assumptions!$B$129*Pricing!$B$39))</f>
        <v/>
      </c>
      <c r="V482" s="8">
        <f>V30*V417*(V146*(Assumptions!$B$124*Pricing!$B$35+Assumptions!$B$125*Pricing!$B$36+Assumptions!$B$126*Pricing!$B$37)+V147*(Assumptions!$B$127*Pricing!$B$37+Assumptions!$B$128*Pricing!$B$38+Assumptions!$B$129*Pricing!$B$39))</f>
        <v/>
      </c>
      <c r="W482" s="8">
        <f>W30*W417*(W146*(Assumptions!$B$124*Pricing!$B$35+Assumptions!$B$125*Pricing!$B$36+Assumptions!$B$126*Pricing!$B$37)+W147*(Assumptions!$B$127*Pricing!$B$37+Assumptions!$B$128*Pricing!$B$38+Assumptions!$B$129*Pricing!$B$39))</f>
        <v/>
      </c>
      <c r="X482" s="8">
        <f>X30*X417*(X146*(Assumptions!$B$124*Pricing!$B$35+Assumptions!$B$125*Pricing!$B$36+Assumptions!$B$126*Pricing!$B$37)+X147*(Assumptions!$B$127*Pricing!$B$37+Assumptions!$B$128*Pricing!$B$38+Assumptions!$B$129*Pricing!$B$39))</f>
        <v/>
      </c>
      <c r="Y482" s="8">
        <f>Y30*Y417*(Y146*(Assumptions!$B$124*Pricing!$B$35+Assumptions!$B$125*Pricing!$B$36+Assumptions!$B$126*Pricing!$B$37)+Y147*(Assumptions!$B$127*Pricing!$B$37+Assumptions!$B$128*Pricing!$B$38+Assumptions!$B$129*Pricing!$B$39))</f>
        <v/>
      </c>
      <c r="Z482" s="8">
        <f>Z30*Z417*(Z146*(Assumptions!$B$124*Pricing!$B$35+Assumptions!$B$125*Pricing!$B$36+Assumptions!$B$126*Pricing!$B$37)+Z147*(Assumptions!$B$127*Pricing!$B$37+Assumptions!$B$128*Pricing!$B$38+Assumptions!$B$129*Pricing!$B$39))</f>
        <v/>
      </c>
      <c r="AA482" s="8">
        <f>AA30*AA417*(AA146*(Assumptions!$B$124*Pricing!$B$35+Assumptions!$B$125*Pricing!$B$36+Assumptions!$B$126*Pricing!$B$37)+AA147*(Assumptions!$B$127*Pricing!$B$37+Assumptions!$B$128*Pricing!$B$38+Assumptions!$B$129*Pricing!$B$39))</f>
        <v/>
      </c>
      <c r="AB482" s="8">
        <f>AB30*AB417*(AB146*(Assumptions!$B$124*Pricing!$B$35+Assumptions!$B$125*Pricing!$B$36+Assumptions!$B$126*Pricing!$B$37)+AB147*(Assumptions!$B$127*Pricing!$B$37+Assumptions!$B$128*Pricing!$B$38+Assumptions!$B$129*Pricing!$B$39))</f>
        <v/>
      </c>
      <c r="AC482" s="8">
        <f>AC30*AC417*(AC146*(Assumptions!$B$124*Pricing!$B$35+Assumptions!$B$125*Pricing!$B$36+Assumptions!$B$126*Pricing!$B$37)+AC147*(Assumptions!$B$127*Pricing!$B$37+Assumptions!$B$128*Pricing!$B$38+Assumptions!$B$129*Pricing!$B$39))</f>
        <v/>
      </c>
      <c r="AD482" s="8">
        <f>AD30*AD417*(AD146*(Assumptions!$B$124*Pricing!$B$35+Assumptions!$B$125*Pricing!$B$36+Assumptions!$B$126*Pricing!$B$37)+AD147*(Assumptions!$B$127*Pricing!$B$37+Assumptions!$B$128*Pricing!$B$38+Assumptions!$B$129*Pricing!$B$39))</f>
        <v/>
      </c>
      <c r="AE482" s="8">
        <f>AE30*AE417*(AE146*(Assumptions!$B$124*Pricing!$B$35+Assumptions!$B$125*Pricing!$B$36+Assumptions!$B$126*Pricing!$B$37)+AE147*(Assumptions!$B$127*Pricing!$B$37+Assumptions!$B$128*Pricing!$B$38+Assumptions!$B$129*Pricing!$B$39))</f>
        <v/>
      </c>
      <c r="AF482" s="8">
        <f>AF30*AF417*(AF146*(Assumptions!$B$124*Pricing!$B$35+Assumptions!$B$125*Pricing!$B$36+Assumptions!$B$126*Pricing!$B$37)+AF147*(Assumptions!$B$127*Pricing!$B$37+Assumptions!$B$128*Pricing!$B$38+Assumptions!$B$129*Pricing!$B$39))</f>
        <v/>
      </c>
      <c r="AG482" s="8">
        <f>AG30*AG417*(AG146*(Assumptions!$B$124*Pricing!$B$35+Assumptions!$B$125*Pricing!$B$36+Assumptions!$B$126*Pricing!$B$37)+AG147*(Assumptions!$B$127*Pricing!$B$37+Assumptions!$B$128*Pricing!$B$38+Assumptions!$B$129*Pricing!$B$39))</f>
        <v/>
      </c>
      <c r="AH482" s="8">
        <f>AH30*AH417*(AH146*(Assumptions!$B$124*Pricing!$B$35+Assumptions!$B$125*Pricing!$B$36+Assumptions!$B$126*Pricing!$B$37)+AH147*(Assumptions!$B$127*Pricing!$B$37+Assumptions!$B$128*Pricing!$B$38+Assumptions!$B$129*Pricing!$B$39))</f>
        <v/>
      </c>
      <c r="AI482" s="8">
        <f>AI30*AI417*(AI146*(Assumptions!$B$124*Pricing!$B$35+Assumptions!$B$125*Pricing!$B$36+Assumptions!$B$126*Pricing!$B$37)+AI147*(Assumptions!$B$127*Pricing!$B$37+Assumptions!$B$128*Pricing!$B$38+Assumptions!$B$129*Pricing!$B$39))</f>
        <v/>
      </c>
      <c r="AJ482" s="8">
        <f>AJ30*AJ417*(AJ146*(Assumptions!$B$124*Pricing!$B$35+Assumptions!$B$125*Pricing!$B$36+Assumptions!$B$126*Pricing!$B$37)+AJ147*(Assumptions!$B$127*Pricing!$B$37+Assumptions!$B$128*Pricing!$B$38+Assumptions!$B$129*Pricing!$B$39))</f>
        <v/>
      </c>
      <c r="AK482" s="8">
        <f>AK30*AK417*(AK146*(Assumptions!$B$124*Pricing!$B$35+Assumptions!$B$125*Pricing!$B$36+Assumptions!$B$126*Pricing!$B$37)+AK147*(Assumptions!$B$127*Pricing!$B$37+Assumptions!$B$128*Pricing!$B$38+Assumptions!$B$129*Pricing!$B$39))</f>
        <v/>
      </c>
      <c r="AL482" s="8">
        <f>AL30*AL417*(AL146*(Assumptions!$B$124*Pricing!$B$35+Assumptions!$B$125*Pricing!$B$36+Assumptions!$B$126*Pricing!$B$37)+AL147*(Assumptions!$B$127*Pricing!$B$37+Assumptions!$B$128*Pricing!$B$38+Assumptions!$B$129*Pricing!$B$39))</f>
        <v/>
      </c>
      <c r="AM482" s="8">
        <f>AM30*AM417*(AM146*(Assumptions!$B$124*Pricing!$B$35+Assumptions!$B$125*Pricing!$B$36+Assumptions!$B$126*Pricing!$B$37)+AM147*(Assumptions!$B$127*Pricing!$B$37+Assumptions!$B$128*Pricing!$B$38+Assumptions!$B$129*Pricing!$B$39))</f>
        <v/>
      </c>
      <c r="AN482" s="8">
        <f>AN30*AN417*(AN146*(Assumptions!$B$124*Pricing!$B$35+Assumptions!$B$125*Pricing!$B$36+Assumptions!$B$126*Pricing!$B$37)+AN147*(Assumptions!$B$127*Pricing!$B$37+Assumptions!$B$128*Pricing!$B$38+Assumptions!$B$129*Pricing!$B$39))</f>
        <v/>
      </c>
      <c r="AO482" s="8">
        <f>AO30*AO417*(AO146*(Assumptions!$B$124*Pricing!$B$35+Assumptions!$B$125*Pricing!$B$36+Assumptions!$B$126*Pricing!$B$37)+AO147*(Assumptions!$B$127*Pricing!$B$37+Assumptions!$B$128*Pricing!$B$38+Assumptions!$B$129*Pricing!$B$39))</f>
        <v/>
      </c>
      <c r="AP482" s="8">
        <f>AP30*AP417*(AP146*(Assumptions!$B$124*Pricing!$B$35+Assumptions!$B$125*Pricing!$B$36+Assumptions!$B$126*Pricing!$B$37)+AP147*(Assumptions!$B$127*Pricing!$B$37+Assumptions!$B$128*Pricing!$B$38+Assumptions!$B$129*Pricing!$B$39))</f>
        <v/>
      </c>
      <c r="AQ482" s="8">
        <f>AQ30*AQ417*(AQ146*(Assumptions!$B$124*Pricing!$B$35+Assumptions!$B$125*Pricing!$B$36+Assumptions!$B$126*Pricing!$B$37)+AQ147*(Assumptions!$B$127*Pricing!$B$37+Assumptions!$B$128*Pricing!$B$38+Assumptions!$B$129*Pricing!$B$39))</f>
        <v/>
      </c>
      <c r="AR482" s="8">
        <f>AR30*AR417*(AR146*(Assumptions!$B$124*Pricing!$B$35+Assumptions!$B$125*Pricing!$B$36+Assumptions!$B$126*Pricing!$B$37)+AR147*(Assumptions!$B$127*Pricing!$B$37+Assumptions!$B$128*Pricing!$B$38+Assumptions!$B$129*Pricing!$B$39))</f>
        <v/>
      </c>
      <c r="AS482" s="8">
        <f>AS30*AS417*(AS146*(Assumptions!$B$124*Pricing!$B$35+Assumptions!$B$125*Pricing!$B$36+Assumptions!$B$126*Pricing!$B$37)+AS147*(Assumptions!$B$127*Pricing!$B$37+Assumptions!$B$128*Pricing!$B$38+Assumptions!$B$129*Pricing!$B$39))</f>
        <v/>
      </c>
      <c r="AT482" s="8">
        <f>AT30*AT417*(AT146*(Assumptions!$B$124*Pricing!$B$35+Assumptions!$B$125*Pricing!$B$36+Assumptions!$B$126*Pricing!$B$37)+AT147*(Assumptions!$B$127*Pricing!$B$37+Assumptions!$B$128*Pricing!$B$38+Assumptions!$B$129*Pricing!$B$39))</f>
        <v/>
      </c>
      <c r="AU482" s="8">
        <f>AU30*AU417*(AU146*(Assumptions!$B$124*Pricing!$B$35+Assumptions!$B$125*Pricing!$B$36+Assumptions!$B$126*Pricing!$B$37)+AU147*(Assumptions!$B$127*Pricing!$B$37+Assumptions!$B$128*Pricing!$B$38+Assumptions!$B$129*Pricing!$B$39))</f>
        <v/>
      </c>
      <c r="AV482" s="8">
        <f>AV30*AV417*(AV146*(Assumptions!$B$124*Pricing!$B$35+Assumptions!$B$125*Pricing!$B$36+Assumptions!$B$126*Pricing!$B$37)+AV147*(Assumptions!$B$127*Pricing!$B$37+Assumptions!$B$128*Pricing!$B$38+Assumptions!$B$129*Pricing!$B$39))</f>
        <v/>
      </c>
      <c r="AW482" s="8">
        <f>AW30*AW417*(AW146*(Assumptions!$B$124*Pricing!$B$35+Assumptions!$B$125*Pricing!$B$36+Assumptions!$B$126*Pricing!$B$37)+AW147*(Assumptions!$B$127*Pricing!$B$37+Assumptions!$B$128*Pricing!$B$38+Assumptions!$B$129*Pricing!$B$39))</f>
        <v/>
      </c>
      <c r="AX482" s="8">
        <f>AX30*AX417*(AX146*(Assumptions!$B$124*Pricing!$B$35+Assumptions!$B$125*Pricing!$B$36+Assumptions!$B$126*Pricing!$B$37)+AX147*(Assumptions!$B$127*Pricing!$B$37+Assumptions!$B$128*Pricing!$B$38+Assumptions!$B$129*Pricing!$B$39))</f>
        <v/>
      </c>
      <c r="AY482" s="8">
        <f>AY30*AY417*(AY146*(Assumptions!$B$124*Pricing!$B$35+Assumptions!$B$125*Pricing!$B$36+Assumptions!$B$126*Pricing!$B$37)+AY147*(Assumptions!$B$127*Pricing!$B$37+Assumptions!$B$128*Pricing!$B$38+Assumptions!$B$129*Pricing!$B$39))</f>
        <v/>
      </c>
      <c r="AZ482" s="8">
        <f>AZ30*AZ417*(AZ146*(Assumptions!$B$124*Pricing!$B$35+Assumptions!$B$125*Pricing!$B$36+Assumptions!$B$126*Pricing!$B$37)+AZ147*(Assumptions!$B$127*Pricing!$B$37+Assumptions!$B$128*Pricing!$B$38+Assumptions!$B$129*Pricing!$B$39))</f>
        <v/>
      </c>
      <c r="BA482" s="8">
        <f>BA30*BA417*(BA146*(Assumptions!$B$124*Pricing!$B$35+Assumptions!$B$125*Pricing!$B$36+Assumptions!$B$126*Pricing!$B$37)+BA147*(Assumptions!$B$127*Pricing!$B$37+Assumptions!$B$128*Pricing!$B$38+Assumptions!$B$129*Pricing!$B$39))</f>
        <v/>
      </c>
      <c r="BB482" s="8">
        <f>BB30*BB417*(BB146*(Assumptions!$B$124*Pricing!$B$35+Assumptions!$B$125*Pricing!$B$36+Assumptions!$B$126*Pricing!$B$37)+BB147*(Assumptions!$B$127*Pricing!$B$37+Assumptions!$B$128*Pricing!$B$38+Assumptions!$B$129*Pricing!$B$39))</f>
        <v/>
      </c>
      <c r="BC482" s="8">
        <f>BC30*BC417*(BC146*(Assumptions!$B$124*Pricing!$B$35+Assumptions!$B$125*Pricing!$B$36+Assumptions!$B$126*Pricing!$B$37)+BC147*(Assumptions!$B$127*Pricing!$B$37+Assumptions!$B$128*Pricing!$B$38+Assumptions!$B$129*Pricing!$B$39))</f>
        <v/>
      </c>
      <c r="BD482" s="8">
        <f>BD30*BD417*(BD146*(Assumptions!$B$124*Pricing!$B$35+Assumptions!$B$125*Pricing!$B$36+Assumptions!$B$126*Pricing!$B$37)+BD147*(Assumptions!$B$127*Pricing!$B$37+Assumptions!$B$128*Pricing!$B$38+Assumptions!$B$129*Pricing!$B$39))</f>
        <v/>
      </c>
      <c r="BE482" s="8">
        <f>BE30*BE417*(BE146*(Assumptions!$B$124*Pricing!$B$35+Assumptions!$B$125*Pricing!$B$36+Assumptions!$B$126*Pricing!$B$37)+BE147*(Assumptions!$B$127*Pricing!$B$37+Assumptions!$B$128*Pricing!$B$38+Assumptions!$B$129*Pricing!$B$39))</f>
        <v/>
      </c>
      <c r="BF482" s="8">
        <f>BF30*BF417*(BF146*(Assumptions!$B$124*Pricing!$B$35+Assumptions!$B$125*Pricing!$B$36+Assumptions!$B$126*Pricing!$B$37)+BF147*(Assumptions!$B$127*Pricing!$B$37+Assumptions!$B$128*Pricing!$B$38+Assumptions!$B$129*Pricing!$B$39))</f>
        <v/>
      </c>
      <c r="BG482" s="8">
        <f>BG30*BG417*(BG146*(Assumptions!$B$124*Pricing!$B$35+Assumptions!$B$125*Pricing!$B$36+Assumptions!$B$126*Pricing!$B$37)+BG147*(Assumptions!$B$127*Pricing!$B$37+Assumptions!$B$128*Pricing!$B$38+Assumptions!$B$129*Pricing!$B$39))</f>
        <v/>
      </c>
      <c r="BH482" s="8">
        <f>BH30*BH417*(BH146*(Assumptions!$B$124*Pricing!$B$35+Assumptions!$B$125*Pricing!$B$36+Assumptions!$B$126*Pricing!$B$37)+BH147*(Assumptions!$B$127*Pricing!$B$37+Assumptions!$B$128*Pricing!$B$38+Assumptions!$B$129*Pricing!$B$39))</f>
        <v/>
      </c>
      <c r="BI482" s="8">
        <f>BI30*BI417*(BI146*(Assumptions!$B$124*Pricing!$B$35+Assumptions!$B$125*Pricing!$B$36+Assumptions!$B$126*Pricing!$B$37)+BI147*(Assumptions!$B$127*Pricing!$B$37+Assumptions!$B$128*Pricing!$B$38+Assumptions!$B$129*Pricing!$B$39))</f>
        <v/>
      </c>
      <c r="BJ482" s="8">
        <f>BJ30*BJ417*(BJ146*(Assumptions!$B$124*Pricing!$B$35+Assumptions!$B$125*Pricing!$B$36+Assumptions!$B$126*Pricing!$B$37)+BJ147*(Assumptions!$B$127*Pricing!$B$37+Assumptions!$B$128*Pricing!$B$38+Assumptions!$B$129*Pricing!$B$39))</f>
        <v/>
      </c>
    </row>
    <row r="483">
      <c r="A483" s="3" t="inlineStr">
        <is>
          <t>Founding Member discount (monthly plans: bill 1 this month, bill 2 next month): South Africa</t>
        </is>
      </c>
      <c r="B483" s="17" t="inlineStr">
        <is>
          <t>R</t>
        </is>
      </c>
      <c r="C483" s="42">
        <f>(1-Pricing!$B$17)*Assumptions!$B$54*(C482+0*(1-Assumptions!$B$36))</f>
        <v/>
      </c>
      <c r="D483" s="42">
        <f>(1-Pricing!$B$17)*Assumptions!$B$54*(D482+C482*(1-Assumptions!$B$36))</f>
        <v/>
      </c>
      <c r="E483" s="42">
        <f>(1-Pricing!$B$17)*Assumptions!$B$54*(E482+D482*(1-Assumptions!$B$36))</f>
        <v/>
      </c>
      <c r="F483" s="42">
        <f>(1-Pricing!$B$17)*Assumptions!$B$54*(F482+E482*(1-Assumptions!$B$36))</f>
        <v/>
      </c>
      <c r="G483" s="42">
        <f>(1-Pricing!$B$17)*Assumptions!$B$54*(G482+F482*(1-Assumptions!$B$36))</f>
        <v/>
      </c>
      <c r="H483" s="42">
        <f>(1-Pricing!$B$17)*Assumptions!$B$54*(H482+G482*(1-Assumptions!$B$36))</f>
        <v/>
      </c>
      <c r="I483" s="42">
        <f>(1-Pricing!$B$17)*Assumptions!$B$54*(I482+H482*(1-Assumptions!$B$36))</f>
        <v/>
      </c>
      <c r="J483" s="42">
        <f>(1-Pricing!$B$17)*Assumptions!$B$54*(J482+I482*(1-Assumptions!$B$36))</f>
        <v/>
      </c>
      <c r="K483" s="42">
        <f>(1-Pricing!$B$17)*Assumptions!$B$54*(K482+J482*(1-Assumptions!$B$36))</f>
        <v/>
      </c>
      <c r="L483" s="42">
        <f>(1-Pricing!$B$17)*Assumptions!$B$54*(L482+K482*(1-Assumptions!$B$36))</f>
        <v/>
      </c>
      <c r="M483" s="42">
        <f>(1-Pricing!$B$17)*Assumptions!$B$54*(M482+L482*(1-Assumptions!$B$36))</f>
        <v/>
      </c>
      <c r="N483" s="42">
        <f>(1-Pricing!$B$17)*Assumptions!$B$54*(N482+M482*(1-Assumptions!$B$36))</f>
        <v/>
      </c>
      <c r="O483" s="42">
        <f>(1-Pricing!$B$17)*Assumptions!$B$54*(O482+N482*(1-Assumptions!$B$36))</f>
        <v/>
      </c>
      <c r="P483" s="42">
        <f>(1-Pricing!$B$17)*Assumptions!$B$54*(P482+O482*(1-Assumptions!$B$36))</f>
        <v/>
      </c>
      <c r="Q483" s="42">
        <f>(1-Pricing!$B$17)*Assumptions!$B$54*(Q482+P482*(1-Assumptions!$B$36))</f>
        <v/>
      </c>
      <c r="R483" s="42">
        <f>(1-Pricing!$B$17)*Assumptions!$B$54*(R482+Q482*(1-Assumptions!$B$36))</f>
        <v/>
      </c>
      <c r="S483" s="42">
        <f>(1-Pricing!$B$17)*Assumptions!$B$54*(S482+R482*(1-Assumptions!$B$36))</f>
        <v/>
      </c>
      <c r="T483" s="42">
        <f>(1-Pricing!$B$17)*Assumptions!$B$54*(T482+S482*(1-Assumptions!$B$36))</f>
        <v/>
      </c>
      <c r="U483" s="42">
        <f>(1-Pricing!$B$17)*Assumptions!$B$54*(U482+T482*(1-Assumptions!$B$36))</f>
        <v/>
      </c>
      <c r="V483" s="42">
        <f>(1-Pricing!$B$17)*Assumptions!$B$54*(V482+U482*(1-Assumptions!$B$36))</f>
        <v/>
      </c>
      <c r="W483" s="42">
        <f>(1-Pricing!$B$17)*Assumptions!$B$54*(W482+V482*(1-Assumptions!$B$36))</f>
        <v/>
      </c>
      <c r="X483" s="42">
        <f>(1-Pricing!$B$17)*Assumptions!$B$54*(X482+W482*(1-Assumptions!$B$36))</f>
        <v/>
      </c>
      <c r="Y483" s="42">
        <f>(1-Pricing!$B$17)*Assumptions!$B$54*(Y482+X482*(1-Assumptions!$B$36))</f>
        <v/>
      </c>
      <c r="Z483" s="42">
        <f>(1-Pricing!$B$17)*Assumptions!$B$54*(Z482+Y482*(1-Assumptions!$B$36))</f>
        <v/>
      </c>
      <c r="AA483" s="42">
        <f>(1-Pricing!$B$17)*Assumptions!$B$54*(AA482+Z482*(1-Assumptions!$B$36))</f>
        <v/>
      </c>
      <c r="AB483" s="42">
        <f>(1-Pricing!$B$17)*Assumptions!$B$54*(AB482+AA482*(1-Assumptions!$B$36))</f>
        <v/>
      </c>
      <c r="AC483" s="42">
        <f>(1-Pricing!$B$17)*Assumptions!$B$54*(AC482+AB482*(1-Assumptions!$B$36))</f>
        <v/>
      </c>
      <c r="AD483" s="42">
        <f>(1-Pricing!$B$17)*Assumptions!$B$54*(AD482+AC482*(1-Assumptions!$B$36))</f>
        <v/>
      </c>
      <c r="AE483" s="42">
        <f>(1-Pricing!$B$17)*Assumptions!$B$54*(AE482+AD482*(1-Assumptions!$B$36))</f>
        <v/>
      </c>
      <c r="AF483" s="42">
        <f>(1-Pricing!$B$17)*Assumptions!$B$54*(AF482+AE482*(1-Assumptions!$B$36))</f>
        <v/>
      </c>
      <c r="AG483" s="42">
        <f>(1-Pricing!$B$17)*Assumptions!$B$54*(AG482+AF482*(1-Assumptions!$B$36))</f>
        <v/>
      </c>
      <c r="AH483" s="42">
        <f>(1-Pricing!$B$17)*Assumptions!$B$54*(AH482+AG482*(1-Assumptions!$B$36))</f>
        <v/>
      </c>
      <c r="AI483" s="42">
        <f>(1-Pricing!$B$17)*Assumptions!$B$54*(AI482+AH482*(1-Assumptions!$B$36))</f>
        <v/>
      </c>
      <c r="AJ483" s="42">
        <f>(1-Pricing!$B$17)*Assumptions!$B$54*(AJ482+AI482*(1-Assumptions!$B$36))</f>
        <v/>
      </c>
      <c r="AK483" s="42">
        <f>(1-Pricing!$B$17)*Assumptions!$B$54*(AK482+AJ482*(1-Assumptions!$B$36))</f>
        <v/>
      </c>
      <c r="AL483" s="42">
        <f>(1-Pricing!$B$17)*Assumptions!$B$54*(AL482+AK482*(1-Assumptions!$B$36))</f>
        <v/>
      </c>
      <c r="AM483" s="42">
        <f>(1-Pricing!$B$17)*Assumptions!$B$54*(AM482+AL482*(1-Assumptions!$B$36))</f>
        <v/>
      </c>
      <c r="AN483" s="42">
        <f>(1-Pricing!$B$17)*Assumptions!$B$54*(AN482+AM482*(1-Assumptions!$B$36))</f>
        <v/>
      </c>
      <c r="AO483" s="42">
        <f>(1-Pricing!$B$17)*Assumptions!$B$54*(AO482+AN482*(1-Assumptions!$B$36))</f>
        <v/>
      </c>
      <c r="AP483" s="42">
        <f>(1-Pricing!$B$17)*Assumptions!$B$54*(AP482+AO482*(1-Assumptions!$B$36))</f>
        <v/>
      </c>
      <c r="AQ483" s="42">
        <f>(1-Pricing!$B$17)*Assumptions!$B$54*(AQ482+AP482*(1-Assumptions!$B$36))</f>
        <v/>
      </c>
      <c r="AR483" s="42">
        <f>(1-Pricing!$B$17)*Assumptions!$B$54*(AR482+AQ482*(1-Assumptions!$B$36))</f>
        <v/>
      </c>
      <c r="AS483" s="42">
        <f>(1-Pricing!$B$17)*Assumptions!$B$54*(AS482+AR482*(1-Assumptions!$B$36))</f>
        <v/>
      </c>
      <c r="AT483" s="42">
        <f>(1-Pricing!$B$17)*Assumptions!$B$54*(AT482+AS482*(1-Assumptions!$B$36))</f>
        <v/>
      </c>
      <c r="AU483" s="42">
        <f>(1-Pricing!$B$17)*Assumptions!$B$54*(AU482+AT482*(1-Assumptions!$B$36))</f>
        <v/>
      </c>
      <c r="AV483" s="42">
        <f>(1-Pricing!$B$17)*Assumptions!$B$54*(AV482+AU482*(1-Assumptions!$B$36))</f>
        <v/>
      </c>
      <c r="AW483" s="42">
        <f>(1-Pricing!$B$17)*Assumptions!$B$54*(AW482+AV482*(1-Assumptions!$B$36))</f>
        <v/>
      </c>
      <c r="AX483" s="42">
        <f>(1-Pricing!$B$17)*Assumptions!$B$54*(AX482+AW482*(1-Assumptions!$B$36))</f>
        <v/>
      </c>
      <c r="AY483" s="42">
        <f>(1-Pricing!$B$17)*Assumptions!$B$54*(AY482+AX482*(1-Assumptions!$B$36))</f>
        <v/>
      </c>
      <c r="AZ483" s="42">
        <f>(1-Pricing!$B$17)*Assumptions!$B$54*(AZ482+AY482*(1-Assumptions!$B$36))</f>
        <v/>
      </c>
      <c r="BA483" s="42">
        <f>(1-Pricing!$B$17)*Assumptions!$B$54*(BA482+AZ482*(1-Assumptions!$B$36))</f>
        <v/>
      </c>
      <c r="BB483" s="42">
        <f>(1-Pricing!$B$17)*Assumptions!$B$54*(BB482+BA482*(1-Assumptions!$B$36))</f>
        <v/>
      </c>
      <c r="BC483" s="42">
        <f>(1-Pricing!$B$17)*Assumptions!$B$54*(BC482+BB482*(1-Assumptions!$B$36))</f>
        <v/>
      </c>
      <c r="BD483" s="42">
        <f>(1-Pricing!$B$17)*Assumptions!$B$54*(BD482+BC482*(1-Assumptions!$B$36))</f>
        <v/>
      </c>
      <c r="BE483" s="42">
        <f>(1-Pricing!$B$17)*Assumptions!$B$54*(BE482+BD482*(1-Assumptions!$B$36))</f>
        <v/>
      </c>
      <c r="BF483" s="42">
        <f>(1-Pricing!$B$17)*Assumptions!$B$54*(BF482+BE482*(1-Assumptions!$B$36))</f>
        <v/>
      </c>
      <c r="BG483" s="42">
        <f>(1-Pricing!$B$17)*Assumptions!$B$54*(BG482+BF482*(1-Assumptions!$B$36))</f>
        <v/>
      </c>
      <c r="BH483" s="42">
        <f>(1-Pricing!$B$17)*Assumptions!$B$54*(BH482+BG482*(1-Assumptions!$B$36))</f>
        <v/>
      </c>
      <c r="BI483" s="42">
        <f>(1-Pricing!$B$17)*Assumptions!$B$54*(BI482+BH482*(1-Assumptions!$B$36))</f>
        <v/>
      </c>
      <c r="BJ483" s="42">
        <f>(1-Pricing!$B$17)*Assumptions!$B$54*(BJ482+BI482*(1-Assumptions!$B$36))</f>
        <v/>
      </c>
    </row>
    <row r="484">
      <c r="A484" s="3" t="inlineStr">
        <is>
          <t>Founding Member discount: all markets</t>
        </is>
      </c>
      <c r="B484" s="17" t="inlineStr">
        <is>
          <t>R</t>
        </is>
      </c>
      <c r="C484" s="42">
        <f>C483</f>
        <v/>
      </c>
      <c r="D484" s="42">
        <f>D483</f>
        <v/>
      </c>
      <c r="E484" s="42">
        <f>E483</f>
        <v/>
      </c>
      <c r="F484" s="42">
        <f>F483</f>
        <v/>
      </c>
      <c r="G484" s="42">
        <f>G483</f>
        <v/>
      </c>
      <c r="H484" s="42">
        <f>H483</f>
        <v/>
      </c>
      <c r="I484" s="42">
        <f>I483</f>
        <v/>
      </c>
      <c r="J484" s="42">
        <f>J483</f>
        <v/>
      </c>
      <c r="K484" s="42">
        <f>K483</f>
        <v/>
      </c>
      <c r="L484" s="42">
        <f>L483</f>
        <v/>
      </c>
      <c r="M484" s="42">
        <f>M483</f>
        <v/>
      </c>
      <c r="N484" s="42">
        <f>N483</f>
        <v/>
      </c>
      <c r="O484" s="42">
        <f>O483</f>
        <v/>
      </c>
      <c r="P484" s="42">
        <f>P483</f>
        <v/>
      </c>
      <c r="Q484" s="42">
        <f>Q483</f>
        <v/>
      </c>
      <c r="R484" s="42">
        <f>R483</f>
        <v/>
      </c>
      <c r="S484" s="42">
        <f>S483</f>
        <v/>
      </c>
      <c r="T484" s="42">
        <f>T483</f>
        <v/>
      </c>
      <c r="U484" s="42">
        <f>U483</f>
        <v/>
      </c>
      <c r="V484" s="42">
        <f>V483</f>
        <v/>
      </c>
      <c r="W484" s="42">
        <f>W483</f>
        <v/>
      </c>
      <c r="X484" s="42">
        <f>X483</f>
        <v/>
      </c>
      <c r="Y484" s="42">
        <f>Y483</f>
        <v/>
      </c>
      <c r="Z484" s="42">
        <f>Z483</f>
        <v/>
      </c>
      <c r="AA484" s="42">
        <f>AA483</f>
        <v/>
      </c>
      <c r="AB484" s="42">
        <f>AB483</f>
        <v/>
      </c>
      <c r="AC484" s="42">
        <f>AC483</f>
        <v/>
      </c>
      <c r="AD484" s="42">
        <f>AD483</f>
        <v/>
      </c>
      <c r="AE484" s="42">
        <f>AE483</f>
        <v/>
      </c>
      <c r="AF484" s="42">
        <f>AF483</f>
        <v/>
      </c>
      <c r="AG484" s="42">
        <f>AG483</f>
        <v/>
      </c>
      <c r="AH484" s="42">
        <f>AH483</f>
        <v/>
      </c>
      <c r="AI484" s="42">
        <f>AI483</f>
        <v/>
      </c>
      <c r="AJ484" s="42">
        <f>AJ483</f>
        <v/>
      </c>
      <c r="AK484" s="42">
        <f>AK483</f>
        <v/>
      </c>
      <c r="AL484" s="42">
        <f>AL483</f>
        <v/>
      </c>
      <c r="AM484" s="42">
        <f>AM483</f>
        <v/>
      </c>
      <c r="AN484" s="42">
        <f>AN483</f>
        <v/>
      </c>
      <c r="AO484" s="42">
        <f>AO483</f>
        <v/>
      </c>
      <c r="AP484" s="42">
        <f>AP483</f>
        <v/>
      </c>
      <c r="AQ484" s="42">
        <f>AQ483</f>
        <v/>
      </c>
      <c r="AR484" s="42">
        <f>AR483</f>
        <v/>
      </c>
      <c r="AS484" s="42">
        <f>AS483</f>
        <v/>
      </c>
      <c r="AT484" s="42">
        <f>AT483</f>
        <v/>
      </c>
      <c r="AU484" s="42">
        <f>AU483</f>
        <v/>
      </c>
      <c r="AV484" s="42">
        <f>AV483</f>
        <v/>
      </c>
      <c r="AW484" s="42">
        <f>AW483</f>
        <v/>
      </c>
      <c r="AX484" s="42">
        <f>AX483</f>
        <v/>
      </c>
      <c r="AY484" s="42">
        <f>AY483</f>
        <v/>
      </c>
      <c r="AZ484" s="42">
        <f>AZ483</f>
        <v/>
      </c>
      <c r="BA484" s="42">
        <f>BA483</f>
        <v/>
      </c>
      <c r="BB484" s="42">
        <f>BB483</f>
        <v/>
      </c>
      <c r="BC484" s="42">
        <f>BC483</f>
        <v/>
      </c>
      <c r="BD484" s="42">
        <f>BD483</f>
        <v/>
      </c>
      <c r="BE484" s="42">
        <f>BE483</f>
        <v/>
      </c>
      <c r="BF484" s="42">
        <f>BF483</f>
        <v/>
      </c>
      <c r="BG484" s="42">
        <f>BG483</f>
        <v/>
      </c>
      <c r="BH484" s="42">
        <f>BH483</f>
        <v/>
      </c>
      <c r="BI484" s="42">
        <f>BI483</f>
        <v/>
      </c>
      <c r="BJ484" s="42">
        <f>BJ483</f>
        <v/>
      </c>
    </row>
    <row r="485">
      <c r="A485" s="3" t="inlineStr">
        <is>
          <t>Total launch discounts</t>
        </is>
      </c>
      <c r="B485" s="17" t="inlineStr">
        <is>
          <t>R</t>
        </is>
      </c>
      <c r="C485" s="42">
        <f>C484</f>
        <v/>
      </c>
      <c r="D485" s="42">
        <f>D484</f>
        <v/>
      </c>
      <c r="E485" s="42">
        <f>E484</f>
        <v/>
      </c>
      <c r="F485" s="42">
        <f>F484</f>
        <v/>
      </c>
      <c r="G485" s="42">
        <f>G484</f>
        <v/>
      </c>
      <c r="H485" s="42">
        <f>H484</f>
        <v/>
      </c>
      <c r="I485" s="42">
        <f>I484</f>
        <v/>
      </c>
      <c r="J485" s="42">
        <f>J484</f>
        <v/>
      </c>
      <c r="K485" s="42">
        <f>K484</f>
        <v/>
      </c>
      <c r="L485" s="42">
        <f>L484</f>
        <v/>
      </c>
      <c r="M485" s="42">
        <f>M484</f>
        <v/>
      </c>
      <c r="N485" s="42">
        <f>N484</f>
        <v/>
      </c>
      <c r="O485" s="42">
        <f>O484</f>
        <v/>
      </c>
      <c r="P485" s="42">
        <f>P484</f>
        <v/>
      </c>
      <c r="Q485" s="42">
        <f>Q484</f>
        <v/>
      </c>
      <c r="R485" s="42">
        <f>R484</f>
        <v/>
      </c>
      <c r="S485" s="42">
        <f>S484</f>
        <v/>
      </c>
      <c r="T485" s="42">
        <f>T484</f>
        <v/>
      </c>
      <c r="U485" s="42">
        <f>U484</f>
        <v/>
      </c>
      <c r="V485" s="42">
        <f>V484</f>
        <v/>
      </c>
      <c r="W485" s="42">
        <f>W484</f>
        <v/>
      </c>
      <c r="X485" s="42">
        <f>X484</f>
        <v/>
      </c>
      <c r="Y485" s="42">
        <f>Y484</f>
        <v/>
      </c>
      <c r="Z485" s="42">
        <f>Z484</f>
        <v/>
      </c>
      <c r="AA485" s="42">
        <f>AA484</f>
        <v/>
      </c>
      <c r="AB485" s="42">
        <f>AB484</f>
        <v/>
      </c>
      <c r="AC485" s="42">
        <f>AC484</f>
        <v/>
      </c>
      <c r="AD485" s="42">
        <f>AD484</f>
        <v/>
      </c>
      <c r="AE485" s="42">
        <f>AE484</f>
        <v/>
      </c>
      <c r="AF485" s="42">
        <f>AF484</f>
        <v/>
      </c>
      <c r="AG485" s="42">
        <f>AG484</f>
        <v/>
      </c>
      <c r="AH485" s="42">
        <f>AH484</f>
        <v/>
      </c>
      <c r="AI485" s="42">
        <f>AI484</f>
        <v/>
      </c>
      <c r="AJ485" s="42">
        <f>AJ484</f>
        <v/>
      </c>
      <c r="AK485" s="42">
        <f>AK484</f>
        <v/>
      </c>
      <c r="AL485" s="42">
        <f>AL484</f>
        <v/>
      </c>
      <c r="AM485" s="42">
        <f>AM484</f>
        <v/>
      </c>
      <c r="AN485" s="42">
        <f>AN484</f>
        <v/>
      </c>
      <c r="AO485" s="42">
        <f>AO484</f>
        <v/>
      </c>
      <c r="AP485" s="42">
        <f>AP484</f>
        <v/>
      </c>
      <c r="AQ485" s="42">
        <f>AQ484</f>
        <v/>
      </c>
      <c r="AR485" s="42">
        <f>AR484</f>
        <v/>
      </c>
      <c r="AS485" s="42">
        <f>AS484</f>
        <v/>
      </c>
      <c r="AT485" s="42">
        <f>AT484</f>
        <v/>
      </c>
      <c r="AU485" s="42">
        <f>AU484</f>
        <v/>
      </c>
      <c r="AV485" s="42">
        <f>AV484</f>
        <v/>
      </c>
      <c r="AW485" s="42">
        <f>AW484</f>
        <v/>
      </c>
      <c r="AX485" s="42">
        <f>AX484</f>
        <v/>
      </c>
      <c r="AY485" s="42">
        <f>AY484</f>
        <v/>
      </c>
      <c r="AZ485" s="42">
        <f>AZ484</f>
        <v/>
      </c>
      <c r="BA485" s="42">
        <f>BA484</f>
        <v/>
      </c>
      <c r="BB485" s="42">
        <f>BB484</f>
        <v/>
      </c>
      <c r="BC485" s="42">
        <f>BC484</f>
        <v/>
      </c>
      <c r="BD485" s="42">
        <f>BD484</f>
        <v/>
      </c>
      <c r="BE485" s="42">
        <f>BE484</f>
        <v/>
      </c>
      <c r="BF485" s="42">
        <f>BF484</f>
        <v/>
      </c>
      <c r="BG485" s="42">
        <f>BG484</f>
        <v/>
      </c>
      <c r="BH485" s="42">
        <f>BH484</f>
        <v/>
      </c>
      <c r="BI485" s="42">
        <f>BI484</f>
        <v/>
      </c>
      <c r="BJ485" s="42">
        <f>BJ484</f>
        <v/>
      </c>
    </row>
    <row r="486">
      <c r="A486" s="3" t="inlineStr">
        <is>
          <t>NET SUBSCRIPTION REVENUE (MRR after launch discounts; no VAT: not VAT-registered)</t>
        </is>
      </c>
      <c r="B486" s="17" t="inlineStr">
        <is>
          <t>R</t>
        </is>
      </c>
      <c r="C486" s="42">
        <f>C479-C485</f>
        <v/>
      </c>
      <c r="D486" s="42">
        <f>D479-D485</f>
        <v/>
      </c>
      <c r="E486" s="42">
        <f>E479-E485</f>
        <v/>
      </c>
      <c r="F486" s="42">
        <f>F479-F485</f>
        <v/>
      </c>
      <c r="G486" s="42">
        <f>G479-G485</f>
        <v/>
      </c>
      <c r="H486" s="42">
        <f>H479-H485</f>
        <v/>
      </c>
      <c r="I486" s="42">
        <f>I479-I485</f>
        <v/>
      </c>
      <c r="J486" s="42">
        <f>J479-J485</f>
        <v/>
      </c>
      <c r="K486" s="42">
        <f>K479-K485</f>
        <v/>
      </c>
      <c r="L486" s="42">
        <f>L479-L485</f>
        <v/>
      </c>
      <c r="M486" s="42">
        <f>M479-M485</f>
        <v/>
      </c>
      <c r="N486" s="42">
        <f>N479-N485</f>
        <v/>
      </c>
      <c r="O486" s="42">
        <f>O479-O485</f>
        <v/>
      </c>
      <c r="P486" s="42">
        <f>P479-P485</f>
        <v/>
      </c>
      <c r="Q486" s="42">
        <f>Q479-Q485</f>
        <v/>
      </c>
      <c r="R486" s="42">
        <f>R479-R485</f>
        <v/>
      </c>
      <c r="S486" s="42">
        <f>S479-S485</f>
        <v/>
      </c>
      <c r="T486" s="42">
        <f>T479-T485</f>
        <v/>
      </c>
      <c r="U486" s="42">
        <f>U479-U485</f>
        <v/>
      </c>
      <c r="V486" s="42">
        <f>V479-V485</f>
        <v/>
      </c>
      <c r="W486" s="42">
        <f>W479-W485</f>
        <v/>
      </c>
      <c r="X486" s="42">
        <f>X479-X485</f>
        <v/>
      </c>
      <c r="Y486" s="42">
        <f>Y479-Y485</f>
        <v/>
      </c>
      <c r="Z486" s="42">
        <f>Z479-Z485</f>
        <v/>
      </c>
      <c r="AA486" s="42">
        <f>AA479-AA485</f>
        <v/>
      </c>
      <c r="AB486" s="42">
        <f>AB479-AB485</f>
        <v/>
      </c>
      <c r="AC486" s="42">
        <f>AC479-AC485</f>
        <v/>
      </c>
      <c r="AD486" s="42">
        <f>AD479-AD485</f>
        <v/>
      </c>
      <c r="AE486" s="42">
        <f>AE479-AE485</f>
        <v/>
      </c>
      <c r="AF486" s="42">
        <f>AF479-AF485</f>
        <v/>
      </c>
      <c r="AG486" s="42">
        <f>AG479-AG485</f>
        <v/>
      </c>
      <c r="AH486" s="42">
        <f>AH479-AH485</f>
        <v/>
      </c>
      <c r="AI486" s="42">
        <f>AI479-AI485</f>
        <v/>
      </c>
      <c r="AJ486" s="42">
        <f>AJ479-AJ485</f>
        <v/>
      </c>
      <c r="AK486" s="42">
        <f>AK479-AK485</f>
        <v/>
      </c>
      <c r="AL486" s="42">
        <f>AL479-AL485</f>
        <v/>
      </c>
      <c r="AM486" s="42">
        <f>AM479-AM485</f>
        <v/>
      </c>
      <c r="AN486" s="42">
        <f>AN479-AN485</f>
        <v/>
      </c>
      <c r="AO486" s="42">
        <f>AO479-AO485</f>
        <v/>
      </c>
      <c r="AP486" s="42">
        <f>AP479-AP485</f>
        <v/>
      </c>
      <c r="AQ486" s="42">
        <f>AQ479-AQ485</f>
        <v/>
      </c>
      <c r="AR486" s="42">
        <f>AR479-AR485</f>
        <v/>
      </c>
      <c r="AS486" s="42">
        <f>AS479-AS485</f>
        <v/>
      </c>
      <c r="AT486" s="42">
        <f>AT479-AT485</f>
        <v/>
      </c>
      <c r="AU486" s="42">
        <f>AU479-AU485</f>
        <v/>
      </c>
      <c r="AV486" s="42">
        <f>AV479-AV485</f>
        <v/>
      </c>
      <c r="AW486" s="42">
        <f>AW479-AW485</f>
        <v/>
      </c>
      <c r="AX486" s="42">
        <f>AX479-AX485</f>
        <v/>
      </c>
      <c r="AY486" s="42">
        <f>AY479-AY485</f>
        <v/>
      </c>
      <c r="AZ486" s="42">
        <f>AZ479-AZ485</f>
        <v/>
      </c>
      <c r="BA486" s="42">
        <f>BA479-BA485</f>
        <v/>
      </c>
      <c r="BB486" s="42">
        <f>BB479-BB485</f>
        <v/>
      </c>
      <c r="BC486" s="42">
        <f>BC479-BC485</f>
        <v/>
      </c>
      <c r="BD486" s="42">
        <f>BD479-BD485</f>
        <v/>
      </c>
      <c r="BE486" s="42">
        <f>BE479-BE485</f>
        <v/>
      </c>
      <c r="BF486" s="42">
        <f>BF479-BF485</f>
        <v/>
      </c>
      <c r="BG486" s="42">
        <f>BG479-BG485</f>
        <v/>
      </c>
      <c r="BH486" s="42">
        <f>BH479-BH485</f>
        <v/>
      </c>
      <c r="BI486" s="42">
        <f>BI479-BI485</f>
        <v/>
      </c>
      <c r="BJ486" s="42">
        <f>BJ479-BJ485</f>
        <v/>
      </c>
    </row>
    <row r="487">
      <c r="A487" s="4" t="inlineStr">
        <is>
          <t>Net subscription revenue: South Africa</t>
        </is>
      </c>
      <c r="B487" s="17" t="inlineStr">
        <is>
          <t>R</t>
        </is>
      </c>
      <c r="C487" s="8">
        <f>C460-C483</f>
        <v/>
      </c>
      <c r="D487" s="8">
        <f>D460-D483</f>
        <v/>
      </c>
      <c r="E487" s="8">
        <f>E460-E483</f>
        <v/>
      </c>
      <c r="F487" s="8">
        <f>F460-F483</f>
        <v/>
      </c>
      <c r="G487" s="8">
        <f>G460-G483</f>
        <v/>
      </c>
      <c r="H487" s="8">
        <f>H460-H483</f>
        <v/>
      </c>
      <c r="I487" s="8">
        <f>I460-I483</f>
        <v/>
      </c>
      <c r="J487" s="8">
        <f>J460-J483</f>
        <v/>
      </c>
      <c r="K487" s="8">
        <f>K460-K483</f>
        <v/>
      </c>
      <c r="L487" s="8">
        <f>L460-L483</f>
        <v/>
      </c>
      <c r="M487" s="8">
        <f>M460-M483</f>
        <v/>
      </c>
      <c r="N487" s="8">
        <f>N460-N483</f>
        <v/>
      </c>
      <c r="O487" s="8">
        <f>O460-O483</f>
        <v/>
      </c>
      <c r="P487" s="8">
        <f>P460-P483</f>
        <v/>
      </c>
      <c r="Q487" s="8">
        <f>Q460-Q483</f>
        <v/>
      </c>
      <c r="R487" s="8">
        <f>R460-R483</f>
        <v/>
      </c>
      <c r="S487" s="8">
        <f>S460-S483</f>
        <v/>
      </c>
      <c r="T487" s="8">
        <f>T460-T483</f>
        <v/>
      </c>
      <c r="U487" s="8">
        <f>U460-U483</f>
        <v/>
      </c>
      <c r="V487" s="8">
        <f>V460-V483</f>
        <v/>
      </c>
      <c r="W487" s="8">
        <f>W460-W483</f>
        <v/>
      </c>
      <c r="X487" s="8">
        <f>X460-X483</f>
        <v/>
      </c>
      <c r="Y487" s="8">
        <f>Y460-Y483</f>
        <v/>
      </c>
      <c r="Z487" s="8">
        <f>Z460-Z483</f>
        <v/>
      </c>
      <c r="AA487" s="8">
        <f>AA460-AA483</f>
        <v/>
      </c>
      <c r="AB487" s="8">
        <f>AB460-AB483</f>
        <v/>
      </c>
      <c r="AC487" s="8">
        <f>AC460-AC483</f>
        <v/>
      </c>
      <c r="AD487" s="8">
        <f>AD460-AD483</f>
        <v/>
      </c>
      <c r="AE487" s="8">
        <f>AE460-AE483</f>
        <v/>
      </c>
      <c r="AF487" s="8">
        <f>AF460-AF483</f>
        <v/>
      </c>
      <c r="AG487" s="8">
        <f>AG460-AG483</f>
        <v/>
      </c>
      <c r="AH487" s="8">
        <f>AH460-AH483</f>
        <v/>
      </c>
      <c r="AI487" s="8">
        <f>AI460-AI483</f>
        <v/>
      </c>
      <c r="AJ487" s="8">
        <f>AJ460-AJ483</f>
        <v/>
      </c>
      <c r="AK487" s="8">
        <f>AK460-AK483</f>
        <v/>
      </c>
      <c r="AL487" s="8">
        <f>AL460-AL483</f>
        <v/>
      </c>
      <c r="AM487" s="8">
        <f>AM460-AM483</f>
        <v/>
      </c>
      <c r="AN487" s="8">
        <f>AN460-AN483</f>
        <v/>
      </c>
      <c r="AO487" s="8">
        <f>AO460-AO483</f>
        <v/>
      </c>
      <c r="AP487" s="8">
        <f>AP460-AP483</f>
        <v/>
      </c>
      <c r="AQ487" s="8">
        <f>AQ460-AQ483</f>
        <v/>
      </c>
      <c r="AR487" s="8">
        <f>AR460-AR483</f>
        <v/>
      </c>
      <c r="AS487" s="8">
        <f>AS460-AS483</f>
        <v/>
      </c>
      <c r="AT487" s="8">
        <f>AT460-AT483</f>
        <v/>
      </c>
      <c r="AU487" s="8">
        <f>AU460-AU483</f>
        <v/>
      </c>
      <c r="AV487" s="8">
        <f>AV460-AV483</f>
        <v/>
      </c>
      <c r="AW487" s="8">
        <f>AW460-AW483</f>
        <v/>
      </c>
      <c r="AX487" s="8">
        <f>AX460-AX483</f>
        <v/>
      </c>
      <c r="AY487" s="8">
        <f>AY460-AY483</f>
        <v/>
      </c>
      <c r="AZ487" s="8">
        <f>AZ460-AZ483</f>
        <v/>
      </c>
      <c r="BA487" s="8">
        <f>BA460-BA483</f>
        <v/>
      </c>
      <c r="BB487" s="8">
        <f>BB460-BB483</f>
        <v/>
      </c>
      <c r="BC487" s="8">
        <f>BC460-BC483</f>
        <v/>
      </c>
      <c r="BD487" s="8">
        <f>BD460-BD483</f>
        <v/>
      </c>
      <c r="BE487" s="8">
        <f>BE460-BE483</f>
        <v/>
      </c>
      <c r="BF487" s="8">
        <f>BF460-BF483</f>
        <v/>
      </c>
      <c r="BG487" s="8">
        <f>BG460-BG483</f>
        <v/>
      </c>
      <c r="BH487" s="8">
        <f>BH460-BH483</f>
        <v/>
      </c>
      <c r="BI487" s="8">
        <f>BI460-BI483</f>
        <v/>
      </c>
      <c r="BJ487" s="8">
        <f>BJ460-BJ483</f>
        <v/>
      </c>
    </row>
    <row r="488">
      <c r="A488" s="4" t="inlineStr">
        <is>
          <t>Net subscription revenue: Nigeria</t>
        </is>
      </c>
      <c r="B488" s="17" t="inlineStr">
        <is>
          <t>R</t>
        </is>
      </c>
      <c r="C488" s="8">
        <f>C461</f>
        <v/>
      </c>
      <c r="D488" s="8">
        <f>D461</f>
        <v/>
      </c>
      <c r="E488" s="8">
        <f>E461</f>
        <v/>
      </c>
      <c r="F488" s="8">
        <f>F461</f>
        <v/>
      </c>
      <c r="G488" s="8">
        <f>G461</f>
        <v/>
      </c>
      <c r="H488" s="8">
        <f>H461</f>
        <v/>
      </c>
      <c r="I488" s="8">
        <f>I461</f>
        <v/>
      </c>
      <c r="J488" s="8">
        <f>J461</f>
        <v/>
      </c>
      <c r="K488" s="8">
        <f>K461</f>
        <v/>
      </c>
      <c r="L488" s="8">
        <f>L461</f>
        <v/>
      </c>
      <c r="M488" s="8">
        <f>M461</f>
        <v/>
      </c>
      <c r="N488" s="8">
        <f>N461</f>
        <v/>
      </c>
      <c r="O488" s="8">
        <f>O461</f>
        <v/>
      </c>
      <c r="P488" s="8">
        <f>P461</f>
        <v/>
      </c>
      <c r="Q488" s="8">
        <f>Q461</f>
        <v/>
      </c>
      <c r="R488" s="8">
        <f>R461</f>
        <v/>
      </c>
      <c r="S488" s="8">
        <f>S461</f>
        <v/>
      </c>
      <c r="T488" s="8">
        <f>T461</f>
        <v/>
      </c>
      <c r="U488" s="8">
        <f>U461</f>
        <v/>
      </c>
      <c r="V488" s="8">
        <f>V461</f>
        <v/>
      </c>
      <c r="W488" s="8">
        <f>W461</f>
        <v/>
      </c>
      <c r="X488" s="8">
        <f>X461</f>
        <v/>
      </c>
      <c r="Y488" s="8">
        <f>Y461</f>
        <v/>
      </c>
      <c r="Z488" s="8">
        <f>Z461</f>
        <v/>
      </c>
      <c r="AA488" s="8">
        <f>AA461</f>
        <v/>
      </c>
      <c r="AB488" s="8">
        <f>AB461</f>
        <v/>
      </c>
      <c r="AC488" s="8">
        <f>AC461</f>
        <v/>
      </c>
      <c r="AD488" s="8">
        <f>AD461</f>
        <v/>
      </c>
      <c r="AE488" s="8">
        <f>AE461</f>
        <v/>
      </c>
      <c r="AF488" s="8">
        <f>AF461</f>
        <v/>
      </c>
      <c r="AG488" s="8">
        <f>AG461</f>
        <v/>
      </c>
      <c r="AH488" s="8">
        <f>AH461</f>
        <v/>
      </c>
      <c r="AI488" s="8">
        <f>AI461</f>
        <v/>
      </c>
      <c r="AJ488" s="8">
        <f>AJ461</f>
        <v/>
      </c>
      <c r="AK488" s="8">
        <f>AK461</f>
        <v/>
      </c>
      <c r="AL488" s="8">
        <f>AL461</f>
        <v/>
      </c>
      <c r="AM488" s="8">
        <f>AM461</f>
        <v/>
      </c>
      <c r="AN488" s="8">
        <f>AN461</f>
        <v/>
      </c>
      <c r="AO488" s="8">
        <f>AO461</f>
        <v/>
      </c>
      <c r="AP488" s="8">
        <f>AP461</f>
        <v/>
      </c>
      <c r="AQ488" s="8">
        <f>AQ461</f>
        <v/>
      </c>
      <c r="AR488" s="8">
        <f>AR461</f>
        <v/>
      </c>
      <c r="AS488" s="8">
        <f>AS461</f>
        <v/>
      </c>
      <c r="AT488" s="8">
        <f>AT461</f>
        <v/>
      </c>
      <c r="AU488" s="8">
        <f>AU461</f>
        <v/>
      </c>
      <c r="AV488" s="8">
        <f>AV461</f>
        <v/>
      </c>
      <c r="AW488" s="8">
        <f>AW461</f>
        <v/>
      </c>
      <c r="AX488" s="8">
        <f>AX461</f>
        <v/>
      </c>
      <c r="AY488" s="8">
        <f>AY461</f>
        <v/>
      </c>
      <c r="AZ488" s="8">
        <f>AZ461</f>
        <v/>
      </c>
      <c r="BA488" s="8">
        <f>BA461</f>
        <v/>
      </c>
      <c r="BB488" s="8">
        <f>BB461</f>
        <v/>
      </c>
      <c r="BC488" s="8">
        <f>BC461</f>
        <v/>
      </c>
      <c r="BD488" s="8">
        <f>BD461</f>
        <v/>
      </c>
      <c r="BE488" s="8">
        <f>BE461</f>
        <v/>
      </c>
      <c r="BF488" s="8">
        <f>BF461</f>
        <v/>
      </c>
      <c r="BG488" s="8">
        <f>BG461</f>
        <v/>
      </c>
      <c r="BH488" s="8">
        <f>BH461</f>
        <v/>
      </c>
      <c r="BI488" s="8">
        <f>BI461</f>
        <v/>
      </c>
      <c r="BJ488" s="8">
        <f>BJ461</f>
        <v/>
      </c>
    </row>
    <row r="489">
      <c r="A489" s="4" t="inlineStr">
        <is>
          <t>Net subscription revenue: Kenya</t>
        </is>
      </c>
      <c r="B489" s="17" t="inlineStr">
        <is>
          <t>R</t>
        </is>
      </c>
      <c r="C489" s="8">
        <f>C462</f>
        <v/>
      </c>
      <c r="D489" s="8">
        <f>D462</f>
        <v/>
      </c>
      <c r="E489" s="8">
        <f>E462</f>
        <v/>
      </c>
      <c r="F489" s="8">
        <f>F462</f>
        <v/>
      </c>
      <c r="G489" s="8">
        <f>G462</f>
        <v/>
      </c>
      <c r="H489" s="8">
        <f>H462</f>
        <v/>
      </c>
      <c r="I489" s="8">
        <f>I462</f>
        <v/>
      </c>
      <c r="J489" s="8">
        <f>J462</f>
        <v/>
      </c>
      <c r="K489" s="8">
        <f>K462</f>
        <v/>
      </c>
      <c r="L489" s="8">
        <f>L462</f>
        <v/>
      </c>
      <c r="M489" s="8">
        <f>M462</f>
        <v/>
      </c>
      <c r="N489" s="8">
        <f>N462</f>
        <v/>
      </c>
      <c r="O489" s="8">
        <f>O462</f>
        <v/>
      </c>
      <c r="P489" s="8">
        <f>P462</f>
        <v/>
      </c>
      <c r="Q489" s="8">
        <f>Q462</f>
        <v/>
      </c>
      <c r="R489" s="8">
        <f>R462</f>
        <v/>
      </c>
      <c r="S489" s="8">
        <f>S462</f>
        <v/>
      </c>
      <c r="T489" s="8">
        <f>T462</f>
        <v/>
      </c>
      <c r="U489" s="8">
        <f>U462</f>
        <v/>
      </c>
      <c r="V489" s="8">
        <f>V462</f>
        <v/>
      </c>
      <c r="W489" s="8">
        <f>W462</f>
        <v/>
      </c>
      <c r="X489" s="8">
        <f>X462</f>
        <v/>
      </c>
      <c r="Y489" s="8">
        <f>Y462</f>
        <v/>
      </c>
      <c r="Z489" s="8">
        <f>Z462</f>
        <v/>
      </c>
      <c r="AA489" s="8">
        <f>AA462</f>
        <v/>
      </c>
      <c r="AB489" s="8">
        <f>AB462</f>
        <v/>
      </c>
      <c r="AC489" s="8">
        <f>AC462</f>
        <v/>
      </c>
      <c r="AD489" s="8">
        <f>AD462</f>
        <v/>
      </c>
      <c r="AE489" s="8">
        <f>AE462</f>
        <v/>
      </c>
      <c r="AF489" s="8">
        <f>AF462</f>
        <v/>
      </c>
      <c r="AG489" s="8">
        <f>AG462</f>
        <v/>
      </c>
      <c r="AH489" s="8">
        <f>AH462</f>
        <v/>
      </c>
      <c r="AI489" s="8">
        <f>AI462</f>
        <v/>
      </c>
      <c r="AJ489" s="8">
        <f>AJ462</f>
        <v/>
      </c>
      <c r="AK489" s="8">
        <f>AK462</f>
        <v/>
      </c>
      <c r="AL489" s="8">
        <f>AL462</f>
        <v/>
      </c>
      <c r="AM489" s="8">
        <f>AM462</f>
        <v/>
      </c>
      <c r="AN489" s="8">
        <f>AN462</f>
        <v/>
      </c>
      <c r="AO489" s="8">
        <f>AO462</f>
        <v/>
      </c>
      <c r="AP489" s="8">
        <f>AP462</f>
        <v/>
      </c>
      <c r="AQ489" s="8">
        <f>AQ462</f>
        <v/>
      </c>
      <c r="AR489" s="8">
        <f>AR462</f>
        <v/>
      </c>
      <c r="AS489" s="8">
        <f>AS462</f>
        <v/>
      </c>
      <c r="AT489" s="8">
        <f>AT462</f>
        <v/>
      </c>
      <c r="AU489" s="8">
        <f>AU462</f>
        <v/>
      </c>
      <c r="AV489" s="8">
        <f>AV462</f>
        <v/>
      </c>
      <c r="AW489" s="8">
        <f>AW462</f>
        <v/>
      </c>
      <c r="AX489" s="8">
        <f>AX462</f>
        <v/>
      </c>
      <c r="AY489" s="8">
        <f>AY462</f>
        <v/>
      </c>
      <c r="AZ489" s="8">
        <f>AZ462</f>
        <v/>
      </c>
      <c r="BA489" s="8">
        <f>BA462</f>
        <v/>
      </c>
      <c r="BB489" s="8">
        <f>BB462</f>
        <v/>
      </c>
      <c r="BC489" s="8">
        <f>BC462</f>
        <v/>
      </c>
      <c r="BD489" s="8">
        <f>BD462</f>
        <v/>
      </c>
      <c r="BE489" s="8">
        <f>BE462</f>
        <v/>
      </c>
      <c r="BF489" s="8">
        <f>BF462</f>
        <v/>
      </c>
      <c r="BG489" s="8">
        <f>BG462</f>
        <v/>
      </c>
      <c r="BH489" s="8">
        <f>BH462</f>
        <v/>
      </c>
      <c r="BI489" s="8">
        <f>BI462</f>
        <v/>
      </c>
      <c r="BJ489" s="8">
        <f>BJ462</f>
        <v/>
      </c>
    </row>
    <row r="490">
      <c r="A490" s="4" t="inlineStr">
        <is>
          <t>Net subscription revenue: Ghana</t>
        </is>
      </c>
      <c r="B490" s="17" t="inlineStr">
        <is>
          <t>R</t>
        </is>
      </c>
      <c r="C490" s="8">
        <f>C463</f>
        <v/>
      </c>
      <c r="D490" s="8">
        <f>D463</f>
        <v/>
      </c>
      <c r="E490" s="8">
        <f>E463</f>
        <v/>
      </c>
      <c r="F490" s="8">
        <f>F463</f>
        <v/>
      </c>
      <c r="G490" s="8">
        <f>G463</f>
        <v/>
      </c>
      <c r="H490" s="8">
        <f>H463</f>
        <v/>
      </c>
      <c r="I490" s="8">
        <f>I463</f>
        <v/>
      </c>
      <c r="J490" s="8">
        <f>J463</f>
        <v/>
      </c>
      <c r="K490" s="8">
        <f>K463</f>
        <v/>
      </c>
      <c r="L490" s="8">
        <f>L463</f>
        <v/>
      </c>
      <c r="M490" s="8">
        <f>M463</f>
        <v/>
      </c>
      <c r="N490" s="8">
        <f>N463</f>
        <v/>
      </c>
      <c r="O490" s="8">
        <f>O463</f>
        <v/>
      </c>
      <c r="P490" s="8">
        <f>P463</f>
        <v/>
      </c>
      <c r="Q490" s="8">
        <f>Q463</f>
        <v/>
      </c>
      <c r="R490" s="8">
        <f>R463</f>
        <v/>
      </c>
      <c r="S490" s="8">
        <f>S463</f>
        <v/>
      </c>
      <c r="T490" s="8">
        <f>T463</f>
        <v/>
      </c>
      <c r="U490" s="8">
        <f>U463</f>
        <v/>
      </c>
      <c r="V490" s="8">
        <f>V463</f>
        <v/>
      </c>
      <c r="W490" s="8">
        <f>W463</f>
        <v/>
      </c>
      <c r="X490" s="8">
        <f>X463</f>
        <v/>
      </c>
      <c r="Y490" s="8">
        <f>Y463</f>
        <v/>
      </c>
      <c r="Z490" s="8">
        <f>Z463</f>
        <v/>
      </c>
      <c r="AA490" s="8">
        <f>AA463</f>
        <v/>
      </c>
      <c r="AB490" s="8">
        <f>AB463</f>
        <v/>
      </c>
      <c r="AC490" s="8">
        <f>AC463</f>
        <v/>
      </c>
      <c r="AD490" s="8">
        <f>AD463</f>
        <v/>
      </c>
      <c r="AE490" s="8">
        <f>AE463</f>
        <v/>
      </c>
      <c r="AF490" s="8">
        <f>AF463</f>
        <v/>
      </c>
      <c r="AG490" s="8">
        <f>AG463</f>
        <v/>
      </c>
      <c r="AH490" s="8">
        <f>AH463</f>
        <v/>
      </c>
      <c r="AI490" s="8">
        <f>AI463</f>
        <v/>
      </c>
      <c r="AJ490" s="8">
        <f>AJ463</f>
        <v/>
      </c>
      <c r="AK490" s="8">
        <f>AK463</f>
        <v/>
      </c>
      <c r="AL490" s="8">
        <f>AL463</f>
        <v/>
      </c>
      <c r="AM490" s="8">
        <f>AM463</f>
        <v/>
      </c>
      <c r="AN490" s="8">
        <f>AN463</f>
        <v/>
      </c>
      <c r="AO490" s="8">
        <f>AO463</f>
        <v/>
      </c>
      <c r="AP490" s="8">
        <f>AP463</f>
        <v/>
      </c>
      <c r="AQ490" s="8">
        <f>AQ463</f>
        <v/>
      </c>
      <c r="AR490" s="8">
        <f>AR463</f>
        <v/>
      </c>
      <c r="AS490" s="8">
        <f>AS463</f>
        <v/>
      </c>
      <c r="AT490" s="8">
        <f>AT463</f>
        <v/>
      </c>
      <c r="AU490" s="8">
        <f>AU463</f>
        <v/>
      </c>
      <c r="AV490" s="8">
        <f>AV463</f>
        <v/>
      </c>
      <c r="AW490" s="8">
        <f>AW463</f>
        <v/>
      </c>
      <c r="AX490" s="8">
        <f>AX463</f>
        <v/>
      </c>
      <c r="AY490" s="8">
        <f>AY463</f>
        <v/>
      </c>
      <c r="AZ490" s="8">
        <f>AZ463</f>
        <v/>
      </c>
      <c r="BA490" s="8">
        <f>BA463</f>
        <v/>
      </c>
      <c r="BB490" s="8">
        <f>BB463</f>
        <v/>
      </c>
      <c r="BC490" s="8">
        <f>BC463</f>
        <v/>
      </c>
      <c r="BD490" s="8">
        <f>BD463</f>
        <v/>
      </c>
      <c r="BE490" s="8">
        <f>BE463</f>
        <v/>
      </c>
      <c r="BF490" s="8">
        <f>BF463</f>
        <v/>
      </c>
      <c r="BG490" s="8">
        <f>BG463</f>
        <v/>
      </c>
      <c r="BH490" s="8">
        <f>BH463</f>
        <v/>
      </c>
      <c r="BI490" s="8">
        <f>BI463</f>
        <v/>
      </c>
      <c r="BJ490" s="8">
        <f>BJ463</f>
        <v/>
      </c>
    </row>
    <row r="491">
      <c r="A491" s="4" t="inlineStr">
        <is>
          <t>Net subscription revenue: Rest of Africa (USD)</t>
        </is>
      </c>
      <c r="B491" s="17" t="inlineStr">
        <is>
          <t>R</t>
        </is>
      </c>
      <c r="C491" s="8">
        <f>C464</f>
        <v/>
      </c>
      <c r="D491" s="8">
        <f>D464</f>
        <v/>
      </c>
      <c r="E491" s="8">
        <f>E464</f>
        <v/>
      </c>
      <c r="F491" s="8">
        <f>F464</f>
        <v/>
      </c>
      <c r="G491" s="8">
        <f>G464</f>
        <v/>
      </c>
      <c r="H491" s="8">
        <f>H464</f>
        <v/>
      </c>
      <c r="I491" s="8">
        <f>I464</f>
        <v/>
      </c>
      <c r="J491" s="8">
        <f>J464</f>
        <v/>
      </c>
      <c r="K491" s="8">
        <f>K464</f>
        <v/>
      </c>
      <c r="L491" s="8">
        <f>L464</f>
        <v/>
      </c>
      <c r="M491" s="8">
        <f>M464</f>
        <v/>
      </c>
      <c r="N491" s="8">
        <f>N464</f>
        <v/>
      </c>
      <c r="O491" s="8">
        <f>O464</f>
        <v/>
      </c>
      <c r="P491" s="8">
        <f>P464</f>
        <v/>
      </c>
      <c r="Q491" s="8">
        <f>Q464</f>
        <v/>
      </c>
      <c r="R491" s="8">
        <f>R464</f>
        <v/>
      </c>
      <c r="S491" s="8">
        <f>S464</f>
        <v/>
      </c>
      <c r="T491" s="8">
        <f>T464</f>
        <v/>
      </c>
      <c r="U491" s="8">
        <f>U464</f>
        <v/>
      </c>
      <c r="V491" s="8">
        <f>V464</f>
        <v/>
      </c>
      <c r="W491" s="8">
        <f>W464</f>
        <v/>
      </c>
      <c r="X491" s="8">
        <f>X464</f>
        <v/>
      </c>
      <c r="Y491" s="8">
        <f>Y464</f>
        <v/>
      </c>
      <c r="Z491" s="8">
        <f>Z464</f>
        <v/>
      </c>
      <c r="AA491" s="8">
        <f>AA464</f>
        <v/>
      </c>
      <c r="AB491" s="8">
        <f>AB464</f>
        <v/>
      </c>
      <c r="AC491" s="8">
        <f>AC464</f>
        <v/>
      </c>
      <c r="AD491" s="8">
        <f>AD464</f>
        <v/>
      </c>
      <c r="AE491" s="8">
        <f>AE464</f>
        <v/>
      </c>
      <c r="AF491" s="8">
        <f>AF464</f>
        <v/>
      </c>
      <c r="AG491" s="8">
        <f>AG464</f>
        <v/>
      </c>
      <c r="AH491" s="8">
        <f>AH464</f>
        <v/>
      </c>
      <c r="AI491" s="8">
        <f>AI464</f>
        <v/>
      </c>
      <c r="AJ491" s="8">
        <f>AJ464</f>
        <v/>
      </c>
      <c r="AK491" s="8">
        <f>AK464</f>
        <v/>
      </c>
      <c r="AL491" s="8">
        <f>AL464</f>
        <v/>
      </c>
      <c r="AM491" s="8">
        <f>AM464</f>
        <v/>
      </c>
      <c r="AN491" s="8">
        <f>AN464</f>
        <v/>
      </c>
      <c r="AO491" s="8">
        <f>AO464</f>
        <v/>
      </c>
      <c r="AP491" s="8">
        <f>AP464</f>
        <v/>
      </c>
      <c r="AQ491" s="8">
        <f>AQ464</f>
        <v/>
      </c>
      <c r="AR491" s="8">
        <f>AR464</f>
        <v/>
      </c>
      <c r="AS491" s="8">
        <f>AS464</f>
        <v/>
      </c>
      <c r="AT491" s="8">
        <f>AT464</f>
        <v/>
      </c>
      <c r="AU491" s="8">
        <f>AU464</f>
        <v/>
      </c>
      <c r="AV491" s="8">
        <f>AV464</f>
        <v/>
      </c>
      <c r="AW491" s="8">
        <f>AW464</f>
        <v/>
      </c>
      <c r="AX491" s="8">
        <f>AX464</f>
        <v/>
      </c>
      <c r="AY491" s="8">
        <f>AY464</f>
        <v/>
      </c>
      <c r="AZ491" s="8">
        <f>AZ464</f>
        <v/>
      </c>
      <c r="BA491" s="8">
        <f>BA464</f>
        <v/>
      </c>
      <c r="BB491" s="8">
        <f>BB464</f>
        <v/>
      </c>
      <c r="BC491" s="8">
        <f>BC464</f>
        <v/>
      </c>
      <c r="BD491" s="8">
        <f>BD464</f>
        <v/>
      </c>
      <c r="BE491" s="8">
        <f>BE464</f>
        <v/>
      </c>
      <c r="BF491" s="8">
        <f>BF464</f>
        <v/>
      </c>
      <c r="BG491" s="8">
        <f>BG464</f>
        <v/>
      </c>
      <c r="BH491" s="8">
        <f>BH464</f>
        <v/>
      </c>
      <c r="BI491" s="8">
        <f>BI464</f>
        <v/>
      </c>
      <c r="BJ491" s="8">
        <f>BJ464</f>
        <v/>
      </c>
    </row>
    <row r="492">
      <c r="A492" s="4" t="inlineStr">
        <is>
          <t>Net subscription revenue: Botswana &amp; Namibia</t>
        </is>
      </c>
      <c r="B492" s="17" t="inlineStr">
        <is>
          <t>R</t>
        </is>
      </c>
      <c r="C492" s="8">
        <f>C465</f>
        <v/>
      </c>
      <c r="D492" s="8">
        <f>D465</f>
        <v/>
      </c>
      <c r="E492" s="8">
        <f>E465</f>
        <v/>
      </c>
      <c r="F492" s="8">
        <f>F465</f>
        <v/>
      </c>
      <c r="G492" s="8">
        <f>G465</f>
        <v/>
      </c>
      <c r="H492" s="8">
        <f>H465</f>
        <v/>
      </c>
      <c r="I492" s="8">
        <f>I465</f>
        <v/>
      </c>
      <c r="J492" s="8">
        <f>J465</f>
        <v/>
      </c>
      <c r="K492" s="8">
        <f>K465</f>
        <v/>
      </c>
      <c r="L492" s="8">
        <f>L465</f>
        <v/>
      </c>
      <c r="M492" s="8">
        <f>M465</f>
        <v/>
      </c>
      <c r="N492" s="8">
        <f>N465</f>
        <v/>
      </c>
      <c r="O492" s="8">
        <f>O465</f>
        <v/>
      </c>
      <c r="P492" s="8">
        <f>P465</f>
        <v/>
      </c>
      <c r="Q492" s="8">
        <f>Q465</f>
        <v/>
      </c>
      <c r="R492" s="8">
        <f>R465</f>
        <v/>
      </c>
      <c r="S492" s="8">
        <f>S465</f>
        <v/>
      </c>
      <c r="T492" s="8">
        <f>T465</f>
        <v/>
      </c>
      <c r="U492" s="8">
        <f>U465</f>
        <v/>
      </c>
      <c r="V492" s="8">
        <f>V465</f>
        <v/>
      </c>
      <c r="W492" s="8">
        <f>W465</f>
        <v/>
      </c>
      <c r="X492" s="8">
        <f>X465</f>
        <v/>
      </c>
      <c r="Y492" s="8">
        <f>Y465</f>
        <v/>
      </c>
      <c r="Z492" s="8">
        <f>Z465</f>
        <v/>
      </c>
      <c r="AA492" s="8">
        <f>AA465</f>
        <v/>
      </c>
      <c r="AB492" s="8">
        <f>AB465</f>
        <v/>
      </c>
      <c r="AC492" s="8">
        <f>AC465</f>
        <v/>
      </c>
      <c r="AD492" s="8">
        <f>AD465</f>
        <v/>
      </c>
      <c r="AE492" s="8">
        <f>AE465</f>
        <v/>
      </c>
      <c r="AF492" s="8">
        <f>AF465</f>
        <v/>
      </c>
      <c r="AG492" s="8">
        <f>AG465</f>
        <v/>
      </c>
      <c r="AH492" s="8">
        <f>AH465</f>
        <v/>
      </c>
      <c r="AI492" s="8">
        <f>AI465</f>
        <v/>
      </c>
      <c r="AJ492" s="8">
        <f>AJ465</f>
        <v/>
      </c>
      <c r="AK492" s="8">
        <f>AK465</f>
        <v/>
      </c>
      <c r="AL492" s="8">
        <f>AL465</f>
        <v/>
      </c>
      <c r="AM492" s="8">
        <f>AM465</f>
        <v/>
      </c>
      <c r="AN492" s="8">
        <f>AN465</f>
        <v/>
      </c>
      <c r="AO492" s="8">
        <f>AO465</f>
        <v/>
      </c>
      <c r="AP492" s="8">
        <f>AP465</f>
        <v/>
      </c>
      <c r="AQ492" s="8">
        <f>AQ465</f>
        <v/>
      </c>
      <c r="AR492" s="8">
        <f>AR465</f>
        <v/>
      </c>
      <c r="AS492" s="8">
        <f>AS465</f>
        <v/>
      </c>
      <c r="AT492" s="8">
        <f>AT465</f>
        <v/>
      </c>
      <c r="AU492" s="8">
        <f>AU465</f>
        <v/>
      </c>
      <c r="AV492" s="8">
        <f>AV465</f>
        <v/>
      </c>
      <c r="AW492" s="8">
        <f>AW465</f>
        <v/>
      </c>
      <c r="AX492" s="8">
        <f>AX465</f>
        <v/>
      </c>
      <c r="AY492" s="8">
        <f>AY465</f>
        <v/>
      </c>
      <c r="AZ492" s="8">
        <f>AZ465</f>
        <v/>
      </c>
      <c r="BA492" s="8">
        <f>BA465</f>
        <v/>
      </c>
      <c r="BB492" s="8">
        <f>BB465</f>
        <v/>
      </c>
      <c r="BC492" s="8">
        <f>BC465</f>
        <v/>
      </c>
      <c r="BD492" s="8">
        <f>BD465</f>
        <v/>
      </c>
      <c r="BE492" s="8">
        <f>BE465</f>
        <v/>
      </c>
      <c r="BF492" s="8">
        <f>BF465</f>
        <v/>
      </c>
      <c r="BG492" s="8">
        <f>BG465</f>
        <v/>
      </c>
      <c r="BH492" s="8">
        <f>BH465</f>
        <v/>
      </c>
      <c r="BI492" s="8">
        <f>BI465</f>
        <v/>
      </c>
      <c r="BJ492" s="8">
        <f>BJ465</f>
        <v/>
      </c>
    </row>
    <row r="493"/>
    <row r="494">
      <c r="A494" s="19" t="inlineStr">
        <is>
          <t>Usage &amp; transaction revenue</t>
        </is>
      </c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  <c r="AH494" s="19" t="n"/>
      <c r="AI494" s="19" t="n"/>
      <c r="AJ494" s="19" t="n"/>
      <c r="AK494" s="19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19" t="n"/>
      <c r="BA494" s="19" t="n"/>
      <c r="BB494" s="19" t="n"/>
      <c r="BC494" s="19" t="n"/>
      <c r="BD494" s="19" t="n"/>
      <c r="BE494" s="19" t="n"/>
      <c r="BF494" s="19" t="n"/>
      <c r="BG494" s="19" t="n"/>
      <c r="BH494" s="19" t="n"/>
      <c r="BI494" s="19" t="n"/>
      <c r="BJ494" s="19" t="n"/>
    </row>
    <row r="495">
      <c r="A495" s="4" t="inlineStr">
        <is>
          <t>Workspaces on metered AI plans (Nano to Scale; Corporate, Agency, Custom use their own keys)</t>
        </is>
      </c>
      <c r="B495" s="17" t="inlineStr">
        <is>
          <t>workspaces</t>
        </is>
      </c>
      <c r="C495" s="10">
        <f>C387+C390+C393+C396+C399</f>
        <v/>
      </c>
      <c r="D495" s="10">
        <f>D387+D390+D393+D396+D399</f>
        <v/>
      </c>
      <c r="E495" s="10">
        <f>E387+E390+E393+E396+E399</f>
        <v/>
      </c>
      <c r="F495" s="10">
        <f>F387+F390+F393+F396+F399</f>
        <v/>
      </c>
      <c r="G495" s="10">
        <f>G387+G390+G393+G396+G399</f>
        <v/>
      </c>
      <c r="H495" s="10">
        <f>H387+H390+H393+H396+H399</f>
        <v/>
      </c>
      <c r="I495" s="10">
        <f>I387+I390+I393+I396+I399</f>
        <v/>
      </c>
      <c r="J495" s="10">
        <f>J387+J390+J393+J396+J399</f>
        <v/>
      </c>
      <c r="K495" s="10">
        <f>K387+K390+K393+K396+K399</f>
        <v/>
      </c>
      <c r="L495" s="10">
        <f>L387+L390+L393+L396+L399</f>
        <v/>
      </c>
      <c r="M495" s="10">
        <f>M387+M390+M393+M396+M399</f>
        <v/>
      </c>
      <c r="N495" s="10">
        <f>N387+N390+N393+N396+N399</f>
        <v/>
      </c>
      <c r="O495" s="10">
        <f>O387+O390+O393+O396+O399</f>
        <v/>
      </c>
      <c r="P495" s="10">
        <f>P387+P390+P393+P396+P399</f>
        <v/>
      </c>
      <c r="Q495" s="10">
        <f>Q387+Q390+Q393+Q396+Q399</f>
        <v/>
      </c>
      <c r="R495" s="10">
        <f>R387+R390+R393+R396+R399</f>
        <v/>
      </c>
      <c r="S495" s="10">
        <f>S387+S390+S393+S396+S399</f>
        <v/>
      </c>
      <c r="T495" s="10">
        <f>T387+T390+T393+T396+T399</f>
        <v/>
      </c>
      <c r="U495" s="10">
        <f>U387+U390+U393+U396+U399</f>
        <v/>
      </c>
      <c r="V495" s="10">
        <f>V387+V390+V393+V396+V399</f>
        <v/>
      </c>
      <c r="W495" s="10">
        <f>W387+W390+W393+W396+W399</f>
        <v/>
      </c>
      <c r="X495" s="10">
        <f>X387+X390+X393+X396+X399</f>
        <v/>
      </c>
      <c r="Y495" s="10">
        <f>Y387+Y390+Y393+Y396+Y399</f>
        <v/>
      </c>
      <c r="Z495" s="10">
        <f>Z387+Z390+Z393+Z396+Z399</f>
        <v/>
      </c>
      <c r="AA495" s="10">
        <f>AA387+AA390+AA393+AA396+AA399</f>
        <v/>
      </c>
      <c r="AB495" s="10">
        <f>AB387+AB390+AB393+AB396+AB399</f>
        <v/>
      </c>
      <c r="AC495" s="10">
        <f>AC387+AC390+AC393+AC396+AC399</f>
        <v/>
      </c>
      <c r="AD495" s="10">
        <f>AD387+AD390+AD393+AD396+AD399</f>
        <v/>
      </c>
      <c r="AE495" s="10">
        <f>AE387+AE390+AE393+AE396+AE399</f>
        <v/>
      </c>
      <c r="AF495" s="10">
        <f>AF387+AF390+AF393+AF396+AF399</f>
        <v/>
      </c>
      <c r="AG495" s="10">
        <f>AG387+AG390+AG393+AG396+AG399</f>
        <v/>
      </c>
      <c r="AH495" s="10">
        <f>AH387+AH390+AH393+AH396+AH399</f>
        <v/>
      </c>
      <c r="AI495" s="10">
        <f>AI387+AI390+AI393+AI396+AI399</f>
        <v/>
      </c>
      <c r="AJ495" s="10">
        <f>AJ387+AJ390+AJ393+AJ396+AJ399</f>
        <v/>
      </c>
      <c r="AK495" s="10">
        <f>AK387+AK390+AK393+AK396+AK399</f>
        <v/>
      </c>
      <c r="AL495" s="10">
        <f>AL387+AL390+AL393+AL396+AL399</f>
        <v/>
      </c>
      <c r="AM495" s="10">
        <f>AM387+AM390+AM393+AM396+AM399</f>
        <v/>
      </c>
      <c r="AN495" s="10">
        <f>AN387+AN390+AN393+AN396+AN399</f>
        <v/>
      </c>
      <c r="AO495" s="10">
        <f>AO387+AO390+AO393+AO396+AO399</f>
        <v/>
      </c>
      <c r="AP495" s="10">
        <f>AP387+AP390+AP393+AP396+AP399</f>
        <v/>
      </c>
      <c r="AQ495" s="10">
        <f>AQ387+AQ390+AQ393+AQ396+AQ399</f>
        <v/>
      </c>
      <c r="AR495" s="10">
        <f>AR387+AR390+AR393+AR396+AR399</f>
        <v/>
      </c>
      <c r="AS495" s="10">
        <f>AS387+AS390+AS393+AS396+AS399</f>
        <v/>
      </c>
      <c r="AT495" s="10">
        <f>AT387+AT390+AT393+AT396+AT399</f>
        <v/>
      </c>
      <c r="AU495" s="10">
        <f>AU387+AU390+AU393+AU396+AU399</f>
        <v/>
      </c>
      <c r="AV495" s="10">
        <f>AV387+AV390+AV393+AV396+AV399</f>
        <v/>
      </c>
      <c r="AW495" s="10">
        <f>AW387+AW390+AW393+AW396+AW399</f>
        <v/>
      </c>
      <c r="AX495" s="10">
        <f>AX387+AX390+AX393+AX396+AX399</f>
        <v/>
      </c>
      <c r="AY495" s="10">
        <f>AY387+AY390+AY393+AY396+AY399</f>
        <v/>
      </c>
      <c r="AZ495" s="10">
        <f>AZ387+AZ390+AZ393+AZ396+AZ399</f>
        <v/>
      </c>
      <c r="BA495" s="10">
        <f>BA387+BA390+BA393+BA396+BA399</f>
        <v/>
      </c>
      <c r="BB495" s="10">
        <f>BB387+BB390+BB393+BB396+BB399</f>
        <v/>
      </c>
      <c r="BC495" s="10">
        <f>BC387+BC390+BC393+BC396+BC399</f>
        <v/>
      </c>
      <c r="BD495" s="10">
        <f>BD387+BD390+BD393+BD396+BD399</f>
        <v/>
      </c>
      <c r="BE495" s="10">
        <f>BE387+BE390+BE393+BE396+BE399</f>
        <v/>
      </c>
      <c r="BF495" s="10">
        <f>BF387+BF390+BF393+BF396+BF399</f>
        <v/>
      </c>
      <c r="BG495" s="10">
        <f>BG387+BG390+BG393+BG396+BG399</f>
        <v/>
      </c>
      <c r="BH495" s="10">
        <f>BH387+BH390+BH393+BH396+BH399</f>
        <v/>
      </c>
      <c r="BI495" s="10">
        <f>BI387+BI390+BI393+BI396+BI399</f>
        <v/>
      </c>
      <c r="BJ495" s="10">
        <f>BJ387+BJ390+BJ393+BJ396+BJ399</f>
        <v/>
      </c>
    </row>
    <row r="496">
      <c r="A496" s="4" t="inlineStr">
        <is>
          <t>AI-credit packs (prepaid; no overage)</t>
        </is>
      </c>
      <c r="B496" s="17" t="inlineStr">
        <is>
          <t>R</t>
        </is>
      </c>
      <c r="C496" s="8">
        <f>C495*Assumptions!$B$161*Assumptions!$B$162*C417</f>
        <v/>
      </c>
      <c r="D496" s="8">
        <f>D495*Assumptions!$B$161*Assumptions!$B$162*D417</f>
        <v/>
      </c>
      <c r="E496" s="8">
        <f>E495*Assumptions!$B$161*Assumptions!$B$162*E417</f>
        <v/>
      </c>
      <c r="F496" s="8">
        <f>F495*Assumptions!$B$161*Assumptions!$B$162*F417</f>
        <v/>
      </c>
      <c r="G496" s="8">
        <f>G495*Assumptions!$B$161*Assumptions!$B$162*G417</f>
        <v/>
      </c>
      <c r="H496" s="8">
        <f>H495*Assumptions!$B$161*Assumptions!$B$162*H417</f>
        <v/>
      </c>
      <c r="I496" s="8">
        <f>I495*Assumptions!$B$161*Assumptions!$B$162*I417</f>
        <v/>
      </c>
      <c r="J496" s="8">
        <f>J495*Assumptions!$B$161*Assumptions!$B$162*J417</f>
        <v/>
      </c>
      <c r="K496" s="8">
        <f>K495*Assumptions!$B$161*Assumptions!$B$162*K417</f>
        <v/>
      </c>
      <c r="L496" s="8">
        <f>L495*Assumptions!$B$161*Assumptions!$B$162*L417</f>
        <v/>
      </c>
      <c r="M496" s="8">
        <f>M495*Assumptions!$B$161*Assumptions!$B$162*M417</f>
        <v/>
      </c>
      <c r="N496" s="8">
        <f>N495*Assumptions!$B$161*Assumptions!$B$162*N417</f>
        <v/>
      </c>
      <c r="O496" s="8">
        <f>O495*Assumptions!$B$161*Assumptions!$B$162*O417</f>
        <v/>
      </c>
      <c r="P496" s="8">
        <f>P495*Assumptions!$B$161*Assumptions!$B$162*P417</f>
        <v/>
      </c>
      <c r="Q496" s="8">
        <f>Q495*Assumptions!$B$161*Assumptions!$B$162*Q417</f>
        <v/>
      </c>
      <c r="R496" s="8">
        <f>R495*Assumptions!$B$161*Assumptions!$B$162*R417</f>
        <v/>
      </c>
      <c r="S496" s="8">
        <f>S495*Assumptions!$B$161*Assumptions!$B$162*S417</f>
        <v/>
      </c>
      <c r="T496" s="8">
        <f>T495*Assumptions!$B$161*Assumptions!$B$162*T417</f>
        <v/>
      </c>
      <c r="U496" s="8">
        <f>U495*Assumptions!$B$161*Assumptions!$B$162*U417</f>
        <v/>
      </c>
      <c r="V496" s="8">
        <f>V495*Assumptions!$B$161*Assumptions!$B$162*V417</f>
        <v/>
      </c>
      <c r="W496" s="8">
        <f>W495*Assumptions!$B$161*Assumptions!$B$162*W417</f>
        <v/>
      </c>
      <c r="X496" s="8">
        <f>X495*Assumptions!$B$161*Assumptions!$B$162*X417</f>
        <v/>
      </c>
      <c r="Y496" s="8">
        <f>Y495*Assumptions!$B$161*Assumptions!$B$162*Y417</f>
        <v/>
      </c>
      <c r="Z496" s="8">
        <f>Z495*Assumptions!$B$161*Assumptions!$B$162*Z417</f>
        <v/>
      </c>
      <c r="AA496" s="8">
        <f>AA495*Assumptions!$B$161*Assumptions!$B$162*AA417</f>
        <v/>
      </c>
      <c r="AB496" s="8">
        <f>AB495*Assumptions!$B$161*Assumptions!$B$162*AB417</f>
        <v/>
      </c>
      <c r="AC496" s="8">
        <f>AC495*Assumptions!$B$161*Assumptions!$B$162*AC417</f>
        <v/>
      </c>
      <c r="AD496" s="8">
        <f>AD495*Assumptions!$B$161*Assumptions!$B$162*AD417</f>
        <v/>
      </c>
      <c r="AE496" s="8">
        <f>AE495*Assumptions!$B$161*Assumptions!$B$162*AE417</f>
        <v/>
      </c>
      <c r="AF496" s="8">
        <f>AF495*Assumptions!$B$161*Assumptions!$B$162*AF417</f>
        <v/>
      </c>
      <c r="AG496" s="8">
        <f>AG495*Assumptions!$B$161*Assumptions!$B$162*AG417</f>
        <v/>
      </c>
      <c r="AH496" s="8">
        <f>AH495*Assumptions!$B$161*Assumptions!$B$162*AH417</f>
        <v/>
      </c>
      <c r="AI496" s="8">
        <f>AI495*Assumptions!$B$161*Assumptions!$B$162*AI417</f>
        <v/>
      </c>
      <c r="AJ496" s="8">
        <f>AJ495*Assumptions!$B$161*Assumptions!$B$162*AJ417</f>
        <v/>
      </c>
      <c r="AK496" s="8">
        <f>AK495*Assumptions!$B$161*Assumptions!$B$162*AK417</f>
        <v/>
      </c>
      <c r="AL496" s="8">
        <f>AL495*Assumptions!$B$161*Assumptions!$B$162*AL417</f>
        <v/>
      </c>
      <c r="AM496" s="8">
        <f>AM495*Assumptions!$B$161*Assumptions!$B$162*AM417</f>
        <v/>
      </c>
      <c r="AN496" s="8">
        <f>AN495*Assumptions!$B$161*Assumptions!$B$162*AN417</f>
        <v/>
      </c>
      <c r="AO496" s="8">
        <f>AO495*Assumptions!$B$161*Assumptions!$B$162*AO417</f>
        <v/>
      </c>
      <c r="AP496" s="8">
        <f>AP495*Assumptions!$B$161*Assumptions!$B$162*AP417</f>
        <v/>
      </c>
      <c r="AQ496" s="8">
        <f>AQ495*Assumptions!$B$161*Assumptions!$B$162*AQ417</f>
        <v/>
      </c>
      <c r="AR496" s="8">
        <f>AR495*Assumptions!$B$161*Assumptions!$B$162*AR417</f>
        <v/>
      </c>
      <c r="AS496" s="8">
        <f>AS495*Assumptions!$B$161*Assumptions!$B$162*AS417</f>
        <v/>
      </c>
      <c r="AT496" s="8">
        <f>AT495*Assumptions!$B$161*Assumptions!$B$162*AT417</f>
        <v/>
      </c>
      <c r="AU496" s="8">
        <f>AU495*Assumptions!$B$161*Assumptions!$B$162*AU417</f>
        <v/>
      </c>
      <c r="AV496" s="8">
        <f>AV495*Assumptions!$B$161*Assumptions!$B$162*AV417</f>
        <v/>
      </c>
      <c r="AW496" s="8">
        <f>AW495*Assumptions!$B$161*Assumptions!$B$162*AW417</f>
        <v/>
      </c>
      <c r="AX496" s="8">
        <f>AX495*Assumptions!$B$161*Assumptions!$B$162*AX417</f>
        <v/>
      </c>
      <c r="AY496" s="8">
        <f>AY495*Assumptions!$B$161*Assumptions!$B$162*AY417</f>
        <v/>
      </c>
      <c r="AZ496" s="8">
        <f>AZ495*Assumptions!$B$161*Assumptions!$B$162*AZ417</f>
        <v/>
      </c>
      <c r="BA496" s="8">
        <f>BA495*Assumptions!$B$161*Assumptions!$B$162*BA417</f>
        <v/>
      </c>
      <c r="BB496" s="8">
        <f>BB495*Assumptions!$B$161*Assumptions!$B$162*BB417</f>
        <v/>
      </c>
      <c r="BC496" s="8">
        <f>BC495*Assumptions!$B$161*Assumptions!$B$162*BC417</f>
        <v/>
      </c>
      <c r="BD496" s="8">
        <f>BD495*Assumptions!$B$161*Assumptions!$B$162*BD417</f>
        <v/>
      </c>
      <c r="BE496" s="8">
        <f>BE495*Assumptions!$B$161*Assumptions!$B$162*BE417</f>
        <v/>
      </c>
      <c r="BF496" s="8">
        <f>BF495*Assumptions!$B$161*Assumptions!$B$162*BF417</f>
        <v/>
      </c>
      <c r="BG496" s="8">
        <f>BG495*Assumptions!$B$161*Assumptions!$B$162*BG417</f>
        <v/>
      </c>
      <c r="BH496" s="8">
        <f>BH495*Assumptions!$B$161*Assumptions!$B$162*BH417</f>
        <v/>
      </c>
      <c r="BI496" s="8">
        <f>BI495*Assumptions!$B$161*Assumptions!$B$162*BI417</f>
        <v/>
      </c>
      <c r="BJ496" s="8">
        <f>BJ495*Assumptions!$B$161*Assumptions!$B$162*BJ417</f>
        <v/>
      </c>
    </row>
    <row r="497">
      <c r="A497" s="4" t="inlineStr">
        <is>
          <t>Billable WhatsApp messages</t>
        </is>
      </c>
      <c r="B497" s="17" t="inlineStr">
        <is>
          <t>messages</t>
        </is>
      </c>
      <c r="C497" s="10">
        <f>C387*Assumptions!$B$164+C390*Assumptions!$B$165+C393*Assumptions!$B$166+C396*Assumptions!$B$167+C399*Assumptions!$B$168+C402*Assumptions!$B$169+C405*Assumptions!$B$170+C408*Assumptions!$B$171</f>
        <v/>
      </c>
      <c r="D497" s="10">
        <f>D387*Assumptions!$B$164+D390*Assumptions!$B$165+D393*Assumptions!$B$166+D396*Assumptions!$B$167+D399*Assumptions!$B$168+D402*Assumptions!$B$169+D405*Assumptions!$B$170+D408*Assumptions!$B$171</f>
        <v/>
      </c>
      <c r="E497" s="10">
        <f>E387*Assumptions!$B$164+E390*Assumptions!$B$165+E393*Assumptions!$B$166+E396*Assumptions!$B$167+E399*Assumptions!$B$168+E402*Assumptions!$B$169+E405*Assumptions!$B$170+E408*Assumptions!$B$171</f>
        <v/>
      </c>
      <c r="F497" s="10">
        <f>F387*Assumptions!$B$164+F390*Assumptions!$B$165+F393*Assumptions!$B$166+F396*Assumptions!$B$167+F399*Assumptions!$B$168+F402*Assumptions!$B$169+F405*Assumptions!$B$170+F408*Assumptions!$B$171</f>
        <v/>
      </c>
      <c r="G497" s="10">
        <f>G387*Assumptions!$B$164+G390*Assumptions!$B$165+G393*Assumptions!$B$166+G396*Assumptions!$B$167+G399*Assumptions!$B$168+G402*Assumptions!$B$169+G405*Assumptions!$B$170+G408*Assumptions!$B$171</f>
        <v/>
      </c>
      <c r="H497" s="10">
        <f>H387*Assumptions!$B$164+H390*Assumptions!$B$165+H393*Assumptions!$B$166+H396*Assumptions!$B$167+H399*Assumptions!$B$168+H402*Assumptions!$B$169+H405*Assumptions!$B$170+H408*Assumptions!$B$171</f>
        <v/>
      </c>
      <c r="I497" s="10">
        <f>I387*Assumptions!$B$164+I390*Assumptions!$B$165+I393*Assumptions!$B$166+I396*Assumptions!$B$167+I399*Assumptions!$B$168+I402*Assumptions!$B$169+I405*Assumptions!$B$170+I408*Assumptions!$B$171</f>
        <v/>
      </c>
      <c r="J497" s="10">
        <f>J387*Assumptions!$B$164+J390*Assumptions!$B$165+J393*Assumptions!$B$166+J396*Assumptions!$B$167+J399*Assumptions!$B$168+J402*Assumptions!$B$169+J405*Assumptions!$B$170+J408*Assumptions!$B$171</f>
        <v/>
      </c>
      <c r="K497" s="10">
        <f>K387*Assumptions!$B$164+K390*Assumptions!$B$165+K393*Assumptions!$B$166+K396*Assumptions!$B$167+K399*Assumptions!$B$168+K402*Assumptions!$B$169+K405*Assumptions!$B$170+K408*Assumptions!$B$171</f>
        <v/>
      </c>
      <c r="L497" s="10">
        <f>L387*Assumptions!$B$164+L390*Assumptions!$B$165+L393*Assumptions!$B$166+L396*Assumptions!$B$167+L399*Assumptions!$B$168+L402*Assumptions!$B$169+L405*Assumptions!$B$170+L408*Assumptions!$B$171</f>
        <v/>
      </c>
      <c r="M497" s="10">
        <f>M387*Assumptions!$B$164+M390*Assumptions!$B$165+M393*Assumptions!$B$166+M396*Assumptions!$B$167+M399*Assumptions!$B$168+M402*Assumptions!$B$169+M405*Assumptions!$B$170+M408*Assumptions!$B$171</f>
        <v/>
      </c>
      <c r="N497" s="10">
        <f>N387*Assumptions!$B$164+N390*Assumptions!$B$165+N393*Assumptions!$B$166+N396*Assumptions!$B$167+N399*Assumptions!$B$168+N402*Assumptions!$B$169+N405*Assumptions!$B$170+N408*Assumptions!$B$171</f>
        <v/>
      </c>
      <c r="O497" s="10">
        <f>O387*Assumptions!$B$164+O390*Assumptions!$B$165+O393*Assumptions!$B$166+O396*Assumptions!$B$167+O399*Assumptions!$B$168+O402*Assumptions!$B$169+O405*Assumptions!$B$170+O408*Assumptions!$B$171</f>
        <v/>
      </c>
      <c r="P497" s="10">
        <f>P387*Assumptions!$B$164+P390*Assumptions!$B$165+P393*Assumptions!$B$166+P396*Assumptions!$B$167+P399*Assumptions!$B$168+P402*Assumptions!$B$169+P405*Assumptions!$B$170+P408*Assumptions!$B$171</f>
        <v/>
      </c>
      <c r="Q497" s="10">
        <f>Q387*Assumptions!$B$164+Q390*Assumptions!$B$165+Q393*Assumptions!$B$166+Q396*Assumptions!$B$167+Q399*Assumptions!$B$168+Q402*Assumptions!$B$169+Q405*Assumptions!$B$170+Q408*Assumptions!$B$171</f>
        <v/>
      </c>
      <c r="R497" s="10">
        <f>R387*Assumptions!$B$164+R390*Assumptions!$B$165+R393*Assumptions!$B$166+R396*Assumptions!$B$167+R399*Assumptions!$B$168+R402*Assumptions!$B$169+R405*Assumptions!$B$170+R408*Assumptions!$B$171</f>
        <v/>
      </c>
      <c r="S497" s="10">
        <f>S387*Assumptions!$B$164+S390*Assumptions!$B$165+S393*Assumptions!$B$166+S396*Assumptions!$B$167+S399*Assumptions!$B$168+S402*Assumptions!$B$169+S405*Assumptions!$B$170+S408*Assumptions!$B$171</f>
        <v/>
      </c>
      <c r="T497" s="10">
        <f>T387*Assumptions!$B$164+T390*Assumptions!$B$165+T393*Assumptions!$B$166+T396*Assumptions!$B$167+T399*Assumptions!$B$168+T402*Assumptions!$B$169+T405*Assumptions!$B$170+T408*Assumptions!$B$171</f>
        <v/>
      </c>
      <c r="U497" s="10">
        <f>U387*Assumptions!$B$164+U390*Assumptions!$B$165+U393*Assumptions!$B$166+U396*Assumptions!$B$167+U399*Assumptions!$B$168+U402*Assumptions!$B$169+U405*Assumptions!$B$170+U408*Assumptions!$B$171</f>
        <v/>
      </c>
      <c r="V497" s="10">
        <f>V387*Assumptions!$B$164+V390*Assumptions!$B$165+V393*Assumptions!$B$166+V396*Assumptions!$B$167+V399*Assumptions!$B$168+V402*Assumptions!$B$169+V405*Assumptions!$B$170+V408*Assumptions!$B$171</f>
        <v/>
      </c>
      <c r="W497" s="10">
        <f>W387*Assumptions!$B$164+W390*Assumptions!$B$165+W393*Assumptions!$B$166+W396*Assumptions!$B$167+W399*Assumptions!$B$168+W402*Assumptions!$B$169+W405*Assumptions!$B$170+W408*Assumptions!$B$171</f>
        <v/>
      </c>
      <c r="X497" s="10">
        <f>X387*Assumptions!$B$164+X390*Assumptions!$B$165+X393*Assumptions!$B$166+X396*Assumptions!$B$167+X399*Assumptions!$B$168+X402*Assumptions!$B$169+X405*Assumptions!$B$170+X408*Assumptions!$B$171</f>
        <v/>
      </c>
      <c r="Y497" s="10">
        <f>Y387*Assumptions!$B$164+Y390*Assumptions!$B$165+Y393*Assumptions!$B$166+Y396*Assumptions!$B$167+Y399*Assumptions!$B$168+Y402*Assumptions!$B$169+Y405*Assumptions!$B$170+Y408*Assumptions!$B$171</f>
        <v/>
      </c>
      <c r="Z497" s="10">
        <f>Z387*Assumptions!$B$164+Z390*Assumptions!$B$165+Z393*Assumptions!$B$166+Z396*Assumptions!$B$167+Z399*Assumptions!$B$168+Z402*Assumptions!$B$169+Z405*Assumptions!$B$170+Z408*Assumptions!$B$171</f>
        <v/>
      </c>
      <c r="AA497" s="10">
        <f>AA387*Assumptions!$B$164+AA390*Assumptions!$B$165+AA393*Assumptions!$B$166+AA396*Assumptions!$B$167+AA399*Assumptions!$B$168+AA402*Assumptions!$B$169+AA405*Assumptions!$B$170+AA408*Assumptions!$B$171</f>
        <v/>
      </c>
      <c r="AB497" s="10">
        <f>AB387*Assumptions!$B$164+AB390*Assumptions!$B$165+AB393*Assumptions!$B$166+AB396*Assumptions!$B$167+AB399*Assumptions!$B$168+AB402*Assumptions!$B$169+AB405*Assumptions!$B$170+AB408*Assumptions!$B$171</f>
        <v/>
      </c>
      <c r="AC497" s="10">
        <f>AC387*Assumptions!$B$164+AC390*Assumptions!$B$165+AC393*Assumptions!$B$166+AC396*Assumptions!$B$167+AC399*Assumptions!$B$168+AC402*Assumptions!$B$169+AC405*Assumptions!$B$170+AC408*Assumptions!$B$171</f>
        <v/>
      </c>
      <c r="AD497" s="10">
        <f>AD387*Assumptions!$B$164+AD390*Assumptions!$B$165+AD393*Assumptions!$B$166+AD396*Assumptions!$B$167+AD399*Assumptions!$B$168+AD402*Assumptions!$B$169+AD405*Assumptions!$B$170+AD408*Assumptions!$B$171</f>
        <v/>
      </c>
      <c r="AE497" s="10">
        <f>AE387*Assumptions!$B$164+AE390*Assumptions!$B$165+AE393*Assumptions!$B$166+AE396*Assumptions!$B$167+AE399*Assumptions!$B$168+AE402*Assumptions!$B$169+AE405*Assumptions!$B$170+AE408*Assumptions!$B$171</f>
        <v/>
      </c>
      <c r="AF497" s="10">
        <f>AF387*Assumptions!$B$164+AF390*Assumptions!$B$165+AF393*Assumptions!$B$166+AF396*Assumptions!$B$167+AF399*Assumptions!$B$168+AF402*Assumptions!$B$169+AF405*Assumptions!$B$170+AF408*Assumptions!$B$171</f>
        <v/>
      </c>
      <c r="AG497" s="10">
        <f>AG387*Assumptions!$B$164+AG390*Assumptions!$B$165+AG393*Assumptions!$B$166+AG396*Assumptions!$B$167+AG399*Assumptions!$B$168+AG402*Assumptions!$B$169+AG405*Assumptions!$B$170+AG408*Assumptions!$B$171</f>
        <v/>
      </c>
      <c r="AH497" s="10">
        <f>AH387*Assumptions!$B$164+AH390*Assumptions!$B$165+AH393*Assumptions!$B$166+AH396*Assumptions!$B$167+AH399*Assumptions!$B$168+AH402*Assumptions!$B$169+AH405*Assumptions!$B$170+AH408*Assumptions!$B$171</f>
        <v/>
      </c>
      <c r="AI497" s="10">
        <f>AI387*Assumptions!$B$164+AI390*Assumptions!$B$165+AI393*Assumptions!$B$166+AI396*Assumptions!$B$167+AI399*Assumptions!$B$168+AI402*Assumptions!$B$169+AI405*Assumptions!$B$170+AI408*Assumptions!$B$171</f>
        <v/>
      </c>
      <c r="AJ497" s="10">
        <f>AJ387*Assumptions!$B$164+AJ390*Assumptions!$B$165+AJ393*Assumptions!$B$166+AJ396*Assumptions!$B$167+AJ399*Assumptions!$B$168+AJ402*Assumptions!$B$169+AJ405*Assumptions!$B$170+AJ408*Assumptions!$B$171</f>
        <v/>
      </c>
      <c r="AK497" s="10">
        <f>AK387*Assumptions!$B$164+AK390*Assumptions!$B$165+AK393*Assumptions!$B$166+AK396*Assumptions!$B$167+AK399*Assumptions!$B$168+AK402*Assumptions!$B$169+AK405*Assumptions!$B$170+AK408*Assumptions!$B$171</f>
        <v/>
      </c>
      <c r="AL497" s="10">
        <f>AL387*Assumptions!$B$164+AL390*Assumptions!$B$165+AL393*Assumptions!$B$166+AL396*Assumptions!$B$167+AL399*Assumptions!$B$168+AL402*Assumptions!$B$169+AL405*Assumptions!$B$170+AL408*Assumptions!$B$171</f>
        <v/>
      </c>
      <c r="AM497" s="10">
        <f>AM387*Assumptions!$B$164+AM390*Assumptions!$B$165+AM393*Assumptions!$B$166+AM396*Assumptions!$B$167+AM399*Assumptions!$B$168+AM402*Assumptions!$B$169+AM405*Assumptions!$B$170+AM408*Assumptions!$B$171</f>
        <v/>
      </c>
      <c r="AN497" s="10">
        <f>AN387*Assumptions!$B$164+AN390*Assumptions!$B$165+AN393*Assumptions!$B$166+AN396*Assumptions!$B$167+AN399*Assumptions!$B$168+AN402*Assumptions!$B$169+AN405*Assumptions!$B$170+AN408*Assumptions!$B$171</f>
        <v/>
      </c>
      <c r="AO497" s="10">
        <f>AO387*Assumptions!$B$164+AO390*Assumptions!$B$165+AO393*Assumptions!$B$166+AO396*Assumptions!$B$167+AO399*Assumptions!$B$168+AO402*Assumptions!$B$169+AO405*Assumptions!$B$170+AO408*Assumptions!$B$171</f>
        <v/>
      </c>
      <c r="AP497" s="10">
        <f>AP387*Assumptions!$B$164+AP390*Assumptions!$B$165+AP393*Assumptions!$B$166+AP396*Assumptions!$B$167+AP399*Assumptions!$B$168+AP402*Assumptions!$B$169+AP405*Assumptions!$B$170+AP408*Assumptions!$B$171</f>
        <v/>
      </c>
      <c r="AQ497" s="10">
        <f>AQ387*Assumptions!$B$164+AQ390*Assumptions!$B$165+AQ393*Assumptions!$B$166+AQ396*Assumptions!$B$167+AQ399*Assumptions!$B$168+AQ402*Assumptions!$B$169+AQ405*Assumptions!$B$170+AQ408*Assumptions!$B$171</f>
        <v/>
      </c>
      <c r="AR497" s="10">
        <f>AR387*Assumptions!$B$164+AR390*Assumptions!$B$165+AR393*Assumptions!$B$166+AR396*Assumptions!$B$167+AR399*Assumptions!$B$168+AR402*Assumptions!$B$169+AR405*Assumptions!$B$170+AR408*Assumptions!$B$171</f>
        <v/>
      </c>
      <c r="AS497" s="10">
        <f>AS387*Assumptions!$B$164+AS390*Assumptions!$B$165+AS393*Assumptions!$B$166+AS396*Assumptions!$B$167+AS399*Assumptions!$B$168+AS402*Assumptions!$B$169+AS405*Assumptions!$B$170+AS408*Assumptions!$B$171</f>
        <v/>
      </c>
      <c r="AT497" s="10">
        <f>AT387*Assumptions!$B$164+AT390*Assumptions!$B$165+AT393*Assumptions!$B$166+AT396*Assumptions!$B$167+AT399*Assumptions!$B$168+AT402*Assumptions!$B$169+AT405*Assumptions!$B$170+AT408*Assumptions!$B$171</f>
        <v/>
      </c>
      <c r="AU497" s="10">
        <f>AU387*Assumptions!$B$164+AU390*Assumptions!$B$165+AU393*Assumptions!$B$166+AU396*Assumptions!$B$167+AU399*Assumptions!$B$168+AU402*Assumptions!$B$169+AU405*Assumptions!$B$170+AU408*Assumptions!$B$171</f>
        <v/>
      </c>
      <c r="AV497" s="10">
        <f>AV387*Assumptions!$B$164+AV390*Assumptions!$B$165+AV393*Assumptions!$B$166+AV396*Assumptions!$B$167+AV399*Assumptions!$B$168+AV402*Assumptions!$B$169+AV405*Assumptions!$B$170+AV408*Assumptions!$B$171</f>
        <v/>
      </c>
      <c r="AW497" s="10">
        <f>AW387*Assumptions!$B$164+AW390*Assumptions!$B$165+AW393*Assumptions!$B$166+AW396*Assumptions!$B$167+AW399*Assumptions!$B$168+AW402*Assumptions!$B$169+AW405*Assumptions!$B$170+AW408*Assumptions!$B$171</f>
        <v/>
      </c>
      <c r="AX497" s="10">
        <f>AX387*Assumptions!$B$164+AX390*Assumptions!$B$165+AX393*Assumptions!$B$166+AX396*Assumptions!$B$167+AX399*Assumptions!$B$168+AX402*Assumptions!$B$169+AX405*Assumptions!$B$170+AX408*Assumptions!$B$171</f>
        <v/>
      </c>
      <c r="AY497" s="10">
        <f>AY387*Assumptions!$B$164+AY390*Assumptions!$B$165+AY393*Assumptions!$B$166+AY396*Assumptions!$B$167+AY399*Assumptions!$B$168+AY402*Assumptions!$B$169+AY405*Assumptions!$B$170+AY408*Assumptions!$B$171</f>
        <v/>
      </c>
      <c r="AZ497" s="10">
        <f>AZ387*Assumptions!$B$164+AZ390*Assumptions!$B$165+AZ393*Assumptions!$B$166+AZ396*Assumptions!$B$167+AZ399*Assumptions!$B$168+AZ402*Assumptions!$B$169+AZ405*Assumptions!$B$170+AZ408*Assumptions!$B$171</f>
        <v/>
      </c>
      <c r="BA497" s="10">
        <f>BA387*Assumptions!$B$164+BA390*Assumptions!$B$165+BA393*Assumptions!$B$166+BA396*Assumptions!$B$167+BA399*Assumptions!$B$168+BA402*Assumptions!$B$169+BA405*Assumptions!$B$170+BA408*Assumptions!$B$171</f>
        <v/>
      </c>
      <c r="BB497" s="10">
        <f>BB387*Assumptions!$B$164+BB390*Assumptions!$B$165+BB393*Assumptions!$B$166+BB396*Assumptions!$B$167+BB399*Assumptions!$B$168+BB402*Assumptions!$B$169+BB405*Assumptions!$B$170+BB408*Assumptions!$B$171</f>
        <v/>
      </c>
      <c r="BC497" s="10">
        <f>BC387*Assumptions!$B$164+BC390*Assumptions!$B$165+BC393*Assumptions!$B$166+BC396*Assumptions!$B$167+BC399*Assumptions!$B$168+BC402*Assumptions!$B$169+BC405*Assumptions!$B$170+BC408*Assumptions!$B$171</f>
        <v/>
      </c>
      <c r="BD497" s="10">
        <f>BD387*Assumptions!$B$164+BD390*Assumptions!$B$165+BD393*Assumptions!$B$166+BD396*Assumptions!$B$167+BD399*Assumptions!$B$168+BD402*Assumptions!$B$169+BD405*Assumptions!$B$170+BD408*Assumptions!$B$171</f>
        <v/>
      </c>
      <c r="BE497" s="10">
        <f>BE387*Assumptions!$B$164+BE390*Assumptions!$B$165+BE393*Assumptions!$B$166+BE396*Assumptions!$B$167+BE399*Assumptions!$B$168+BE402*Assumptions!$B$169+BE405*Assumptions!$B$170+BE408*Assumptions!$B$171</f>
        <v/>
      </c>
      <c r="BF497" s="10">
        <f>BF387*Assumptions!$B$164+BF390*Assumptions!$B$165+BF393*Assumptions!$B$166+BF396*Assumptions!$B$167+BF399*Assumptions!$B$168+BF402*Assumptions!$B$169+BF405*Assumptions!$B$170+BF408*Assumptions!$B$171</f>
        <v/>
      </c>
      <c r="BG497" s="10">
        <f>BG387*Assumptions!$B$164+BG390*Assumptions!$B$165+BG393*Assumptions!$B$166+BG396*Assumptions!$B$167+BG399*Assumptions!$B$168+BG402*Assumptions!$B$169+BG405*Assumptions!$B$170+BG408*Assumptions!$B$171</f>
        <v/>
      </c>
      <c r="BH497" s="10">
        <f>BH387*Assumptions!$B$164+BH390*Assumptions!$B$165+BH393*Assumptions!$B$166+BH396*Assumptions!$B$167+BH399*Assumptions!$B$168+BH402*Assumptions!$B$169+BH405*Assumptions!$B$170+BH408*Assumptions!$B$171</f>
        <v/>
      </c>
      <c r="BI497" s="10">
        <f>BI387*Assumptions!$B$164+BI390*Assumptions!$B$165+BI393*Assumptions!$B$166+BI396*Assumptions!$B$167+BI399*Assumptions!$B$168+BI402*Assumptions!$B$169+BI405*Assumptions!$B$170+BI408*Assumptions!$B$171</f>
        <v/>
      </c>
      <c r="BJ497" s="10">
        <f>BJ387*Assumptions!$B$164+BJ390*Assumptions!$B$165+BJ393*Assumptions!$B$166+BJ396*Assumptions!$B$167+BJ399*Assumptions!$B$168+BJ402*Assumptions!$B$169+BJ405*Assumptions!$B$170+BJ408*Assumptions!$B$171</f>
        <v/>
      </c>
    </row>
    <row r="498">
      <c r="A498" s="4" t="inlineStr">
        <is>
          <t>WhatsApp messaging (Meta fees resold with markup)</t>
        </is>
      </c>
      <c r="B498" s="17" t="inlineStr">
        <is>
          <t>R</t>
        </is>
      </c>
      <c r="C498" s="8">
        <f>C497*Assumptions!$B$172*(1+Assumptions!$B$173)</f>
        <v/>
      </c>
      <c r="D498" s="8">
        <f>D497*Assumptions!$B$172*(1+Assumptions!$B$173)</f>
        <v/>
      </c>
      <c r="E498" s="8">
        <f>E497*Assumptions!$B$172*(1+Assumptions!$B$173)</f>
        <v/>
      </c>
      <c r="F498" s="8">
        <f>F497*Assumptions!$B$172*(1+Assumptions!$B$173)</f>
        <v/>
      </c>
      <c r="G498" s="8">
        <f>G497*Assumptions!$B$172*(1+Assumptions!$B$173)</f>
        <v/>
      </c>
      <c r="H498" s="8">
        <f>H497*Assumptions!$B$172*(1+Assumptions!$B$173)</f>
        <v/>
      </c>
      <c r="I498" s="8">
        <f>I497*Assumptions!$B$172*(1+Assumptions!$B$173)</f>
        <v/>
      </c>
      <c r="J498" s="8">
        <f>J497*Assumptions!$B$172*(1+Assumptions!$B$173)</f>
        <v/>
      </c>
      <c r="K498" s="8">
        <f>K497*Assumptions!$B$172*(1+Assumptions!$B$173)</f>
        <v/>
      </c>
      <c r="L498" s="8">
        <f>L497*Assumptions!$B$172*(1+Assumptions!$B$173)</f>
        <v/>
      </c>
      <c r="M498" s="8">
        <f>M497*Assumptions!$B$172*(1+Assumptions!$B$173)</f>
        <v/>
      </c>
      <c r="N498" s="8">
        <f>N497*Assumptions!$B$172*(1+Assumptions!$B$173)</f>
        <v/>
      </c>
      <c r="O498" s="8">
        <f>O497*Assumptions!$B$172*(1+Assumptions!$B$173)</f>
        <v/>
      </c>
      <c r="P498" s="8">
        <f>P497*Assumptions!$B$172*(1+Assumptions!$B$173)</f>
        <v/>
      </c>
      <c r="Q498" s="8">
        <f>Q497*Assumptions!$B$172*(1+Assumptions!$B$173)</f>
        <v/>
      </c>
      <c r="R498" s="8">
        <f>R497*Assumptions!$B$172*(1+Assumptions!$B$173)</f>
        <v/>
      </c>
      <c r="S498" s="8">
        <f>S497*Assumptions!$B$172*(1+Assumptions!$B$173)</f>
        <v/>
      </c>
      <c r="T498" s="8">
        <f>T497*Assumptions!$B$172*(1+Assumptions!$B$173)</f>
        <v/>
      </c>
      <c r="U498" s="8">
        <f>U497*Assumptions!$B$172*(1+Assumptions!$B$173)</f>
        <v/>
      </c>
      <c r="V498" s="8">
        <f>V497*Assumptions!$B$172*(1+Assumptions!$B$173)</f>
        <v/>
      </c>
      <c r="W498" s="8">
        <f>W497*Assumptions!$B$172*(1+Assumptions!$B$173)</f>
        <v/>
      </c>
      <c r="X498" s="8">
        <f>X497*Assumptions!$B$172*(1+Assumptions!$B$173)</f>
        <v/>
      </c>
      <c r="Y498" s="8">
        <f>Y497*Assumptions!$B$172*(1+Assumptions!$B$173)</f>
        <v/>
      </c>
      <c r="Z498" s="8">
        <f>Z497*Assumptions!$B$172*(1+Assumptions!$B$173)</f>
        <v/>
      </c>
      <c r="AA498" s="8">
        <f>AA497*Assumptions!$B$172*(1+Assumptions!$B$173)</f>
        <v/>
      </c>
      <c r="AB498" s="8">
        <f>AB497*Assumptions!$B$172*(1+Assumptions!$B$173)</f>
        <v/>
      </c>
      <c r="AC498" s="8">
        <f>AC497*Assumptions!$B$172*(1+Assumptions!$B$173)</f>
        <v/>
      </c>
      <c r="AD498" s="8">
        <f>AD497*Assumptions!$B$172*(1+Assumptions!$B$173)</f>
        <v/>
      </c>
      <c r="AE498" s="8">
        <f>AE497*Assumptions!$B$172*(1+Assumptions!$B$173)</f>
        <v/>
      </c>
      <c r="AF498" s="8">
        <f>AF497*Assumptions!$B$172*(1+Assumptions!$B$173)</f>
        <v/>
      </c>
      <c r="AG498" s="8">
        <f>AG497*Assumptions!$B$172*(1+Assumptions!$B$173)</f>
        <v/>
      </c>
      <c r="AH498" s="8">
        <f>AH497*Assumptions!$B$172*(1+Assumptions!$B$173)</f>
        <v/>
      </c>
      <c r="AI498" s="8">
        <f>AI497*Assumptions!$B$172*(1+Assumptions!$B$173)</f>
        <v/>
      </c>
      <c r="AJ498" s="8">
        <f>AJ497*Assumptions!$B$172*(1+Assumptions!$B$173)</f>
        <v/>
      </c>
      <c r="AK498" s="8">
        <f>AK497*Assumptions!$B$172*(1+Assumptions!$B$173)</f>
        <v/>
      </c>
      <c r="AL498" s="8">
        <f>AL497*Assumptions!$B$172*(1+Assumptions!$B$173)</f>
        <v/>
      </c>
      <c r="AM498" s="8">
        <f>AM497*Assumptions!$B$172*(1+Assumptions!$B$173)</f>
        <v/>
      </c>
      <c r="AN498" s="8">
        <f>AN497*Assumptions!$B$172*(1+Assumptions!$B$173)</f>
        <v/>
      </c>
      <c r="AO498" s="8">
        <f>AO497*Assumptions!$B$172*(1+Assumptions!$B$173)</f>
        <v/>
      </c>
      <c r="AP498" s="8">
        <f>AP497*Assumptions!$B$172*(1+Assumptions!$B$173)</f>
        <v/>
      </c>
      <c r="AQ498" s="8">
        <f>AQ497*Assumptions!$B$172*(1+Assumptions!$B$173)</f>
        <v/>
      </c>
      <c r="AR498" s="8">
        <f>AR497*Assumptions!$B$172*(1+Assumptions!$B$173)</f>
        <v/>
      </c>
      <c r="AS498" s="8">
        <f>AS497*Assumptions!$B$172*(1+Assumptions!$B$173)</f>
        <v/>
      </c>
      <c r="AT498" s="8">
        <f>AT497*Assumptions!$B$172*(1+Assumptions!$B$173)</f>
        <v/>
      </c>
      <c r="AU498" s="8">
        <f>AU497*Assumptions!$B$172*(1+Assumptions!$B$173)</f>
        <v/>
      </c>
      <c r="AV498" s="8">
        <f>AV497*Assumptions!$B$172*(1+Assumptions!$B$173)</f>
        <v/>
      </c>
      <c r="AW498" s="8">
        <f>AW497*Assumptions!$B$172*(1+Assumptions!$B$173)</f>
        <v/>
      </c>
      <c r="AX498" s="8">
        <f>AX497*Assumptions!$B$172*(1+Assumptions!$B$173)</f>
        <v/>
      </c>
      <c r="AY498" s="8">
        <f>AY497*Assumptions!$B$172*(1+Assumptions!$B$173)</f>
        <v/>
      </c>
      <c r="AZ498" s="8">
        <f>AZ497*Assumptions!$B$172*(1+Assumptions!$B$173)</f>
        <v/>
      </c>
      <c r="BA498" s="8">
        <f>BA497*Assumptions!$B$172*(1+Assumptions!$B$173)</f>
        <v/>
      </c>
      <c r="BB498" s="8">
        <f>BB497*Assumptions!$B$172*(1+Assumptions!$B$173)</f>
        <v/>
      </c>
      <c r="BC498" s="8">
        <f>BC497*Assumptions!$B$172*(1+Assumptions!$B$173)</f>
        <v/>
      </c>
      <c r="BD498" s="8">
        <f>BD497*Assumptions!$B$172*(1+Assumptions!$B$173)</f>
        <v/>
      </c>
      <c r="BE498" s="8">
        <f>BE497*Assumptions!$B$172*(1+Assumptions!$B$173)</f>
        <v/>
      </c>
      <c r="BF498" s="8">
        <f>BF497*Assumptions!$B$172*(1+Assumptions!$B$173)</f>
        <v/>
      </c>
      <c r="BG498" s="8">
        <f>BG497*Assumptions!$B$172*(1+Assumptions!$B$173)</f>
        <v/>
      </c>
      <c r="BH498" s="8">
        <f>BH497*Assumptions!$B$172*(1+Assumptions!$B$173)</f>
        <v/>
      </c>
      <c r="BI498" s="8">
        <f>BI497*Assumptions!$B$172*(1+Assumptions!$B$173)</f>
        <v/>
      </c>
      <c r="BJ498" s="8">
        <f>BJ497*Assumptions!$B$172*(1+Assumptions!$B$173)</f>
        <v/>
      </c>
    </row>
    <row r="499">
      <c r="A499" s="4" t="inlineStr">
        <is>
          <t>Commerce-eligible workspaces (Micro, Growth, Scale, Corporate, Custom)</t>
        </is>
      </c>
      <c r="B499" s="17" t="inlineStr">
        <is>
          <t>workspaces</t>
        </is>
      </c>
      <c r="C499" s="10">
        <f>C390+C396+C399+C402+C408</f>
        <v/>
      </c>
      <c r="D499" s="10">
        <f>D390+D396+D399+D402+D408</f>
        <v/>
      </c>
      <c r="E499" s="10">
        <f>E390+E396+E399+E402+E408</f>
        <v/>
      </c>
      <c r="F499" s="10">
        <f>F390+F396+F399+F402+F408</f>
        <v/>
      </c>
      <c r="G499" s="10">
        <f>G390+G396+G399+G402+G408</f>
        <v/>
      </c>
      <c r="H499" s="10">
        <f>H390+H396+H399+H402+H408</f>
        <v/>
      </c>
      <c r="I499" s="10">
        <f>I390+I396+I399+I402+I408</f>
        <v/>
      </c>
      <c r="J499" s="10">
        <f>J390+J396+J399+J402+J408</f>
        <v/>
      </c>
      <c r="K499" s="10">
        <f>K390+K396+K399+K402+K408</f>
        <v/>
      </c>
      <c r="L499" s="10">
        <f>L390+L396+L399+L402+L408</f>
        <v/>
      </c>
      <c r="M499" s="10">
        <f>M390+M396+M399+M402+M408</f>
        <v/>
      </c>
      <c r="N499" s="10">
        <f>N390+N396+N399+N402+N408</f>
        <v/>
      </c>
      <c r="O499" s="10">
        <f>O390+O396+O399+O402+O408</f>
        <v/>
      </c>
      <c r="P499" s="10">
        <f>P390+P396+P399+P402+P408</f>
        <v/>
      </c>
      <c r="Q499" s="10">
        <f>Q390+Q396+Q399+Q402+Q408</f>
        <v/>
      </c>
      <c r="R499" s="10">
        <f>R390+R396+R399+R402+R408</f>
        <v/>
      </c>
      <c r="S499" s="10">
        <f>S390+S396+S399+S402+S408</f>
        <v/>
      </c>
      <c r="T499" s="10">
        <f>T390+T396+T399+T402+T408</f>
        <v/>
      </c>
      <c r="U499" s="10">
        <f>U390+U396+U399+U402+U408</f>
        <v/>
      </c>
      <c r="V499" s="10">
        <f>V390+V396+V399+V402+V408</f>
        <v/>
      </c>
      <c r="W499" s="10">
        <f>W390+W396+W399+W402+W408</f>
        <v/>
      </c>
      <c r="X499" s="10">
        <f>X390+X396+X399+X402+X408</f>
        <v/>
      </c>
      <c r="Y499" s="10">
        <f>Y390+Y396+Y399+Y402+Y408</f>
        <v/>
      </c>
      <c r="Z499" s="10">
        <f>Z390+Z396+Z399+Z402+Z408</f>
        <v/>
      </c>
      <c r="AA499" s="10">
        <f>AA390+AA396+AA399+AA402+AA408</f>
        <v/>
      </c>
      <c r="AB499" s="10">
        <f>AB390+AB396+AB399+AB402+AB408</f>
        <v/>
      </c>
      <c r="AC499" s="10">
        <f>AC390+AC396+AC399+AC402+AC408</f>
        <v/>
      </c>
      <c r="AD499" s="10">
        <f>AD390+AD396+AD399+AD402+AD408</f>
        <v/>
      </c>
      <c r="AE499" s="10">
        <f>AE390+AE396+AE399+AE402+AE408</f>
        <v/>
      </c>
      <c r="AF499" s="10">
        <f>AF390+AF396+AF399+AF402+AF408</f>
        <v/>
      </c>
      <c r="AG499" s="10">
        <f>AG390+AG396+AG399+AG402+AG408</f>
        <v/>
      </c>
      <c r="AH499" s="10">
        <f>AH390+AH396+AH399+AH402+AH408</f>
        <v/>
      </c>
      <c r="AI499" s="10">
        <f>AI390+AI396+AI399+AI402+AI408</f>
        <v/>
      </c>
      <c r="AJ499" s="10">
        <f>AJ390+AJ396+AJ399+AJ402+AJ408</f>
        <v/>
      </c>
      <c r="AK499" s="10">
        <f>AK390+AK396+AK399+AK402+AK408</f>
        <v/>
      </c>
      <c r="AL499" s="10">
        <f>AL390+AL396+AL399+AL402+AL408</f>
        <v/>
      </c>
      <c r="AM499" s="10">
        <f>AM390+AM396+AM399+AM402+AM408</f>
        <v/>
      </c>
      <c r="AN499" s="10">
        <f>AN390+AN396+AN399+AN402+AN408</f>
        <v/>
      </c>
      <c r="AO499" s="10">
        <f>AO390+AO396+AO399+AO402+AO408</f>
        <v/>
      </c>
      <c r="AP499" s="10">
        <f>AP390+AP396+AP399+AP402+AP408</f>
        <v/>
      </c>
      <c r="AQ499" s="10">
        <f>AQ390+AQ396+AQ399+AQ402+AQ408</f>
        <v/>
      </c>
      <c r="AR499" s="10">
        <f>AR390+AR396+AR399+AR402+AR408</f>
        <v/>
      </c>
      <c r="AS499" s="10">
        <f>AS390+AS396+AS399+AS402+AS408</f>
        <v/>
      </c>
      <c r="AT499" s="10">
        <f>AT390+AT396+AT399+AT402+AT408</f>
        <v/>
      </c>
      <c r="AU499" s="10">
        <f>AU390+AU396+AU399+AU402+AU408</f>
        <v/>
      </c>
      <c r="AV499" s="10">
        <f>AV390+AV396+AV399+AV402+AV408</f>
        <v/>
      </c>
      <c r="AW499" s="10">
        <f>AW390+AW396+AW399+AW402+AW408</f>
        <v/>
      </c>
      <c r="AX499" s="10">
        <f>AX390+AX396+AX399+AX402+AX408</f>
        <v/>
      </c>
      <c r="AY499" s="10">
        <f>AY390+AY396+AY399+AY402+AY408</f>
        <v/>
      </c>
      <c r="AZ499" s="10">
        <f>AZ390+AZ396+AZ399+AZ402+AZ408</f>
        <v/>
      </c>
      <c r="BA499" s="10">
        <f>BA390+BA396+BA399+BA402+BA408</f>
        <v/>
      </c>
      <c r="BB499" s="10">
        <f>BB390+BB396+BB399+BB402+BB408</f>
        <v/>
      </c>
      <c r="BC499" s="10">
        <f>BC390+BC396+BC399+BC402+BC408</f>
        <v/>
      </c>
      <c r="BD499" s="10">
        <f>BD390+BD396+BD399+BD402+BD408</f>
        <v/>
      </c>
      <c r="BE499" s="10">
        <f>BE390+BE396+BE399+BE402+BE408</f>
        <v/>
      </c>
      <c r="BF499" s="10">
        <f>BF390+BF396+BF399+BF402+BF408</f>
        <v/>
      </c>
      <c r="BG499" s="10">
        <f>BG390+BG396+BG399+BG402+BG408</f>
        <v/>
      </c>
      <c r="BH499" s="10">
        <f>BH390+BH396+BH399+BH402+BH408</f>
        <v/>
      </c>
      <c r="BI499" s="10">
        <f>BI390+BI396+BI399+BI402+BI408</f>
        <v/>
      </c>
      <c r="BJ499" s="10">
        <f>BJ390+BJ396+BJ399+BJ402+BJ408</f>
        <v/>
      </c>
    </row>
    <row r="500">
      <c r="A500" s="4" t="inlineStr">
        <is>
          <t>Checkout GMV (memo: merchants' money, Paystack fees pass through to the merchant)</t>
        </is>
      </c>
      <c r="B500" s="17" t="inlineStr">
        <is>
          <t>R</t>
        </is>
      </c>
      <c r="C500" s="8">
        <f>C499*Assumptions!$B$174*Assumptions!$B$175*(1+Assumptions!$B$176)^(C$5-1)</f>
        <v/>
      </c>
      <c r="D500" s="8">
        <f>D499*Assumptions!$B$174*Assumptions!$B$175*(1+Assumptions!$B$176)^(D$5-1)</f>
        <v/>
      </c>
      <c r="E500" s="8">
        <f>E499*Assumptions!$B$174*Assumptions!$B$175*(1+Assumptions!$B$176)^(E$5-1)</f>
        <v/>
      </c>
      <c r="F500" s="8">
        <f>F499*Assumptions!$B$174*Assumptions!$B$175*(1+Assumptions!$B$176)^(F$5-1)</f>
        <v/>
      </c>
      <c r="G500" s="8">
        <f>G499*Assumptions!$B$174*Assumptions!$B$175*(1+Assumptions!$B$176)^(G$5-1)</f>
        <v/>
      </c>
      <c r="H500" s="8">
        <f>H499*Assumptions!$B$174*Assumptions!$B$175*(1+Assumptions!$B$176)^(H$5-1)</f>
        <v/>
      </c>
      <c r="I500" s="8">
        <f>I499*Assumptions!$B$174*Assumptions!$B$175*(1+Assumptions!$B$176)^(I$5-1)</f>
        <v/>
      </c>
      <c r="J500" s="8">
        <f>J499*Assumptions!$B$174*Assumptions!$B$175*(1+Assumptions!$B$176)^(J$5-1)</f>
        <v/>
      </c>
      <c r="K500" s="8">
        <f>K499*Assumptions!$B$174*Assumptions!$B$175*(1+Assumptions!$B$176)^(K$5-1)</f>
        <v/>
      </c>
      <c r="L500" s="8">
        <f>L499*Assumptions!$B$174*Assumptions!$B$175*(1+Assumptions!$B$176)^(L$5-1)</f>
        <v/>
      </c>
      <c r="M500" s="8">
        <f>M499*Assumptions!$B$174*Assumptions!$B$175*(1+Assumptions!$B$176)^(M$5-1)</f>
        <v/>
      </c>
      <c r="N500" s="8">
        <f>N499*Assumptions!$B$174*Assumptions!$B$175*(1+Assumptions!$B$176)^(N$5-1)</f>
        <v/>
      </c>
      <c r="O500" s="8">
        <f>O499*Assumptions!$B$174*Assumptions!$B$175*(1+Assumptions!$B$176)^(O$5-1)</f>
        <v/>
      </c>
      <c r="P500" s="8">
        <f>P499*Assumptions!$B$174*Assumptions!$B$175*(1+Assumptions!$B$176)^(P$5-1)</f>
        <v/>
      </c>
      <c r="Q500" s="8">
        <f>Q499*Assumptions!$B$174*Assumptions!$B$175*(1+Assumptions!$B$176)^(Q$5-1)</f>
        <v/>
      </c>
      <c r="R500" s="8">
        <f>R499*Assumptions!$B$174*Assumptions!$B$175*(1+Assumptions!$B$176)^(R$5-1)</f>
        <v/>
      </c>
      <c r="S500" s="8">
        <f>S499*Assumptions!$B$174*Assumptions!$B$175*(1+Assumptions!$B$176)^(S$5-1)</f>
        <v/>
      </c>
      <c r="T500" s="8">
        <f>T499*Assumptions!$B$174*Assumptions!$B$175*(1+Assumptions!$B$176)^(T$5-1)</f>
        <v/>
      </c>
      <c r="U500" s="8">
        <f>U499*Assumptions!$B$174*Assumptions!$B$175*(1+Assumptions!$B$176)^(U$5-1)</f>
        <v/>
      </c>
      <c r="V500" s="8">
        <f>V499*Assumptions!$B$174*Assumptions!$B$175*(1+Assumptions!$B$176)^(V$5-1)</f>
        <v/>
      </c>
      <c r="W500" s="8">
        <f>W499*Assumptions!$B$174*Assumptions!$B$175*(1+Assumptions!$B$176)^(W$5-1)</f>
        <v/>
      </c>
      <c r="X500" s="8">
        <f>X499*Assumptions!$B$174*Assumptions!$B$175*(1+Assumptions!$B$176)^(X$5-1)</f>
        <v/>
      </c>
      <c r="Y500" s="8">
        <f>Y499*Assumptions!$B$174*Assumptions!$B$175*(1+Assumptions!$B$176)^(Y$5-1)</f>
        <v/>
      </c>
      <c r="Z500" s="8">
        <f>Z499*Assumptions!$B$174*Assumptions!$B$175*(1+Assumptions!$B$176)^(Z$5-1)</f>
        <v/>
      </c>
      <c r="AA500" s="8">
        <f>AA499*Assumptions!$B$174*Assumptions!$B$175*(1+Assumptions!$B$176)^(AA$5-1)</f>
        <v/>
      </c>
      <c r="AB500" s="8">
        <f>AB499*Assumptions!$B$174*Assumptions!$B$175*(1+Assumptions!$B$176)^(AB$5-1)</f>
        <v/>
      </c>
      <c r="AC500" s="8">
        <f>AC499*Assumptions!$B$174*Assumptions!$B$175*(1+Assumptions!$B$176)^(AC$5-1)</f>
        <v/>
      </c>
      <c r="AD500" s="8">
        <f>AD499*Assumptions!$B$174*Assumptions!$B$175*(1+Assumptions!$B$176)^(AD$5-1)</f>
        <v/>
      </c>
      <c r="AE500" s="8">
        <f>AE499*Assumptions!$B$174*Assumptions!$B$175*(1+Assumptions!$B$176)^(AE$5-1)</f>
        <v/>
      </c>
      <c r="AF500" s="8">
        <f>AF499*Assumptions!$B$174*Assumptions!$B$175*(1+Assumptions!$B$176)^(AF$5-1)</f>
        <v/>
      </c>
      <c r="AG500" s="8">
        <f>AG499*Assumptions!$B$174*Assumptions!$B$175*(1+Assumptions!$B$176)^(AG$5-1)</f>
        <v/>
      </c>
      <c r="AH500" s="8">
        <f>AH499*Assumptions!$B$174*Assumptions!$B$175*(1+Assumptions!$B$176)^(AH$5-1)</f>
        <v/>
      </c>
      <c r="AI500" s="8">
        <f>AI499*Assumptions!$B$174*Assumptions!$B$175*(1+Assumptions!$B$176)^(AI$5-1)</f>
        <v/>
      </c>
      <c r="AJ500" s="8">
        <f>AJ499*Assumptions!$B$174*Assumptions!$B$175*(1+Assumptions!$B$176)^(AJ$5-1)</f>
        <v/>
      </c>
      <c r="AK500" s="8">
        <f>AK499*Assumptions!$B$174*Assumptions!$B$175*(1+Assumptions!$B$176)^(AK$5-1)</f>
        <v/>
      </c>
      <c r="AL500" s="8">
        <f>AL499*Assumptions!$B$174*Assumptions!$B$175*(1+Assumptions!$B$176)^(AL$5-1)</f>
        <v/>
      </c>
      <c r="AM500" s="8">
        <f>AM499*Assumptions!$B$174*Assumptions!$B$175*(1+Assumptions!$B$176)^(AM$5-1)</f>
        <v/>
      </c>
      <c r="AN500" s="8">
        <f>AN499*Assumptions!$B$174*Assumptions!$B$175*(1+Assumptions!$B$176)^(AN$5-1)</f>
        <v/>
      </c>
      <c r="AO500" s="8">
        <f>AO499*Assumptions!$B$174*Assumptions!$B$175*(1+Assumptions!$B$176)^(AO$5-1)</f>
        <v/>
      </c>
      <c r="AP500" s="8">
        <f>AP499*Assumptions!$B$174*Assumptions!$B$175*(1+Assumptions!$B$176)^(AP$5-1)</f>
        <v/>
      </c>
      <c r="AQ500" s="8">
        <f>AQ499*Assumptions!$B$174*Assumptions!$B$175*(1+Assumptions!$B$176)^(AQ$5-1)</f>
        <v/>
      </c>
      <c r="AR500" s="8">
        <f>AR499*Assumptions!$B$174*Assumptions!$B$175*(1+Assumptions!$B$176)^(AR$5-1)</f>
        <v/>
      </c>
      <c r="AS500" s="8">
        <f>AS499*Assumptions!$B$174*Assumptions!$B$175*(1+Assumptions!$B$176)^(AS$5-1)</f>
        <v/>
      </c>
      <c r="AT500" s="8">
        <f>AT499*Assumptions!$B$174*Assumptions!$B$175*(1+Assumptions!$B$176)^(AT$5-1)</f>
        <v/>
      </c>
      <c r="AU500" s="8">
        <f>AU499*Assumptions!$B$174*Assumptions!$B$175*(1+Assumptions!$B$176)^(AU$5-1)</f>
        <v/>
      </c>
      <c r="AV500" s="8">
        <f>AV499*Assumptions!$B$174*Assumptions!$B$175*(1+Assumptions!$B$176)^(AV$5-1)</f>
        <v/>
      </c>
      <c r="AW500" s="8">
        <f>AW499*Assumptions!$B$174*Assumptions!$B$175*(1+Assumptions!$B$176)^(AW$5-1)</f>
        <v/>
      </c>
      <c r="AX500" s="8">
        <f>AX499*Assumptions!$B$174*Assumptions!$B$175*(1+Assumptions!$B$176)^(AX$5-1)</f>
        <v/>
      </c>
      <c r="AY500" s="8">
        <f>AY499*Assumptions!$B$174*Assumptions!$B$175*(1+Assumptions!$B$176)^(AY$5-1)</f>
        <v/>
      </c>
      <c r="AZ500" s="8">
        <f>AZ499*Assumptions!$B$174*Assumptions!$B$175*(1+Assumptions!$B$176)^(AZ$5-1)</f>
        <v/>
      </c>
      <c r="BA500" s="8">
        <f>BA499*Assumptions!$B$174*Assumptions!$B$175*(1+Assumptions!$B$176)^(BA$5-1)</f>
        <v/>
      </c>
      <c r="BB500" s="8">
        <f>BB499*Assumptions!$B$174*Assumptions!$B$175*(1+Assumptions!$B$176)^(BB$5-1)</f>
        <v/>
      </c>
      <c r="BC500" s="8">
        <f>BC499*Assumptions!$B$174*Assumptions!$B$175*(1+Assumptions!$B$176)^(BC$5-1)</f>
        <v/>
      </c>
      <c r="BD500" s="8">
        <f>BD499*Assumptions!$B$174*Assumptions!$B$175*(1+Assumptions!$B$176)^(BD$5-1)</f>
        <v/>
      </c>
      <c r="BE500" s="8">
        <f>BE499*Assumptions!$B$174*Assumptions!$B$175*(1+Assumptions!$B$176)^(BE$5-1)</f>
        <v/>
      </c>
      <c r="BF500" s="8">
        <f>BF499*Assumptions!$B$174*Assumptions!$B$175*(1+Assumptions!$B$176)^(BF$5-1)</f>
        <v/>
      </c>
      <c r="BG500" s="8">
        <f>BG499*Assumptions!$B$174*Assumptions!$B$175*(1+Assumptions!$B$176)^(BG$5-1)</f>
        <v/>
      </c>
      <c r="BH500" s="8">
        <f>BH499*Assumptions!$B$174*Assumptions!$B$175*(1+Assumptions!$B$176)^(BH$5-1)</f>
        <v/>
      </c>
      <c r="BI500" s="8">
        <f>BI499*Assumptions!$B$174*Assumptions!$B$175*(1+Assumptions!$B$176)^(BI$5-1)</f>
        <v/>
      </c>
      <c r="BJ500" s="8">
        <f>BJ499*Assumptions!$B$174*Assumptions!$B$175*(1+Assumptions!$B$176)^(BJ$5-1)</f>
        <v/>
      </c>
    </row>
    <row r="501">
      <c r="A501" s="4" t="inlineStr">
        <is>
          <t>FluxMuse fee on checkout GMV (0%: no service fee on top of pass-through Paystack fees)</t>
        </is>
      </c>
      <c r="B501" s="17" t="inlineStr">
        <is>
          <t>R</t>
        </is>
      </c>
      <c r="C501" s="8">
        <f>C500*Assumptions!$B$52</f>
        <v/>
      </c>
      <c r="D501" s="8">
        <f>D500*Assumptions!$B$52</f>
        <v/>
      </c>
      <c r="E501" s="8">
        <f>E500*Assumptions!$B$52</f>
        <v/>
      </c>
      <c r="F501" s="8">
        <f>F500*Assumptions!$B$52</f>
        <v/>
      </c>
      <c r="G501" s="8">
        <f>G500*Assumptions!$B$52</f>
        <v/>
      </c>
      <c r="H501" s="8">
        <f>H500*Assumptions!$B$52</f>
        <v/>
      </c>
      <c r="I501" s="8">
        <f>I500*Assumptions!$B$52</f>
        <v/>
      </c>
      <c r="J501" s="8">
        <f>J500*Assumptions!$B$52</f>
        <v/>
      </c>
      <c r="K501" s="8">
        <f>K500*Assumptions!$B$52</f>
        <v/>
      </c>
      <c r="L501" s="8">
        <f>L500*Assumptions!$B$52</f>
        <v/>
      </c>
      <c r="M501" s="8">
        <f>M500*Assumptions!$B$52</f>
        <v/>
      </c>
      <c r="N501" s="8">
        <f>N500*Assumptions!$B$52</f>
        <v/>
      </c>
      <c r="O501" s="8">
        <f>O500*Assumptions!$B$52</f>
        <v/>
      </c>
      <c r="P501" s="8">
        <f>P500*Assumptions!$B$52</f>
        <v/>
      </c>
      <c r="Q501" s="8">
        <f>Q500*Assumptions!$B$52</f>
        <v/>
      </c>
      <c r="R501" s="8">
        <f>R500*Assumptions!$B$52</f>
        <v/>
      </c>
      <c r="S501" s="8">
        <f>S500*Assumptions!$B$52</f>
        <v/>
      </c>
      <c r="T501" s="8">
        <f>T500*Assumptions!$B$52</f>
        <v/>
      </c>
      <c r="U501" s="8">
        <f>U500*Assumptions!$B$52</f>
        <v/>
      </c>
      <c r="V501" s="8">
        <f>V500*Assumptions!$B$52</f>
        <v/>
      </c>
      <c r="W501" s="8">
        <f>W500*Assumptions!$B$52</f>
        <v/>
      </c>
      <c r="X501" s="8">
        <f>X500*Assumptions!$B$52</f>
        <v/>
      </c>
      <c r="Y501" s="8">
        <f>Y500*Assumptions!$B$52</f>
        <v/>
      </c>
      <c r="Z501" s="8">
        <f>Z500*Assumptions!$B$52</f>
        <v/>
      </c>
      <c r="AA501" s="8">
        <f>AA500*Assumptions!$B$52</f>
        <v/>
      </c>
      <c r="AB501" s="8">
        <f>AB500*Assumptions!$B$52</f>
        <v/>
      </c>
      <c r="AC501" s="8">
        <f>AC500*Assumptions!$B$52</f>
        <v/>
      </c>
      <c r="AD501" s="8">
        <f>AD500*Assumptions!$B$52</f>
        <v/>
      </c>
      <c r="AE501" s="8">
        <f>AE500*Assumptions!$B$52</f>
        <v/>
      </c>
      <c r="AF501" s="8">
        <f>AF500*Assumptions!$B$52</f>
        <v/>
      </c>
      <c r="AG501" s="8">
        <f>AG500*Assumptions!$B$52</f>
        <v/>
      </c>
      <c r="AH501" s="8">
        <f>AH500*Assumptions!$B$52</f>
        <v/>
      </c>
      <c r="AI501" s="8">
        <f>AI500*Assumptions!$B$52</f>
        <v/>
      </c>
      <c r="AJ501" s="8">
        <f>AJ500*Assumptions!$B$52</f>
        <v/>
      </c>
      <c r="AK501" s="8">
        <f>AK500*Assumptions!$B$52</f>
        <v/>
      </c>
      <c r="AL501" s="8">
        <f>AL500*Assumptions!$B$52</f>
        <v/>
      </c>
      <c r="AM501" s="8">
        <f>AM500*Assumptions!$B$52</f>
        <v/>
      </c>
      <c r="AN501" s="8">
        <f>AN500*Assumptions!$B$52</f>
        <v/>
      </c>
      <c r="AO501" s="8">
        <f>AO500*Assumptions!$B$52</f>
        <v/>
      </c>
      <c r="AP501" s="8">
        <f>AP500*Assumptions!$B$52</f>
        <v/>
      </c>
      <c r="AQ501" s="8">
        <f>AQ500*Assumptions!$B$52</f>
        <v/>
      </c>
      <c r="AR501" s="8">
        <f>AR500*Assumptions!$B$52</f>
        <v/>
      </c>
      <c r="AS501" s="8">
        <f>AS500*Assumptions!$B$52</f>
        <v/>
      </c>
      <c r="AT501" s="8">
        <f>AT500*Assumptions!$B$52</f>
        <v/>
      </c>
      <c r="AU501" s="8">
        <f>AU500*Assumptions!$B$52</f>
        <v/>
      </c>
      <c r="AV501" s="8">
        <f>AV500*Assumptions!$B$52</f>
        <v/>
      </c>
      <c r="AW501" s="8">
        <f>AW500*Assumptions!$B$52</f>
        <v/>
      </c>
      <c r="AX501" s="8">
        <f>AX500*Assumptions!$B$52</f>
        <v/>
      </c>
      <c r="AY501" s="8">
        <f>AY500*Assumptions!$B$52</f>
        <v/>
      </c>
      <c r="AZ501" s="8">
        <f>AZ500*Assumptions!$B$52</f>
        <v/>
      </c>
      <c r="BA501" s="8">
        <f>BA500*Assumptions!$B$52</f>
        <v/>
      </c>
      <c r="BB501" s="8">
        <f>BB500*Assumptions!$B$52</f>
        <v/>
      </c>
      <c r="BC501" s="8">
        <f>BC500*Assumptions!$B$52</f>
        <v/>
      </c>
      <c r="BD501" s="8">
        <f>BD500*Assumptions!$B$52</f>
        <v/>
      </c>
      <c r="BE501" s="8">
        <f>BE500*Assumptions!$B$52</f>
        <v/>
      </c>
      <c r="BF501" s="8">
        <f>BF500*Assumptions!$B$52</f>
        <v/>
      </c>
      <c r="BG501" s="8">
        <f>BG500*Assumptions!$B$52</f>
        <v/>
      </c>
      <c r="BH501" s="8">
        <f>BH500*Assumptions!$B$52</f>
        <v/>
      </c>
      <c r="BI501" s="8">
        <f>BI500*Assumptions!$B$52</f>
        <v/>
      </c>
      <c r="BJ501" s="8">
        <f>BJ500*Assumptions!$B$52</f>
        <v/>
      </c>
    </row>
    <row r="502">
      <c r="A502" s="4" t="inlineStr">
        <is>
          <t>Custom (Enterprise) onboarding / setup fees</t>
        </is>
      </c>
      <c r="B502" s="17" t="inlineStr">
        <is>
          <t>R</t>
        </is>
      </c>
      <c r="C502" s="8">
        <f>C163*Assumptions!$B$177</f>
        <v/>
      </c>
      <c r="D502" s="8">
        <f>D163*Assumptions!$B$177</f>
        <v/>
      </c>
      <c r="E502" s="8">
        <f>E163*Assumptions!$B$177</f>
        <v/>
      </c>
      <c r="F502" s="8">
        <f>F163*Assumptions!$B$177</f>
        <v/>
      </c>
      <c r="G502" s="8">
        <f>G163*Assumptions!$B$177</f>
        <v/>
      </c>
      <c r="H502" s="8">
        <f>H163*Assumptions!$B$177</f>
        <v/>
      </c>
      <c r="I502" s="8">
        <f>I163*Assumptions!$B$177</f>
        <v/>
      </c>
      <c r="J502" s="8">
        <f>J163*Assumptions!$B$177</f>
        <v/>
      </c>
      <c r="K502" s="8">
        <f>K163*Assumptions!$B$177</f>
        <v/>
      </c>
      <c r="L502" s="8">
        <f>L163*Assumptions!$B$177</f>
        <v/>
      </c>
      <c r="M502" s="8">
        <f>M163*Assumptions!$B$177</f>
        <v/>
      </c>
      <c r="N502" s="8">
        <f>N163*Assumptions!$B$177</f>
        <v/>
      </c>
      <c r="O502" s="8">
        <f>O163*Assumptions!$B$177</f>
        <v/>
      </c>
      <c r="P502" s="8">
        <f>P163*Assumptions!$B$177</f>
        <v/>
      </c>
      <c r="Q502" s="8">
        <f>Q163*Assumptions!$B$177</f>
        <v/>
      </c>
      <c r="R502" s="8">
        <f>R163*Assumptions!$B$177</f>
        <v/>
      </c>
      <c r="S502" s="8">
        <f>S163*Assumptions!$B$177</f>
        <v/>
      </c>
      <c r="T502" s="8">
        <f>T163*Assumptions!$B$177</f>
        <v/>
      </c>
      <c r="U502" s="8">
        <f>U163*Assumptions!$B$177</f>
        <v/>
      </c>
      <c r="V502" s="8">
        <f>V163*Assumptions!$B$177</f>
        <v/>
      </c>
      <c r="W502" s="8">
        <f>W163*Assumptions!$B$177</f>
        <v/>
      </c>
      <c r="X502" s="8">
        <f>X163*Assumptions!$B$177</f>
        <v/>
      </c>
      <c r="Y502" s="8">
        <f>Y163*Assumptions!$B$177</f>
        <v/>
      </c>
      <c r="Z502" s="8">
        <f>Z163*Assumptions!$B$177</f>
        <v/>
      </c>
      <c r="AA502" s="8">
        <f>AA163*Assumptions!$B$177</f>
        <v/>
      </c>
      <c r="AB502" s="8">
        <f>AB163*Assumptions!$B$177</f>
        <v/>
      </c>
      <c r="AC502" s="8">
        <f>AC163*Assumptions!$B$177</f>
        <v/>
      </c>
      <c r="AD502" s="8">
        <f>AD163*Assumptions!$B$177</f>
        <v/>
      </c>
      <c r="AE502" s="8">
        <f>AE163*Assumptions!$B$177</f>
        <v/>
      </c>
      <c r="AF502" s="8">
        <f>AF163*Assumptions!$B$177</f>
        <v/>
      </c>
      <c r="AG502" s="8">
        <f>AG163*Assumptions!$B$177</f>
        <v/>
      </c>
      <c r="AH502" s="8">
        <f>AH163*Assumptions!$B$177</f>
        <v/>
      </c>
      <c r="AI502" s="8">
        <f>AI163*Assumptions!$B$177</f>
        <v/>
      </c>
      <c r="AJ502" s="8">
        <f>AJ163*Assumptions!$B$177</f>
        <v/>
      </c>
      <c r="AK502" s="8">
        <f>AK163*Assumptions!$B$177</f>
        <v/>
      </c>
      <c r="AL502" s="8">
        <f>AL163*Assumptions!$B$177</f>
        <v/>
      </c>
      <c r="AM502" s="8">
        <f>AM163*Assumptions!$B$177</f>
        <v/>
      </c>
      <c r="AN502" s="8">
        <f>AN163*Assumptions!$B$177</f>
        <v/>
      </c>
      <c r="AO502" s="8">
        <f>AO163*Assumptions!$B$177</f>
        <v/>
      </c>
      <c r="AP502" s="8">
        <f>AP163*Assumptions!$B$177</f>
        <v/>
      </c>
      <c r="AQ502" s="8">
        <f>AQ163*Assumptions!$B$177</f>
        <v/>
      </c>
      <c r="AR502" s="8">
        <f>AR163*Assumptions!$B$177</f>
        <v/>
      </c>
      <c r="AS502" s="8">
        <f>AS163*Assumptions!$B$177</f>
        <v/>
      </c>
      <c r="AT502" s="8">
        <f>AT163*Assumptions!$B$177</f>
        <v/>
      </c>
      <c r="AU502" s="8">
        <f>AU163*Assumptions!$B$177</f>
        <v/>
      </c>
      <c r="AV502" s="8">
        <f>AV163*Assumptions!$B$177</f>
        <v/>
      </c>
      <c r="AW502" s="8">
        <f>AW163*Assumptions!$B$177</f>
        <v/>
      </c>
      <c r="AX502" s="8">
        <f>AX163*Assumptions!$B$177</f>
        <v/>
      </c>
      <c r="AY502" s="8">
        <f>AY163*Assumptions!$B$177</f>
        <v/>
      </c>
      <c r="AZ502" s="8">
        <f>AZ163*Assumptions!$B$177</f>
        <v/>
      </c>
      <c r="BA502" s="8">
        <f>BA163*Assumptions!$B$177</f>
        <v/>
      </c>
      <c r="BB502" s="8">
        <f>BB163*Assumptions!$B$177</f>
        <v/>
      </c>
      <c r="BC502" s="8">
        <f>BC163*Assumptions!$B$177</f>
        <v/>
      </c>
      <c r="BD502" s="8">
        <f>BD163*Assumptions!$B$177</f>
        <v/>
      </c>
      <c r="BE502" s="8">
        <f>BE163*Assumptions!$B$177</f>
        <v/>
      </c>
      <c r="BF502" s="8">
        <f>BF163*Assumptions!$B$177</f>
        <v/>
      </c>
      <c r="BG502" s="8">
        <f>BG163*Assumptions!$B$177</f>
        <v/>
      </c>
      <c r="BH502" s="8">
        <f>BH163*Assumptions!$B$177</f>
        <v/>
      </c>
      <c r="BI502" s="8">
        <f>BI163*Assumptions!$B$177</f>
        <v/>
      </c>
      <c r="BJ502" s="8">
        <f>BJ163*Assumptions!$B$177</f>
        <v/>
      </c>
    </row>
    <row r="503">
      <c r="A503" s="4" t="inlineStr">
        <is>
          <t>Agency white-label setup fees (0: not in the live price list)</t>
        </is>
      </c>
      <c r="B503" s="17" t="inlineStr">
        <is>
          <t>R</t>
        </is>
      </c>
      <c r="C503" s="8">
        <f>(C158+C159+C160+C161)*Assumptions!$B$178</f>
        <v/>
      </c>
      <c r="D503" s="8">
        <f>(D158+D159+D160+D161)*Assumptions!$B$178</f>
        <v/>
      </c>
      <c r="E503" s="8">
        <f>(E158+E159+E160+E161)*Assumptions!$B$178</f>
        <v/>
      </c>
      <c r="F503" s="8">
        <f>(F158+F159+F160+F161)*Assumptions!$B$178</f>
        <v/>
      </c>
      <c r="G503" s="8">
        <f>(G158+G159+G160+G161)*Assumptions!$B$178</f>
        <v/>
      </c>
      <c r="H503" s="8">
        <f>(H158+H159+H160+H161)*Assumptions!$B$178</f>
        <v/>
      </c>
      <c r="I503" s="8">
        <f>(I158+I159+I160+I161)*Assumptions!$B$178</f>
        <v/>
      </c>
      <c r="J503" s="8">
        <f>(J158+J159+J160+J161)*Assumptions!$B$178</f>
        <v/>
      </c>
      <c r="K503" s="8">
        <f>(K158+K159+K160+K161)*Assumptions!$B$178</f>
        <v/>
      </c>
      <c r="L503" s="8">
        <f>(L158+L159+L160+L161)*Assumptions!$B$178</f>
        <v/>
      </c>
      <c r="M503" s="8">
        <f>(M158+M159+M160+M161)*Assumptions!$B$178</f>
        <v/>
      </c>
      <c r="N503" s="8">
        <f>(N158+N159+N160+N161)*Assumptions!$B$178</f>
        <v/>
      </c>
      <c r="O503" s="8">
        <f>(O158+O159+O160+O161)*Assumptions!$B$178</f>
        <v/>
      </c>
      <c r="P503" s="8">
        <f>(P158+P159+P160+P161)*Assumptions!$B$178</f>
        <v/>
      </c>
      <c r="Q503" s="8">
        <f>(Q158+Q159+Q160+Q161)*Assumptions!$B$178</f>
        <v/>
      </c>
      <c r="R503" s="8">
        <f>(R158+R159+R160+R161)*Assumptions!$B$178</f>
        <v/>
      </c>
      <c r="S503" s="8">
        <f>(S158+S159+S160+S161)*Assumptions!$B$178</f>
        <v/>
      </c>
      <c r="T503" s="8">
        <f>(T158+T159+T160+T161)*Assumptions!$B$178</f>
        <v/>
      </c>
      <c r="U503" s="8">
        <f>(U158+U159+U160+U161)*Assumptions!$B$178</f>
        <v/>
      </c>
      <c r="V503" s="8">
        <f>(V158+V159+V160+V161)*Assumptions!$B$178</f>
        <v/>
      </c>
      <c r="W503" s="8">
        <f>(W158+W159+W160+W161)*Assumptions!$B$178</f>
        <v/>
      </c>
      <c r="X503" s="8">
        <f>(X158+X159+X160+X161)*Assumptions!$B$178</f>
        <v/>
      </c>
      <c r="Y503" s="8">
        <f>(Y158+Y159+Y160+Y161)*Assumptions!$B$178</f>
        <v/>
      </c>
      <c r="Z503" s="8">
        <f>(Z158+Z159+Z160+Z161)*Assumptions!$B$178</f>
        <v/>
      </c>
      <c r="AA503" s="8">
        <f>(AA158+AA159+AA160+AA161)*Assumptions!$B$178</f>
        <v/>
      </c>
      <c r="AB503" s="8">
        <f>(AB158+AB159+AB160+AB161)*Assumptions!$B$178</f>
        <v/>
      </c>
      <c r="AC503" s="8">
        <f>(AC158+AC159+AC160+AC161)*Assumptions!$B$178</f>
        <v/>
      </c>
      <c r="AD503" s="8">
        <f>(AD158+AD159+AD160+AD161)*Assumptions!$B$178</f>
        <v/>
      </c>
      <c r="AE503" s="8">
        <f>(AE158+AE159+AE160+AE161)*Assumptions!$B$178</f>
        <v/>
      </c>
      <c r="AF503" s="8">
        <f>(AF158+AF159+AF160+AF161)*Assumptions!$B$178</f>
        <v/>
      </c>
      <c r="AG503" s="8">
        <f>(AG158+AG159+AG160+AG161)*Assumptions!$B$178</f>
        <v/>
      </c>
      <c r="AH503" s="8">
        <f>(AH158+AH159+AH160+AH161)*Assumptions!$B$178</f>
        <v/>
      </c>
      <c r="AI503" s="8">
        <f>(AI158+AI159+AI160+AI161)*Assumptions!$B$178</f>
        <v/>
      </c>
      <c r="AJ503" s="8">
        <f>(AJ158+AJ159+AJ160+AJ161)*Assumptions!$B$178</f>
        <v/>
      </c>
      <c r="AK503" s="8">
        <f>(AK158+AK159+AK160+AK161)*Assumptions!$B$178</f>
        <v/>
      </c>
      <c r="AL503" s="8">
        <f>(AL158+AL159+AL160+AL161)*Assumptions!$B$178</f>
        <v/>
      </c>
      <c r="AM503" s="8">
        <f>(AM158+AM159+AM160+AM161)*Assumptions!$B$178</f>
        <v/>
      </c>
      <c r="AN503" s="8">
        <f>(AN158+AN159+AN160+AN161)*Assumptions!$B$178</f>
        <v/>
      </c>
      <c r="AO503" s="8">
        <f>(AO158+AO159+AO160+AO161)*Assumptions!$B$178</f>
        <v/>
      </c>
      <c r="AP503" s="8">
        <f>(AP158+AP159+AP160+AP161)*Assumptions!$B$178</f>
        <v/>
      </c>
      <c r="AQ503" s="8">
        <f>(AQ158+AQ159+AQ160+AQ161)*Assumptions!$B$178</f>
        <v/>
      </c>
      <c r="AR503" s="8">
        <f>(AR158+AR159+AR160+AR161)*Assumptions!$B$178</f>
        <v/>
      </c>
      <c r="AS503" s="8">
        <f>(AS158+AS159+AS160+AS161)*Assumptions!$B$178</f>
        <v/>
      </c>
      <c r="AT503" s="8">
        <f>(AT158+AT159+AT160+AT161)*Assumptions!$B$178</f>
        <v/>
      </c>
      <c r="AU503" s="8">
        <f>(AU158+AU159+AU160+AU161)*Assumptions!$B$178</f>
        <v/>
      </c>
      <c r="AV503" s="8">
        <f>(AV158+AV159+AV160+AV161)*Assumptions!$B$178</f>
        <v/>
      </c>
      <c r="AW503" s="8">
        <f>(AW158+AW159+AW160+AW161)*Assumptions!$B$178</f>
        <v/>
      </c>
      <c r="AX503" s="8">
        <f>(AX158+AX159+AX160+AX161)*Assumptions!$B$178</f>
        <v/>
      </c>
      <c r="AY503" s="8">
        <f>(AY158+AY159+AY160+AY161)*Assumptions!$B$178</f>
        <v/>
      </c>
      <c r="AZ503" s="8">
        <f>(AZ158+AZ159+AZ160+AZ161)*Assumptions!$B$178</f>
        <v/>
      </c>
      <c r="BA503" s="8">
        <f>(BA158+BA159+BA160+BA161)*Assumptions!$B$178</f>
        <v/>
      </c>
      <c r="BB503" s="8">
        <f>(BB158+BB159+BB160+BB161)*Assumptions!$B$178</f>
        <v/>
      </c>
      <c r="BC503" s="8">
        <f>(BC158+BC159+BC160+BC161)*Assumptions!$B$178</f>
        <v/>
      </c>
      <c r="BD503" s="8">
        <f>(BD158+BD159+BD160+BD161)*Assumptions!$B$178</f>
        <v/>
      </c>
      <c r="BE503" s="8">
        <f>(BE158+BE159+BE160+BE161)*Assumptions!$B$178</f>
        <v/>
      </c>
      <c r="BF503" s="8">
        <f>(BF158+BF159+BF160+BF161)*Assumptions!$B$178</f>
        <v/>
      </c>
      <c r="BG503" s="8">
        <f>(BG158+BG159+BG160+BG161)*Assumptions!$B$178</f>
        <v/>
      </c>
      <c r="BH503" s="8">
        <f>(BH158+BH159+BH160+BH161)*Assumptions!$B$178</f>
        <v/>
      </c>
      <c r="BI503" s="8">
        <f>(BI158+BI159+BI160+BI161)*Assumptions!$B$178</f>
        <v/>
      </c>
      <c r="BJ503" s="8">
        <f>(BJ158+BJ159+BJ160+BJ161)*Assumptions!$B$178</f>
        <v/>
      </c>
    </row>
    <row r="504">
      <c r="A504" s="3" t="inlineStr">
        <is>
          <t>TOTAL REVENUE (net of launch discounts)</t>
        </is>
      </c>
      <c r="B504" s="17" t="inlineStr">
        <is>
          <t>R</t>
        </is>
      </c>
      <c r="C504" s="42">
        <f>C486+C496+C498+C501+C502+C503</f>
        <v/>
      </c>
      <c r="D504" s="42">
        <f>D486+D496+D498+D501+D502+D503</f>
        <v/>
      </c>
      <c r="E504" s="42">
        <f>E486+E496+E498+E501+E502+E503</f>
        <v/>
      </c>
      <c r="F504" s="42">
        <f>F486+F496+F498+F501+F502+F503</f>
        <v/>
      </c>
      <c r="G504" s="42">
        <f>G486+G496+G498+G501+G502+G503</f>
        <v/>
      </c>
      <c r="H504" s="42">
        <f>H486+H496+H498+H501+H502+H503</f>
        <v/>
      </c>
      <c r="I504" s="42">
        <f>I486+I496+I498+I501+I502+I503</f>
        <v/>
      </c>
      <c r="J504" s="42">
        <f>J486+J496+J498+J501+J502+J503</f>
        <v/>
      </c>
      <c r="K504" s="42">
        <f>K486+K496+K498+K501+K502+K503</f>
        <v/>
      </c>
      <c r="L504" s="42">
        <f>L486+L496+L498+L501+L502+L503</f>
        <v/>
      </c>
      <c r="M504" s="42">
        <f>M486+M496+M498+M501+M502+M503</f>
        <v/>
      </c>
      <c r="N504" s="42">
        <f>N486+N496+N498+N501+N502+N503</f>
        <v/>
      </c>
      <c r="O504" s="42">
        <f>O486+O496+O498+O501+O502+O503</f>
        <v/>
      </c>
      <c r="P504" s="42">
        <f>P486+P496+P498+P501+P502+P503</f>
        <v/>
      </c>
      <c r="Q504" s="42">
        <f>Q486+Q496+Q498+Q501+Q502+Q503</f>
        <v/>
      </c>
      <c r="R504" s="42">
        <f>R486+R496+R498+R501+R502+R503</f>
        <v/>
      </c>
      <c r="S504" s="42">
        <f>S486+S496+S498+S501+S502+S503</f>
        <v/>
      </c>
      <c r="T504" s="42">
        <f>T486+T496+T498+T501+T502+T503</f>
        <v/>
      </c>
      <c r="U504" s="42">
        <f>U486+U496+U498+U501+U502+U503</f>
        <v/>
      </c>
      <c r="V504" s="42">
        <f>V486+V496+V498+V501+V502+V503</f>
        <v/>
      </c>
      <c r="W504" s="42">
        <f>W486+W496+W498+W501+W502+W503</f>
        <v/>
      </c>
      <c r="X504" s="42">
        <f>X486+X496+X498+X501+X502+X503</f>
        <v/>
      </c>
      <c r="Y504" s="42">
        <f>Y486+Y496+Y498+Y501+Y502+Y503</f>
        <v/>
      </c>
      <c r="Z504" s="42">
        <f>Z486+Z496+Z498+Z501+Z502+Z503</f>
        <v/>
      </c>
      <c r="AA504" s="42">
        <f>AA486+AA496+AA498+AA501+AA502+AA503</f>
        <v/>
      </c>
      <c r="AB504" s="42">
        <f>AB486+AB496+AB498+AB501+AB502+AB503</f>
        <v/>
      </c>
      <c r="AC504" s="42">
        <f>AC486+AC496+AC498+AC501+AC502+AC503</f>
        <v/>
      </c>
      <c r="AD504" s="42">
        <f>AD486+AD496+AD498+AD501+AD502+AD503</f>
        <v/>
      </c>
      <c r="AE504" s="42">
        <f>AE486+AE496+AE498+AE501+AE502+AE503</f>
        <v/>
      </c>
      <c r="AF504" s="42">
        <f>AF486+AF496+AF498+AF501+AF502+AF503</f>
        <v/>
      </c>
      <c r="AG504" s="42">
        <f>AG486+AG496+AG498+AG501+AG502+AG503</f>
        <v/>
      </c>
      <c r="AH504" s="42">
        <f>AH486+AH496+AH498+AH501+AH502+AH503</f>
        <v/>
      </c>
      <c r="AI504" s="42">
        <f>AI486+AI496+AI498+AI501+AI502+AI503</f>
        <v/>
      </c>
      <c r="AJ504" s="42">
        <f>AJ486+AJ496+AJ498+AJ501+AJ502+AJ503</f>
        <v/>
      </c>
      <c r="AK504" s="42">
        <f>AK486+AK496+AK498+AK501+AK502+AK503</f>
        <v/>
      </c>
      <c r="AL504" s="42">
        <f>AL486+AL496+AL498+AL501+AL502+AL503</f>
        <v/>
      </c>
      <c r="AM504" s="42">
        <f>AM486+AM496+AM498+AM501+AM502+AM503</f>
        <v/>
      </c>
      <c r="AN504" s="42">
        <f>AN486+AN496+AN498+AN501+AN502+AN503</f>
        <v/>
      </c>
      <c r="AO504" s="42">
        <f>AO486+AO496+AO498+AO501+AO502+AO503</f>
        <v/>
      </c>
      <c r="AP504" s="42">
        <f>AP486+AP496+AP498+AP501+AP502+AP503</f>
        <v/>
      </c>
      <c r="AQ504" s="42">
        <f>AQ486+AQ496+AQ498+AQ501+AQ502+AQ503</f>
        <v/>
      </c>
      <c r="AR504" s="42">
        <f>AR486+AR496+AR498+AR501+AR502+AR503</f>
        <v/>
      </c>
      <c r="AS504" s="42">
        <f>AS486+AS496+AS498+AS501+AS502+AS503</f>
        <v/>
      </c>
      <c r="AT504" s="42">
        <f>AT486+AT496+AT498+AT501+AT502+AT503</f>
        <v/>
      </c>
      <c r="AU504" s="42">
        <f>AU486+AU496+AU498+AU501+AU502+AU503</f>
        <v/>
      </c>
      <c r="AV504" s="42">
        <f>AV486+AV496+AV498+AV501+AV502+AV503</f>
        <v/>
      </c>
      <c r="AW504" s="42">
        <f>AW486+AW496+AW498+AW501+AW502+AW503</f>
        <v/>
      </c>
      <c r="AX504" s="42">
        <f>AX486+AX496+AX498+AX501+AX502+AX503</f>
        <v/>
      </c>
      <c r="AY504" s="42">
        <f>AY486+AY496+AY498+AY501+AY502+AY503</f>
        <v/>
      </c>
      <c r="AZ504" s="42">
        <f>AZ486+AZ496+AZ498+AZ501+AZ502+AZ503</f>
        <v/>
      </c>
      <c r="BA504" s="42">
        <f>BA486+BA496+BA498+BA501+BA502+BA503</f>
        <v/>
      </c>
      <c r="BB504" s="42">
        <f>BB486+BB496+BB498+BB501+BB502+BB503</f>
        <v/>
      </c>
      <c r="BC504" s="42">
        <f>BC486+BC496+BC498+BC501+BC502+BC503</f>
        <v/>
      </c>
      <c r="BD504" s="42">
        <f>BD486+BD496+BD498+BD501+BD502+BD503</f>
        <v/>
      </c>
      <c r="BE504" s="42">
        <f>BE486+BE496+BE498+BE501+BE502+BE503</f>
        <v/>
      </c>
      <c r="BF504" s="42">
        <f>BF486+BF496+BF498+BF501+BF502+BF503</f>
        <v/>
      </c>
      <c r="BG504" s="42">
        <f>BG486+BG496+BG498+BG501+BG502+BG503</f>
        <v/>
      </c>
      <c r="BH504" s="42">
        <f>BH486+BH496+BH498+BH501+BH502+BH503</f>
        <v/>
      </c>
      <c r="BI504" s="42">
        <f>BI486+BI496+BI498+BI501+BI502+BI503</f>
        <v/>
      </c>
      <c r="BJ504" s="42">
        <f>BJ486+BJ496+BJ498+BJ501+BJ502+BJ503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BJ18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16" t="inlineStr">
        <is>
          <t>Costs</t>
        </is>
      </c>
    </row>
    <row r="2">
      <c r="A2" s="17" t="inlineStr">
        <is>
          <t>Monthly MRR-gated headcount plan, COGS (incl. Free plan AI cost) and operating expenses (lean pre-seed mode until the seed lands).</t>
        </is>
      </c>
    </row>
    <row r="3">
      <c r="A3" s="6" t="inlineStr">
        <is>
          <t>Month #</t>
        </is>
      </c>
      <c r="B3" s="6" t="inlineStr">
        <is>
          <t>Unit</t>
        </is>
      </c>
      <c r="C3" s="37" t="n">
        <v>1</v>
      </c>
      <c r="D3" s="37" t="n">
        <v>2</v>
      </c>
      <c r="E3" s="37" t="n">
        <v>3</v>
      </c>
      <c r="F3" s="37" t="n">
        <v>4</v>
      </c>
      <c r="G3" s="37" t="n">
        <v>5</v>
      </c>
      <c r="H3" s="37" t="n">
        <v>6</v>
      </c>
      <c r="I3" s="37" t="n">
        <v>7</v>
      </c>
      <c r="J3" s="37" t="n">
        <v>8</v>
      </c>
      <c r="K3" s="37" t="n">
        <v>9</v>
      </c>
      <c r="L3" s="37" t="n">
        <v>10</v>
      </c>
      <c r="M3" s="37" t="n">
        <v>11</v>
      </c>
      <c r="N3" s="37" t="n">
        <v>12</v>
      </c>
      <c r="O3" s="37" t="n">
        <v>13</v>
      </c>
      <c r="P3" s="37" t="n">
        <v>14</v>
      </c>
      <c r="Q3" s="37" t="n">
        <v>15</v>
      </c>
      <c r="R3" s="37" t="n">
        <v>16</v>
      </c>
      <c r="S3" s="37" t="n">
        <v>17</v>
      </c>
      <c r="T3" s="37" t="n">
        <v>18</v>
      </c>
      <c r="U3" s="37" t="n">
        <v>19</v>
      </c>
      <c r="V3" s="37" t="n">
        <v>20</v>
      </c>
      <c r="W3" s="37" t="n">
        <v>21</v>
      </c>
      <c r="X3" s="37" t="n">
        <v>22</v>
      </c>
      <c r="Y3" s="37" t="n">
        <v>23</v>
      </c>
      <c r="Z3" s="37" t="n">
        <v>24</v>
      </c>
      <c r="AA3" s="37" t="n">
        <v>25</v>
      </c>
      <c r="AB3" s="37" t="n">
        <v>26</v>
      </c>
      <c r="AC3" s="37" t="n">
        <v>27</v>
      </c>
      <c r="AD3" s="37" t="n">
        <v>28</v>
      </c>
      <c r="AE3" s="37" t="n">
        <v>29</v>
      </c>
      <c r="AF3" s="37" t="n">
        <v>30</v>
      </c>
      <c r="AG3" s="37" t="n">
        <v>31</v>
      </c>
      <c r="AH3" s="37" t="n">
        <v>32</v>
      </c>
      <c r="AI3" s="37" t="n">
        <v>33</v>
      </c>
      <c r="AJ3" s="37" t="n">
        <v>34</v>
      </c>
      <c r="AK3" s="37" t="n">
        <v>35</v>
      </c>
      <c r="AL3" s="37" t="n">
        <v>36</v>
      </c>
      <c r="AM3" s="37" t="n">
        <v>37</v>
      </c>
      <c r="AN3" s="37" t="n">
        <v>38</v>
      </c>
      <c r="AO3" s="37" t="n">
        <v>39</v>
      </c>
      <c r="AP3" s="37" t="n">
        <v>40</v>
      </c>
      <c r="AQ3" s="37" t="n">
        <v>41</v>
      </c>
      <c r="AR3" s="37" t="n">
        <v>42</v>
      </c>
      <c r="AS3" s="37" t="n">
        <v>43</v>
      </c>
      <c r="AT3" s="37" t="n">
        <v>44</v>
      </c>
      <c r="AU3" s="37" t="n">
        <v>45</v>
      </c>
      <c r="AV3" s="37" t="n">
        <v>46</v>
      </c>
      <c r="AW3" s="37" t="n">
        <v>47</v>
      </c>
      <c r="AX3" s="37" t="n">
        <v>48</v>
      </c>
      <c r="AY3" s="37" t="n">
        <v>49</v>
      </c>
      <c r="AZ3" s="37" t="n">
        <v>50</v>
      </c>
      <c r="BA3" s="37" t="n">
        <v>51</v>
      </c>
      <c r="BB3" s="37" t="n">
        <v>52</v>
      </c>
      <c r="BC3" s="37" t="n">
        <v>53</v>
      </c>
      <c r="BD3" s="37" t="n">
        <v>54</v>
      </c>
      <c r="BE3" s="37" t="n">
        <v>55</v>
      </c>
      <c r="BF3" s="37" t="n">
        <v>56</v>
      </c>
      <c r="BG3" s="37" t="n">
        <v>57</v>
      </c>
      <c r="BH3" s="37" t="n">
        <v>58</v>
      </c>
      <c r="BI3" s="37" t="n">
        <v>59</v>
      </c>
      <c r="BJ3" s="37" t="n">
        <v>60</v>
      </c>
    </row>
    <row r="4">
      <c r="A4" s="6" t="inlineStr">
        <is>
          <t>Month</t>
        </is>
      </c>
      <c r="B4" s="6" t="inlineStr"/>
      <c r="C4" s="38" t="inlineStr">
        <is>
          <t>Oct 2026</t>
        </is>
      </c>
      <c r="D4" s="38" t="inlineStr">
        <is>
          <t>Nov 2026</t>
        </is>
      </c>
      <c r="E4" s="38" t="inlineStr">
        <is>
          <t>Dec 2026</t>
        </is>
      </c>
      <c r="F4" s="38" t="inlineStr">
        <is>
          <t>Jan 2027</t>
        </is>
      </c>
      <c r="G4" s="38" t="inlineStr">
        <is>
          <t>Feb 2027</t>
        </is>
      </c>
      <c r="H4" s="38" t="inlineStr">
        <is>
          <t>Mar 2027</t>
        </is>
      </c>
      <c r="I4" s="38" t="inlineStr">
        <is>
          <t>Apr 2027</t>
        </is>
      </c>
      <c r="J4" s="38" t="inlineStr">
        <is>
          <t>May 2027</t>
        </is>
      </c>
      <c r="K4" s="38" t="inlineStr">
        <is>
          <t>Jun 2027</t>
        </is>
      </c>
      <c r="L4" s="38" t="inlineStr">
        <is>
          <t>Jul 2027</t>
        </is>
      </c>
      <c r="M4" s="38" t="inlineStr">
        <is>
          <t>Aug 2027</t>
        </is>
      </c>
      <c r="N4" s="38" t="inlineStr">
        <is>
          <t>Sep 2027</t>
        </is>
      </c>
      <c r="O4" s="38" t="inlineStr">
        <is>
          <t>Oct 2027</t>
        </is>
      </c>
      <c r="P4" s="38" t="inlineStr">
        <is>
          <t>Nov 2027</t>
        </is>
      </c>
      <c r="Q4" s="38" t="inlineStr">
        <is>
          <t>Dec 2027</t>
        </is>
      </c>
      <c r="R4" s="38" t="inlineStr">
        <is>
          <t>Jan 2028</t>
        </is>
      </c>
      <c r="S4" s="38" t="inlineStr">
        <is>
          <t>Feb 2028</t>
        </is>
      </c>
      <c r="T4" s="38" t="inlineStr">
        <is>
          <t>Mar 2028</t>
        </is>
      </c>
      <c r="U4" s="38" t="inlineStr">
        <is>
          <t>Apr 2028</t>
        </is>
      </c>
      <c r="V4" s="38" t="inlineStr">
        <is>
          <t>May 2028</t>
        </is>
      </c>
      <c r="W4" s="38" t="inlineStr">
        <is>
          <t>Jun 2028</t>
        </is>
      </c>
      <c r="X4" s="38" t="inlineStr">
        <is>
          <t>Jul 2028</t>
        </is>
      </c>
      <c r="Y4" s="38" t="inlineStr">
        <is>
          <t>Aug 2028</t>
        </is>
      </c>
      <c r="Z4" s="38" t="inlineStr">
        <is>
          <t>Sep 2028</t>
        </is>
      </c>
      <c r="AA4" s="38" t="inlineStr">
        <is>
          <t>Oct 2028</t>
        </is>
      </c>
      <c r="AB4" s="38" t="inlineStr">
        <is>
          <t>Nov 2028</t>
        </is>
      </c>
      <c r="AC4" s="38" t="inlineStr">
        <is>
          <t>Dec 2028</t>
        </is>
      </c>
      <c r="AD4" s="38" t="inlineStr">
        <is>
          <t>Jan 2029</t>
        </is>
      </c>
      <c r="AE4" s="38" t="inlineStr">
        <is>
          <t>Feb 2029</t>
        </is>
      </c>
      <c r="AF4" s="38" t="inlineStr">
        <is>
          <t>Mar 2029</t>
        </is>
      </c>
      <c r="AG4" s="38" t="inlineStr">
        <is>
          <t>Apr 2029</t>
        </is>
      </c>
      <c r="AH4" s="38" t="inlineStr">
        <is>
          <t>May 2029</t>
        </is>
      </c>
      <c r="AI4" s="38" t="inlineStr">
        <is>
          <t>Jun 2029</t>
        </is>
      </c>
      <c r="AJ4" s="38" t="inlineStr">
        <is>
          <t>Jul 2029</t>
        </is>
      </c>
      <c r="AK4" s="38" t="inlineStr">
        <is>
          <t>Aug 2029</t>
        </is>
      </c>
      <c r="AL4" s="38" t="inlineStr">
        <is>
          <t>Sep 2029</t>
        </is>
      </c>
      <c r="AM4" s="38" t="inlineStr">
        <is>
          <t>Oct 2029</t>
        </is>
      </c>
      <c r="AN4" s="38" t="inlineStr">
        <is>
          <t>Nov 2029</t>
        </is>
      </c>
      <c r="AO4" s="38" t="inlineStr">
        <is>
          <t>Dec 2029</t>
        </is>
      </c>
      <c r="AP4" s="38" t="inlineStr">
        <is>
          <t>Jan 2030</t>
        </is>
      </c>
      <c r="AQ4" s="38" t="inlineStr">
        <is>
          <t>Feb 2030</t>
        </is>
      </c>
      <c r="AR4" s="38" t="inlineStr">
        <is>
          <t>Mar 2030</t>
        </is>
      </c>
      <c r="AS4" s="38" t="inlineStr">
        <is>
          <t>Apr 2030</t>
        </is>
      </c>
      <c r="AT4" s="38" t="inlineStr">
        <is>
          <t>May 2030</t>
        </is>
      </c>
      <c r="AU4" s="38" t="inlineStr">
        <is>
          <t>Jun 2030</t>
        </is>
      </c>
      <c r="AV4" s="38" t="inlineStr">
        <is>
          <t>Jul 2030</t>
        </is>
      </c>
      <c r="AW4" s="38" t="inlineStr">
        <is>
          <t>Aug 2030</t>
        </is>
      </c>
      <c r="AX4" s="38" t="inlineStr">
        <is>
          <t>Sep 2030</t>
        </is>
      </c>
      <c r="AY4" s="38" t="inlineStr">
        <is>
          <t>Oct 2030</t>
        </is>
      </c>
      <c r="AZ4" s="38" t="inlineStr">
        <is>
          <t>Nov 2030</t>
        </is>
      </c>
      <c r="BA4" s="38" t="inlineStr">
        <is>
          <t>Dec 2030</t>
        </is>
      </c>
      <c r="BB4" s="38" t="inlineStr">
        <is>
          <t>Jan 2031</t>
        </is>
      </c>
      <c r="BC4" s="38" t="inlineStr">
        <is>
          <t>Feb 2031</t>
        </is>
      </c>
      <c r="BD4" s="38" t="inlineStr">
        <is>
          <t>Mar 2031</t>
        </is>
      </c>
      <c r="BE4" s="38" t="inlineStr">
        <is>
          <t>Apr 2031</t>
        </is>
      </c>
      <c r="BF4" s="38" t="inlineStr">
        <is>
          <t>May 2031</t>
        </is>
      </c>
      <c r="BG4" s="38" t="inlineStr">
        <is>
          <t>Jun 2031</t>
        </is>
      </c>
      <c r="BH4" s="38" t="inlineStr">
        <is>
          <t>Jul 2031</t>
        </is>
      </c>
      <c r="BI4" s="38" t="inlineStr">
        <is>
          <t>Aug 2031</t>
        </is>
      </c>
      <c r="BJ4" s="38" t="inlineStr">
        <is>
          <t>Sep 2031</t>
        </is>
      </c>
    </row>
    <row r="5">
      <c r="A5" s="3" t="inlineStr">
        <is>
          <t>Fiscal year (Oct-Sep)</t>
        </is>
      </c>
      <c r="C5" s="39" t="n">
        <v>1</v>
      </c>
      <c r="D5" s="39" t="n">
        <v>1</v>
      </c>
      <c r="E5" s="39" t="n">
        <v>1</v>
      </c>
      <c r="F5" s="39" t="n">
        <v>1</v>
      </c>
      <c r="G5" s="39" t="n">
        <v>1</v>
      </c>
      <c r="H5" s="39" t="n">
        <v>1</v>
      </c>
      <c r="I5" s="39" t="n">
        <v>1</v>
      </c>
      <c r="J5" s="39" t="n">
        <v>1</v>
      </c>
      <c r="K5" s="39" t="n">
        <v>1</v>
      </c>
      <c r="L5" s="39" t="n">
        <v>1</v>
      </c>
      <c r="M5" s="39" t="n">
        <v>1</v>
      </c>
      <c r="N5" s="39" t="n">
        <v>1</v>
      </c>
      <c r="O5" s="39" t="n">
        <v>2</v>
      </c>
      <c r="P5" s="39" t="n">
        <v>2</v>
      </c>
      <c r="Q5" s="39" t="n">
        <v>2</v>
      </c>
      <c r="R5" s="39" t="n">
        <v>2</v>
      </c>
      <c r="S5" s="39" t="n">
        <v>2</v>
      </c>
      <c r="T5" s="39" t="n">
        <v>2</v>
      </c>
      <c r="U5" s="39" t="n">
        <v>2</v>
      </c>
      <c r="V5" s="39" t="n">
        <v>2</v>
      </c>
      <c r="W5" s="39" t="n">
        <v>2</v>
      </c>
      <c r="X5" s="39" t="n">
        <v>2</v>
      </c>
      <c r="Y5" s="39" t="n">
        <v>2</v>
      </c>
      <c r="Z5" s="39" t="n">
        <v>2</v>
      </c>
      <c r="AA5" s="39" t="n">
        <v>3</v>
      </c>
      <c r="AB5" s="39" t="n">
        <v>3</v>
      </c>
      <c r="AC5" s="39" t="n">
        <v>3</v>
      </c>
      <c r="AD5" s="39" t="n">
        <v>3</v>
      </c>
      <c r="AE5" s="39" t="n">
        <v>3</v>
      </c>
      <c r="AF5" s="39" t="n">
        <v>3</v>
      </c>
      <c r="AG5" s="39" t="n">
        <v>3</v>
      </c>
      <c r="AH5" s="39" t="n">
        <v>3</v>
      </c>
      <c r="AI5" s="39" t="n">
        <v>3</v>
      </c>
      <c r="AJ5" s="39" t="n">
        <v>3</v>
      </c>
      <c r="AK5" s="39" t="n">
        <v>3</v>
      </c>
      <c r="AL5" s="39" t="n">
        <v>3</v>
      </c>
      <c r="AM5" s="39" t="n">
        <v>4</v>
      </c>
      <c r="AN5" s="39" t="n">
        <v>4</v>
      </c>
      <c r="AO5" s="39" t="n">
        <v>4</v>
      </c>
      <c r="AP5" s="39" t="n">
        <v>4</v>
      </c>
      <c r="AQ5" s="39" t="n">
        <v>4</v>
      </c>
      <c r="AR5" s="39" t="n">
        <v>4</v>
      </c>
      <c r="AS5" s="39" t="n">
        <v>4</v>
      </c>
      <c r="AT5" s="39" t="n">
        <v>4</v>
      </c>
      <c r="AU5" s="39" t="n">
        <v>4</v>
      </c>
      <c r="AV5" s="39" t="n">
        <v>4</v>
      </c>
      <c r="AW5" s="39" t="n">
        <v>4</v>
      </c>
      <c r="AX5" s="39" t="n">
        <v>4</v>
      </c>
      <c r="AY5" s="39" t="n">
        <v>5</v>
      </c>
      <c r="AZ5" s="39" t="n">
        <v>5</v>
      </c>
      <c r="BA5" s="39" t="n">
        <v>5</v>
      </c>
      <c r="BB5" s="39" t="n">
        <v>5</v>
      </c>
      <c r="BC5" s="39" t="n">
        <v>5</v>
      </c>
      <c r="BD5" s="39" t="n">
        <v>5</v>
      </c>
      <c r="BE5" s="39" t="n">
        <v>5</v>
      </c>
      <c r="BF5" s="39" t="n">
        <v>5</v>
      </c>
      <c r="BG5" s="39" t="n">
        <v>5</v>
      </c>
      <c r="BH5" s="39" t="n">
        <v>5</v>
      </c>
      <c r="BI5" s="39" t="n">
        <v>5</v>
      </c>
      <c r="BJ5" s="39" t="n">
        <v>5</v>
      </c>
    </row>
    <row r="6"/>
    <row r="7">
      <c r="A7" s="19" t="inlineStr">
        <is>
          <t>Headcount: FTEs by role. Non-founder roles need month &gt;= earliest hire, the seed, and last month's MRR &gt;= gate x multiplier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</row>
    <row r="8">
      <c r="A8" s="4" t="inlineStr">
        <is>
          <t>Founder &amp; CEO (reduced salary)</t>
        </is>
      </c>
      <c r="B8" s="17" t="inlineStr">
        <is>
          <t>FTE</t>
        </is>
      </c>
      <c r="C8" s="41">
        <f>IF(C$3&gt;=Assumptions!$E$223,Assumptions!$D$223,0)</f>
        <v/>
      </c>
      <c r="D8" s="41">
        <f>IF(D$3&gt;=Assumptions!$E$223,Assumptions!$D$223,0)</f>
        <v/>
      </c>
      <c r="E8" s="41">
        <f>IF(E$3&gt;=Assumptions!$E$223,Assumptions!$D$223,0)</f>
        <v/>
      </c>
      <c r="F8" s="41">
        <f>IF(F$3&gt;=Assumptions!$E$223,Assumptions!$D$223,0)</f>
        <v/>
      </c>
      <c r="G8" s="41">
        <f>IF(G$3&gt;=Assumptions!$E$223,Assumptions!$D$223,0)</f>
        <v/>
      </c>
      <c r="H8" s="41">
        <f>IF(H$3&gt;=Assumptions!$E$223,Assumptions!$D$223,0)</f>
        <v/>
      </c>
      <c r="I8" s="41">
        <f>IF(I$3&gt;=Assumptions!$E$223,Assumptions!$D$223,0)</f>
        <v/>
      </c>
      <c r="J8" s="41">
        <f>IF(J$3&gt;=Assumptions!$E$223,Assumptions!$D$223,0)</f>
        <v/>
      </c>
      <c r="K8" s="41">
        <f>IF(K$3&gt;=Assumptions!$E$223,Assumptions!$D$223,0)</f>
        <v/>
      </c>
      <c r="L8" s="41">
        <f>IF(L$3&gt;=Assumptions!$E$223,Assumptions!$D$223,0)</f>
        <v/>
      </c>
      <c r="M8" s="41">
        <f>IF(M$3&gt;=Assumptions!$E$223,Assumptions!$D$223,0)</f>
        <v/>
      </c>
      <c r="N8" s="41">
        <f>IF(N$3&gt;=Assumptions!$E$223,Assumptions!$D$223,0)</f>
        <v/>
      </c>
      <c r="O8" s="41">
        <f>IF(O$3&gt;=Assumptions!$E$223,Assumptions!$D$223,0)</f>
        <v/>
      </c>
      <c r="P8" s="41">
        <f>IF(P$3&gt;=Assumptions!$E$223,Assumptions!$D$223,0)</f>
        <v/>
      </c>
      <c r="Q8" s="41">
        <f>IF(Q$3&gt;=Assumptions!$E$223,Assumptions!$D$223,0)</f>
        <v/>
      </c>
      <c r="R8" s="41">
        <f>IF(R$3&gt;=Assumptions!$E$223,Assumptions!$D$223,0)</f>
        <v/>
      </c>
      <c r="S8" s="41">
        <f>IF(S$3&gt;=Assumptions!$E$223,Assumptions!$D$223,0)</f>
        <v/>
      </c>
      <c r="T8" s="41">
        <f>IF(T$3&gt;=Assumptions!$E$223,Assumptions!$D$223,0)</f>
        <v/>
      </c>
      <c r="U8" s="41">
        <f>IF(U$3&gt;=Assumptions!$E$223,Assumptions!$D$223,0)</f>
        <v/>
      </c>
      <c r="V8" s="41">
        <f>IF(V$3&gt;=Assumptions!$E$223,Assumptions!$D$223,0)</f>
        <v/>
      </c>
      <c r="W8" s="41">
        <f>IF(W$3&gt;=Assumptions!$E$223,Assumptions!$D$223,0)</f>
        <v/>
      </c>
      <c r="X8" s="41">
        <f>IF(X$3&gt;=Assumptions!$E$223,Assumptions!$D$223,0)</f>
        <v/>
      </c>
      <c r="Y8" s="41">
        <f>IF(Y$3&gt;=Assumptions!$E$223,Assumptions!$D$223,0)</f>
        <v/>
      </c>
      <c r="Z8" s="41">
        <f>IF(Z$3&gt;=Assumptions!$E$223,Assumptions!$D$223,0)</f>
        <v/>
      </c>
      <c r="AA8" s="41">
        <f>IF(AA$3&gt;=Assumptions!$E$223,Assumptions!$D$223,0)</f>
        <v/>
      </c>
      <c r="AB8" s="41">
        <f>IF(AB$3&gt;=Assumptions!$E$223,Assumptions!$D$223,0)</f>
        <v/>
      </c>
      <c r="AC8" s="41">
        <f>IF(AC$3&gt;=Assumptions!$E$223,Assumptions!$D$223,0)</f>
        <v/>
      </c>
      <c r="AD8" s="41">
        <f>IF(AD$3&gt;=Assumptions!$E$223,Assumptions!$D$223,0)</f>
        <v/>
      </c>
      <c r="AE8" s="41">
        <f>IF(AE$3&gt;=Assumptions!$E$223,Assumptions!$D$223,0)</f>
        <v/>
      </c>
      <c r="AF8" s="41">
        <f>IF(AF$3&gt;=Assumptions!$E$223,Assumptions!$D$223,0)</f>
        <v/>
      </c>
      <c r="AG8" s="41">
        <f>IF(AG$3&gt;=Assumptions!$E$223,Assumptions!$D$223,0)</f>
        <v/>
      </c>
      <c r="AH8" s="41">
        <f>IF(AH$3&gt;=Assumptions!$E$223,Assumptions!$D$223,0)</f>
        <v/>
      </c>
      <c r="AI8" s="41">
        <f>IF(AI$3&gt;=Assumptions!$E$223,Assumptions!$D$223,0)</f>
        <v/>
      </c>
      <c r="AJ8" s="41">
        <f>IF(AJ$3&gt;=Assumptions!$E$223,Assumptions!$D$223,0)</f>
        <v/>
      </c>
      <c r="AK8" s="41">
        <f>IF(AK$3&gt;=Assumptions!$E$223,Assumptions!$D$223,0)</f>
        <v/>
      </c>
      <c r="AL8" s="41">
        <f>IF(AL$3&gt;=Assumptions!$E$223,Assumptions!$D$223,0)</f>
        <v/>
      </c>
      <c r="AM8" s="41">
        <f>IF(AM$3&gt;=Assumptions!$E$223,Assumptions!$D$223,0)</f>
        <v/>
      </c>
      <c r="AN8" s="41">
        <f>IF(AN$3&gt;=Assumptions!$E$223,Assumptions!$D$223,0)</f>
        <v/>
      </c>
      <c r="AO8" s="41">
        <f>IF(AO$3&gt;=Assumptions!$E$223,Assumptions!$D$223,0)</f>
        <v/>
      </c>
      <c r="AP8" s="41">
        <f>IF(AP$3&gt;=Assumptions!$E$223,Assumptions!$D$223,0)</f>
        <v/>
      </c>
      <c r="AQ8" s="41">
        <f>IF(AQ$3&gt;=Assumptions!$E$223,Assumptions!$D$223,0)</f>
        <v/>
      </c>
      <c r="AR8" s="41">
        <f>IF(AR$3&gt;=Assumptions!$E$223,Assumptions!$D$223,0)</f>
        <v/>
      </c>
      <c r="AS8" s="41">
        <f>IF(AS$3&gt;=Assumptions!$E$223,Assumptions!$D$223,0)</f>
        <v/>
      </c>
      <c r="AT8" s="41">
        <f>IF(AT$3&gt;=Assumptions!$E$223,Assumptions!$D$223,0)</f>
        <v/>
      </c>
      <c r="AU8" s="41">
        <f>IF(AU$3&gt;=Assumptions!$E$223,Assumptions!$D$223,0)</f>
        <v/>
      </c>
      <c r="AV8" s="41">
        <f>IF(AV$3&gt;=Assumptions!$E$223,Assumptions!$D$223,0)</f>
        <v/>
      </c>
      <c r="AW8" s="41">
        <f>IF(AW$3&gt;=Assumptions!$E$223,Assumptions!$D$223,0)</f>
        <v/>
      </c>
      <c r="AX8" s="41">
        <f>IF(AX$3&gt;=Assumptions!$E$223,Assumptions!$D$223,0)</f>
        <v/>
      </c>
      <c r="AY8" s="41">
        <f>IF(AY$3&gt;=Assumptions!$E$223,Assumptions!$D$223,0)</f>
        <v/>
      </c>
      <c r="AZ8" s="41">
        <f>IF(AZ$3&gt;=Assumptions!$E$223,Assumptions!$D$223,0)</f>
        <v/>
      </c>
      <c r="BA8" s="41">
        <f>IF(BA$3&gt;=Assumptions!$E$223,Assumptions!$D$223,0)</f>
        <v/>
      </c>
      <c r="BB8" s="41">
        <f>IF(BB$3&gt;=Assumptions!$E$223,Assumptions!$D$223,0)</f>
        <v/>
      </c>
      <c r="BC8" s="41">
        <f>IF(BC$3&gt;=Assumptions!$E$223,Assumptions!$D$223,0)</f>
        <v/>
      </c>
      <c r="BD8" s="41">
        <f>IF(BD$3&gt;=Assumptions!$E$223,Assumptions!$D$223,0)</f>
        <v/>
      </c>
      <c r="BE8" s="41">
        <f>IF(BE$3&gt;=Assumptions!$E$223,Assumptions!$D$223,0)</f>
        <v/>
      </c>
      <c r="BF8" s="41">
        <f>IF(BF$3&gt;=Assumptions!$E$223,Assumptions!$D$223,0)</f>
        <v/>
      </c>
      <c r="BG8" s="41">
        <f>IF(BG$3&gt;=Assumptions!$E$223,Assumptions!$D$223,0)</f>
        <v/>
      </c>
      <c r="BH8" s="41">
        <f>IF(BH$3&gt;=Assumptions!$E$223,Assumptions!$D$223,0)</f>
        <v/>
      </c>
      <c r="BI8" s="41">
        <f>IF(BI$3&gt;=Assumptions!$E$223,Assumptions!$D$223,0)</f>
        <v/>
      </c>
      <c r="BJ8" s="41">
        <f>IF(BJ$3&gt;=Assumptions!$E$223,Assumptions!$D$223,0)</f>
        <v/>
      </c>
    </row>
    <row r="9">
      <c r="A9" s="4" t="inlineStr">
        <is>
          <t>CTO / founding engineer (reduced salary)</t>
        </is>
      </c>
      <c r="B9" s="17" t="inlineStr">
        <is>
          <t>FTE</t>
        </is>
      </c>
      <c r="C9" s="41">
        <f>IF(C$3&gt;=Assumptions!$E$224,Assumptions!$D$224,0)</f>
        <v/>
      </c>
      <c r="D9" s="41">
        <f>IF(D$3&gt;=Assumptions!$E$224,Assumptions!$D$224,0)</f>
        <v/>
      </c>
      <c r="E9" s="41">
        <f>IF(E$3&gt;=Assumptions!$E$224,Assumptions!$D$224,0)</f>
        <v/>
      </c>
      <c r="F9" s="41">
        <f>IF(F$3&gt;=Assumptions!$E$224,Assumptions!$D$224,0)</f>
        <v/>
      </c>
      <c r="G9" s="41">
        <f>IF(G$3&gt;=Assumptions!$E$224,Assumptions!$D$224,0)</f>
        <v/>
      </c>
      <c r="H9" s="41">
        <f>IF(H$3&gt;=Assumptions!$E$224,Assumptions!$D$224,0)</f>
        <v/>
      </c>
      <c r="I9" s="41">
        <f>IF(I$3&gt;=Assumptions!$E$224,Assumptions!$D$224,0)</f>
        <v/>
      </c>
      <c r="J9" s="41">
        <f>IF(J$3&gt;=Assumptions!$E$224,Assumptions!$D$224,0)</f>
        <v/>
      </c>
      <c r="K9" s="41">
        <f>IF(K$3&gt;=Assumptions!$E$224,Assumptions!$D$224,0)</f>
        <v/>
      </c>
      <c r="L9" s="41">
        <f>IF(L$3&gt;=Assumptions!$E$224,Assumptions!$D$224,0)</f>
        <v/>
      </c>
      <c r="M9" s="41">
        <f>IF(M$3&gt;=Assumptions!$E$224,Assumptions!$D$224,0)</f>
        <v/>
      </c>
      <c r="N9" s="41">
        <f>IF(N$3&gt;=Assumptions!$E$224,Assumptions!$D$224,0)</f>
        <v/>
      </c>
      <c r="O9" s="41">
        <f>IF(O$3&gt;=Assumptions!$E$224,Assumptions!$D$224,0)</f>
        <v/>
      </c>
      <c r="P9" s="41">
        <f>IF(P$3&gt;=Assumptions!$E$224,Assumptions!$D$224,0)</f>
        <v/>
      </c>
      <c r="Q9" s="41">
        <f>IF(Q$3&gt;=Assumptions!$E$224,Assumptions!$D$224,0)</f>
        <v/>
      </c>
      <c r="R9" s="41">
        <f>IF(R$3&gt;=Assumptions!$E$224,Assumptions!$D$224,0)</f>
        <v/>
      </c>
      <c r="S9" s="41">
        <f>IF(S$3&gt;=Assumptions!$E$224,Assumptions!$D$224,0)</f>
        <v/>
      </c>
      <c r="T9" s="41">
        <f>IF(T$3&gt;=Assumptions!$E$224,Assumptions!$D$224,0)</f>
        <v/>
      </c>
      <c r="U9" s="41">
        <f>IF(U$3&gt;=Assumptions!$E$224,Assumptions!$D$224,0)</f>
        <v/>
      </c>
      <c r="V9" s="41">
        <f>IF(V$3&gt;=Assumptions!$E$224,Assumptions!$D$224,0)</f>
        <v/>
      </c>
      <c r="W9" s="41">
        <f>IF(W$3&gt;=Assumptions!$E$224,Assumptions!$D$224,0)</f>
        <v/>
      </c>
      <c r="X9" s="41">
        <f>IF(X$3&gt;=Assumptions!$E$224,Assumptions!$D$224,0)</f>
        <v/>
      </c>
      <c r="Y9" s="41">
        <f>IF(Y$3&gt;=Assumptions!$E$224,Assumptions!$D$224,0)</f>
        <v/>
      </c>
      <c r="Z9" s="41">
        <f>IF(Z$3&gt;=Assumptions!$E$224,Assumptions!$D$224,0)</f>
        <v/>
      </c>
      <c r="AA9" s="41">
        <f>IF(AA$3&gt;=Assumptions!$E$224,Assumptions!$D$224,0)</f>
        <v/>
      </c>
      <c r="AB9" s="41">
        <f>IF(AB$3&gt;=Assumptions!$E$224,Assumptions!$D$224,0)</f>
        <v/>
      </c>
      <c r="AC9" s="41">
        <f>IF(AC$3&gt;=Assumptions!$E$224,Assumptions!$D$224,0)</f>
        <v/>
      </c>
      <c r="AD9" s="41">
        <f>IF(AD$3&gt;=Assumptions!$E$224,Assumptions!$D$224,0)</f>
        <v/>
      </c>
      <c r="AE9" s="41">
        <f>IF(AE$3&gt;=Assumptions!$E$224,Assumptions!$D$224,0)</f>
        <v/>
      </c>
      <c r="AF9" s="41">
        <f>IF(AF$3&gt;=Assumptions!$E$224,Assumptions!$D$224,0)</f>
        <v/>
      </c>
      <c r="AG9" s="41">
        <f>IF(AG$3&gt;=Assumptions!$E$224,Assumptions!$D$224,0)</f>
        <v/>
      </c>
      <c r="AH9" s="41">
        <f>IF(AH$3&gt;=Assumptions!$E$224,Assumptions!$D$224,0)</f>
        <v/>
      </c>
      <c r="AI9" s="41">
        <f>IF(AI$3&gt;=Assumptions!$E$224,Assumptions!$D$224,0)</f>
        <v/>
      </c>
      <c r="AJ9" s="41">
        <f>IF(AJ$3&gt;=Assumptions!$E$224,Assumptions!$D$224,0)</f>
        <v/>
      </c>
      <c r="AK9" s="41">
        <f>IF(AK$3&gt;=Assumptions!$E$224,Assumptions!$D$224,0)</f>
        <v/>
      </c>
      <c r="AL9" s="41">
        <f>IF(AL$3&gt;=Assumptions!$E$224,Assumptions!$D$224,0)</f>
        <v/>
      </c>
      <c r="AM9" s="41">
        <f>IF(AM$3&gt;=Assumptions!$E$224,Assumptions!$D$224,0)</f>
        <v/>
      </c>
      <c r="AN9" s="41">
        <f>IF(AN$3&gt;=Assumptions!$E$224,Assumptions!$D$224,0)</f>
        <v/>
      </c>
      <c r="AO9" s="41">
        <f>IF(AO$3&gt;=Assumptions!$E$224,Assumptions!$D$224,0)</f>
        <v/>
      </c>
      <c r="AP9" s="41">
        <f>IF(AP$3&gt;=Assumptions!$E$224,Assumptions!$D$224,0)</f>
        <v/>
      </c>
      <c r="AQ9" s="41">
        <f>IF(AQ$3&gt;=Assumptions!$E$224,Assumptions!$D$224,0)</f>
        <v/>
      </c>
      <c r="AR9" s="41">
        <f>IF(AR$3&gt;=Assumptions!$E$224,Assumptions!$D$224,0)</f>
        <v/>
      </c>
      <c r="AS9" s="41">
        <f>IF(AS$3&gt;=Assumptions!$E$224,Assumptions!$D$224,0)</f>
        <v/>
      </c>
      <c r="AT9" s="41">
        <f>IF(AT$3&gt;=Assumptions!$E$224,Assumptions!$D$224,0)</f>
        <v/>
      </c>
      <c r="AU9" s="41">
        <f>IF(AU$3&gt;=Assumptions!$E$224,Assumptions!$D$224,0)</f>
        <v/>
      </c>
      <c r="AV9" s="41">
        <f>IF(AV$3&gt;=Assumptions!$E$224,Assumptions!$D$224,0)</f>
        <v/>
      </c>
      <c r="AW9" s="41">
        <f>IF(AW$3&gt;=Assumptions!$E$224,Assumptions!$D$224,0)</f>
        <v/>
      </c>
      <c r="AX9" s="41">
        <f>IF(AX$3&gt;=Assumptions!$E$224,Assumptions!$D$224,0)</f>
        <v/>
      </c>
      <c r="AY9" s="41">
        <f>IF(AY$3&gt;=Assumptions!$E$224,Assumptions!$D$224,0)</f>
        <v/>
      </c>
      <c r="AZ9" s="41">
        <f>IF(AZ$3&gt;=Assumptions!$E$224,Assumptions!$D$224,0)</f>
        <v/>
      </c>
      <c r="BA9" s="41">
        <f>IF(BA$3&gt;=Assumptions!$E$224,Assumptions!$D$224,0)</f>
        <v/>
      </c>
      <c r="BB9" s="41">
        <f>IF(BB$3&gt;=Assumptions!$E$224,Assumptions!$D$224,0)</f>
        <v/>
      </c>
      <c r="BC9" s="41">
        <f>IF(BC$3&gt;=Assumptions!$E$224,Assumptions!$D$224,0)</f>
        <v/>
      </c>
      <c r="BD9" s="41">
        <f>IF(BD$3&gt;=Assumptions!$E$224,Assumptions!$D$224,0)</f>
        <v/>
      </c>
      <c r="BE9" s="41">
        <f>IF(BE$3&gt;=Assumptions!$E$224,Assumptions!$D$224,0)</f>
        <v/>
      </c>
      <c r="BF9" s="41">
        <f>IF(BF$3&gt;=Assumptions!$E$224,Assumptions!$D$224,0)</f>
        <v/>
      </c>
      <c r="BG9" s="41">
        <f>IF(BG$3&gt;=Assumptions!$E$224,Assumptions!$D$224,0)</f>
        <v/>
      </c>
      <c r="BH9" s="41">
        <f>IF(BH$3&gt;=Assumptions!$E$224,Assumptions!$D$224,0)</f>
        <v/>
      </c>
      <c r="BI9" s="41">
        <f>IF(BI$3&gt;=Assumptions!$E$224,Assumptions!$D$224,0)</f>
        <v/>
      </c>
      <c r="BJ9" s="41">
        <f>IF(BJ$3&gt;=Assumptions!$E$224,Assumptions!$D$224,0)</f>
        <v/>
      </c>
    </row>
    <row r="10">
      <c r="A10" s="4" t="inlineStr">
        <is>
          <t>Senior full-stack engineers</t>
        </is>
      </c>
      <c r="B10" s="17" t="inlineStr">
        <is>
          <t>FTE</t>
        </is>
      </c>
      <c r="C10" s="41">
        <f>IF(AND(C$3&gt;=Assumptions!$E$225,C$3&gt;=Assumptions!$B$14,Revenue_Build!C10&gt;=Assumptions!$F$225*Assumptions!$B$51),Assumptions!$D$225,0)</f>
        <v/>
      </c>
      <c r="D10" s="41">
        <f>IF(OR(C10&gt;0,AND(D$3&gt;=Assumptions!$E$225,D$3&gt;=Assumptions!$B$14,Revenue_Build!D10&gt;=Assumptions!$F$225*Assumptions!$B$51)),Assumptions!$D$225,0)</f>
        <v/>
      </c>
      <c r="E10" s="41">
        <f>IF(OR(D10&gt;0,AND(E$3&gt;=Assumptions!$E$225,E$3&gt;=Assumptions!$B$14,Revenue_Build!E10&gt;=Assumptions!$F$225*Assumptions!$B$51)),Assumptions!$D$225,0)</f>
        <v/>
      </c>
      <c r="F10" s="41">
        <f>IF(OR(E10&gt;0,AND(F$3&gt;=Assumptions!$E$225,F$3&gt;=Assumptions!$B$14,Revenue_Build!F10&gt;=Assumptions!$F$225*Assumptions!$B$51)),Assumptions!$D$225,0)</f>
        <v/>
      </c>
      <c r="G10" s="41">
        <f>IF(OR(F10&gt;0,AND(G$3&gt;=Assumptions!$E$225,G$3&gt;=Assumptions!$B$14,Revenue_Build!G10&gt;=Assumptions!$F$225*Assumptions!$B$51)),Assumptions!$D$225,0)</f>
        <v/>
      </c>
      <c r="H10" s="41">
        <f>IF(OR(G10&gt;0,AND(H$3&gt;=Assumptions!$E$225,H$3&gt;=Assumptions!$B$14,Revenue_Build!H10&gt;=Assumptions!$F$225*Assumptions!$B$51)),Assumptions!$D$225,0)</f>
        <v/>
      </c>
      <c r="I10" s="41">
        <f>IF(OR(H10&gt;0,AND(I$3&gt;=Assumptions!$E$225,I$3&gt;=Assumptions!$B$14,Revenue_Build!I10&gt;=Assumptions!$F$225*Assumptions!$B$51)),Assumptions!$D$225,0)</f>
        <v/>
      </c>
      <c r="J10" s="41">
        <f>IF(OR(I10&gt;0,AND(J$3&gt;=Assumptions!$E$225,J$3&gt;=Assumptions!$B$14,Revenue_Build!J10&gt;=Assumptions!$F$225*Assumptions!$B$51)),Assumptions!$D$225,0)</f>
        <v/>
      </c>
      <c r="K10" s="41">
        <f>IF(OR(J10&gt;0,AND(K$3&gt;=Assumptions!$E$225,K$3&gt;=Assumptions!$B$14,Revenue_Build!K10&gt;=Assumptions!$F$225*Assumptions!$B$51)),Assumptions!$D$225,0)</f>
        <v/>
      </c>
      <c r="L10" s="41">
        <f>IF(OR(K10&gt;0,AND(L$3&gt;=Assumptions!$E$225,L$3&gt;=Assumptions!$B$14,Revenue_Build!L10&gt;=Assumptions!$F$225*Assumptions!$B$51)),Assumptions!$D$225,0)</f>
        <v/>
      </c>
      <c r="M10" s="41">
        <f>IF(OR(L10&gt;0,AND(M$3&gt;=Assumptions!$E$225,M$3&gt;=Assumptions!$B$14,Revenue_Build!M10&gt;=Assumptions!$F$225*Assumptions!$B$51)),Assumptions!$D$225,0)</f>
        <v/>
      </c>
      <c r="N10" s="41">
        <f>IF(OR(M10&gt;0,AND(N$3&gt;=Assumptions!$E$225,N$3&gt;=Assumptions!$B$14,Revenue_Build!N10&gt;=Assumptions!$F$225*Assumptions!$B$51)),Assumptions!$D$225,0)</f>
        <v/>
      </c>
      <c r="O10" s="41">
        <f>IF(OR(N10&gt;0,AND(O$3&gt;=Assumptions!$E$225,O$3&gt;=Assumptions!$B$14,Revenue_Build!O10&gt;=Assumptions!$F$225*Assumptions!$B$51)),Assumptions!$D$225,0)</f>
        <v/>
      </c>
      <c r="P10" s="41">
        <f>IF(OR(O10&gt;0,AND(P$3&gt;=Assumptions!$E$225,P$3&gt;=Assumptions!$B$14,Revenue_Build!P10&gt;=Assumptions!$F$225*Assumptions!$B$51)),Assumptions!$D$225,0)</f>
        <v/>
      </c>
      <c r="Q10" s="41">
        <f>IF(OR(P10&gt;0,AND(Q$3&gt;=Assumptions!$E$225,Q$3&gt;=Assumptions!$B$14,Revenue_Build!Q10&gt;=Assumptions!$F$225*Assumptions!$B$51)),Assumptions!$D$225,0)</f>
        <v/>
      </c>
      <c r="R10" s="41">
        <f>IF(OR(Q10&gt;0,AND(R$3&gt;=Assumptions!$E$225,R$3&gt;=Assumptions!$B$14,Revenue_Build!R10&gt;=Assumptions!$F$225*Assumptions!$B$51)),Assumptions!$D$225,0)</f>
        <v/>
      </c>
      <c r="S10" s="41">
        <f>IF(OR(R10&gt;0,AND(S$3&gt;=Assumptions!$E$225,S$3&gt;=Assumptions!$B$14,Revenue_Build!S10&gt;=Assumptions!$F$225*Assumptions!$B$51)),Assumptions!$D$225,0)</f>
        <v/>
      </c>
      <c r="T10" s="41">
        <f>IF(OR(S10&gt;0,AND(T$3&gt;=Assumptions!$E$225,T$3&gt;=Assumptions!$B$14,Revenue_Build!T10&gt;=Assumptions!$F$225*Assumptions!$B$51)),Assumptions!$D$225,0)</f>
        <v/>
      </c>
      <c r="U10" s="41">
        <f>IF(OR(T10&gt;0,AND(U$3&gt;=Assumptions!$E$225,U$3&gt;=Assumptions!$B$14,Revenue_Build!U10&gt;=Assumptions!$F$225*Assumptions!$B$51)),Assumptions!$D$225,0)</f>
        <v/>
      </c>
      <c r="V10" s="41">
        <f>IF(OR(U10&gt;0,AND(V$3&gt;=Assumptions!$E$225,V$3&gt;=Assumptions!$B$14,Revenue_Build!V10&gt;=Assumptions!$F$225*Assumptions!$B$51)),Assumptions!$D$225,0)</f>
        <v/>
      </c>
      <c r="W10" s="41">
        <f>IF(OR(V10&gt;0,AND(W$3&gt;=Assumptions!$E$225,W$3&gt;=Assumptions!$B$14,Revenue_Build!W10&gt;=Assumptions!$F$225*Assumptions!$B$51)),Assumptions!$D$225,0)</f>
        <v/>
      </c>
      <c r="X10" s="41">
        <f>IF(OR(W10&gt;0,AND(X$3&gt;=Assumptions!$E$225,X$3&gt;=Assumptions!$B$14,Revenue_Build!X10&gt;=Assumptions!$F$225*Assumptions!$B$51)),Assumptions!$D$225,0)</f>
        <v/>
      </c>
      <c r="Y10" s="41">
        <f>IF(OR(X10&gt;0,AND(Y$3&gt;=Assumptions!$E$225,Y$3&gt;=Assumptions!$B$14,Revenue_Build!Y10&gt;=Assumptions!$F$225*Assumptions!$B$51)),Assumptions!$D$225,0)</f>
        <v/>
      </c>
      <c r="Z10" s="41">
        <f>IF(OR(Y10&gt;0,AND(Z$3&gt;=Assumptions!$E$225,Z$3&gt;=Assumptions!$B$14,Revenue_Build!Z10&gt;=Assumptions!$F$225*Assumptions!$B$51)),Assumptions!$D$225,0)</f>
        <v/>
      </c>
      <c r="AA10" s="41">
        <f>IF(OR(Z10&gt;0,AND(AA$3&gt;=Assumptions!$E$225,AA$3&gt;=Assumptions!$B$14,Revenue_Build!AA10&gt;=Assumptions!$F$225*Assumptions!$B$51)),Assumptions!$D$225,0)</f>
        <v/>
      </c>
      <c r="AB10" s="41">
        <f>IF(OR(AA10&gt;0,AND(AB$3&gt;=Assumptions!$E$225,AB$3&gt;=Assumptions!$B$14,Revenue_Build!AB10&gt;=Assumptions!$F$225*Assumptions!$B$51)),Assumptions!$D$225,0)</f>
        <v/>
      </c>
      <c r="AC10" s="41">
        <f>IF(OR(AB10&gt;0,AND(AC$3&gt;=Assumptions!$E$225,AC$3&gt;=Assumptions!$B$14,Revenue_Build!AC10&gt;=Assumptions!$F$225*Assumptions!$B$51)),Assumptions!$D$225,0)</f>
        <v/>
      </c>
      <c r="AD10" s="41">
        <f>IF(OR(AC10&gt;0,AND(AD$3&gt;=Assumptions!$E$225,AD$3&gt;=Assumptions!$B$14,Revenue_Build!AD10&gt;=Assumptions!$F$225*Assumptions!$B$51)),Assumptions!$D$225,0)</f>
        <v/>
      </c>
      <c r="AE10" s="41">
        <f>IF(OR(AD10&gt;0,AND(AE$3&gt;=Assumptions!$E$225,AE$3&gt;=Assumptions!$B$14,Revenue_Build!AE10&gt;=Assumptions!$F$225*Assumptions!$B$51)),Assumptions!$D$225,0)</f>
        <v/>
      </c>
      <c r="AF10" s="41">
        <f>IF(OR(AE10&gt;0,AND(AF$3&gt;=Assumptions!$E$225,AF$3&gt;=Assumptions!$B$14,Revenue_Build!AF10&gt;=Assumptions!$F$225*Assumptions!$B$51)),Assumptions!$D$225,0)</f>
        <v/>
      </c>
      <c r="AG10" s="41">
        <f>IF(OR(AF10&gt;0,AND(AG$3&gt;=Assumptions!$E$225,AG$3&gt;=Assumptions!$B$14,Revenue_Build!AG10&gt;=Assumptions!$F$225*Assumptions!$B$51)),Assumptions!$D$225,0)</f>
        <v/>
      </c>
      <c r="AH10" s="41">
        <f>IF(OR(AG10&gt;0,AND(AH$3&gt;=Assumptions!$E$225,AH$3&gt;=Assumptions!$B$14,Revenue_Build!AH10&gt;=Assumptions!$F$225*Assumptions!$B$51)),Assumptions!$D$225,0)</f>
        <v/>
      </c>
      <c r="AI10" s="41">
        <f>IF(OR(AH10&gt;0,AND(AI$3&gt;=Assumptions!$E$225,AI$3&gt;=Assumptions!$B$14,Revenue_Build!AI10&gt;=Assumptions!$F$225*Assumptions!$B$51)),Assumptions!$D$225,0)</f>
        <v/>
      </c>
      <c r="AJ10" s="41">
        <f>IF(OR(AI10&gt;0,AND(AJ$3&gt;=Assumptions!$E$225,AJ$3&gt;=Assumptions!$B$14,Revenue_Build!AJ10&gt;=Assumptions!$F$225*Assumptions!$B$51)),Assumptions!$D$225,0)</f>
        <v/>
      </c>
      <c r="AK10" s="41">
        <f>IF(OR(AJ10&gt;0,AND(AK$3&gt;=Assumptions!$E$225,AK$3&gt;=Assumptions!$B$14,Revenue_Build!AK10&gt;=Assumptions!$F$225*Assumptions!$B$51)),Assumptions!$D$225,0)</f>
        <v/>
      </c>
      <c r="AL10" s="41">
        <f>IF(OR(AK10&gt;0,AND(AL$3&gt;=Assumptions!$E$225,AL$3&gt;=Assumptions!$B$14,Revenue_Build!AL10&gt;=Assumptions!$F$225*Assumptions!$B$51)),Assumptions!$D$225,0)</f>
        <v/>
      </c>
      <c r="AM10" s="41">
        <f>IF(OR(AL10&gt;0,AND(AM$3&gt;=Assumptions!$E$225,AM$3&gt;=Assumptions!$B$14,Revenue_Build!AM10&gt;=Assumptions!$F$225*Assumptions!$B$51)),Assumptions!$D$225,0)</f>
        <v/>
      </c>
      <c r="AN10" s="41">
        <f>IF(OR(AM10&gt;0,AND(AN$3&gt;=Assumptions!$E$225,AN$3&gt;=Assumptions!$B$14,Revenue_Build!AN10&gt;=Assumptions!$F$225*Assumptions!$B$51)),Assumptions!$D$225,0)</f>
        <v/>
      </c>
      <c r="AO10" s="41">
        <f>IF(OR(AN10&gt;0,AND(AO$3&gt;=Assumptions!$E$225,AO$3&gt;=Assumptions!$B$14,Revenue_Build!AO10&gt;=Assumptions!$F$225*Assumptions!$B$51)),Assumptions!$D$225,0)</f>
        <v/>
      </c>
      <c r="AP10" s="41">
        <f>IF(OR(AO10&gt;0,AND(AP$3&gt;=Assumptions!$E$225,AP$3&gt;=Assumptions!$B$14,Revenue_Build!AP10&gt;=Assumptions!$F$225*Assumptions!$B$51)),Assumptions!$D$225,0)</f>
        <v/>
      </c>
      <c r="AQ10" s="41">
        <f>IF(OR(AP10&gt;0,AND(AQ$3&gt;=Assumptions!$E$225,AQ$3&gt;=Assumptions!$B$14,Revenue_Build!AQ10&gt;=Assumptions!$F$225*Assumptions!$B$51)),Assumptions!$D$225,0)</f>
        <v/>
      </c>
      <c r="AR10" s="41">
        <f>IF(OR(AQ10&gt;0,AND(AR$3&gt;=Assumptions!$E$225,AR$3&gt;=Assumptions!$B$14,Revenue_Build!AR10&gt;=Assumptions!$F$225*Assumptions!$B$51)),Assumptions!$D$225,0)</f>
        <v/>
      </c>
      <c r="AS10" s="41">
        <f>IF(OR(AR10&gt;0,AND(AS$3&gt;=Assumptions!$E$225,AS$3&gt;=Assumptions!$B$14,Revenue_Build!AS10&gt;=Assumptions!$F$225*Assumptions!$B$51)),Assumptions!$D$225,0)</f>
        <v/>
      </c>
      <c r="AT10" s="41">
        <f>IF(OR(AS10&gt;0,AND(AT$3&gt;=Assumptions!$E$225,AT$3&gt;=Assumptions!$B$14,Revenue_Build!AT10&gt;=Assumptions!$F$225*Assumptions!$B$51)),Assumptions!$D$225,0)</f>
        <v/>
      </c>
      <c r="AU10" s="41">
        <f>IF(OR(AT10&gt;0,AND(AU$3&gt;=Assumptions!$E$225,AU$3&gt;=Assumptions!$B$14,Revenue_Build!AU10&gt;=Assumptions!$F$225*Assumptions!$B$51)),Assumptions!$D$225,0)</f>
        <v/>
      </c>
      <c r="AV10" s="41">
        <f>IF(OR(AU10&gt;0,AND(AV$3&gt;=Assumptions!$E$225,AV$3&gt;=Assumptions!$B$14,Revenue_Build!AV10&gt;=Assumptions!$F$225*Assumptions!$B$51)),Assumptions!$D$225,0)</f>
        <v/>
      </c>
      <c r="AW10" s="41">
        <f>IF(OR(AV10&gt;0,AND(AW$3&gt;=Assumptions!$E$225,AW$3&gt;=Assumptions!$B$14,Revenue_Build!AW10&gt;=Assumptions!$F$225*Assumptions!$B$51)),Assumptions!$D$225,0)</f>
        <v/>
      </c>
      <c r="AX10" s="41">
        <f>IF(OR(AW10&gt;0,AND(AX$3&gt;=Assumptions!$E$225,AX$3&gt;=Assumptions!$B$14,Revenue_Build!AX10&gt;=Assumptions!$F$225*Assumptions!$B$51)),Assumptions!$D$225,0)</f>
        <v/>
      </c>
      <c r="AY10" s="41">
        <f>IF(OR(AX10&gt;0,AND(AY$3&gt;=Assumptions!$E$225,AY$3&gt;=Assumptions!$B$14,Revenue_Build!AY10&gt;=Assumptions!$F$225*Assumptions!$B$51)),Assumptions!$D$225,0)</f>
        <v/>
      </c>
      <c r="AZ10" s="41">
        <f>IF(OR(AY10&gt;0,AND(AZ$3&gt;=Assumptions!$E$225,AZ$3&gt;=Assumptions!$B$14,Revenue_Build!AZ10&gt;=Assumptions!$F$225*Assumptions!$B$51)),Assumptions!$D$225,0)</f>
        <v/>
      </c>
      <c r="BA10" s="41">
        <f>IF(OR(AZ10&gt;0,AND(BA$3&gt;=Assumptions!$E$225,BA$3&gt;=Assumptions!$B$14,Revenue_Build!BA10&gt;=Assumptions!$F$225*Assumptions!$B$51)),Assumptions!$D$225,0)</f>
        <v/>
      </c>
      <c r="BB10" s="41">
        <f>IF(OR(BA10&gt;0,AND(BB$3&gt;=Assumptions!$E$225,BB$3&gt;=Assumptions!$B$14,Revenue_Build!BB10&gt;=Assumptions!$F$225*Assumptions!$B$51)),Assumptions!$D$225,0)</f>
        <v/>
      </c>
      <c r="BC10" s="41">
        <f>IF(OR(BB10&gt;0,AND(BC$3&gt;=Assumptions!$E$225,BC$3&gt;=Assumptions!$B$14,Revenue_Build!BC10&gt;=Assumptions!$F$225*Assumptions!$B$51)),Assumptions!$D$225,0)</f>
        <v/>
      </c>
      <c r="BD10" s="41">
        <f>IF(OR(BC10&gt;0,AND(BD$3&gt;=Assumptions!$E$225,BD$3&gt;=Assumptions!$B$14,Revenue_Build!BD10&gt;=Assumptions!$F$225*Assumptions!$B$51)),Assumptions!$D$225,0)</f>
        <v/>
      </c>
      <c r="BE10" s="41">
        <f>IF(OR(BD10&gt;0,AND(BE$3&gt;=Assumptions!$E$225,BE$3&gt;=Assumptions!$B$14,Revenue_Build!BE10&gt;=Assumptions!$F$225*Assumptions!$B$51)),Assumptions!$D$225,0)</f>
        <v/>
      </c>
      <c r="BF10" s="41">
        <f>IF(OR(BE10&gt;0,AND(BF$3&gt;=Assumptions!$E$225,BF$3&gt;=Assumptions!$B$14,Revenue_Build!BF10&gt;=Assumptions!$F$225*Assumptions!$B$51)),Assumptions!$D$225,0)</f>
        <v/>
      </c>
      <c r="BG10" s="41">
        <f>IF(OR(BF10&gt;0,AND(BG$3&gt;=Assumptions!$E$225,BG$3&gt;=Assumptions!$B$14,Revenue_Build!BG10&gt;=Assumptions!$F$225*Assumptions!$B$51)),Assumptions!$D$225,0)</f>
        <v/>
      </c>
      <c r="BH10" s="41">
        <f>IF(OR(BG10&gt;0,AND(BH$3&gt;=Assumptions!$E$225,BH$3&gt;=Assumptions!$B$14,Revenue_Build!BH10&gt;=Assumptions!$F$225*Assumptions!$B$51)),Assumptions!$D$225,0)</f>
        <v/>
      </c>
      <c r="BI10" s="41">
        <f>IF(OR(BH10&gt;0,AND(BI$3&gt;=Assumptions!$E$225,BI$3&gt;=Assumptions!$B$14,Revenue_Build!BI10&gt;=Assumptions!$F$225*Assumptions!$B$51)),Assumptions!$D$225,0)</f>
        <v/>
      </c>
      <c r="BJ10" s="41">
        <f>IF(OR(BI10&gt;0,AND(BJ$3&gt;=Assumptions!$E$225,BJ$3&gt;=Assumptions!$B$14,Revenue_Build!BJ10&gt;=Assumptions!$F$225*Assumptions!$B$51)),Assumptions!$D$225,0)</f>
        <v/>
      </c>
    </row>
    <row r="11">
      <c r="A11" s="4" t="inlineStr">
        <is>
          <t>AI / ML engineer</t>
        </is>
      </c>
      <c r="B11" s="17" t="inlineStr">
        <is>
          <t>FTE</t>
        </is>
      </c>
      <c r="C11" s="41">
        <f>IF(AND(C$3&gt;=Assumptions!$E$226,C$3&gt;=Assumptions!$B$14,Revenue_Build!C10&gt;=Assumptions!$F$226*Assumptions!$B$51),Assumptions!$D$226,0)</f>
        <v/>
      </c>
      <c r="D11" s="41">
        <f>IF(OR(C11&gt;0,AND(D$3&gt;=Assumptions!$E$226,D$3&gt;=Assumptions!$B$14,Revenue_Build!D10&gt;=Assumptions!$F$226*Assumptions!$B$51)),Assumptions!$D$226,0)</f>
        <v/>
      </c>
      <c r="E11" s="41">
        <f>IF(OR(D11&gt;0,AND(E$3&gt;=Assumptions!$E$226,E$3&gt;=Assumptions!$B$14,Revenue_Build!E10&gt;=Assumptions!$F$226*Assumptions!$B$51)),Assumptions!$D$226,0)</f>
        <v/>
      </c>
      <c r="F11" s="41">
        <f>IF(OR(E11&gt;0,AND(F$3&gt;=Assumptions!$E$226,F$3&gt;=Assumptions!$B$14,Revenue_Build!F10&gt;=Assumptions!$F$226*Assumptions!$B$51)),Assumptions!$D$226,0)</f>
        <v/>
      </c>
      <c r="G11" s="41">
        <f>IF(OR(F11&gt;0,AND(G$3&gt;=Assumptions!$E$226,G$3&gt;=Assumptions!$B$14,Revenue_Build!G10&gt;=Assumptions!$F$226*Assumptions!$B$51)),Assumptions!$D$226,0)</f>
        <v/>
      </c>
      <c r="H11" s="41">
        <f>IF(OR(G11&gt;0,AND(H$3&gt;=Assumptions!$E$226,H$3&gt;=Assumptions!$B$14,Revenue_Build!H10&gt;=Assumptions!$F$226*Assumptions!$B$51)),Assumptions!$D$226,0)</f>
        <v/>
      </c>
      <c r="I11" s="41">
        <f>IF(OR(H11&gt;0,AND(I$3&gt;=Assumptions!$E$226,I$3&gt;=Assumptions!$B$14,Revenue_Build!I10&gt;=Assumptions!$F$226*Assumptions!$B$51)),Assumptions!$D$226,0)</f>
        <v/>
      </c>
      <c r="J11" s="41">
        <f>IF(OR(I11&gt;0,AND(J$3&gt;=Assumptions!$E$226,J$3&gt;=Assumptions!$B$14,Revenue_Build!J10&gt;=Assumptions!$F$226*Assumptions!$B$51)),Assumptions!$D$226,0)</f>
        <v/>
      </c>
      <c r="K11" s="41">
        <f>IF(OR(J11&gt;0,AND(K$3&gt;=Assumptions!$E$226,K$3&gt;=Assumptions!$B$14,Revenue_Build!K10&gt;=Assumptions!$F$226*Assumptions!$B$51)),Assumptions!$D$226,0)</f>
        <v/>
      </c>
      <c r="L11" s="41">
        <f>IF(OR(K11&gt;0,AND(L$3&gt;=Assumptions!$E$226,L$3&gt;=Assumptions!$B$14,Revenue_Build!L10&gt;=Assumptions!$F$226*Assumptions!$B$51)),Assumptions!$D$226,0)</f>
        <v/>
      </c>
      <c r="M11" s="41">
        <f>IF(OR(L11&gt;0,AND(M$3&gt;=Assumptions!$E$226,M$3&gt;=Assumptions!$B$14,Revenue_Build!M10&gt;=Assumptions!$F$226*Assumptions!$B$51)),Assumptions!$D$226,0)</f>
        <v/>
      </c>
      <c r="N11" s="41">
        <f>IF(OR(M11&gt;0,AND(N$3&gt;=Assumptions!$E$226,N$3&gt;=Assumptions!$B$14,Revenue_Build!N10&gt;=Assumptions!$F$226*Assumptions!$B$51)),Assumptions!$D$226,0)</f>
        <v/>
      </c>
      <c r="O11" s="41">
        <f>IF(OR(N11&gt;0,AND(O$3&gt;=Assumptions!$E$226,O$3&gt;=Assumptions!$B$14,Revenue_Build!O10&gt;=Assumptions!$F$226*Assumptions!$B$51)),Assumptions!$D$226,0)</f>
        <v/>
      </c>
      <c r="P11" s="41">
        <f>IF(OR(O11&gt;0,AND(P$3&gt;=Assumptions!$E$226,P$3&gt;=Assumptions!$B$14,Revenue_Build!P10&gt;=Assumptions!$F$226*Assumptions!$B$51)),Assumptions!$D$226,0)</f>
        <v/>
      </c>
      <c r="Q11" s="41">
        <f>IF(OR(P11&gt;0,AND(Q$3&gt;=Assumptions!$E$226,Q$3&gt;=Assumptions!$B$14,Revenue_Build!Q10&gt;=Assumptions!$F$226*Assumptions!$B$51)),Assumptions!$D$226,0)</f>
        <v/>
      </c>
      <c r="R11" s="41">
        <f>IF(OR(Q11&gt;0,AND(R$3&gt;=Assumptions!$E$226,R$3&gt;=Assumptions!$B$14,Revenue_Build!R10&gt;=Assumptions!$F$226*Assumptions!$B$51)),Assumptions!$D$226,0)</f>
        <v/>
      </c>
      <c r="S11" s="41">
        <f>IF(OR(R11&gt;0,AND(S$3&gt;=Assumptions!$E$226,S$3&gt;=Assumptions!$B$14,Revenue_Build!S10&gt;=Assumptions!$F$226*Assumptions!$B$51)),Assumptions!$D$226,0)</f>
        <v/>
      </c>
      <c r="T11" s="41">
        <f>IF(OR(S11&gt;0,AND(T$3&gt;=Assumptions!$E$226,T$3&gt;=Assumptions!$B$14,Revenue_Build!T10&gt;=Assumptions!$F$226*Assumptions!$B$51)),Assumptions!$D$226,0)</f>
        <v/>
      </c>
      <c r="U11" s="41">
        <f>IF(OR(T11&gt;0,AND(U$3&gt;=Assumptions!$E$226,U$3&gt;=Assumptions!$B$14,Revenue_Build!U10&gt;=Assumptions!$F$226*Assumptions!$B$51)),Assumptions!$D$226,0)</f>
        <v/>
      </c>
      <c r="V11" s="41">
        <f>IF(OR(U11&gt;0,AND(V$3&gt;=Assumptions!$E$226,V$3&gt;=Assumptions!$B$14,Revenue_Build!V10&gt;=Assumptions!$F$226*Assumptions!$B$51)),Assumptions!$D$226,0)</f>
        <v/>
      </c>
      <c r="W11" s="41">
        <f>IF(OR(V11&gt;0,AND(W$3&gt;=Assumptions!$E$226,W$3&gt;=Assumptions!$B$14,Revenue_Build!W10&gt;=Assumptions!$F$226*Assumptions!$B$51)),Assumptions!$D$226,0)</f>
        <v/>
      </c>
      <c r="X11" s="41">
        <f>IF(OR(W11&gt;0,AND(X$3&gt;=Assumptions!$E$226,X$3&gt;=Assumptions!$B$14,Revenue_Build!X10&gt;=Assumptions!$F$226*Assumptions!$B$51)),Assumptions!$D$226,0)</f>
        <v/>
      </c>
      <c r="Y11" s="41">
        <f>IF(OR(X11&gt;0,AND(Y$3&gt;=Assumptions!$E$226,Y$3&gt;=Assumptions!$B$14,Revenue_Build!Y10&gt;=Assumptions!$F$226*Assumptions!$B$51)),Assumptions!$D$226,0)</f>
        <v/>
      </c>
      <c r="Z11" s="41">
        <f>IF(OR(Y11&gt;0,AND(Z$3&gt;=Assumptions!$E$226,Z$3&gt;=Assumptions!$B$14,Revenue_Build!Z10&gt;=Assumptions!$F$226*Assumptions!$B$51)),Assumptions!$D$226,0)</f>
        <v/>
      </c>
      <c r="AA11" s="41">
        <f>IF(OR(Z11&gt;0,AND(AA$3&gt;=Assumptions!$E$226,AA$3&gt;=Assumptions!$B$14,Revenue_Build!AA10&gt;=Assumptions!$F$226*Assumptions!$B$51)),Assumptions!$D$226,0)</f>
        <v/>
      </c>
      <c r="AB11" s="41">
        <f>IF(OR(AA11&gt;0,AND(AB$3&gt;=Assumptions!$E$226,AB$3&gt;=Assumptions!$B$14,Revenue_Build!AB10&gt;=Assumptions!$F$226*Assumptions!$B$51)),Assumptions!$D$226,0)</f>
        <v/>
      </c>
      <c r="AC11" s="41">
        <f>IF(OR(AB11&gt;0,AND(AC$3&gt;=Assumptions!$E$226,AC$3&gt;=Assumptions!$B$14,Revenue_Build!AC10&gt;=Assumptions!$F$226*Assumptions!$B$51)),Assumptions!$D$226,0)</f>
        <v/>
      </c>
      <c r="AD11" s="41">
        <f>IF(OR(AC11&gt;0,AND(AD$3&gt;=Assumptions!$E$226,AD$3&gt;=Assumptions!$B$14,Revenue_Build!AD10&gt;=Assumptions!$F$226*Assumptions!$B$51)),Assumptions!$D$226,0)</f>
        <v/>
      </c>
      <c r="AE11" s="41">
        <f>IF(OR(AD11&gt;0,AND(AE$3&gt;=Assumptions!$E$226,AE$3&gt;=Assumptions!$B$14,Revenue_Build!AE10&gt;=Assumptions!$F$226*Assumptions!$B$51)),Assumptions!$D$226,0)</f>
        <v/>
      </c>
      <c r="AF11" s="41">
        <f>IF(OR(AE11&gt;0,AND(AF$3&gt;=Assumptions!$E$226,AF$3&gt;=Assumptions!$B$14,Revenue_Build!AF10&gt;=Assumptions!$F$226*Assumptions!$B$51)),Assumptions!$D$226,0)</f>
        <v/>
      </c>
      <c r="AG11" s="41">
        <f>IF(OR(AF11&gt;0,AND(AG$3&gt;=Assumptions!$E$226,AG$3&gt;=Assumptions!$B$14,Revenue_Build!AG10&gt;=Assumptions!$F$226*Assumptions!$B$51)),Assumptions!$D$226,0)</f>
        <v/>
      </c>
      <c r="AH11" s="41">
        <f>IF(OR(AG11&gt;0,AND(AH$3&gt;=Assumptions!$E$226,AH$3&gt;=Assumptions!$B$14,Revenue_Build!AH10&gt;=Assumptions!$F$226*Assumptions!$B$51)),Assumptions!$D$226,0)</f>
        <v/>
      </c>
      <c r="AI11" s="41">
        <f>IF(OR(AH11&gt;0,AND(AI$3&gt;=Assumptions!$E$226,AI$3&gt;=Assumptions!$B$14,Revenue_Build!AI10&gt;=Assumptions!$F$226*Assumptions!$B$51)),Assumptions!$D$226,0)</f>
        <v/>
      </c>
      <c r="AJ11" s="41">
        <f>IF(OR(AI11&gt;0,AND(AJ$3&gt;=Assumptions!$E$226,AJ$3&gt;=Assumptions!$B$14,Revenue_Build!AJ10&gt;=Assumptions!$F$226*Assumptions!$B$51)),Assumptions!$D$226,0)</f>
        <v/>
      </c>
      <c r="AK11" s="41">
        <f>IF(OR(AJ11&gt;0,AND(AK$3&gt;=Assumptions!$E$226,AK$3&gt;=Assumptions!$B$14,Revenue_Build!AK10&gt;=Assumptions!$F$226*Assumptions!$B$51)),Assumptions!$D$226,0)</f>
        <v/>
      </c>
      <c r="AL11" s="41">
        <f>IF(OR(AK11&gt;0,AND(AL$3&gt;=Assumptions!$E$226,AL$3&gt;=Assumptions!$B$14,Revenue_Build!AL10&gt;=Assumptions!$F$226*Assumptions!$B$51)),Assumptions!$D$226,0)</f>
        <v/>
      </c>
      <c r="AM11" s="41">
        <f>IF(OR(AL11&gt;0,AND(AM$3&gt;=Assumptions!$E$226,AM$3&gt;=Assumptions!$B$14,Revenue_Build!AM10&gt;=Assumptions!$F$226*Assumptions!$B$51)),Assumptions!$D$226,0)</f>
        <v/>
      </c>
      <c r="AN11" s="41">
        <f>IF(OR(AM11&gt;0,AND(AN$3&gt;=Assumptions!$E$226,AN$3&gt;=Assumptions!$B$14,Revenue_Build!AN10&gt;=Assumptions!$F$226*Assumptions!$B$51)),Assumptions!$D$226,0)</f>
        <v/>
      </c>
      <c r="AO11" s="41">
        <f>IF(OR(AN11&gt;0,AND(AO$3&gt;=Assumptions!$E$226,AO$3&gt;=Assumptions!$B$14,Revenue_Build!AO10&gt;=Assumptions!$F$226*Assumptions!$B$51)),Assumptions!$D$226,0)</f>
        <v/>
      </c>
      <c r="AP11" s="41">
        <f>IF(OR(AO11&gt;0,AND(AP$3&gt;=Assumptions!$E$226,AP$3&gt;=Assumptions!$B$14,Revenue_Build!AP10&gt;=Assumptions!$F$226*Assumptions!$B$51)),Assumptions!$D$226,0)</f>
        <v/>
      </c>
      <c r="AQ11" s="41">
        <f>IF(OR(AP11&gt;0,AND(AQ$3&gt;=Assumptions!$E$226,AQ$3&gt;=Assumptions!$B$14,Revenue_Build!AQ10&gt;=Assumptions!$F$226*Assumptions!$B$51)),Assumptions!$D$226,0)</f>
        <v/>
      </c>
      <c r="AR11" s="41">
        <f>IF(OR(AQ11&gt;0,AND(AR$3&gt;=Assumptions!$E$226,AR$3&gt;=Assumptions!$B$14,Revenue_Build!AR10&gt;=Assumptions!$F$226*Assumptions!$B$51)),Assumptions!$D$226,0)</f>
        <v/>
      </c>
      <c r="AS11" s="41">
        <f>IF(OR(AR11&gt;0,AND(AS$3&gt;=Assumptions!$E$226,AS$3&gt;=Assumptions!$B$14,Revenue_Build!AS10&gt;=Assumptions!$F$226*Assumptions!$B$51)),Assumptions!$D$226,0)</f>
        <v/>
      </c>
      <c r="AT11" s="41">
        <f>IF(OR(AS11&gt;0,AND(AT$3&gt;=Assumptions!$E$226,AT$3&gt;=Assumptions!$B$14,Revenue_Build!AT10&gt;=Assumptions!$F$226*Assumptions!$B$51)),Assumptions!$D$226,0)</f>
        <v/>
      </c>
      <c r="AU11" s="41">
        <f>IF(OR(AT11&gt;0,AND(AU$3&gt;=Assumptions!$E$226,AU$3&gt;=Assumptions!$B$14,Revenue_Build!AU10&gt;=Assumptions!$F$226*Assumptions!$B$51)),Assumptions!$D$226,0)</f>
        <v/>
      </c>
      <c r="AV11" s="41">
        <f>IF(OR(AU11&gt;0,AND(AV$3&gt;=Assumptions!$E$226,AV$3&gt;=Assumptions!$B$14,Revenue_Build!AV10&gt;=Assumptions!$F$226*Assumptions!$B$51)),Assumptions!$D$226,0)</f>
        <v/>
      </c>
      <c r="AW11" s="41">
        <f>IF(OR(AV11&gt;0,AND(AW$3&gt;=Assumptions!$E$226,AW$3&gt;=Assumptions!$B$14,Revenue_Build!AW10&gt;=Assumptions!$F$226*Assumptions!$B$51)),Assumptions!$D$226,0)</f>
        <v/>
      </c>
      <c r="AX11" s="41">
        <f>IF(OR(AW11&gt;0,AND(AX$3&gt;=Assumptions!$E$226,AX$3&gt;=Assumptions!$B$14,Revenue_Build!AX10&gt;=Assumptions!$F$226*Assumptions!$B$51)),Assumptions!$D$226,0)</f>
        <v/>
      </c>
      <c r="AY11" s="41">
        <f>IF(OR(AX11&gt;0,AND(AY$3&gt;=Assumptions!$E$226,AY$3&gt;=Assumptions!$B$14,Revenue_Build!AY10&gt;=Assumptions!$F$226*Assumptions!$B$51)),Assumptions!$D$226,0)</f>
        <v/>
      </c>
      <c r="AZ11" s="41">
        <f>IF(OR(AY11&gt;0,AND(AZ$3&gt;=Assumptions!$E$226,AZ$3&gt;=Assumptions!$B$14,Revenue_Build!AZ10&gt;=Assumptions!$F$226*Assumptions!$B$51)),Assumptions!$D$226,0)</f>
        <v/>
      </c>
      <c r="BA11" s="41">
        <f>IF(OR(AZ11&gt;0,AND(BA$3&gt;=Assumptions!$E$226,BA$3&gt;=Assumptions!$B$14,Revenue_Build!BA10&gt;=Assumptions!$F$226*Assumptions!$B$51)),Assumptions!$D$226,0)</f>
        <v/>
      </c>
      <c r="BB11" s="41">
        <f>IF(OR(BA11&gt;0,AND(BB$3&gt;=Assumptions!$E$226,BB$3&gt;=Assumptions!$B$14,Revenue_Build!BB10&gt;=Assumptions!$F$226*Assumptions!$B$51)),Assumptions!$D$226,0)</f>
        <v/>
      </c>
      <c r="BC11" s="41">
        <f>IF(OR(BB11&gt;0,AND(BC$3&gt;=Assumptions!$E$226,BC$3&gt;=Assumptions!$B$14,Revenue_Build!BC10&gt;=Assumptions!$F$226*Assumptions!$B$51)),Assumptions!$D$226,0)</f>
        <v/>
      </c>
      <c r="BD11" s="41">
        <f>IF(OR(BC11&gt;0,AND(BD$3&gt;=Assumptions!$E$226,BD$3&gt;=Assumptions!$B$14,Revenue_Build!BD10&gt;=Assumptions!$F$226*Assumptions!$B$51)),Assumptions!$D$226,0)</f>
        <v/>
      </c>
      <c r="BE11" s="41">
        <f>IF(OR(BD11&gt;0,AND(BE$3&gt;=Assumptions!$E$226,BE$3&gt;=Assumptions!$B$14,Revenue_Build!BE10&gt;=Assumptions!$F$226*Assumptions!$B$51)),Assumptions!$D$226,0)</f>
        <v/>
      </c>
      <c r="BF11" s="41">
        <f>IF(OR(BE11&gt;0,AND(BF$3&gt;=Assumptions!$E$226,BF$3&gt;=Assumptions!$B$14,Revenue_Build!BF10&gt;=Assumptions!$F$226*Assumptions!$B$51)),Assumptions!$D$226,0)</f>
        <v/>
      </c>
      <c r="BG11" s="41">
        <f>IF(OR(BF11&gt;0,AND(BG$3&gt;=Assumptions!$E$226,BG$3&gt;=Assumptions!$B$14,Revenue_Build!BG10&gt;=Assumptions!$F$226*Assumptions!$B$51)),Assumptions!$D$226,0)</f>
        <v/>
      </c>
      <c r="BH11" s="41">
        <f>IF(OR(BG11&gt;0,AND(BH$3&gt;=Assumptions!$E$226,BH$3&gt;=Assumptions!$B$14,Revenue_Build!BH10&gt;=Assumptions!$F$226*Assumptions!$B$51)),Assumptions!$D$226,0)</f>
        <v/>
      </c>
      <c r="BI11" s="41">
        <f>IF(OR(BH11&gt;0,AND(BI$3&gt;=Assumptions!$E$226,BI$3&gt;=Assumptions!$B$14,Revenue_Build!BI10&gt;=Assumptions!$F$226*Assumptions!$B$51)),Assumptions!$D$226,0)</f>
        <v/>
      </c>
      <c r="BJ11" s="41">
        <f>IF(OR(BI11&gt;0,AND(BJ$3&gt;=Assumptions!$E$226,BJ$3&gt;=Assumptions!$B$14,Revenue_Build!BJ10&gt;=Assumptions!$F$226*Assumptions!$B$51)),Assumptions!$D$226,0)</f>
        <v/>
      </c>
    </row>
    <row r="12">
      <c r="A12" s="4" t="inlineStr">
        <is>
          <t>Product designer (UX)</t>
        </is>
      </c>
      <c r="B12" s="17" t="inlineStr">
        <is>
          <t>FTE</t>
        </is>
      </c>
      <c r="C12" s="41">
        <f>IF(AND(C$3&gt;=Assumptions!$E$227,C$3&gt;=Assumptions!$B$14,Revenue_Build!C10&gt;=Assumptions!$F$227*Assumptions!$B$51),Assumptions!$D$227,0)</f>
        <v/>
      </c>
      <c r="D12" s="41">
        <f>IF(OR(C12&gt;0,AND(D$3&gt;=Assumptions!$E$227,D$3&gt;=Assumptions!$B$14,Revenue_Build!D10&gt;=Assumptions!$F$227*Assumptions!$B$51)),Assumptions!$D$227,0)</f>
        <v/>
      </c>
      <c r="E12" s="41">
        <f>IF(OR(D12&gt;0,AND(E$3&gt;=Assumptions!$E$227,E$3&gt;=Assumptions!$B$14,Revenue_Build!E10&gt;=Assumptions!$F$227*Assumptions!$B$51)),Assumptions!$D$227,0)</f>
        <v/>
      </c>
      <c r="F12" s="41">
        <f>IF(OR(E12&gt;0,AND(F$3&gt;=Assumptions!$E$227,F$3&gt;=Assumptions!$B$14,Revenue_Build!F10&gt;=Assumptions!$F$227*Assumptions!$B$51)),Assumptions!$D$227,0)</f>
        <v/>
      </c>
      <c r="G12" s="41">
        <f>IF(OR(F12&gt;0,AND(G$3&gt;=Assumptions!$E$227,G$3&gt;=Assumptions!$B$14,Revenue_Build!G10&gt;=Assumptions!$F$227*Assumptions!$B$51)),Assumptions!$D$227,0)</f>
        <v/>
      </c>
      <c r="H12" s="41">
        <f>IF(OR(G12&gt;0,AND(H$3&gt;=Assumptions!$E$227,H$3&gt;=Assumptions!$B$14,Revenue_Build!H10&gt;=Assumptions!$F$227*Assumptions!$B$51)),Assumptions!$D$227,0)</f>
        <v/>
      </c>
      <c r="I12" s="41">
        <f>IF(OR(H12&gt;0,AND(I$3&gt;=Assumptions!$E$227,I$3&gt;=Assumptions!$B$14,Revenue_Build!I10&gt;=Assumptions!$F$227*Assumptions!$B$51)),Assumptions!$D$227,0)</f>
        <v/>
      </c>
      <c r="J12" s="41">
        <f>IF(OR(I12&gt;0,AND(J$3&gt;=Assumptions!$E$227,J$3&gt;=Assumptions!$B$14,Revenue_Build!J10&gt;=Assumptions!$F$227*Assumptions!$B$51)),Assumptions!$D$227,0)</f>
        <v/>
      </c>
      <c r="K12" s="41">
        <f>IF(OR(J12&gt;0,AND(K$3&gt;=Assumptions!$E$227,K$3&gt;=Assumptions!$B$14,Revenue_Build!K10&gt;=Assumptions!$F$227*Assumptions!$B$51)),Assumptions!$D$227,0)</f>
        <v/>
      </c>
      <c r="L12" s="41">
        <f>IF(OR(K12&gt;0,AND(L$3&gt;=Assumptions!$E$227,L$3&gt;=Assumptions!$B$14,Revenue_Build!L10&gt;=Assumptions!$F$227*Assumptions!$B$51)),Assumptions!$D$227,0)</f>
        <v/>
      </c>
      <c r="M12" s="41">
        <f>IF(OR(L12&gt;0,AND(M$3&gt;=Assumptions!$E$227,M$3&gt;=Assumptions!$B$14,Revenue_Build!M10&gt;=Assumptions!$F$227*Assumptions!$B$51)),Assumptions!$D$227,0)</f>
        <v/>
      </c>
      <c r="N12" s="41">
        <f>IF(OR(M12&gt;0,AND(N$3&gt;=Assumptions!$E$227,N$3&gt;=Assumptions!$B$14,Revenue_Build!N10&gt;=Assumptions!$F$227*Assumptions!$B$51)),Assumptions!$D$227,0)</f>
        <v/>
      </c>
      <c r="O12" s="41">
        <f>IF(OR(N12&gt;0,AND(O$3&gt;=Assumptions!$E$227,O$3&gt;=Assumptions!$B$14,Revenue_Build!O10&gt;=Assumptions!$F$227*Assumptions!$B$51)),Assumptions!$D$227,0)</f>
        <v/>
      </c>
      <c r="P12" s="41">
        <f>IF(OR(O12&gt;0,AND(P$3&gt;=Assumptions!$E$227,P$3&gt;=Assumptions!$B$14,Revenue_Build!P10&gt;=Assumptions!$F$227*Assumptions!$B$51)),Assumptions!$D$227,0)</f>
        <v/>
      </c>
      <c r="Q12" s="41">
        <f>IF(OR(P12&gt;0,AND(Q$3&gt;=Assumptions!$E$227,Q$3&gt;=Assumptions!$B$14,Revenue_Build!Q10&gt;=Assumptions!$F$227*Assumptions!$B$51)),Assumptions!$D$227,0)</f>
        <v/>
      </c>
      <c r="R12" s="41">
        <f>IF(OR(Q12&gt;0,AND(R$3&gt;=Assumptions!$E$227,R$3&gt;=Assumptions!$B$14,Revenue_Build!R10&gt;=Assumptions!$F$227*Assumptions!$B$51)),Assumptions!$D$227,0)</f>
        <v/>
      </c>
      <c r="S12" s="41">
        <f>IF(OR(R12&gt;0,AND(S$3&gt;=Assumptions!$E$227,S$3&gt;=Assumptions!$B$14,Revenue_Build!S10&gt;=Assumptions!$F$227*Assumptions!$B$51)),Assumptions!$D$227,0)</f>
        <v/>
      </c>
      <c r="T12" s="41">
        <f>IF(OR(S12&gt;0,AND(T$3&gt;=Assumptions!$E$227,T$3&gt;=Assumptions!$B$14,Revenue_Build!T10&gt;=Assumptions!$F$227*Assumptions!$B$51)),Assumptions!$D$227,0)</f>
        <v/>
      </c>
      <c r="U12" s="41">
        <f>IF(OR(T12&gt;0,AND(U$3&gt;=Assumptions!$E$227,U$3&gt;=Assumptions!$B$14,Revenue_Build!U10&gt;=Assumptions!$F$227*Assumptions!$B$51)),Assumptions!$D$227,0)</f>
        <v/>
      </c>
      <c r="V12" s="41">
        <f>IF(OR(U12&gt;0,AND(V$3&gt;=Assumptions!$E$227,V$3&gt;=Assumptions!$B$14,Revenue_Build!V10&gt;=Assumptions!$F$227*Assumptions!$B$51)),Assumptions!$D$227,0)</f>
        <v/>
      </c>
      <c r="W12" s="41">
        <f>IF(OR(V12&gt;0,AND(W$3&gt;=Assumptions!$E$227,W$3&gt;=Assumptions!$B$14,Revenue_Build!W10&gt;=Assumptions!$F$227*Assumptions!$B$51)),Assumptions!$D$227,0)</f>
        <v/>
      </c>
      <c r="X12" s="41">
        <f>IF(OR(W12&gt;0,AND(X$3&gt;=Assumptions!$E$227,X$3&gt;=Assumptions!$B$14,Revenue_Build!X10&gt;=Assumptions!$F$227*Assumptions!$B$51)),Assumptions!$D$227,0)</f>
        <v/>
      </c>
      <c r="Y12" s="41">
        <f>IF(OR(X12&gt;0,AND(Y$3&gt;=Assumptions!$E$227,Y$3&gt;=Assumptions!$B$14,Revenue_Build!Y10&gt;=Assumptions!$F$227*Assumptions!$B$51)),Assumptions!$D$227,0)</f>
        <v/>
      </c>
      <c r="Z12" s="41">
        <f>IF(OR(Y12&gt;0,AND(Z$3&gt;=Assumptions!$E$227,Z$3&gt;=Assumptions!$B$14,Revenue_Build!Z10&gt;=Assumptions!$F$227*Assumptions!$B$51)),Assumptions!$D$227,0)</f>
        <v/>
      </c>
      <c r="AA12" s="41">
        <f>IF(OR(Z12&gt;0,AND(AA$3&gt;=Assumptions!$E$227,AA$3&gt;=Assumptions!$B$14,Revenue_Build!AA10&gt;=Assumptions!$F$227*Assumptions!$B$51)),Assumptions!$D$227,0)</f>
        <v/>
      </c>
      <c r="AB12" s="41">
        <f>IF(OR(AA12&gt;0,AND(AB$3&gt;=Assumptions!$E$227,AB$3&gt;=Assumptions!$B$14,Revenue_Build!AB10&gt;=Assumptions!$F$227*Assumptions!$B$51)),Assumptions!$D$227,0)</f>
        <v/>
      </c>
      <c r="AC12" s="41">
        <f>IF(OR(AB12&gt;0,AND(AC$3&gt;=Assumptions!$E$227,AC$3&gt;=Assumptions!$B$14,Revenue_Build!AC10&gt;=Assumptions!$F$227*Assumptions!$B$51)),Assumptions!$D$227,0)</f>
        <v/>
      </c>
      <c r="AD12" s="41">
        <f>IF(OR(AC12&gt;0,AND(AD$3&gt;=Assumptions!$E$227,AD$3&gt;=Assumptions!$B$14,Revenue_Build!AD10&gt;=Assumptions!$F$227*Assumptions!$B$51)),Assumptions!$D$227,0)</f>
        <v/>
      </c>
      <c r="AE12" s="41">
        <f>IF(OR(AD12&gt;0,AND(AE$3&gt;=Assumptions!$E$227,AE$3&gt;=Assumptions!$B$14,Revenue_Build!AE10&gt;=Assumptions!$F$227*Assumptions!$B$51)),Assumptions!$D$227,0)</f>
        <v/>
      </c>
      <c r="AF12" s="41">
        <f>IF(OR(AE12&gt;0,AND(AF$3&gt;=Assumptions!$E$227,AF$3&gt;=Assumptions!$B$14,Revenue_Build!AF10&gt;=Assumptions!$F$227*Assumptions!$B$51)),Assumptions!$D$227,0)</f>
        <v/>
      </c>
      <c r="AG12" s="41">
        <f>IF(OR(AF12&gt;0,AND(AG$3&gt;=Assumptions!$E$227,AG$3&gt;=Assumptions!$B$14,Revenue_Build!AG10&gt;=Assumptions!$F$227*Assumptions!$B$51)),Assumptions!$D$227,0)</f>
        <v/>
      </c>
      <c r="AH12" s="41">
        <f>IF(OR(AG12&gt;0,AND(AH$3&gt;=Assumptions!$E$227,AH$3&gt;=Assumptions!$B$14,Revenue_Build!AH10&gt;=Assumptions!$F$227*Assumptions!$B$51)),Assumptions!$D$227,0)</f>
        <v/>
      </c>
      <c r="AI12" s="41">
        <f>IF(OR(AH12&gt;0,AND(AI$3&gt;=Assumptions!$E$227,AI$3&gt;=Assumptions!$B$14,Revenue_Build!AI10&gt;=Assumptions!$F$227*Assumptions!$B$51)),Assumptions!$D$227,0)</f>
        <v/>
      </c>
      <c r="AJ12" s="41">
        <f>IF(OR(AI12&gt;0,AND(AJ$3&gt;=Assumptions!$E$227,AJ$3&gt;=Assumptions!$B$14,Revenue_Build!AJ10&gt;=Assumptions!$F$227*Assumptions!$B$51)),Assumptions!$D$227,0)</f>
        <v/>
      </c>
      <c r="AK12" s="41">
        <f>IF(OR(AJ12&gt;0,AND(AK$3&gt;=Assumptions!$E$227,AK$3&gt;=Assumptions!$B$14,Revenue_Build!AK10&gt;=Assumptions!$F$227*Assumptions!$B$51)),Assumptions!$D$227,0)</f>
        <v/>
      </c>
      <c r="AL12" s="41">
        <f>IF(OR(AK12&gt;0,AND(AL$3&gt;=Assumptions!$E$227,AL$3&gt;=Assumptions!$B$14,Revenue_Build!AL10&gt;=Assumptions!$F$227*Assumptions!$B$51)),Assumptions!$D$227,0)</f>
        <v/>
      </c>
      <c r="AM12" s="41">
        <f>IF(OR(AL12&gt;0,AND(AM$3&gt;=Assumptions!$E$227,AM$3&gt;=Assumptions!$B$14,Revenue_Build!AM10&gt;=Assumptions!$F$227*Assumptions!$B$51)),Assumptions!$D$227,0)</f>
        <v/>
      </c>
      <c r="AN12" s="41">
        <f>IF(OR(AM12&gt;0,AND(AN$3&gt;=Assumptions!$E$227,AN$3&gt;=Assumptions!$B$14,Revenue_Build!AN10&gt;=Assumptions!$F$227*Assumptions!$B$51)),Assumptions!$D$227,0)</f>
        <v/>
      </c>
      <c r="AO12" s="41">
        <f>IF(OR(AN12&gt;0,AND(AO$3&gt;=Assumptions!$E$227,AO$3&gt;=Assumptions!$B$14,Revenue_Build!AO10&gt;=Assumptions!$F$227*Assumptions!$B$51)),Assumptions!$D$227,0)</f>
        <v/>
      </c>
      <c r="AP12" s="41">
        <f>IF(OR(AO12&gt;0,AND(AP$3&gt;=Assumptions!$E$227,AP$3&gt;=Assumptions!$B$14,Revenue_Build!AP10&gt;=Assumptions!$F$227*Assumptions!$B$51)),Assumptions!$D$227,0)</f>
        <v/>
      </c>
      <c r="AQ12" s="41">
        <f>IF(OR(AP12&gt;0,AND(AQ$3&gt;=Assumptions!$E$227,AQ$3&gt;=Assumptions!$B$14,Revenue_Build!AQ10&gt;=Assumptions!$F$227*Assumptions!$B$51)),Assumptions!$D$227,0)</f>
        <v/>
      </c>
      <c r="AR12" s="41">
        <f>IF(OR(AQ12&gt;0,AND(AR$3&gt;=Assumptions!$E$227,AR$3&gt;=Assumptions!$B$14,Revenue_Build!AR10&gt;=Assumptions!$F$227*Assumptions!$B$51)),Assumptions!$D$227,0)</f>
        <v/>
      </c>
      <c r="AS12" s="41">
        <f>IF(OR(AR12&gt;0,AND(AS$3&gt;=Assumptions!$E$227,AS$3&gt;=Assumptions!$B$14,Revenue_Build!AS10&gt;=Assumptions!$F$227*Assumptions!$B$51)),Assumptions!$D$227,0)</f>
        <v/>
      </c>
      <c r="AT12" s="41">
        <f>IF(OR(AS12&gt;0,AND(AT$3&gt;=Assumptions!$E$227,AT$3&gt;=Assumptions!$B$14,Revenue_Build!AT10&gt;=Assumptions!$F$227*Assumptions!$B$51)),Assumptions!$D$227,0)</f>
        <v/>
      </c>
      <c r="AU12" s="41">
        <f>IF(OR(AT12&gt;0,AND(AU$3&gt;=Assumptions!$E$227,AU$3&gt;=Assumptions!$B$14,Revenue_Build!AU10&gt;=Assumptions!$F$227*Assumptions!$B$51)),Assumptions!$D$227,0)</f>
        <v/>
      </c>
      <c r="AV12" s="41">
        <f>IF(OR(AU12&gt;0,AND(AV$3&gt;=Assumptions!$E$227,AV$3&gt;=Assumptions!$B$14,Revenue_Build!AV10&gt;=Assumptions!$F$227*Assumptions!$B$51)),Assumptions!$D$227,0)</f>
        <v/>
      </c>
      <c r="AW12" s="41">
        <f>IF(OR(AV12&gt;0,AND(AW$3&gt;=Assumptions!$E$227,AW$3&gt;=Assumptions!$B$14,Revenue_Build!AW10&gt;=Assumptions!$F$227*Assumptions!$B$51)),Assumptions!$D$227,0)</f>
        <v/>
      </c>
      <c r="AX12" s="41">
        <f>IF(OR(AW12&gt;0,AND(AX$3&gt;=Assumptions!$E$227,AX$3&gt;=Assumptions!$B$14,Revenue_Build!AX10&gt;=Assumptions!$F$227*Assumptions!$B$51)),Assumptions!$D$227,0)</f>
        <v/>
      </c>
      <c r="AY12" s="41">
        <f>IF(OR(AX12&gt;0,AND(AY$3&gt;=Assumptions!$E$227,AY$3&gt;=Assumptions!$B$14,Revenue_Build!AY10&gt;=Assumptions!$F$227*Assumptions!$B$51)),Assumptions!$D$227,0)</f>
        <v/>
      </c>
      <c r="AZ12" s="41">
        <f>IF(OR(AY12&gt;0,AND(AZ$3&gt;=Assumptions!$E$227,AZ$3&gt;=Assumptions!$B$14,Revenue_Build!AZ10&gt;=Assumptions!$F$227*Assumptions!$B$51)),Assumptions!$D$227,0)</f>
        <v/>
      </c>
      <c r="BA12" s="41">
        <f>IF(OR(AZ12&gt;0,AND(BA$3&gt;=Assumptions!$E$227,BA$3&gt;=Assumptions!$B$14,Revenue_Build!BA10&gt;=Assumptions!$F$227*Assumptions!$B$51)),Assumptions!$D$227,0)</f>
        <v/>
      </c>
      <c r="BB12" s="41">
        <f>IF(OR(BA12&gt;0,AND(BB$3&gt;=Assumptions!$E$227,BB$3&gt;=Assumptions!$B$14,Revenue_Build!BB10&gt;=Assumptions!$F$227*Assumptions!$B$51)),Assumptions!$D$227,0)</f>
        <v/>
      </c>
      <c r="BC12" s="41">
        <f>IF(OR(BB12&gt;0,AND(BC$3&gt;=Assumptions!$E$227,BC$3&gt;=Assumptions!$B$14,Revenue_Build!BC10&gt;=Assumptions!$F$227*Assumptions!$B$51)),Assumptions!$D$227,0)</f>
        <v/>
      </c>
      <c r="BD12" s="41">
        <f>IF(OR(BC12&gt;0,AND(BD$3&gt;=Assumptions!$E$227,BD$3&gt;=Assumptions!$B$14,Revenue_Build!BD10&gt;=Assumptions!$F$227*Assumptions!$B$51)),Assumptions!$D$227,0)</f>
        <v/>
      </c>
      <c r="BE12" s="41">
        <f>IF(OR(BD12&gt;0,AND(BE$3&gt;=Assumptions!$E$227,BE$3&gt;=Assumptions!$B$14,Revenue_Build!BE10&gt;=Assumptions!$F$227*Assumptions!$B$51)),Assumptions!$D$227,0)</f>
        <v/>
      </c>
      <c r="BF12" s="41">
        <f>IF(OR(BE12&gt;0,AND(BF$3&gt;=Assumptions!$E$227,BF$3&gt;=Assumptions!$B$14,Revenue_Build!BF10&gt;=Assumptions!$F$227*Assumptions!$B$51)),Assumptions!$D$227,0)</f>
        <v/>
      </c>
      <c r="BG12" s="41">
        <f>IF(OR(BF12&gt;0,AND(BG$3&gt;=Assumptions!$E$227,BG$3&gt;=Assumptions!$B$14,Revenue_Build!BG10&gt;=Assumptions!$F$227*Assumptions!$B$51)),Assumptions!$D$227,0)</f>
        <v/>
      </c>
      <c r="BH12" s="41">
        <f>IF(OR(BG12&gt;0,AND(BH$3&gt;=Assumptions!$E$227,BH$3&gt;=Assumptions!$B$14,Revenue_Build!BH10&gt;=Assumptions!$F$227*Assumptions!$B$51)),Assumptions!$D$227,0)</f>
        <v/>
      </c>
      <c r="BI12" s="41">
        <f>IF(OR(BH12&gt;0,AND(BI$3&gt;=Assumptions!$E$227,BI$3&gt;=Assumptions!$B$14,Revenue_Build!BI10&gt;=Assumptions!$F$227*Assumptions!$B$51)),Assumptions!$D$227,0)</f>
        <v/>
      </c>
      <c r="BJ12" s="41">
        <f>IF(OR(BI12&gt;0,AND(BJ$3&gt;=Assumptions!$E$227,BJ$3&gt;=Assumptions!$B$14,Revenue_Build!BJ10&gt;=Assumptions!$F$227*Assumptions!$B$51)),Assumptions!$D$227,0)</f>
        <v/>
      </c>
    </row>
    <row r="13">
      <c r="A13" s="4" t="inlineStr">
        <is>
          <t>Full-stack engineers</t>
        </is>
      </c>
      <c r="B13" s="17" t="inlineStr">
        <is>
          <t>FTE</t>
        </is>
      </c>
      <c r="C13" s="41">
        <f>IF(AND(C$3&gt;=Assumptions!$E$228,C$3&gt;=Assumptions!$B$14,Revenue_Build!C10&gt;=Assumptions!$F$228*Assumptions!$B$51),Assumptions!$D$228,0)</f>
        <v/>
      </c>
      <c r="D13" s="41">
        <f>IF(OR(C13&gt;0,AND(D$3&gt;=Assumptions!$E$228,D$3&gt;=Assumptions!$B$14,Revenue_Build!D10&gt;=Assumptions!$F$228*Assumptions!$B$51)),Assumptions!$D$228,0)</f>
        <v/>
      </c>
      <c r="E13" s="41">
        <f>IF(OR(D13&gt;0,AND(E$3&gt;=Assumptions!$E$228,E$3&gt;=Assumptions!$B$14,Revenue_Build!E10&gt;=Assumptions!$F$228*Assumptions!$B$51)),Assumptions!$D$228,0)</f>
        <v/>
      </c>
      <c r="F13" s="41">
        <f>IF(OR(E13&gt;0,AND(F$3&gt;=Assumptions!$E$228,F$3&gt;=Assumptions!$B$14,Revenue_Build!F10&gt;=Assumptions!$F$228*Assumptions!$B$51)),Assumptions!$D$228,0)</f>
        <v/>
      </c>
      <c r="G13" s="41">
        <f>IF(OR(F13&gt;0,AND(G$3&gt;=Assumptions!$E$228,G$3&gt;=Assumptions!$B$14,Revenue_Build!G10&gt;=Assumptions!$F$228*Assumptions!$B$51)),Assumptions!$D$228,0)</f>
        <v/>
      </c>
      <c r="H13" s="41">
        <f>IF(OR(G13&gt;0,AND(H$3&gt;=Assumptions!$E$228,H$3&gt;=Assumptions!$B$14,Revenue_Build!H10&gt;=Assumptions!$F$228*Assumptions!$B$51)),Assumptions!$D$228,0)</f>
        <v/>
      </c>
      <c r="I13" s="41">
        <f>IF(OR(H13&gt;0,AND(I$3&gt;=Assumptions!$E$228,I$3&gt;=Assumptions!$B$14,Revenue_Build!I10&gt;=Assumptions!$F$228*Assumptions!$B$51)),Assumptions!$D$228,0)</f>
        <v/>
      </c>
      <c r="J13" s="41">
        <f>IF(OR(I13&gt;0,AND(J$3&gt;=Assumptions!$E$228,J$3&gt;=Assumptions!$B$14,Revenue_Build!J10&gt;=Assumptions!$F$228*Assumptions!$B$51)),Assumptions!$D$228,0)</f>
        <v/>
      </c>
      <c r="K13" s="41">
        <f>IF(OR(J13&gt;0,AND(K$3&gt;=Assumptions!$E$228,K$3&gt;=Assumptions!$B$14,Revenue_Build!K10&gt;=Assumptions!$F$228*Assumptions!$B$51)),Assumptions!$D$228,0)</f>
        <v/>
      </c>
      <c r="L13" s="41">
        <f>IF(OR(K13&gt;0,AND(L$3&gt;=Assumptions!$E$228,L$3&gt;=Assumptions!$B$14,Revenue_Build!L10&gt;=Assumptions!$F$228*Assumptions!$B$51)),Assumptions!$D$228,0)</f>
        <v/>
      </c>
      <c r="M13" s="41">
        <f>IF(OR(L13&gt;0,AND(M$3&gt;=Assumptions!$E$228,M$3&gt;=Assumptions!$B$14,Revenue_Build!M10&gt;=Assumptions!$F$228*Assumptions!$B$51)),Assumptions!$D$228,0)</f>
        <v/>
      </c>
      <c r="N13" s="41">
        <f>IF(OR(M13&gt;0,AND(N$3&gt;=Assumptions!$E$228,N$3&gt;=Assumptions!$B$14,Revenue_Build!N10&gt;=Assumptions!$F$228*Assumptions!$B$51)),Assumptions!$D$228,0)</f>
        <v/>
      </c>
      <c r="O13" s="41">
        <f>IF(OR(N13&gt;0,AND(O$3&gt;=Assumptions!$E$228,O$3&gt;=Assumptions!$B$14,Revenue_Build!O10&gt;=Assumptions!$F$228*Assumptions!$B$51)),Assumptions!$D$228,0)</f>
        <v/>
      </c>
      <c r="P13" s="41">
        <f>IF(OR(O13&gt;0,AND(P$3&gt;=Assumptions!$E$228,P$3&gt;=Assumptions!$B$14,Revenue_Build!P10&gt;=Assumptions!$F$228*Assumptions!$B$51)),Assumptions!$D$228,0)</f>
        <v/>
      </c>
      <c r="Q13" s="41">
        <f>IF(OR(P13&gt;0,AND(Q$3&gt;=Assumptions!$E$228,Q$3&gt;=Assumptions!$B$14,Revenue_Build!Q10&gt;=Assumptions!$F$228*Assumptions!$B$51)),Assumptions!$D$228,0)</f>
        <v/>
      </c>
      <c r="R13" s="41">
        <f>IF(OR(Q13&gt;0,AND(R$3&gt;=Assumptions!$E$228,R$3&gt;=Assumptions!$B$14,Revenue_Build!R10&gt;=Assumptions!$F$228*Assumptions!$B$51)),Assumptions!$D$228,0)</f>
        <v/>
      </c>
      <c r="S13" s="41">
        <f>IF(OR(R13&gt;0,AND(S$3&gt;=Assumptions!$E$228,S$3&gt;=Assumptions!$B$14,Revenue_Build!S10&gt;=Assumptions!$F$228*Assumptions!$B$51)),Assumptions!$D$228,0)</f>
        <v/>
      </c>
      <c r="T13" s="41">
        <f>IF(OR(S13&gt;0,AND(T$3&gt;=Assumptions!$E$228,T$3&gt;=Assumptions!$B$14,Revenue_Build!T10&gt;=Assumptions!$F$228*Assumptions!$B$51)),Assumptions!$D$228,0)</f>
        <v/>
      </c>
      <c r="U13" s="41">
        <f>IF(OR(T13&gt;0,AND(U$3&gt;=Assumptions!$E$228,U$3&gt;=Assumptions!$B$14,Revenue_Build!U10&gt;=Assumptions!$F$228*Assumptions!$B$51)),Assumptions!$D$228,0)</f>
        <v/>
      </c>
      <c r="V13" s="41">
        <f>IF(OR(U13&gt;0,AND(V$3&gt;=Assumptions!$E$228,V$3&gt;=Assumptions!$B$14,Revenue_Build!V10&gt;=Assumptions!$F$228*Assumptions!$B$51)),Assumptions!$D$228,0)</f>
        <v/>
      </c>
      <c r="W13" s="41">
        <f>IF(OR(V13&gt;0,AND(W$3&gt;=Assumptions!$E$228,W$3&gt;=Assumptions!$B$14,Revenue_Build!W10&gt;=Assumptions!$F$228*Assumptions!$B$51)),Assumptions!$D$228,0)</f>
        <v/>
      </c>
      <c r="X13" s="41">
        <f>IF(OR(W13&gt;0,AND(X$3&gt;=Assumptions!$E$228,X$3&gt;=Assumptions!$B$14,Revenue_Build!X10&gt;=Assumptions!$F$228*Assumptions!$B$51)),Assumptions!$D$228,0)</f>
        <v/>
      </c>
      <c r="Y13" s="41">
        <f>IF(OR(X13&gt;0,AND(Y$3&gt;=Assumptions!$E$228,Y$3&gt;=Assumptions!$B$14,Revenue_Build!Y10&gt;=Assumptions!$F$228*Assumptions!$B$51)),Assumptions!$D$228,0)</f>
        <v/>
      </c>
      <c r="Z13" s="41">
        <f>IF(OR(Y13&gt;0,AND(Z$3&gt;=Assumptions!$E$228,Z$3&gt;=Assumptions!$B$14,Revenue_Build!Z10&gt;=Assumptions!$F$228*Assumptions!$B$51)),Assumptions!$D$228,0)</f>
        <v/>
      </c>
      <c r="AA13" s="41">
        <f>IF(OR(Z13&gt;0,AND(AA$3&gt;=Assumptions!$E$228,AA$3&gt;=Assumptions!$B$14,Revenue_Build!AA10&gt;=Assumptions!$F$228*Assumptions!$B$51)),Assumptions!$D$228,0)</f>
        <v/>
      </c>
      <c r="AB13" s="41">
        <f>IF(OR(AA13&gt;0,AND(AB$3&gt;=Assumptions!$E$228,AB$3&gt;=Assumptions!$B$14,Revenue_Build!AB10&gt;=Assumptions!$F$228*Assumptions!$B$51)),Assumptions!$D$228,0)</f>
        <v/>
      </c>
      <c r="AC13" s="41">
        <f>IF(OR(AB13&gt;0,AND(AC$3&gt;=Assumptions!$E$228,AC$3&gt;=Assumptions!$B$14,Revenue_Build!AC10&gt;=Assumptions!$F$228*Assumptions!$B$51)),Assumptions!$D$228,0)</f>
        <v/>
      </c>
      <c r="AD13" s="41">
        <f>IF(OR(AC13&gt;0,AND(AD$3&gt;=Assumptions!$E$228,AD$3&gt;=Assumptions!$B$14,Revenue_Build!AD10&gt;=Assumptions!$F$228*Assumptions!$B$51)),Assumptions!$D$228,0)</f>
        <v/>
      </c>
      <c r="AE13" s="41">
        <f>IF(OR(AD13&gt;0,AND(AE$3&gt;=Assumptions!$E$228,AE$3&gt;=Assumptions!$B$14,Revenue_Build!AE10&gt;=Assumptions!$F$228*Assumptions!$B$51)),Assumptions!$D$228,0)</f>
        <v/>
      </c>
      <c r="AF13" s="41">
        <f>IF(OR(AE13&gt;0,AND(AF$3&gt;=Assumptions!$E$228,AF$3&gt;=Assumptions!$B$14,Revenue_Build!AF10&gt;=Assumptions!$F$228*Assumptions!$B$51)),Assumptions!$D$228,0)</f>
        <v/>
      </c>
      <c r="AG13" s="41">
        <f>IF(OR(AF13&gt;0,AND(AG$3&gt;=Assumptions!$E$228,AG$3&gt;=Assumptions!$B$14,Revenue_Build!AG10&gt;=Assumptions!$F$228*Assumptions!$B$51)),Assumptions!$D$228,0)</f>
        <v/>
      </c>
      <c r="AH13" s="41">
        <f>IF(OR(AG13&gt;0,AND(AH$3&gt;=Assumptions!$E$228,AH$3&gt;=Assumptions!$B$14,Revenue_Build!AH10&gt;=Assumptions!$F$228*Assumptions!$B$51)),Assumptions!$D$228,0)</f>
        <v/>
      </c>
      <c r="AI13" s="41">
        <f>IF(OR(AH13&gt;0,AND(AI$3&gt;=Assumptions!$E$228,AI$3&gt;=Assumptions!$B$14,Revenue_Build!AI10&gt;=Assumptions!$F$228*Assumptions!$B$51)),Assumptions!$D$228,0)</f>
        <v/>
      </c>
      <c r="AJ13" s="41">
        <f>IF(OR(AI13&gt;0,AND(AJ$3&gt;=Assumptions!$E$228,AJ$3&gt;=Assumptions!$B$14,Revenue_Build!AJ10&gt;=Assumptions!$F$228*Assumptions!$B$51)),Assumptions!$D$228,0)</f>
        <v/>
      </c>
      <c r="AK13" s="41">
        <f>IF(OR(AJ13&gt;0,AND(AK$3&gt;=Assumptions!$E$228,AK$3&gt;=Assumptions!$B$14,Revenue_Build!AK10&gt;=Assumptions!$F$228*Assumptions!$B$51)),Assumptions!$D$228,0)</f>
        <v/>
      </c>
      <c r="AL13" s="41">
        <f>IF(OR(AK13&gt;0,AND(AL$3&gt;=Assumptions!$E$228,AL$3&gt;=Assumptions!$B$14,Revenue_Build!AL10&gt;=Assumptions!$F$228*Assumptions!$B$51)),Assumptions!$D$228,0)</f>
        <v/>
      </c>
      <c r="AM13" s="41">
        <f>IF(OR(AL13&gt;0,AND(AM$3&gt;=Assumptions!$E$228,AM$3&gt;=Assumptions!$B$14,Revenue_Build!AM10&gt;=Assumptions!$F$228*Assumptions!$B$51)),Assumptions!$D$228,0)</f>
        <v/>
      </c>
      <c r="AN13" s="41">
        <f>IF(OR(AM13&gt;0,AND(AN$3&gt;=Assumptions!$E$228,AN$3&gt;=Assumptions!$B$14,Revenue_Build!AN10&gt;=Assumptions!$F$228*Assumptions!$B$51)),Assumptions!$D$228,0)</f>
        <v/>
      </c>
      <c r="AO13" s="41">
        <f>IF(OR(AN13&gt;0,AND(AO$3&gt;=Assumptions!$E$228,AO$3&gt;=Assumptions!$B$14,Revenue_Build!AO10&gt;=Assumptions!$F$228*Assumptions!$B$51)),Assumptions!$D$228,0)</f>
        <v/>
      </c>
      <c r="AP13" s="41">
        <f>IF(OR(AO13&gt;0,AND(AP$3&gt;=Assumptions!$E$228,AP$3&gt;=Assumptions!$B$14,Revenue_Build!AP10&gt;=Assumptions!$F$228*Assumptions!$B$51)),Assumptions!$D$228,0)</f>
        <v/>
      </c>
      <c r="AQ13" s="41">
        <f>IF(OR(AP13&gt;0,AND(AQ$3&gt;=Assumptions!$E$228,AQ$3&gt;=Assumptions!$B$14,Revenue_Build!AQ10&gt;=Assumptions!$F$228*Assumptions!$B$51)),Assumptions!$D$228,0)</f>
        <v/>
      </c>
      <c r="AR13" s="41">
        <f>IF(OR(AQ13&gt;0,AND(AR$3&gt;=Assumptions!$E$228,AR$3&gt;=Assumptions!$B$14,Revenue_Build!AR10&gt;=Assumptions!$F$228*Assumptions!$B$51)),Assumptions!$D$228,0)</f>
        <v/>
      </c>
      <c r="AS13" s="41">
        <f>IF(OR(AR13&gt;0,AND(AS$3&gt;=Assumptions!$E$228,AS$3&gt;=Assumptions!$B$14,Revenue_Build!AS10&gt;=Assumptions!$F$228*Assumptions!$B$51)),Assumptions!$D$228,0)</f>
        <v/>
      </c>
      <c r="AT13" s="41">
        <f>IF(OR(AS13&gt;0,AND(AT$3&gt;=Assumptions!$E$228,AT$3&gt;=Assumptions!$B$14,Revenue_Build!AT10&gt;=Assumptions!$F$228*Assumptions!$B$51)),Assumptions!$D$228,0)</f>
        <v/>
      </c>
      <c r="AU13" s="41">
        <f>IF(OR(AT13&gt;0,AND(AU$3&gt;=Assumptions!$E$228,AU$3&gt;=Assumptions!$B$14,Revenue_Build!AU10&gt;=Assumptions!$F$228*Assumptions!$B$51)),Assumptions!$D$228,0)</f>
        <v/>
      </c>
      <c r="AV13" s="41">
        <f>IF(OR(AU13&gt;0,AND(AV$3&gt;=Assumptions!$E$228,AV$3&gt;=Assumptions!$B$14,Revenue_Build!AV10&gt;=Assumptions!$F$228*Assumptions!$B$51)),Assumptions!$D$228,0)</f>
        <v/>
      </c>
      <c r="AW13" s="41">
        <f>IF(OR(AV13&gt;0,AND(AW$3&gt;=Assumptions!$E$228,AW$3&gt;=Assumptions!$B$14,Revenue_Build!AW10&gt;=Assumptions!$F$228*Assumptions!$B$51)),Assumptions!$D$228,0)</f>
        <v/>
      </c>
      <c r="AX13" s="41">
        <f>IF(OR(AW13&gt;0,AND(AX$3&gt;=Assumptions!$E$228,AX$3&gt;=Assumptions!$B$14,Revenue_Build!AX10&gt;=Assumptions!$F$228*Assumptions!$B$51)),Assumptions!$D$228,0)</f>
        <v/>
      </c>
      <c r="AY13" s="41">
        <f>IF(OR(AX13&gt;0,AND(AY$3&gt;=Assumptions!$E$228,AY$3&gt;=Assumptions!$B$14,Revenue_Build!AY10&gt;=Assumptions!$F$228*Assumptions!$B$51)),Assumptions!$D$228,0)</f>
        <v/>
      </c>
      <c r="AZ13" s="41">
        <f>IF(OR(AY13&gt;0,AND(AZ$3&gt;=Assumptions!$E$228,AZ$3&gt;=Assumptions!$B$14,Revenue_Build!AZ10&gt;=Assumptions!$F$228*Assumptions!$B$51)),Assumptions!$D$228,0)</f>
        <v/>
      </c>
      <c r="BA13" s="41">
        <f>IF(OR(AZ13&gt;0,AND(BA$3&gt;=Assumptions!$E$228,BA$3&gt;=Assumptions!$B$14,Revenue_Build!BA10&gt;=Assumptions!$F$228*Assumptions!$B$51)),Assumptions!$D$228,0)</f>
        <v/>
      </c>
      <c r="BB13" s="41">
        <f>IF(OR(BA13&gt;0,AND(BB$3&gt;=Assumptions!$E$228,BB$3&gt;=Assumptions!$B$14,Revenue_Build!BB10&gt;=Assumptions!$F$228*Assumptions!$B$51)),Assumptions!$D$228,0)</f>
        <v/>
      </c>
      <c r="BC13" s="41">
        <f>IF(OR(BB13&gt;0,AND(BC$3&gt;=Assumptions!$E$228,BC$3&gt;=Assumptions!$B$14,Revenue_Build!BC10&gt;=Assumptions!$F$228*Assumptions!$B$51)),Assumptions!$D$228,0)</f>
        <v/>
      </c>
      <c r="BD13" s="41">
        <f>IF(OR(BC13&gt;0,AND(BD$3&gt;=Assumptions!$E$228,BD$3&gt;=Assumptions!$B$14,Revenue_Build!BD10&gt;=Assumptions!$F$228*Assumptions!$B$51)),Assumptions!$D$228,0)</f>
        <v/>
      </c>
      <c r="BE13" s="41">
        <f>IF(OR(BD13&gt;0,AND(BE$3&gt;=Assumptions!$E$228,BE$3&gt;=Assumptions!$B$14,Revenue_Build!BE10&gt;=Assumptions!$F$228*Assumptions!$B$51)),Assumptions!$D$228,0)</f>
        <v/>
      </c>
      <c r="BF13" s="41">
        <f>IF(OR(BE13&gt;0,AND(BF$3&gt;=Assumptions!$E$228,BF$3&gt;=Assumptions!$B$14,Revenue_Build!BF10&gt;=Assumptions!$F$228*Assumptions!$B$51)),Assumptions!$D$228,0)</f>
        <v/>
      </c>
      <c r="BG13" s="41">
        <f>IF(OR(BF13&gt;0,AND(BG$3&gt;=Assumptions!$E$228,BG$3&gt;=Assumptions!$B$14,Revenue_Build!BG10&gt;=Assumptions!$F$228*Assumptions!$B$51)),Assumptions!$D$228,0)</f>
        <v/>
      </c>
      <c r="BH13" s="41">
        <f>IF(OR(BG13&gt;0,AND(BH$3&gt;=Assumptions!$E$228,BH$3&gt;=Assumptions!$B$14,Revenue_Build!BH10&gt;=Assumptions!$F$228*Assumptions!$B$51)),Assumptions!$D$228,0)</f>
        <v/>
      </c>
      <c r="BI13" s="41">
        <f>IF(OR(BH13&gt;0,AND(BI$3&gt;=Assumptions!$E$228,BI$3&gt;=Assumptions!$B$14,Revenue_Build!BI10&gt;=Assumptions!$F$228*Assumptions!$B$51)),Assumptions!$D$228,0)</f>
        <v/>
      </c>
      <c r="BJ13" s="41">
        <f>IF(OR(BI13&gt;0,AND(BJ$3&gt;=Assumptions!$E$228,BJ$3&gt;=Assumptions!$B$14,Revenue_Build!BJ10&gt;=Assumptions!$F$228*Assumptions!$B$51)),Assumptions!$D$228,0)</f>
        <v/>
      </c>
    </row>
    <row r="14">
      <c r="A14" s="4" t="inlineStr">
        <is>
          <t>DevOps / QA engineer</t>
        </is>
      </c>
      <c r="B14" s="17" t="inlineStr">
        <is>
          <t>FTE</t>
        </is>
      </c>
      <c r="C14" s="41">
        <f>IF(AND(C$3&gt;=Assumptions!$E$229,C$3&gt;=Assumptions!$B$14,Revenue_Build!C10&gt;=Assumptions!$F$229*Assumptions!$B$51),Assumptions!$D$229,0)</f>
        <v/>
      </c>
      <c r="D14" s="41">
        <f>IF(OR(C14&gt;0,AND(D$3&gt;=Assumptions!$E$229,D$3&gt;=Assumptions!$B$14,Revenue_Build!D10&gt;=Assumptions!$F$229*Assumptions!$B$51)),Assumptions!$D$229,0)</f>
        <v/>
      </c>
      <c r="E14" s="41">
        <f>IF(OR(D14&gt;0,AND(E$3&gt;=Assumptions!$E$229,E$3&gt;=Assumptions!$B$14,Revenue_Build!E10&gt;=Assumptions!$F$229*Assumptions!$B$51)),Assumptions!$D$229,0)</f>
        <v/>
      </c>
      <c r="F14" s="41">
        <f>IF(OR(E14&gt;0,AND(F$3&gt;=Assumptions!$E$229,F$3&gt;=Assumptions!$B$14,Revenue_Build!F10&gt;=Assumptions!$F$229*Assumptions!$B$51)),Assumptions!$D$229,0)</f>
        <v/>
      </c>
      <c r="G14" s="41">
        <f>IF(OR(F14&gt;0,AND(G$3&gt;=Assumptions!$E$229,G$3&gt;=Assumptions!$B$14,Revenue_Build!G10&gt;=Assumptions!$F$229*Assumptions!$B$51)),Assumptions!$D$229,0)</f>
        <v/>
      </c>
      <c r="H14" s="41">
        <f>IF(OR(G14&gt;0,AND(H$3&gt;=Assumptions!$E$229,H$3&gt;=Assumptions!$B$14,Revenue_Build!H10&gt;=Assumptions!$F$229*Assumptions!$B$51)),Assumptions!$D$229,0)</f>
        <v/>
      </c>
      <c r="I14" s="41">
        <f>IF(OR(H14&gt;0,AND(I$3&gt;=Assumptions!$E$229,I$3&gt;=Assumptions!$B$14,Revenue_Build!I10&gt;=Assumptions!$F$229*Assumptions!$B$51)),Assumptions!$D$229,0)</f>
        <v/>
      </c>
      <c r="J14" s="41">
        <f>IF(OR(I14&gt;0,AND(J$3&gt;=Assumptions!$E$229,J$3&gt;=Assumptions!$B$14,Revenue_Build!J10&gt;=Assumptions!$F$229*Assumptions!$B$51)),Assumptions!$D$229,0)</f>
        <v/>
      </c>
      <c r="K14" s="41">
        <f>IF(OR(J14&gt;0,AND(K$3&gt;=Assumptions!$E$229,K$3&gt;=Assumptions!$B$14,Revenue_Build!K10&gt;=Assumptions!$F$229*Assumptions!$B$51)),Assumptions!$D$229,0)</f>
        <v/>
      </c>
      <c r="L14" s="41">
        <f>IF(OR(K14&gt;0,AND(L$3&gt;=Assumptions!$E$229,L$3&gt;=Assumptions!$B$14,Revenue_Build!L10&gt;=Assumptions!$F$229*Assumptions!$B$51)),Assumptions!$D$229,0)</f>
        <v/>
      </c>
      <c r="M14" s="41">
        <f>IF(OR(L14&gt;0,AND(M$3&gt;=Assumptions!$E$229,M$3&gt;=Assumptions!$B$14,Revenue_Build!M10&gt;=Assumptions!$F$229*Assumptions!$B$51)),Assumptions!$D$229,0)</f>
        <v/>
      </c>
      <c r="N14" s="41">
        <f>IF(OR(M14&gt;0,AND(N$3&gt;=Assumptions!$E$229,N$3&gt;=Assumptions!$B$14,Revenue_Build!N10&gt;=Assumptions!$F$229*Assumptions!$B$51)),Assumptions!$D$229,0)</f>
        <v/>
      </c>
      <c r="O14" s="41">
        <f>IF(OR(N14&gt;0,AND(O$3&gt;=Assumptions!$E$229,O$3&gt;=Assumptions!$B$14,Revenue_Build!O10&gt;=Assumptions!$F$229*Assumptions!$B$51)),Assumptions!$D$229,0)</f>
        <v/>
      </c>
      <c r="P14" s="41">
        <f>IF(OR(O14&gt;0,AND(P$3&gt;=Assumptions!$E$229,P$3&gt;=Assumptions!$B$14,Revenue_Build!P10&gt;=Assumptions!$F$229*Assumptions!$B$51)),Assumptions!$D$229,0)</f>
        <v/>
      </c>
      <c r="Q14" s="41">
        <f>IF(OR(P14&gt;0,AND(Q$3&gt;=Assumptions!$E$229,Q$3&gt;=Assumptions!$B$14,Revenue_Build!Q10&gt;=Assumptions!$F$229*Assumptions!$B$51)),Assumptions!$D$229,0)</f>
        <v/>
      </c>
      <c r="R14" s="41">
        <f>IF(OR(Q14&gt;0,AND(R$3&gt;=Assumptions!$E$229,R$3&gt;=Assumptions!$B$14,Revenue_Build!R10&gt;=Assumptions!$F$229*Assumptions!$B$51)),Assumptions!$D$229,0)</f>
        <v/>
      </c>
      <c r="S14" s="41">
        <f>IF(OR(R14&gt;0,AND(S$3&gt;=Assumptions!$E$229,S$3&gt;=Assumptions!$B$14,Revenue_Build!S10&gt;=Assumptions!$F$229*Assumptions!$B$51)),Assumptions!$D$229,0)</f>
        <v/>
      </c>
      <c r="T14" s="41">
        <f>IF(OR(S14&gt;0,AND(T$3&gt;=Assumptions!$E$229,T$3&gt;=Assumptions!$B$14,Revenue_Build!T10&gt;=Assumptions!$F$229*Assumptions!$B$51)),Assumptions!$D$229,0)</f>
        <v/>
      </c>
      <c r="U14" s="41">
        <f>IF(OR(T14&gt;0,AND(U$3&gt;=Assumptions!$E$229,U$3&gt;=Assumptions!$B$14,Revenue_Build!U10&gt;=Assumptions!$F$229*Assumptions!$B$51)),Assumptions!$D$229,0)</f>
        <v/>
      </c>
      <c r="V14" s="41">
        <f>IF(OR(U14&gt;0,AND(V$3&gt;=Assumptions!$E$229,V$3&gt;=Assumptions!$B$14,Revenue_Build!V10&gt;=Assumptions!$F$229*Assumptions!$B$51)),Assumptions!$D$229,0)</f>
        <v/>
      </c>
      <c r="W14" s="41">
        <f>IF(OR(V14&gt;0,AND(W$3&gt;=Assumptions!$E$229,W$3&gt;=Assumptions!$B$14,Revenue_Build!W10&gt;=Assumptions!$F$229*Assumptions!$B$51)),Assumptions!$D$229,0)</f>
        <v/>
      </c>
      <c r="X14" s="41">
        <f>IF(OR(W14&gt;0,AND(X$3&gt;=Assumptions!$E$229,X$3&gt;=Assumptions!$B$14,Revenue_Build!X10&gt;=Assumptions!$F$229*Assumptions!$B$51)),Assumptions!$D$229,0)</f>
        <v/>
      </c>
      <c r="Y14" s="41">
        <f>IF(OR(X14&gt;0,AND(Y$3&gt;=Assumptions!$E$229,Y$3&gt;=Assumptions!$B$14,Revenue_Build!Y10&gt;=Assumptions!$F$229*Assumptions!$B$51)),Assumptions!$D$229,0)</f>
        <v/>
      </c>
      <c r="Z14" s="41">
        <f>IF(OR(Y14&gt;0,AND(Z$3&gt;=Assumptions!$E$229,Z$3&gt;=Assumptions!$B$14,Revenue_Build!Z10&gt;=Assumptions!$F$229*Assumptions!$B$51)),Assumptions!$D$229,0)</f>
        <v/>
      </c>
      <c r="AA14" s="41">
        <f>IF(OR(Z14&gt;0,AND(AA$3&gt;=Assumptions!$E$229,AA$3&gt;=Assumptions!$B$14,Revenue_Build!AA10&gt;=Assumptions!$F$229*Assumptions!$B$51)),Assumptions!$D$229,0)</f>
        <v/>
      </c>
      <c r="AB14" s="41">
        <f>IF(OR(AA14&gt;0,AND(AB$3&gt;=Assumptions!$E$229,AB$3&gt;=Assumptions!$B$14,Revenue_Build!AB10&gt;=Assumptions!$F$229*Assumptions!$B$51)),Assumptions!$D$229,0)</f>
        <v/>
      </c>
      <c r="AC14" s="41">
        <f>IF(OR(AB14&gt;0,AND(AC$3&gt;=Assumptions!$E$229,AC$3&gt;=Assumptions!$B$14,Revenue_Build!AC10&gt;=Assumptions!$F$229*Assumptions!$B$51)),Assumptions!$D$229,0)</f>
        <v/>
      </c>
      <c r="AD14" s="41">
        <f>IF(OR(AC14&gt;0,AND(AD$3&gt;=Assumptions!$E$229,AD$3&gt;=Assumptions!$B$14,Revenue_Build!AD10&gt;=Assumptions!$F$229*Assumptions!$B$51)),Assumptions!$D$229,0)</f>
        <v/>
      </c>
      <c r="AE14" s="41">
        <f>IF(OR(AD14&gt;0,AND(AE$3&gt;=Assumptions!$E$229,AE$3&gt;=Assumptions!$B$14,Revenue_Build!AE10&gt;=Assumptions!$F$229*Assumptions!$B$51)),Assumptions!$D$229,0)</f>
        <v/>
      </c>
      <c r="AF14" s="41">
        <f>IF(OR(AE14&gt;0,AND(AF$3&gt;=Assumptions!$E$229,AF$3&gt;=Assumptions!$B$14,Revenue_Build!AF10&gt;=Assumptions!$F$229*Assumptions!$B$51)),Assumptions!$D$229,0)</f>
        <v/>
      </c>
      <c r="AG14" s="41">
        <f>IF(OR(AF14&gt;0,AND(AG$3&gt;=Assumptions!$E$229,AG$3&gt;=Assumptions!$B$14,Revenue_Build!AG10&gt;=Assumptions!$F$229*Assumptions!$B$51)),Assumptions!$D$229,0)</f>
        <v/>
      </c>
      <c r="AH14" s="41">
        <f>IF(OR(AG14&gt;0,AND(AH$3&gt;=Assumptions!$E$229,AH$3&gt;=Assumptions!$B$14,Revenue_Build!AH10&gt;=Assumptions!$F$229*Assumptions!$B$51)),Assumptions!$D$229,0)</f>
        <v/>
      </c>
      <c r="AI14" s="41">
        <f>IF(OR(AH14&gt;0,AND(AI$3&gt;=Assumptions!$E$229,AI$3&gt;=Assumptions!$B$14,Revenue_Build!AI10&gt;=Assumptions!$F$229*Assumptions!$B$51)),Assumptions!$D$229,0)</f>
        <v/>
      </c>
      <c r="AJ14" s="41">
        <f>IF(OR(AI14&gt;0,AND(AJ$3&gt;=Assumptions!$E$229,AJ$3&gt;=Assumptions!$B$14,Revenue_Build!AJ10&gt;=Assumptions!$F$229*Assumptions!$B$51)),Assumptions!$D$229,0)</f>
        <v/>
      </c>
      <c r="AK14" s="41">
        <f>IF(OR(AJ14&gt;0,AND(AK$3&gt;=Assumptions!$E$229,AK$3&gt;=Assumptions!$B$14,Revenue_Build!AK10&gt;=Assumptions!$F$229*Assumptions!$B$51)),Assumptions!$D$229,0)</f>
        <v/>
      </c>
      <c r="AL14" s="41">
        <f>IF(OR(AK14&gt;0,AND(AL$3&gt;=Assumptions!$E$229,AL$3&gt;=Assumptions!$B$14,Revenue_Build!AL10&gt;=Assumptions!$F$229*Assumptions!$B$51)),Assumptions!$D$229,0)</f>
        <v/>
      </c>
      <c r="AM14" s="41">
        <f>IF(OR(AL14&gt;0,AND(AM$3&gt;=Assumptions!$E$229,AM$3&gt;=Assumptions!$B$14,Revenue_Build!AM10&gt;=Assumptions!$F$229*Assumptions!$B$51)),Assumptions!$D$229,0)</f>
        <v/>
      </c>
      <c r="AN14" s="41">
        <f>IF(OR(AM14&gt;0,AND(AN$3&gt;=Assumptions!$E$229,AN$3&gt;=Assumptions!$B$14,Revenue_Build!AN10&gt;=Assumptions!$F$229*Assumptions!$B$51)),Assumptions!$D$229,0)</f>
        <v/>
      </c>
      <c r="AO14" s="41">
        <f>IF(OR(AN14&gt;0,AND(AO$3&gt;=Assumptions!$E$229,AO$3&gt;=Assumptions!$B$14,Revenue_Build!AO10&gt;=Assumptions!$F$229*Assumptions!$B$51)),Assumptions!$D$229,0)</f>
        <v/>
      </c>
      <c r="AP14" s="41">
        <f>IF(OR(AO14&gt;0,AND(AP$3&gt;=Assumptions!$E$229,AP$3&gt;=Assumptions!$B$14,Revenue_Build!AP10&gt;=Assumptions!$F$229*Assumptions!$B$51)),Assumptions!$D$229,0)</f>
        <v/>
      </c>
      <c r="AQ14" s="41">
        <f>IF(OR(AP14&gt;0,AND(AQ$3&gt;=Assumptions!$E$229,AQ$3&gt;=Assumptions!$B$14,Revenue_Build!AQ10&gt;=Assumptions!$F$229*Assumptions!$B$51)),Assumptions!$D$229,0)</f>
        <v/>
      </c>
      <c r="AR14" s="41">
        <f>IF(OR(AQ14&gt;0,AND(AR$3&gt;=Assumptions!$E$229,AR$3&gt;=Assumptions!$B$14,Revenue_Build!AR10&gt;=Assumptions!$F$229*Assumptions!$B$51)),Assumptions!$D$229,0)</f>
        <v/>
      </c>
      <c r="AS14" s="41">
        <f>IF(OR(AR14&gt;0,AND(AS$3&gt;=Assumptions!$E$229,AS$3&gt;=Assumptions!$B$14,Revenue_Build!AS10&gt;=Assumptions!$F$229*Assumptions!$B$51)),Assumptions!$D$229,0)</f>
        <v/>
      </c>
      <c r="AT14" s="41">
        <f>IF(OR(AS14&gt;0,AND(AT$3&gt;=Assumptions!$E$229,AT$3&gt;=Assumptions!$B$14,Revenue_Build!AT10&gt;=Assumptions!$F$229*Assumptions!$B$51)),Assumptions!$D$229,0)</f>
        <v/>
      </c>
      <c r="AU14" s="41">
        <f>IF(OR(AT14&gt;0,AND(AU$3&gt;=Assumptions!$E$229,AU$3&gt;=Assumptions!$B$14,Revenue_Build!AU10&gt;=Assumptions!$F$229*Assumptions!$B$51)),Assumptions!$D$229,0)</f>
        <v/>
      </c>
      <c r="AV14" s="41">
        <f>IF(OR(AU14&gt;0,AND(AV$3&gt;=Assumptions!$E$229,AV$3&gt;=Assumptions!$B$14,Revenue_Build!AV10&gt;=Assumptions!$F$229*Assumptions!$B$51)),Assumptions!$D$229,0)</f>
        <v/>
      </c>
      <c r="AW14" s="41">
        <f>IF(OR(AV14&gt;0,AND(AW$3&gt;=Assumptions!$E$229,AW$3&gt;=Assumptions!$B$14,Revenue_Build!AW10&gt;=Assumptions!$F$229*Assumptions!$B$51)),Assumptions!$D$229,0)</f>
        <v/>
      </c>
      <c r="AX14" s="41">
        <f>IF(OR(AW14&gt;0,AND(AX$3&gt;=Assumptions!$E$229,AX$3&gt;=Assumptions!$B$14,Revenue_Build!AX10&gt;=Assumptions!$F$229*Assumptions!$B$51)),Assumptions!$D$229,0)</f>
        <v/>
      </c>
      <c r="AY14" s="41">
        <f>IF(OR(AX14&gt;0,AND(AY$3&gt;=Assumptions!$E$229,AY$3&gt;=Assumptions!$B$14,Revenue_Build!AY10&gt;=Assumptions!$F$229*Assumptions!$B$51)),Assumptions!$D$229,0)</f>
        <v/>
      </c>
      <c r="AZ14" s="41">
        <f>IF(OR(AY14&gt;0,AND(AZ$3&gt;=Assumptions!$E$229,AZ$3&gt;=Assumptions!$B$14,Revenue_Build!AZ10&gt;=Assumptions!$F$229*Assumptions!$B$51)),Assumptions!$D$229,0)</f>
        <v/>
      </c>
      <c r="BA14" s="41">
        <f>IF(OR(AZ14&gt;0,AND(BA$3&gt;=Assumptions!$E$229,BA$3&gt;=Assumptions!$B$14,Revenue_Build!BA10&gt;=Assumptions!$F$229*Assumptions!$B$51)),Assumptions!$D$229,0)</f>
        <v/>
      </c>
      <c r="BB14" s="41">
        <f>IF(OR(BA14&gt;0,AND(BB$3&gt;=Assumptions!$E$229,BB$3&gt;=Assumptions!$B$14,Revenue_Build!BB10&gt;=Assumptions!$F$229*Assumptions!$B$51)),Assumptions!$D$229,0)</f>
        <v/>
      </c>
      <c r="BC14" s="41">
        <f>IF(OR(BB14&gt;0,AND(BC$3&gt;=Assumptions!$E$229,BC$3&gt;=Assumptions!$B$14,Revenue_Build!BC10&gt;=Assumptions!$F$229*Assumptions!$B$51)),Assumptions!$D$229,0)</f>
        <v/>
      </c>
      <c r="BD14" s="41">
        <f>IF(OR(BC14&gt;0,AND(BD$3&gt;=Assumptions!$E$229,BD$3&gt;=Assumptions!$B$14,Revenue_Build!BD10&gt;=Assumptions!$F$229*Assumptions!$B$51)),Assumptions!$D$229,0)</f>
        <v/>
      </c>
      <c r="BE14" s="41">
        <f>IF(OR(BD14&gt;0,AND(BE$3&gt;=Assumptions!$E$229,BE$3&gt;=Assumptions!$B$14,Revenue_Build!BE10&gt;=Assumptions!$F$229*Assumptions!$B$51)),Assumptions!$D$229,0)</f>
        <v/>
      </c>
      <c r="BF14" s="41">
        <f>IF(OR(BE14&gt;0,AND(BF$3&gt;=Assumptions!$E$229,BF$3&gt;=Assumptions!$B$14,Revenue_Build!BF10&gt;=Assumptions!$F$229*Assumptions!$B$51)),Assumptions!$D$229,0)</f>
        <v/>
      </c>
      <c r="BG14" s="41">
        <f>IF(OR(BF14&gt;0,AND(BG$3&gt;=Assumptions!$E$229,BG$3&gt;=Assumptions!$B$14,Revenue_Build!BG10&gt;=Assumptions!$F$229*Assumptions!$B$51)),Assumptions!$D$229,0)</f>
        <v/>
      </c>
      <c r="BH14" s="41">
        <f>IF(OR(BG14&gt;0,AND(BH$3&gt;=Assumptions!$E$229,BH$3&gt;=Assumptions!$B$14,Revenue_Build!BH10&gt;=Assumptions!$F$229*Assumptions!$B$51)),Assumptions!$D$229,0)</f>
        <v/>
      </c>
      <c r="BI14" s="41">
        <f>IF(OR(BH14&gt;0,AND(BI$3&gt;=Assumptions!$E$229,BI$3&gt;=Assumptions!$B$14,Revenue_Build!BI10&gt;=Assumptions!$F$229*Assumptions!$B$51)),Assumptions!$D$229,0)</f>
        <v/>
      </c>
      <c r="BJ14" s="41">
        <f>IF(OR(BI14&gt;0,AND(BJ$3&gt;=Assumptions!$E$229,BJ$3&gt;=Assumptions!$B$14,Revenue_Build!BJ10&gt;=Assumptions!$F$229*Assumptions!$B$51)),Assumptions!$D$229,0)</f>
        <v/>
      </c>
    </row>
    <row r="15">
      <c r="A15" s="4" t="inlineStr">
        <is>
          <t>Integrations engineers (social adapters, commerce, CRM)</t>
        </is>
      </c>
      <c r="B15" s="17" t="inlineStr">
        <is>
          <t>FTE</t>
        </is>
      </c>
      <c r="C15" s="41">
        <f>IF(AND(C$3&gt;=Assumptions!$E$230,C$3&gt;=Assumptions!$B$14,Revenue_Build!C10&gt;=Assumptions!$F$230*Assumptions!$B$51),Assumptions!$D$230,0)</f>
        <v/>
      </c>
      <c r="D15" s="41">
        <f>IF(OR(C15&gt;0,AND(D$3&gt;=Assumptions!$E$230,D$3&gt;=Assumptions!$B$14,Revenue_Build!D10&gt;=Assumptions!$F$230*Assumptions!$B$51)),Assumptions!$D$230,0)</f>
        <v/>
      </c>
      <c r="E15" s="41">
        <f>IF(OR(D15&gt;0,AND(E$3&gt;=Assumptions!$E$230,E$3&gt;=Assumptions!$B$14,Revenue_Build!E10&gt;=Assumptions!$F$230*Assumptions!$B$51)),Assumptions!$D$230,0)</f>
        <v/>
      </c>
      <c r="F15" s="41">
        <f>IF(OR(E15&gt;0,AND(F$3&gt;=Assumptions!$E$230,F$3&gt;=Assumptions!$B$14,Revenue_Build!F10&gt;=Assumptions!$F$230*Assumptions!$B$51)),Assumptions!$D$230,0)</f>
        <v/>
      </c>
      <c r="G15" s="41">
        <f>IF(OR(F15&gt;0,AND(G$3&gt;=Assumptions!$E$230,G$3&gt;=Assumptions!$B$14,Revenue_Build!G10&gt;=Assumptions!$F$230*Assumptions!$B$51)),Assumptions!$D$230,0)</f>
        <v/>
      </c>
      <c r="H15" s="41">
        <f>IF(OR(G15&gt;0,AND(H$3&gt;=Assumptions!$E$230,H$3&gt;=Assumptions!$B$14,Revenue_Build!H10&gt;=Assumptions!$F$230*Assumptions!$B$51)),Assumptions!$D$230,0)</f>
        <v/>
      </c>
      <c r="I15" s="41">
        <f>IF(OR(H15&gt;0,AND(I$3&gt;=Assumptions!$E$230,I$3&gt;=Assumptions!$B$14,Revenue_Build!I10&gt;=Assumptions!$F$230*Assumptions!$B$51)),Assumptions!$D$230,0)</f>
        <v/>
      </c>
      <c r="J15" s="41">
        <f>IF(OR(I15&gt;0,AND(J$3&gt;=Assumptions!$E$230,J$3&gt;=Assumptions!$B$14,Revenue_Build!J10&gt;=Assumptions!$F$230*Assumptions!$B$51)),Assumptions!$D$230,0)</f>
        <v/>
      </c>
      <c r="K15" s="41">
        <f>IF(OR(J15&gt;0,AND(K$3&gt;=Assumptions!$E$230,K$3&gt;=Assumptions!$B$14,Revenue_Build!K10&gt;=Assumptions!$F$230*Assumptions!$B$51)),Assumptions!$D$230,0)</f>
        <v/>
      </c>
      <c r="L15" s="41">
        <f>IF(OR(K15&gt;0,AND(L$3&gt;=Assumptions!$E$230,L$3&gt;=Assumptions!$B$14,Revenue_Build!L10&gt;=Assumptions!$F$230*Assumptions!$B$51)),Assumptions!$D$230,0)</f>
        <v/>
      </c>
      <c r="M15" s="41">
        <f>IF(OR(L15&gt;0,AND(M$3&gt;=Assumptions!$E$230,M$3&gt;=Assumptions!$B$14,Revenue_Build!M10&gt;=Assumptions!$F$230*Assumptions!$B$51)),Assumptions!$D$230,0)</f>
        <v/>
      </c>
      <c r="N15" s="41">
        <f>IF(OR(M15&gt;0,AND(N$3&gt;=Assumptions!$E$230,N$3&gt;=Assumptions!$B$14,Revenue_Build!N10&gt;=Assumptions!$F$230*Assumptions!$B$51)),Assumptions!$D$230,0)</f>
        <v/>
      </c>
      <c r="O15" s="41">
        <f>IF(OR(N15&gt;0,AND(O$3&gt;=Assumptions!$E$230,O$3&gt;=Assumptions!$B$14,Revenue_Build!O10&gt;=Assumptions!$F$230*Assumptions!$B$51)),Assumptions!$D$230,0)</f>
        <v/>
      </c>
      <c r="P15" s="41">
        <f>IF(OR(O15&gt;0,AND(P$3&gt;=Assumptions!$E$230,P$3&gt;=Assumptions!$B$14,Revenue_Build!P10&gt;=Assumptions!$F$230*Assumptions!$B$51)),Assumptions!$D$230,0)</f>
        <v/>
      </c>
      <c r="Q15" s="41">
        <f>IF(OR(P15&gt;0,AND(Q$3&gt;=Assumptions!$E$230,Q$3&gt;=Assumptions!$B$14,Revenue_Build!Q10&gt;=Assumptions!$F$230*Assumptions!$B$51)),Assumptions!$D$230,0)</f>
        <v/>
      </c>
      <c r="R15" s="41">
        <f>IF(OR(Q15&gt;0,AND(R$3&gt;=Assumptions!$E$230,R$3&gt;=Assumptions!$B$14,Revenue_Build!R10&gt;=Assumptions!$F$230*Assumptions!$B$51)),Assumptions!$D$230,0)</f>
        <v/>
      </c>
      <c r="S15" s="41">
        <f>IF(OR(R15&gt;0,AND(S$3&gt;=Assumptions!$E$230,S$3&gt;=Assumptions!$B$14,Revenue_Build!S10&gt;=Assumptions!$F$230*Assumptions!$B$51)),Assumptions!$D$230,0)</f>
        <v/>
      </c>
      <c r="T15" s="41">
        <f>IF(OR(S15&gt;0,AND(T$3&gt;=Assumptions!$E$230,T$3&gt;=Assumptions!$B$14,Revenue_Build!T10&gt;=Assumptions!$F$230*Assumptions!$B$51)),Assumptions!$D$230,0)</f>
        <v/>
      </c>
      <c r="U15" s="41">
        <f>IF(OR(T15&gt;0,AND(U$3&gt;=Assumptions!$E$230,U$3&gt;=Assumptions!$B$14,Revenue_Build!U10&gt;=Assumptions!$F$230*Assumptions!$B$51)),Assumptions!$D$230,0)</f>
        <v/>
      </c>
      <c r="V15" s="41">
        <f>IF(OR(U15&gt;0,AND(V$3&gt;=Assumptions!$E$230,V$3&gt;=Assumptions!$B$14,Revenue_Build!V10&gt;=Assumptions!$F$230*Assumptions!$B$51)),Assumptions!$D$230,0)</f>
        <v/>
      </c>
      <c r="W15" s="41">
        <f>IF(OR(V15&gt;0,AND(W$3&gt;=Assumptions!$E$230,W$3&gt;=Assumptions!$B$14,Revenue_Build!W10&gt;=Assumptions!$F$230*Assumptions!$B$51)),Assumptions!$D$230,0)</f>
        <v/>
      </c>
      <c r="X15" s="41">
        <f>IF(OR(W15&gt;0,AND(X$3&gt;=Assumptions!$E$230,X$3&gt;=Assumptions!$B$14,Revenue_Build!X10&gt;=Assumptions!$F$230*Assumptions!$B$51)),Assumptions!$D$230,0)</f>
        <v/>
      </c>
      <c r="Y15" s="41">
        <f>IF(OR(X15&gt;0,AND(Y$3&gt;=Assumptions!$E$230,Y$3&gt;=Assumptions!$B$14,Revenue_Build!Y10&gt;=Assumptions!$F$230*Assumptions!$B$51)),Assumptions!$D$230,0)</f>
        <v/>
      </c>
      <c r="Z15" s="41">
        <f>IF(OR(Y15&gt;0,AND(Z$3&gt;=Assumptions!$E$230,Z$3&gt;=Assumptions!$B$14,Revenue_Build!Z10&gt;=Assumptions!$F$230*Assumptions!$B$51)),Assumptions!$D$230,0)</f>
        <v/>
      </c>
      <c r="AA15" s="41">
        <f>IF(OR(Z15&gt;0,AND(AA$3&gt;=Assumptions!$E$230,AA$3&gt;=Assumptions!$B$14,Revenue_Build!AA10&gt;=Assumptions!$F$230*Assumptions!$B$51)),Assumptions!$D$230,0)</f>
        <v/>
      </c>
      <c r="AB15" s="41">
        <f>IF(OR(AA15&gt;0,AND(AB$3&gt;=Assumptions!$E$230,AB$3&gt;=Assumptions!$B$14,Revenue_Build!AB10&gt;=Assumptions!$F$230*Assumptions!$B$51)),Assumptions!$D$230,0)</f>
        <v/>
      </c>
      <c r="AC15" s="41">
        <f>IF(OR(AB15&gt;0,AND(AC$3&gt;=Assumptions!$E$230,AC$3&gt;=Assumptions!$B$14,Revenue_Build!AC10&gt;=Assumptions!$F$230*Assumptions!$B$51)),Assumptions!$D$230,0)</f>
        <v/>
      </c>
      <c r="AD15" s="41">
        <f>IF(OR(AC15&gt;0,AND(AD$3&gt;=Assumptions!$E$230,AD$3&gt;=Assumptions!$B$14,Revenue_Build!AD10&gt;=Assumptions!$F$230*Assumptions!$B$51)),Assumptions!$D$230,0)</f>
        <v/>
      </c>
      <c r="AE15" s="41">
        <f>IF(OR(AD15&gt;0,AND(AE$3&gt;=Assumptions!$E$230,AE$3&gt;=Assumptions!$B$14,Revenue_Build!AE10&gt;=Assumptions!$F$230*Assumptions!$B$51)),Assumptions!$D$230,0)</f>
        <v/>
      </c>
      <c r="AF15" s="41">
        <f>IF(OR(AE15&gt;0,AND(AF$3&gt;=Assumptions!$E$230,AF$3&gt;=Assumptions!$B$14,Revenue_Build!AF10&gt;=Assumptions!$F$230*Assumptions!$B$51)),Assumptions!$D$230,0)</f>
        <v/>
      </c>
      <c r="AG15" s="41">
        <f>IF(OR(AF15&gt;0,AND(AG$3&gt;=Assumptions!$E$230,AG$3&gt;=Assumptions!$B$14,Revenue_Build!AG10&gt;=Assumptions!$F$230*Assumptions!$B$51)),Assumptions!$D$230,0)</f>
        <v/>
      </c>
      <c r="AH15" s="41">
        <f>IF(OR(AG15&gt;0,AND(AH$3&gt;=Assumptions!$E$230,AH$3&gt;=Assumptions!$B$14,Revenue_Build!AH10&gt;=Assumptions!$F$230*Assumptions!$B$51)),Assumptions!$D$230,0)</f>
        <v/>
      </c>
      <c r="AI15" s="41">
        <f>IF(OR(AH15&gt;0,AND(AI$3&gt;=Assumptions!$E$230,AI$3&gt;=Assumptions!$B$14,Revenue_Build!AI10&gt;=Assumptions!$F$230*Assumptions!$B$51)),Assumptions!$D$230,0)</f>
        <v/>
      </c>
      <c r="AJ15" s="41">
        <f>IF(OR(AI15&gt;0,AND(AJ$3&gt;=Assumptions!$E$230,AJ$3&gt;=Assumptions!$B$14,Revenue_Build!AJ10&gt;=Assumptions!$F$230*Assumptions!$B$51)),Assumptions!$D$230,0)</f>
        <v/>
      </c>
      <c r="AK15" s="41">
        <f>IF(OR(AJ15&gt;0,AND(AK$3&gt;=Assumptions!$E$230,AK$3&gt;=Assumptions!$B$14,Revenue_Build!AK10&gt;=Assumptions!$F$230*Assumptions!$B$51)),Assumptions!$D$230,0)</f>
        <v/>
      </c>
      <c r="AL15" s="41">
        <f>IF(OR(AK15&gt;0,AND(AL$3&gt;=Assumptions!$E$230,AL$3&gt;=Assumptions!$B$14,Revenue_Build!AL10&gt;=Assumptions!$F$230*Assumptions!$B$51)),Assumptions!$D$230,0)</f>
        <v/>
      </c>
      <c r="AM15" s="41">
        <f>IF(OR(AL15&gt;0,AND(AM$3&gt;=Assumptions!$E$230,AM$3&gt;=Assumptions!$B$14,Revenue_Build!AM10&gt;=Assumptions!$F$230*Assumptions!$B$51)),Assumptions!$D$230,0)</f>
        <v/>
      </c>
      <c r="AN15" s="41">
        <f>IF(OR(AM15&gt;0,AND(AN$3&gt;=Assumptions!$E$230,AN$3&gt;=Assumptions!$B$14,Revenue_Build!AN10&gt;=Assumptions!$F$230*Assumptions!$B$51)),Assumptions!$D$230,0)</f>
        <v/>
      </c>
      <c r="AO15" s="41">
        <f>IF(OR(AN15&gt;0,AND(AO$3&gt;=Assumptions!$E$230,AO$3&gt;=Assumptions!$B$14,Revenue_Build!AO10&gt;=Assumptions!$F$230*Assumptions!$B$51)),Assumptions!$D$230,0)</f>
        <v/>
      </c>
      <c r="AP15" s="41">
        <f>IF(OR(AO15&gt;0,AND(AP$3&gt;=Assumptions!$E$230,AP$3&gt;=Assumptions!$B$14,Revenue_Build!AP10&gt;=Assumptions!$F$230*Assumptions!$B$51)),Assumptions!$D$230,0)</f>
        <v/>
      </c>
      <c r="AQ15" s="41">
        <f>IF(OR(AP15&gt;0,AND(AQ$3&gt;=Assumptions!$E$230,AQ$3&gt;=Assumptions!$B$14,Revenue_Build!AQ10&gt;=Assumptions!$F$230*Assumptions!$B$51)),Assumptions!$D$230,0)</f>
        <v/>
      </c>
      <c r="AR15" s="41">
        <f>IF(OR(AQ15&gt;0,AND(AR$3&gt;=Assumptions!$E$230,AR$3&gt;=Assumptions!$B$14,Revenue_Build!AR10&gt;=Assumptions!$F$230*Assumptions!$B$51)),Assumptions!$D$230,0)</f>
        <v/>
      </c>
      <c r="AS15" s="41">
        <f>IF(OR(AR15&gt;0,AND(AS$3&gt;=Assumptions!$E$230,AS$3&gt;=Assumptions!$B$14,Revenue_Build!AS10&gt;=Assumptions!$F$230*Assumptions!$B$51)),Assumptions!$D$230,0)</f>
        <v/>
      </c>
      <c r="AT15" s="41">
        <f>IF(OR(AS15&gt;0,AND(AT$3&gt;=Assumptions!$E$230,AT$3&gt;=Assumptions!$B$14,Revenue_Build!AT10&gt;=Assumptions!$F$230*Assumptions!$B$51)),Assumptions!$D$230,0)</f>
        <v/>
      </c>
      <c r="AU15" s="41">
        <f>IF(OR(AT15&gt;0,AND(AU$3&gt;=Assumptions!$E$230,AU$3&gt;=Assumptions!$B$14,Revenue_Build!AU10&gt;=Assumptions!$F$230*Assumptions!$B$51)),Assumptions!$D$230,0)</f>
        <v/>
      </c>
      <c r="AV15" s="41">
        <f>IF(OR(AU15&gt;0,AND(AV$3&gt;=Assumptions!$E$230,AV$3&gt;=Assumptions!$B$14,Revenue_Build!AV10&gt;=Assumptions!$F$230*Assumptions!$B$51)),Assumptions!$D$230,0)</f>
        <v/>
      </c>
      <c r="AW15" s="41">
        <f>IF(OR(AV15&gt;0,AND(AW$3&gt;=Assumptions!$E$230,AW$3&gt;=Assumptions!$B$14,Revenue_Build!AW10&gt;=Assumptions!$F$230*Assumptions!$B$51)),Assumptions!$D$230,0)</f>
        <v/>
      </c>
      <c r="AX15" s="41">
        <f>IF(OR(AW15&gt;0,AND(AX$3&gt;=Assumptions!$E$230,AX$3&gt;=Assumptions!$B$14,Revenue_Build!AX10&gt;=Assumptions!$F$230*Assumptions!$B$51)),Assumptions!$D$230,0)</f>
        <v/>
      </c>
      <c r="AY15" s="41">
        <f>IF(OR(AX15&gt;0,AND(AY$3&gt;=Assumptions!$E$230,AY$3&gt;=Assumptions!$B$14,Revenue_Build!AY10&gt;=Assumptions!$F$230*Assumptions!$B$51)),Assumptions!$D$230,0)</f>
        <v/>
      </c>
      <c r="AZ15" s="41">
        <f>IF(OR(AY15&gt;0,AND(AZ$3&gt;=Assumptions!$E$230,AZ$3&gt;=Assumptions!$B$14,Revenue_Build!AZ10&gt;=Assumptions!$F$230*Assumptions!$B$51)),Assumptions!$D$230,0)</f>
        <v/>
      </c>
      <c r="BA15" s="41">
        <f>IF(OR(AZ15&gt;0,AND(BA$3&gt;=Assumptions!$E$230,BA$3&gt;=Assumptions!$B$14,Revenue_Build!BA10&gt;=Assumptions!$F$230*Assumptions!$B$51)),Assumptions!$D$230,0)</f>
        <v/>
      </c>
      <c r="BB15" s="41">
        <f>IF(OR(BA15&gt;0,AND(BB$3&gt;=Assumptions!$E$230,BB$3&gt;=Assumptions!$B$14,Revenue_Build!BB10&gt;=Assumptions!$F$230*Assumptions!$B$51)),Assumptions!$D$230,0)</f>
        <v/>
      </c>
      <c r="BC15" s="41">
        <f>IF(OR(BB15&gt;0,AND(BC$3&gt;=Assumptions!$E$230,BC$3&gt;=Assumptions!$B$14,Revenue_Build!BC10&gt;=Assumptions!$F$230*Assumptions!$B$51)),Assumptions!$D$230,0)</f>
        <v/>
      </c>
      <c r="BD15" s="41">
        <f>IF(OR(BC15&gt;0,AND(BD$3&gt;=Assumptions!$E$230,BD$3&gt;=Assumptions!$B$14,Revenue_Build!BD10&gt;=Assumptions!$F$230*Assumptions!$B$51)),Assumptions!$D$230,0)</f>
        <v/>
      </c>
      <c r="BE15" s="41">
        <f>IF(OR(BD15&gt;0,AND(BE$3&gt;=Assumptions!$E$230,BE$3&gt;=Assumptions!$B$14,Revenue_Build!BE10&gt;=Assumptions!$F$230*Assumptions!$B$51)),Assumptions!$D$230,0)</f>
        <v/>
      </c>
      <c r="BF15" s="41">
        <f>IF(OR(BE15&gt;0,AND(BF$3&gt;=Assumptions!$E$230,BF$3&gt;=Assumptions!$B$14,Revenue_Build!BF10&gt;=Assumptions!$F$230*Assumptions!$B$51)),Assumptions!$D$230,0)</f>
        <v/>
      </c>
      <c r="BG15" s="41">
        <f>IF(OR(BF15&gt;0,AND(BG$3&gt;=Assumptions!$E$230,BG$3&gt;=Assumptions!$B$14,Revenue_Build!BG10&gt;=Assumptions!$F$230*Assumptions!$B$51)),Assumptions!$D$230,0)</f>
        <v/>
      </c>
      <c r="BH15" s="41">
        <f>IF(OR(BG15&gt;0,AND(BH$3&gt;=Assumptions!$E$230,BH$3&gt;=Assumptions!$B$14,Revenue_Build!BH10&gt;=Assumptions!$F$230*Assumptions!$B$51)),Assumptions!$D$230,0)</f>
        <v/>
      </c>
      <c r="BI15" s="41">
        <f>IF(OR(BH15&gt;0,AND(BI$3&gt;=Assumptions!$E$230,BI$3&gt;=Assumptions!$B$14,Revenue_Build!BI10&gt;=Assumptions!$F$230*Assumptions!$B$51)),Assumptions!$D$230,0)</f>
        <v/>
      </c>
      <c r="BJ15" s="41">
        <f>IF(OR(BI15&gt;0,AND(BJ$3&gt;=Assumptions!$E$230,BJ$3&gt;=Assumptions!$B$14,Revenue_Build!BJ10&gt;=Assumptions!$F$230*Assumptions!$B$51)),Assumptions!$D$230,0)</f>
        <v/>
      </c>
    </row>
    <row r="16">
      <c r="A16" s="4" t="inlineStr">
        <is>
          <t>Product manager</t>
        </is>
      </c>
      <c r="B16" s="17" t="inlineStr">
        <is>
          <t>FTE</t>
        </is>
      </c>
      <c r="C16" s="41">
        <f>IF(AND(C$3&gt;=Assumptions!$E$231,C$3&gt;=Assumptions!$B$14,Revenue_Build!C10&gt;=Assumptions!$F$231*Assumptions!$B$51),Assumptions!$D$231,0)</f>
        <v/>
      </c>
      <c r="D16" s="41">
        <f>IF(OR(C16&gt;0,AND(D$3&gt;=Assumptions!$E$231,D$3&gt;=Assumptions!$B$14,Revenue_Build!D10&gt;=Assumptions!$F$231*Assumptions!$B$51)),Assumptions!$D$231,0)</f>
        <v/>
      </c>
      <c r="E16" s="41">
        <f>IF(OR(D16&gt;0,AND(E$3&gt;=Assumptions!$E$231,E$3&gt;=Assumptions!$B$14,Revenue_Build!E10&gt;=Assumptions!$F$231*Assumptions!$B$51)),Assumptions!$D$231,0)</f>
        <v/>
      </c>
      <c r="F16" s="41">
        <f>IF(OR(E16&gt;0,AND(F$3&gt;=Assumptions!$E$231,F$3&gt;=Assumptions!$B$14,Revenue_Build!F10&gt;=Assumptions!$F$231*Assumptions!$B$51)),Assumptions!$D$231,0)</f>
        <v/>
      </c>
      <c r="G16" s="41">
        <f>IF(OR(F16&gt;0,AND(G$3&gt;=Assumptions!$E$231,G$3&gt;=Assumptions!$B$14,Revenue_Build!G10&gt;=Assumptions!$F$231*Assumptions!$B$51)),Assumptions!$D$231,0)</f>
        <v/>
      </c>
      <c r="H16" s="41">
        <f>IF(OR(G16&gt;0,AND(H$3&gt;=Assumptions!$E$231,H$3&gt;=Assumptions!$B$14,Revenue_Build!H10&gt;=Assumptions!$F$231*Assumptions!$B$51)),Assumptions!$D$231,0)</f>
        <v/>
      </c>
      <c r="I16" s="41">
        <f>IF(OR(H16&gt;0,AND(I$3&gt;=Assumptions!$E$231,I$3&gt;=Assumptions!$B$14,Revenue_Build!I10&gt;=Assumptions!$F$231*Assumptions!$B$51)),Assumptions!$D$231,0)</f>
        <v/>
      </c>
      <c r="J16" s="41">
        <f>IF(OR(I16&gt;0,AND(J$3&gt;=Assumptions!$E$231,J$3&gt;=Assumptions!$B$14,Revenue_Build!J10&gt;=Assumptions!$F$231*Assumptions!$B$51)),Assumptions!$D$231,0)</f>
        <v/>
      </c>
      <c r="K16" s="41">
        <f>IF(OR(J16&gt;0,AND(K$3&gt;=Assumptions!$E$231,K$3&gt;=Assumptions!$B$14,Revenue_Build!K10&gt;=Assumptions!$F$231*Assumptions!$B$51)),Assumptions!$D$231,0)</f>
        <v/>
      </c>
      <c r="L16" s="41">
        <f>IF(OR(K16&gt;0,AND(L$3&gt;=Assumptions!$E$231,L$3&gt;=Assumptions!$B$14,Revenue_Build!L10&gt;=Assumptions!$F$231*Assumptions!$B$51)),Assumptions!$D$231,0)</f>
        <v/>
      </c>
      <c r="M16" s="41">
        <f>IF(OR(L16&gt;0,AND(M$3&gt;=Assumptions!$E$231,M$3&gt;=Assumptions!$B$14,Revenue_Build!M10&gt;=Assumptions!$F$231*Assumptions!$B$51)),Assumptions!$D$231,0)</f>
        <v/>
      </c>
      <c r="N16" s="41">
        <f>IF(OR(M16&gt;0,AND(N$3&gt;=Assumptions!$E$231,N$3&gt;=Assumptions!$B$14,Revenue_Build!N10&gt;=Assumptions!$F$231*Assumptions!$B$51)),Assumptions!$D$231,0)</f>
        <v/>
      </c>
      <c r="O16" s="41">
        <f>IF(OR(N16&gt;0,AND(O$3&gt;=Assumptions!$E$231,O$3&gt;=Assumptions!$B$14,Revenue_Build!O10&gt;=Assumptions!$F$231*Assumptions!$B$51)),Assumptions!$D$231,0)</f>
        <v/>
      </c>
      <c r="P16" s="41">
        <f>IF(OR(O16&gt;0,AND(P$3&gt;=Assumptions!$E$231,P$3&gt;=Assumptions!$B$14,Revenue_Build!P10&gt;=Assumptions!$F$231*Assumptions!$B$51)),Assumptions!$D$231,0)</f>
        <v/>
      </c>
      <c r="Q16" s="41">
        <f>IF(OR(P16&gt;0,AND(Q$3&gt;=Assumptions!$E$231,Q$3&gt;=Assumptions!$B$14,Revenue_Build!Q10&gt;=Assumptions!$F$231*Assumptions!$B$51)),Assumptions!$D$231,0)</f>
        <v/>
      </c>
      <c r="R16" s="41">
        <f>IF(OR(Q16&gt;0,AND(R$3&gt;=Assumptions!$E$231,R$3&gt;=Assumptions!$B$14,Revenue_Build!R10&gt;=Assumptions!$F$231*Assumptions!$B$51)),Assumptions!$D$231,0)</f>
        <v/>
      </c>
      <c r="S16" s="41">
        <f>IF(OR(R16&gt;0,AND(S$3&gt;=Assumptions!$E$231,S$3&gt;=Assumptions!$B$14,Revenue_Build!S10&gt;=Assumptions!$F$231*Assumptions!$B$51)),Assumptions!$D$231,0)</f>
        <v/>
      </c>
      <c r="T16" s="41">
        <f>IF(OR(S16&gt;0,AND(T$3&gt;=Assumptions!$E$231,T$3&gt;=Assumptions!$B$14,Revenue_Build!T10&gt;=Assumptions!$F$231*Assumptions!$B$51)),Assumptions!$D$231,0)</f>
        <v/>
      </c>
      <c r="U16" s="41">
        <f>IF(OR(T16&gt;0,AND(U$3&gt;=Assumptions!$E$231,U$3&gt;=Assumptions!$B$14,Revenue_Build!U10&gt;=Assumptions!$F$231*Assumptions!$B$51)),Assumptions!$D$231,0)</f>
        <v/>
      </c>
      <c r="V16" s="41">
        <f>IF(OR(U16&gt;0,AND(V$3&gt;=Assumptions!$E$231,V$3&gt;=Assumptions!$B$14,Revenue_Build!V10&gt;=Assumptions!$F$231*Assumptions!$B$51)),Assumptions!$D$231,0)</f>
        <v/>
      </c>
      <c r="W16" s="41">
        <f>IF(OR(V16&gt;0,AND(W$3&gt;=Assumptions!$E$231,W$3&gt;=Assumptions!$B$14,Revenue_Build!W10&gt;=Assumptions!$F$231*Assumptions!$B$51)),Assumptions!$D$231,0)</f>
        <v/>
      </c>
      <c r="X16" s="41">
        <f>IF(OR(W16&gt;0,AND(X$3&gt;=Assumptions!$E$231,X$3&gt;=Assumptions!$B$14,Revenue_Build!X10&gt;=Assumptions!$F$231*Assumptions!$B$51)),Assumptions!$D$231,0)</f>
        <v/>
      </c>
      <c r="Y16" s="41">
        <f>IF(OR(X16&gt;0,AND(Y$3&gt;=Assumptions!$E$231,Y$3&gt;=Assumptions!$B$14,Revenue_Build!Y10&gt;=Assumptions!$F$231*Assumptions!$B$51)),Assumptions!$D$231,0)</f>
        <v/>
      </c>
      <c r="Z16" s="41">
        <f>IF(OR(Y16&gt;0,AND(Z$3&gt;=Assumptions!$E$231,Z$3&gt;=Assumptions!$B$14,Revenue_Build!Z10&gt;=Assumptions!$F$231*Assumptions!$B$51)),Assumptions!$D$231,0)</f>
        <v/>
      </c>
      <c r="AA16" s="41">
        <f>IF(OR(Z16&gt;0,AND(AA$3&gt;=Assumptions!$E$231,AA$3&gt;=Assumptions!$B$14,Revenue_Build!AA10&gt;=Assumptions!$F$231*Assumptions!$B$51)),Assumptions!$D$231,0)</f>
        <v/>
      </c>
      <c r="AB16" s="41">
        <f>IF(OR(AA16&gt;0,AND(AB$3&gt;=Assumptions!$E$231,AB$3&gt;=Assumptions!$B$14,Revenue_Build!AB10&gt;=Assumptions!$F$231*Assumptions!$B$51)),Assumptions!$D$231,0)</f>
        <v/>
      </c>
      <c r="AC16" s="41">
        <f>IF(OR(AB16&gt;0,AND(AC$3&gt;=Assumptions!$E$231,AC$3&gt;=Assumptions!$B$14,Revenue_Build!AC10&gt;=Assumptions!$F$231*Assumptions!$B$51)),Assumptions!$D$231,0)</f>
        <v/>
      </c>
      <c r="AD16" s="41">
        <f>IF(OR(AC16&gt;0,AND(AD$3&gt;=Assumptions!$E$231,AD$3&gt;=Assumptions!$B$14,Revenue_Build!AD10&gt;=Assumptions!$F$231*Assumptions!$B$51)),Assumptions!$D$231,0)</f>
        <v/>
      </c>
      <c r="AE16" s="41">
        <f>IF(OR(AD16&gt;0,AND(AE$3&gt;=Assumptions!$E$231,AE$3&gt;=Assumptions!$B$14,Revenue_Build!AE10&gt;=Assumptions!$F$231*Assumptions!$B$51)),Assumptions!$D$231,0)</f>
        <v/>
      </c>
      <c r="AF16" s="41">
        <f>IF(OR(AE16&gt;0,AND(AF$3&gt;=Assumptions!$E$231,AF$3&gt;=Assumptions!$B$14,Revenue_Build!AF10&gt;=Assumptions!$F$231*Assumptions!$B$51)),Assumptions!$D$231,0)</f>
        <v/>
      </c>
      <c r="AG16" s="41">
        <f>IF(OR(AF16&gt;0,AND(AG$3&gt;=Assumptions!$E$231,AG$3&gt;=Assumptions!$B$14,Revenue_Build!AG10&gt;=Assumptions!$F$231*Assumptions!$B$51)),Assumptions!$D$231,0)</f>
        <v/>
      </c>
      <c r="AH16" s="41">
        <f>IF(OR(AG16&gt;0,AND(AH$3&gt;=Assumptions!$E$231,AH$3&gt;=Assumptions!$B$14,Revenue_Build!AH10&gt;=Assumptions!$F$231*Assumptions!$B$51)),Assumptions!$D$231,0)</f>
        <v/>
      </c>
      <c r="AI16" s="41">
        <f>IF(OR(AH16&gt;0,AND(AI$3&gt;=Assumptions!$E$231,AI$3&gt;=Assumptions!$B$14,Revenue_Build!AI10&gt;=Assumptions!$F$231*Assumptions!$B$51)),Assumptions!$D$231,0)</f>
        <v/>
      </c>
      <c r="AJ16" s="41">
        <f>IF(OR(AI16&gt;0,AND(AJ$3&gt;=Assumptions!$E$231,AJ$3&gt;=Assumptions!$B$14,Revenue_Build!AJ10&gt;=Assumptions!$F$231*Assumptions!$B$51)),Assumptions!$D$231,0)</f>
        <v/>
      </c>
      <c r="AK16" s="41">
        <f>IF(OR(AJ16&gt;0,AND(AK$3&gt;=Assumptions!$E$231,AK$3&gt;=Assumptions!$B$14,Revenue_Build!AK10&gt;=Assumptions!$F$231*Assumptions!$B$51)),Assumptions!$D$231,0)</f>
        <v/>
      </c>
      <c r="AL16" s="41">
        <f>IF(OR(AK16&gt;0,AND(AL$3&gt;=Assumptions!$E$231,AL$3&gt;=Assumptions!$B$14,Revenue_Build!AL10&gt;=Assumptions!$F$231*Assumptions!$B$51)),Assumptions!$D$231,0)</f>
        <v/>
      </c>
      <c r="AM16" s="41">
        <f>IF(OR(AL16&gt;0,AND(AM$3&gt;=Assumptions!$E$231,AM$3&gt;=Assumptions!$B$14,Revenue_Build!AM10&gt;=Assumptions!$F$231*Assumptions!$B$51)),Assumptions!$D$231,0)</f>
        <v/>
      </c>
      <c r="AN16" s="41">
        <f>IF(OR(AM16&gt;0,AND(AN$3&gt;=Assumptions!$E$231,AN$3&gt;=Assumptions!$B$14,Revenue_Build!AN10&gt;=Assumptions!$F$231*Assumptions!$B$51)),Assumptions!$D$231,0)</f>
        <v/>
      </c>
      <c r="AO16" s="41">
        <f>IF(OR(AN16&gt;0,AND(AO$3&gt;=Assumptions!$E$231,AO$3&gt;=Assumptions!$B$14,Revenue_Build!AO10&gt;=Assumptions!$F$231*Assumptions!$B$51)),Assumptions!$D$231,0)</f>
        <v/>
      </c>
      <c r="AP16" s="41">
        <f>IF(OR(AO16&gt;0,AND(AP$3&gt;=Assumptions!$E$231,AP$3&gt;=Assumptions!$B$14,Revenue_Build!AP10&gt;=Assumptions!$F$231*Assumptions!$B$51)),Assumptions!$D$231,0)</f>
        <v/>
      </c>
      <c r="AQ16" s="41">
        <f>IF(OR(AP16&gt;0,AND(AQ$3&gt;=Assumptions!$E$231,AQ$3&gt;=Assumptions!$B$14,Revenue_Build!AQ10&gt;=Assumptions!$F$231*Assumptions!$B$51)),Assumptions!$D$231,0)</f>
        <v/>
      </c>
      <c r="AR16" s="41">
        <f>IF(OR(AQ16&gt;0,AND(AR$3&gt;=Assumptions!$E$231,AR$3&gt;=Assumptions!$B$14,Revenue_Build!AR10&gt;=Assumptions!$F$231*Assumptions!$B$51)),Assumptions!$D$231,0)</f>
        <v/>
      </c>
      <c r="AS16" s="41">
        <f>IF(OR(AR16&gt;0,AND(AS$3&gt;=Assumptions!$E$231,AS$3&gt;=Assumptions!$B$14,Revenue_Build!AS10&gt;=Assumptions!$F$231*Assumptions!$B$51)),Assumptions!$D$231,0)</f>
        <v/>
      </c>
      <c r="AT16" s="41">
        <f>IF(OR(AS16&gt;0,AND(AT$3&gt;=Assumptions!$E$231,AT$3&gt;=Assumptions!$B$14,Revenue_Build!AT10&gt;=Assumptions!$F$231*Assumptions!$B$51)),Assumptions!$D$231,0)</f>
        <v/>
      </c>
      <c r="AU16" s="41">
        <f>IF(OR(AT16&gt;0,AND(AU$3&gt;=Assumptions!$E$231,AU$3&gt;=Assumptions!$B$14,Revenue_Build!AU10&gt;=Assumptions!$F$231*Assumptions!$B$51)),Assumptions!$D$231,0)</f>
        <v/>
      </c>
      <c r="AV16" s="41">
        <f>IF(OR(AU16&gt;0,AND(AV$3&gt;=Assumptions!$E$231,AV$3&gt;=Assumptions!$B$14,Revenue_Build!AV10&gt;=Assumptions!$F$231*Assumptions!$B$51)),Assumptions!$D$231,0)</f>
        <v/>
      </c>
      <c r="AW16" s="41">
        <f>IF(OR(AV16&gt;0,AND(AW$3&gt;=Assumptions!$E$231,AW$3&gt;=Assumptions!$B$14,Revenue_Build!AW10&gt;=Assumptions!$F$231*Assumptions!$B$51)),Assumptions!$D$231,0)</f>
        <v/>
      </c>
      <c r="AX16" s="41">
        <f>IF(OR(AW16&gt;0,AND(AX$3&gt;=Assumptions!$E$231,AX$3&gt;=Assumptions!$B$14,Revenue_Build!AX10&gt;=Assumptions!$F$231*Assumptions!$B$51)),Assumptions!$D$231,0)</f>
        <v/>
      </c>
      <c r="AY16" s="41">
        <f>IF(OR(AX16&gt;0,AND(AY$3&gt;=Assumptions!$E$231,AY$3&gt;=Assumptions!$B$14,Revenue_Build!AY10&gt;=Assumptions!$F$231*Assumptions!$B$51)),Assumptions!$D$231,0)</f>
        <v/>
      </c>
      <c r="AZ16" s="41">
        <f>IF(OR(AY16&gt;0,AND(AZ$3&gt;=Assumptions!$E$231,AZ$3&gt;=Assumptions!$B$14,Revenue_Build!AZ10&gt;=Assumptions!$F$231*Assumptions!$B$51)),Assumptions!$D$231,0)</f>
        <v/>
      </c>
      <c r="BA16" s="41">
        <f>IF(OR(AZ16&gt;0,AND(BA$3&gt;=Assumptions!$E$231,BA$3&gt;=Assumptions!$B$14,Revenue_Build!BA10&gt;=Assumptions!$F$231*Assumptions!$B$51)),Assumptions!$D$231,0)</f>
        <v/>
      </c>
      <c r="BB16" s="41">
        <f>IF(OR(BA16&gt;0,AND(BB$3&gt;=Assumptions!$E$231,BB$3&gt;=Assumptions!$B$14,Revenue_Build!BB10&gt;=Assumptions!$F$231*Assumptions!$B$51)),Assumptions!$D$231,0)</f>
        <v/>
      </c>
      <c r="BC16" s="41">
        <f>IF(OR(BB16&gt;0,AND(BC$3&gt;=Assumptions!$E$231,BC$3&gt;=Assumptions!$B$14,Revenue_Build!BC10&gt;=Assumptions!$F$231*Assumptions!$B$51)),Assumptions!$D$231,0)</f>
        <v/>
      </c>
      <c r="BD16" s="41">
        <f>IF(OR(BC16&gt;0,AND(BD$3&gt;=Assumptions!$E$231,BD$3&gt;=Assumptions!$B$14,Revenue_Build!BD10&gt;=Assumptions!$F$231*Assumptions!$B$51)),Assumptions!$D$231,0)</f>
        <v/>
      </c>
      <c r="BE16" s="41">
        <f>IF(OR(BD16&gt;0,AND(BE$3&gt;=Assumptions!$E$231,BE$3&gt;=Assumptions!$B$14,Revenue_Build!BE10&gt;=Assumptions!$F$231*Assumptions!$B$51)),Assumptions!$D$231,0)</f>
        <v/>
      </c>
      <c r="BF16" s="41">
        <f>IF(OR(BE16&gt;0,AND(BF$3&gt;=Assumptions!$E$231,BF$3&gt;=Assumptions!$B$14,Revenue_Build!BF10&gt;=Assumptions!$F$231*Assumptions!$B$51)),Assumptions!$D$231,0)</f>
        <v/>
      </c>
      <c r="BG16" s="41">
        <f>IF(OR(BF16&gt;0,AND(BG$3&gt;=Assumptions!$E$231,BG$3&gt;=Assumptions!$B$14,Revenue_Build!BG10&gt;=Assumptions!$F$231*Assumptions!$B$51)),Assumptions!$D$231,0)</f>
        <v/>
      </c>
      <c r="BH16" s="41">
        <f>IF(OR(BG16&gt;0,AND(BH$3&gt;=Assumptions!$E$231,BH$3&gt;=Assumptions!$B$14,Revenue_Build!BH10&gt;=Assumptions!$F$231*Assumptions!$B$51)),Assumptions!$D$231,0)</f>
        <v/>
      </c>
      <c r="BI16" s="41">
        <f>IF(OR(BH16&gt;0,AND(BI$3&gt;=Assumptions!$E$231,BI$3&gt;=Assumptions!$B$14,Revenue_Build!BI10&gt;=Assumptions!$F$231*Assumptions!$B$51)),Assumptions!$D$231,0)</f>
        <v/>
      </c>
      <c r="BJ16" s="41">
        <f>IF(OR(BI16&gt;0,AND(BJ$3&gt;=Assumptions!$E$231,BJ$3&gt;=Assumptions!$B$14,Revenue_Build!BJ10&gt;=Assumptions!$F$231*Assumptions!$B$51)),Assumptions!$D$231,0)</f>
        <v/>
      </c>
    </row>
    <row r="17">
      <c r="A17" s="4" t="inlineStr">
        <is>
          <t>Security &amp; compliance engineer</t>
        </is>
      </c>
      <c r="B17" s="17" t="inlineStr">
        <is>
          <t>FTE</t>
        </is>
      </c>
      <c r="C17" s="41">
        <f>IF(AND(C$3&gt;=Assumptions!$E$232,C$3&gt;=Assumptions!$B$14,Revenue_Build!C10&gt;=Assumptions!$F$232*Assumptions!$B$51),Assumptions!$D$232,0)</f>
        <v/>
      </c>
      <c r="D17" s="41">
        <f>IF(OR(C17&gt;0,AND(D$3&gt;=Assumptions!$E$232,D$3&gt;=Assumptions!$B$14,Revenue_Build!D10&gt;=Assumptions!$F$232*Assumptions!$B$51)),Assumptions!$D$232,0)</f>
        <v/>
      </c>
      <c r="E17" s="41">
        <f>IF(OR(D17&gt;0,AND(E$3&gt;=Assumptions!$E$232,E$3&gt;=Assumptions!$B$14,Revenue_Build!E10&gt;=Assumptions!$F$232*Assumptions!$B$51)),Assumptions!$D$232,0)</f>
        <v/>
      </c>
      <c r="F17" s="41">
        <f>IF(OR(E17&gt;0,AND(F$3&gt;=Assumptions!$E$232,F$3&gt;=Assumptions!$B$14,Revenue_Build!F10&gt;=Assumptions!$F$232*Assumptions!$B$51)),Assumptions!$D$232,0)</f>
        <v/>
      </c>
      <c r="G17" s="41">
        <f>IF(OR(F17&gt;0,AND(G$3&gt;=Assumptions!$E$232,G$3&gt;=Assumptions!$B$14,Revenue_Build!G10&gt;=Assumptions!$F$232*Assumptions!$B$51)),Assumptions!$D$232,0)</f>
        <v/>
      </c>
      <c r="H17" s="41">
        <f>IF(OR(G17&gt;0,AND(H$3&gt;=Assumptions!$E$232,H$3&gt;=Assumptions!$B$14,Revenue_Build!H10&gt;=Assumptions!$F$232*Assumptions!$B$51)),Assumptions!$D$232,0)</f>
        <v/>
      </c>
      <c r="I17" s="41">
        <f>IF(OR(H17&gt;0,AND(I$3&gt;=Assumptions!$E$232,I$3&gt;=Assumptions!$B$14,Revenue_Build!I10&gt;=Assumptions!$F$232*Assumptions!$B$51)),Assumptions!$D$232,0)</f>
        <v/>
      </c>
      <c r="J17" s="41">
        <f>IF(OR(I17&gt;0,AND(J$3&gt;=Assumptions!$E$232,J$3&gt;=Assumptions!$B$14,Revenue_Build!J10&gt;=Assumptions!$F$232*Assumptions!$B$51)),Assumptions!$D$232,0)</f>
        <v/>
      </c>
      <c r="K17" s="41">
        <f>IF(OR(J17&gt;0,AND(K$3&gt;=Assumptions!$E$232,K$3&gt;=Assumptions!$B$14,Revenue_Build!K10&gt;=Assumptions!$F$232*Assumptions!$B$51)),Assumptions!$D$232,0)</f>
        <v/>
      </c>
      <c r="L17" s="41">
        <f>IF(OR(K17&gt;0,AND(L$3&gt;=Assumptions!$E$232,L$3&gt;=Assumptions!$B$14,Revenue_Build!L10&gt;=Assumptions!$F$232*Assumptions!$B$51)),Assumptions!$D$232,0)</f>
        <v/>
      </c>
      <c r="M17" s="41">
        <f>IF(OR(L17&gt;0,AND(M$3&gt;=Assumptions!$E$232,M$3&gt;=Assumptions!$B$14,Revenue_Build!M10&gt;=Assumptions!$F$232*Assumptions!$B$51)),Assumptions!$D$232,0)</f>
        <v/>
      </c>
      <c r="N17" s="41">
        <f>IF(OR(M17&gt;0,AND(N$3&gt;=Assumptions!$E$232,N$3&gt;=Assumptions!$B$14,Revenue_Build!N10&gt;=Assumptions!$F$232*Assumptions!$B$51)),Assumptions!$D$232,0)</f>
        <v/>
      </c>
      <c r="O17" s="41">
        <f>IF(OR(N17&gt;0,AND(O$3&gt;=Assumptions!$E$232,O$3&gt;=Assumptions!$B$14,Revenue_Build!O10&gt;=Assumptions!$F$232*Assumptions!$B$51)),Assumptions!$D$232,0)</f>
        <v/>
      </c>
      <c r="P17" s="41">
        <f>IF(OR(O17&gt;0,AND(P$3&gt;=Assumptions!$E$232,P$3&gt;=Assumptions!$B$14,Revenue_Build!P10&gt;=Assumptions!$F$232*Assumptions!$B$51)),Assumptions!$D$232,0)</f>
        <v/>
      </c>
      <c r="Q17" s="41">
        <f>IF(OR(P17&gt;0,AND(Q$3&gt;=Assumptions!$E$232,Q$3&gt;=Assumptions!$B$14,Revenue_Build!Q10&gt;=Assumptions!$F$232*Assumptions!$B$51)),Assumptions!$D$232,0)</f>
        <v/>
      </c>
      <c r="R17" s="41">
        <f>IF(OR(Q17&gt;0,AND(R$3&gt;=Assumptions!$E$232,R$3&gt;=Assumptions!$B$14,Revenue_Build!R10&gt;=Assumptions!$F$232*Assumptions!$B$51)),Assumptions!$D$232,0)</f>
        <v/>
      </c>
      <c r="S17" s="41">
        <f>IF(OR(R17&gt;0,AND(S$3&gt;=Assumptions!$E$232,S$3&gt;=Assumptions!$B$14,Revenue_Build!S10&gt;=Assumptions!$F$232*Assumptions!$B$51)),Assumptions!$D$232,0)</f>
        <v/>
      </c>
      <c r="T17" s="41">
        <f>IF(OR(S17&gt;0,AND(T$3&gt;=Assumptions!$E$232,T$3&gt;=Assumptions!$B$14,Revenue_Build!T10&gt;=Assumptions!$F$232*Assumptions!$B$51)),Assumptions!$D$232,0)</f>
        <v/>
      </c>
      <c r="U17" s="41">
        <f>IF(OR(T17&gt;0,AND(U$3&gt;=Assumptions!$E$232,U$3&gt;=Assumptions!$B$14,Revenue_Build!U10&gt;=Assumptions!$F$232*Assumptions!$B$51)),Assumptions!$D$232,0)</f>
        <v/>
      </c>
      <c r="V17" s="41">
        <f>IF(OR(U17&gt;0,AND(V$3&gt;=Assumptions!$E$232,V$3&gt;=Assumptions!$B$14,Revenue_Build!V10&gt;=Assumptions!$F$232*Assumptions!$B$51)),Assumptions!$D$232,0)</f>
        <v/>
      </c>
      <c r="W17" s="41">
        <f>IF(OR(V17&gt;0,AND(W$3&gt;=Assumptions!$E$232,W$3&gt;=Assumptions!$B$14,Revenue_Build!W10&gt;=Assumptions!$F$232*Assumptions!$B$51)),Assumptions!$D$232,0)</f>
        <v/>
      </c>
      <c r="X17" s="41">
        <f>IF(OR(W17&gt;0,AND(X$3&gt;=Assumptions!$E$232,X$3&gt;=Assumptions!$B$14,Revenue_Build!X10&gt;=Assumptions!$F$232*Assumptions!$B$51)),Assumptions!$D$232,0)</f>
        <v/>
      </c>
      <c r="Y17" s="41">
        <f>IF(OR(X17&gt;0,AND(Y$3&gt;=Assumptions!$E$232,Y$3&gt;=Assumptions!$B$14,Revenue_Build!Y10&gt;=Assumptions!$F$232*Assumptions!$B$51)),Assumptions!$D$232,0)</f>
        <v/>
      </c>
      <c r="Z17" s="41">
        <f>IF(OR(Y17&gt;0,AND(Z$3&gt;=Assumptions!$E$232,Z$3&gt;=Assumptions!$B$14,Revenue_Build!Z10&gt;=Assumptions!$F$232*Assumptions!$B$51)),Assumptions!$D$232,0)</f>
        <v/>
      </c>
      <c r="AA17" s="41">
        <f>IF(OR(Z17&gt;0,AND(AA$3&gt;=Assumptions!$E$232,AA$3&gt;=Assumptions!$B$14,Revenue_Build!AA10&gt;=Assumptions!$F$232*Assumptions!$B$51)),Assumptions!$D$232,0)</f>
        <v/>
      </c>
      <c r="AB17" s="41">
        <f>IF(OR(AA17&gt;0,AND(AB$3&gt;=Assumptions!$E$232,AB$3&gt;=Assumptions!$B$14,Revenue_Build!AB10&gt;=Assumptions!$F$232*Assumptions!$B$51)),Assumptions!$D$232,0)</f>
        <v/>
      </c>
      <c r="AC17" s="41">
        <f>IF(OR(AB17&gt;0,AND(AC$3&gt;=Assumptions!$E$232,AC$3&gt;=Assumptions!$B$14,Revenue_Build!AC10&gt;=Assumptions!$F$232*Assumptions!$B$51)),Assumptions!$D$232,0)</f>
        <v/>
      </c>
      <c r="AD17" s="41">
        <f>IF(OR(AC17&gt;0,AND(AD$3&gt;=Assumptions!$E$232,AD$3&gt;=Assumptions!$B$14,Revenue_Build!AD10&gt;=Assumptions!$F$232*Assumptions!$B$51)),Assumptions!$D$232,0)</f>
        <v/>
      </c>
      <c r="AE17" s="41">
        <f>IF(OR(AD17&gt;0,AND(AE$3&gt;=Assumptions!$E$232,AE$3&gt;=Assumptions!$B$14,Revenue_Build!AE10&gt;=Assumptions!$F$232*Assumptions!$B$51)),Assumptions!$D$232,0)</f>
        <v/>
      </c>
      <c r="AF17" s="41">
        <f>IF(OR(AE17&gt;0,AND(AF$3&gt;=Assumptions!$E$232,AF$3&gt;=Assumptions!$B$14,Revenue_Build!AF10&gt;=Assumptions!$F$232*Assumptions!$B$51)),Assumptions!$D$232,0)</f>
        <v/>
      </c>
      <c r="AG17" s="41">
        <f>IF(OR(AF17&gt;0,AND(AG$3&gt;=Assumptions!$E$232,AG$3&gt;=Assumptions!$B$14,Revenue_Build!AG10&gt;=Assumptions!$F$232*Assumptions!$B$51)),Assumptions!$D$232,0)</f>
        <v/>
      </c>
      <c r="AH17" s="41">
        <f>IF(OR(AG17&gt;0,AND(AH$3&gt;=Assumptions!$E$232,AH$3&gt;=Assumptions!$B$14,Revenue_Build!AH10&gt;=Assumptions!$F$232*Assumptions!$B$51)),Assumptions!$D$232,0)</f>
        <v/>
      </c>
      <c r="AI17" s="41">
        <f>IF(OR(AH17&gt;0,AND(AI$3&gt;=Assumptions!$E$232,AI$3&gt;=Assumptions!$B$14,Revenue_Build!AI10&gt;=Assumptions!$F$232*Assumptions!$B$51)),Assumptions!$D$232,0)</f>
        <v/>
      </c>
      <c r="AJ17" s="41">
        <f>IF(OR(AI17&gt;0,AND(AJ$3&gt;=Assumptions!$E$232,AJ$3&gt;=Assumptions!$B$14,Revenue_Build!AJ10&gt;=Assumptions!$F$232*Assumptions!$B$51)),Assumptions!$D$232,0)</f>
        <v/>
      </c>
      <c r="AK17" s="41">
        <f>IF(OR(AJ17&gt;0,AND(AK$3&gt;=Assumptions!$E$232,AK$3&gt;=Assumptions!$B$14,Revenue_Build!AK10&gt;=Assumptions!$F$232*Assumptions!$B$51)),Assumptions!$D$232,0)</f>
        <v/>
      </c>
      <c r="AL17" s="41">
        <f>IF(OR(AK17&gt;0,AND(AL$3&gt;=Assumptions!$E$232,AL$3&gt;=Assumptions!$B$14,Revenue_Build!AL10&gt;=Assumptions!$F$232*Assumptions!$B$51)),Assumptions!$D$232,0)</f>
        <v/>
      </c>
      <c r="AM17" s="41">
        <f>IF(OR(AL17&gt;0,AND(AM$3&gt;=Assumptions!$E$232,AM$3&gt;=Assumptions!$B$14,Revenue_Build!AM10&gt;=Assumptions!$F$232*Assumptions!$B$51)),Assumptions!$D$232,0)</f>
        <v/>
      </c>
      <c r="AN17" s="41">
        <f>IF(OR(AM17&gt;0,AND(AN$3&gt;=Assumptions!$E$232,AN$3&gt;=Assumptions!$B$14,Revenue_Build!AN10&gt;=Assumptions!$F$232*Assumptions!$B$51)),Assumptions!$D$232,0)</f>
        <v/>
      </c>
      <c r="AO17" s="41">
        <f>IF(OR(AN17&gt;0,AND(AO$3&gt;=Assumptions!$E$232,AO$3&gt;=Assumptions!$B$14,Revenue_Build!AO10&gt;=Assumptions!$F$232*Assumptions!$B$51)),Assumptions!$D$232,0)</f>
        <v/>
      </c>
      <c r="AP17" s="41">
        <f>IF(OR(AO17&gt;0,AND(AP$3&gt;=Assumptions!$E$232,AP$3&gt;=Assumptions!$B$14,Revenue_Build!AP10&gt;=Assumptions!$F$232*Assumptions!$B$51)),Assumptions!$D$232,0)</f>
        <v/>
      </c>
      <c r="AQ17" s="41">
        <f>IF(OR(AP17&gt;0,AND(AQ$3&gt;=Assumptions!$E$232,AQ$3&gt;=Assumptions!$B$14,Revenue_Build!AQ10&gt;=Assumptions!$F$232*Assumptions!$B$51)),Assumptions!$D$232,0)</f>
        <v/>
      </c>
      <c r="AR17" s="41">
        <f>IF(OR(AQ17&gt;0,AND(AR$3&gt;=Assumptions!$E$232,AR$3&gt;=Assumptions!$B$14,Revenue_Build!AR10&gt;=Assumptions!$F$232*Assumptions!$B$51)),Assumptions!$D$232,0)</f>
        <v/>
      </c>
      <c r="AS17" s="41">
        <f>IF(OR(AR17&gt;0,AND(AS$3&gt;=Assumptions!$E$232,AS$3&gt;=Assumptions!$B$14,Revenue_Build!AS10&gt;=Assumptions!$F$232*Assumptions!$B$51)),Assumptions!$D$232,0)</f>
        <v/>
      </c>
      <c r="AT17" s="41">
        <f>IF(OR(AS17&gt;0,AND(AT$3&gt;=Assumptions!$E$232,AT$3&gt;=Assumptions!$B$14,Revenue_Build!AT10&gt;=Assumptions!$F$232*Assumptions!$B$51)),Assumptions!$D$232,0)</f>
        <v/>
      </c>
      <c r="AU17" s="41">
        <f>IF(OR(AT17&gt;0,AND(AU$3&gt;=Assumptions!$E$232,AU$3&gt;=Assumptions!$B$14,Revenue_Build!AU10&gt;=Assumptions!$F$232*Assumptions!$B$51)),Assumptions!$D$232,0)</f>
        <v/>
      </c>
      <c r="AV17" s="41">
        <f>IF(OR(AU17&gt;0,AND(AV$3&gt;=Assumptions!$E$232,AV$3&gt;=Assumptions!$B$14,Revenue_Build!AV10&gt;=Assumptions!$F$232*Assumptions!$B$51)),Assumptions!$D$232,0)</f>
        <v/>
      </c>
      <c r="AW17" s="41">
        <f>IF(OR(AV17&gt;0,AND(AW$3&gt;=Assumptions!$E$232,AW$3&gt;=Assumptions!$B$14,Revenue_Build!AW10&gt;=Assumptions!$F$232*Assumptions!$B$51)),Assumptions!$D$232,0)</f>
        <v/>
      </c>
      <c r="AX17" s="41">
        <f>IF(OR(AW17&gt;0,AND(AX$3&gt;=Assumptions!$E$232,AX$3&gt;=Assumptions!$B$14,Revenue_Build!AX10&gt;=Assumptions!$F$232*Assumptions!$B$51)),Assumptions!$D$232,0)</f>
        <v/>
      </c>
      <c r="AY17" s="41">
        <f>IF(OR(AX17&gt;0,AND(AY$3&gt;=Assumptions!$E$232,AY$3&gt;=Assumptions!$B$14,Revenue_Build!AY10&gt;=Assumptions!$F$232*Assumptions!$B$51)),Assumptions!$D$232,0)</f>
        <v/>
      </c>
      <c r="AZ17" s="41">
        <f>IF(OR(AY17&gt;0,AND(AZ$3&gt;=Assumptions!$E$232,AZ$3&gt;=Assumptions!$B$14,Revenue_Build!AZ10&gt;=Assumptions!$F$232*Assumptions!$B$51)),Assumptions!$D$232,0)</f>
        <v/>
      </c>
      <c r="BA17" s="41">
        <f>IF(OR(AZ17&gt;0,AND(BA$3&gt;=Assumptions!$E$232,BA$3&gt;=Assumptions!$B$14,Revenue_Build!BA10&gt;=Assumptions!$F$232*Assumptions!$B$51)),Assumptions!$D$232,0)</f>
        <v/>
      </c>
      <c r="BB17" s="41">
        <f>IF(OR(BA17&gt;0,AND(BB$3&gt;=Assumptions!$E$232,BB$3&gt;=Assumptions!$B$14,Revenue_Build!BB10&gt;=Assumptions!$F$232*Assumptions!$B$51)),Assumptions!$D$232,0)</f>
        <v/>
      </c>
      <c r="BC17" s="41">
        <f>IF(OR(BB17&gt;0,AND(BC$3&gt;=Assumptions!$E$232,BC$3&gt;=Assumptions!$B$14,Revenue_Build!BC10&gt;=Assumptions!$F$232*Assumptions!$B$51)),Assumptions!$D$232,0)</f>
        <v/>
      </c>
      <c r="BD17" s="41">
        <f>IF(OR(BC17&gt;0,AND(BD$3&gt;=Assumptions!$E$232,BD$3&gt;=Assumptions!$B$14,Revenue_Build!BD10&gt;=Assumptions!$F$232*Assumptions!$B$51)),Assumptions!$D$232,0)</f>
        <v/>
      </c>
      <c r="BE17" s="41">
        <f>IF(OR(BD17&gt;0,AND(BE$3&gt;=Assumptions!$E$232,BE$3&gt;=Assumptions!$B$14,Revenue_Build!BE10&gt;=Assumptions!$F$232*Assumptions!$B$51)),Assumptions!$D$232,0)</f>
        <v/>
      </c>
      <c r="BF17" s="41">
        <f>IF(OR(BE17&gt;0,AND(BF$3&gt;=Assumptions!$E$232,BF$3&gt;=Assumptions!$B$14,Revenue_Build!BF10&gt;=Assumptions!$F$232*Assumptions!$B$51)),Assumptions!$D$232,0)</f>
        <v/>
      </c>
      <c r="BG17" s="41">
        <f>IF(OR(BF17&gt;0,AND(BG$3&gt;=Assumptions!$E$232,BG$3&gt;=Assumptions!$B$14,Revenue_Build!BG10&gt;=Assumptions!$F$232*Assumptions!$B$51)),Assumptions!$D$232,0)</f>
        <v/>
      </c>
      <c r="BH17" s="41">
        <f>IF(OR(BG17&gt;0,AND(BH$3&gt;=Assumptions!$E$232,BH$3&gt;=Assumptions!$B$14,Revenue_Build!BH10&gt;=Assumptions!$F$232*Assumptions!$B$51)),Assumptions!$D$232,0)</f>
        <v/>
      </c>
      <c r="BI17" s="41">
        <f>IF(OR(BH17&gt;0,AND(BI$3&gt;=Assumptions!$E$232,BI$3&gt;=Assumptions!$B$14,Revenue_Build!BI10&gt;=Assumptions!$F$232*Assumptions!$B$51)),Assumptions!$D$232,0)</f>
        <v/>
      </c>
      <c r="BJ17" s="41">
        <f>IF(OR(BI17&gt;0,AND(BJ$3&gt;=Assumptions!$E$232,BJ$3&gt;=Assumptions!$B$14,Revenue_Build!BJ10&gt;=Assumptions!$F$232*Assumptions!$B$51)),Assumptions!$D$232,0)</f>
        <v/>
      </c>
    </row>
    <row r="18">
      <c r="A18" s="4" t="inlineStr">
        <is>
          <t>Payments &amp; data engineers</t>
        </is>
      </c>
      <c r="B18" s="17" t="inlineStr">
        <is>
          <t>FTE</t>
        </is>
      </c>
      <c r="C18" s="41">
        <f>IF(AND(C$3&gt;=Assumptions!$E$233,C$3&gt;=Assumptions!$B$14,Revenue_Build!C10&gt;=Assumptions!$F$233*Assumptions!$B$51),Assumptions!$D$233,0)</f>
        <v/>
      </c>
      <c r="D18" s="41">
        <f>IF(OR(C18&gt;0,AND(D$3&gt;=Assumptions!$E$233,D$3&gt;=Assumptions!$B$14,Revenue_Build!D10&gt;=Assumptions!$F$233*Assumptions!$B$51)),Assumptions!$D$233,0)</f>
        <v/>
      </c>
      <c r="E18" s="41">
        <f>IF(OR(D18&gt;0,AND(E$3&gt;=Assumptions!$E$233,E$3&gt;=Assumptions!$B$14,Revenue_Build!E10&gt;=Assumptions!$F$233*Assumptions!$B$51)),Assumptions!$D$233,0)</f>
        <v/>
      </c>
      <c r="F18" s="41">
        <f>IF(OR(E18&gt;0,AND(F$3&gt;=Assumptions!$E$233,F$3&gt;=Assumptions!$B$14,Revenue_Build!F10&gt;=Assumptions!$F$233*Assumptions!$B$51)),Assumptions!$D$233,0)</f>
        <v/>
      </c>
      <c r="G18" s="41">
        <f>IF(OR(F18&gt;0,AND(G$3&gt;=Assumptions!$E$233,G$3&gt;=Assumptions!$B$14,Revenue_Build!G10&gt;=Assumptions!$F$233*Assumptions!$B$51)),Assumptions!$D$233,0)</f>
        <v/>
      </c>
      <c r="H18" s="41">
        <f>IF(OR(G18&gt;0,AND(H$3&gt;=Assumptions!$E$233,H$3&gt;=Assumptions!$B$14,Revenue_Build!H10&gt;=Assumptions!$F$233*Assumptions!$B$51)),Assumptions!$D$233,0)</f>
        <v/>
      </c>
      <c r="I18" s="41">
        <f>IF(OR(H18&gt;0,AND(I$3&gt;=Assumptions!$E$233,I$3&gt;=Assumptions!$B$14,Revenue_Build!I10&gt;=Assumptions!$F$233*Assumptions!$B$51)),Assumptions!$D$233,0)</f>
        <v/>
      </c>
      <c r="J18" s="41">
        <f>IF(OR(I18&gt;0,AND(J$3&gt;=Assumptions!$E$233,J$3&gt;=Assumptions!$B$14,Revenue_Build!J10&gt;=Assumptions!$F$233*Assumptions!$B$51)),Assumptions!$D$233,0)</f>
        <v/>
      </c>
      <c r="K18" s="41">
        <f>IF(OR(J18&gt;0,AND(K$3&gt;=Assumptions!$E$233,K$3&gt;=Assumptions!$B$14,Revenue_Build!K10&gt;=Assumptions!$F$233*Assumptions!$B$51)),Assumptions!$D$233,0)</f>
        <v/>
      </c>
      <c r="L18" s="41">
        <f>IF(OR(K18&gt;0,AND(L$3&gt;=Assumptions!$E$233,L$3&gt;=Assumptions!$B$14,Revenue_Build!L10&gt;=Assumptions!$F$233*Assumptions!$B$51)),Assumptions!$D$233,0)</f>
        <v/>
      </c>
      <c r="M18" s="41">
        <f>IF(OR(L18&gt;0,AND(M$3&gt;=Assumptions!$E$233,M$3&gt;=Assumptions!$B$14,Revenue_Build!M10&gt;=Assumptions!$F$233*Assumptions!$B$51)),Assumptions!$D$233,0)</f>
        <v/>
      </c>
      <c r="N18" s="41">
        <f>IF(OR(M18&gt;0,AND(N$3&gt;=Assumptions!$E$233,N$3&gt;=Assumptions!$B$14,Revenue_Build!N10&gt;=Assumptions!$F$233*Assumptions!$B$51)),Assumptions!$D$233,0)</f>
        <v/>
      </c>
      <c r="O18" s="41">
        <f>IF(OR(N18&gt;0,AND(O$3&gt;=Assumptions!$E$233,O$3&gt;=Assumptions!$B$14,Revenue_Build!O10&gt;=Assumptions!$F$233*Assumptions!$B$51)),Assumptions!$D$233,0)</f>
        <v/>
      </c>
      <c r="P18" s="41">
        <f>IF(OR(O18&gt;0,AND(P$3&gt;=Assumptions!$E$233,P$3&gt;=Assumptions!$B$14,Revenue_Build!P10&gt;=Assumptions!$F$233*Assumptions!$B$51)),Assumptions!$D$233,0)</f>
        <v/>
      </c>
      <c r="Q18" s="41">
        <f>IF(OR(P18&gt;0,AND(Q$3&gt;=Assumptions!$E$233,Q$3&gt;=Assumptions!$B$14,Revenue_Build!Q10&gt;=Assumptions!$F$233*Assumptions!$B$51)),Assumptions!$D$233,0)</f>
        <v/>
      </c>
      <c r="R18" s="41">
        <f>IF(OR(Q18&gt;0,AND(R$3&gt;=Assumptions!$E$233,R$3&gt;=Assumptions!$B$14,Revenue_Build!R10&gt;=Assumptions!$F$233*Assumptions!$B$51)),Assumptions!$D$233,0)</f>
        <v/>
      </c>
      <c r="S18" s="41">
        <f>IF(OR(R18&gt;0,AND(S$3&gt;=Assumptions!$E$233,S$3&gt;=Assumptions!$B$14,Revenue_Build!S10&gt;=Assumptions!$F$233*Assumptions!$B$51)),Assumptions!$D$233,0)</f>
        <v/>
      </c>
      <c r="T18" s="41">
        <f>IF(OR(S18&gt;0,AND(T$3&gt;=Assumptions!$E$233,T$3&gt;=Assumptions!$B$14,Revenue_Build!T10&gt;=Assumptions!$F$233*Assumptions!$B$51)),Assumptions!$D$233,0)</f>
        <v/>
      </c>
      <c r="U18" s="41">
        <f>IF(OR(T18&gt;0,AND(U$3&gt;=Assumptions!$E$233,U$3&gt;=Assumptions!$B$14,Revenue_Build!U10&gt;=Assumptions!$F$233*Assumptions!$B$51)),Assumptions!$D$233,0)</f>
        <v/>
      </c>
      <c r="V18" s="41">
        <f>IF(OR(U18&gt;0,AND(V$3&gt;=Assumptions!$E$233,V$3&gt;=Assumptions!$B$14,Revenue_Build!V10&gt;=Assumptions!$F$233*Assumptions!$B$51)),Assumptions!$D$233,0)</f>
        <v/>
      </c>
      <c r="W18" s="41">
        <f>IF(OR(V18&gt;0,AND(W$3&gt;=Assumptions!$E$233,W$3&gt;=Assumptions!$B$14,Revenue_Build!W10&gt;=Assumptions!$F$233*Assumptions!$B$51)),Assumptions!$D$233,0)</f>
        <v/>
      </c>
      <c r="X18" s="41">
        <f>IF(OR(W18&gt;0,AND(X$3&gt;=Assumptions!$E$233,X$3&gt;=Assumptions!$B$14,Revenue_Build!X10&gt;=Assumptions!$F$233*Assumptions!$B$51)),Assumptions!$D$233,0)</f>
        <v/>
      </c>
      <c r="Y18" s="41">
        <f>IF(OR(X18&gt;0,AND(Y$3&gt;=Assumptions!$E$233,Y$3&gt;=Assumptions!$B$14,Revenue_Build!Y10&gt;=Assumptions!$F$233*Assumptions!$B$51)),Assumptions!$D$233,0)</f>
        <v/>
      </c>
      <c r="Z18" s="41">
        <f>IF(OR(Y18&gt;0,AND(Z$3&gt;=Assumptions!$E$233,Z$3&gt;=Assumptions!$B$14,Revenue_Build!Z10&gt;=Assumptions!$F$233*Assumptions!$B$51)),Assumptions!$D$233,0)</f>
        <v/>
      </c>
      <c r="AA18" s="41">
        <f>IF(OR(Z18&gt;0,AND(AA$3&gt;=Assumptions!$E$233,AA$3&gt;=Assumptions!$B$14,Revenue_Build!AA10&gt;=Assumptions!$F$233*Assumptions!$B$51)),Assumptions!$D$233,0)</f>
        <v/>
      </c>
      <c r="AB18" s="41">
        <f>IF(OR(AA18&gt;0,AND(AB$3&gt;=Assumptions!$E$233,AB$3&gt;=Assumptions!$B$14,Revenue_Build!AB10&gt;=Assumptions!$F$233*Assumptions!$B$51)),Assumptions!$D$233,0)</f>
        <v/>
      </c>
      <c r="AC18" s="41">
        <f>IF(OR(AB18&gt;0,AND(AC$3&gt;=Assumptions!$E$233,AC$3&gt;=Assumptions!$B$14,Revenue_Build!AC10&gt;=Assumptions!$F$233*Assumptions!$B$51)),Assumptions!$D$233,0)</f>
        <v/>
      </c>
      <c r="AD18" s="41">
        <f>IF(OR(AC18&gt;0,AND(AD$3&gt;=Assumptions!$E$233,AD$3&gt;=Assumptions!$B$14,Revenue_Build!AD10&gt;=Assumptions!$F$233*Assumptions!$B$51)),Assumptions!$D$233,0)</f>
        <v/>
      </c>
      <c r="AE18" s="41">
        <f>IF(OR(AD18&gt;0,AND(AE$3&gt;=Assumptions!$E$233,AE$3&gt;=Assumptions!$B$14,Revenue_Build!AE10&gt;=Assumptions!$F$233*Assumptions!$B$51)),Assumptions!$D$233,0)</f>
        <v/>
      </c>
      <c r="AF18" s="41">
        <f>IF(OR(AE18&gt;0,AND(AF$3&gt;=Assumptions!$E$233,AF$3&gt;=Assumptions!$B$14,Revenue_Build!AF10&gt;=Assumptions!$F$233*Assumptions!$B$51)),Assumptions!$D$233,0)</f>
        <v/>
      </c>
      <c r="AG18" s="41">
        <f>IF(OR(AF18&gt;0,AND(AG$3&gt;=Assumptions!$E$233,AG$3&gt;=Assumptions!$B$14,Revenue_Build!AG10&gt;=Assumptions!$F$233*Assumptions!$B$51)),Assumptions!$D$233,0)</f>
        <v/>
      </c>
      <c r="AH18" s="41">
        <f>IF(OR(AG18&gt;0,AND(AH$3&gt;=Assumptions!$E$233,AH$3&gt;=Assumptions!$B$14,Revenue_Build!AH10&gt;=Assumptions!$F$233*Assumptions!$B$51)),Assumptions!$D$233,0)</f>
        <v/>
      </c>
      <c r="AI18" s="41">
        <f>IF(OR(AH18&gt;0,AND(AI$3&gt;=Assumptions!$E$233,AI$3&gt;=Assumptions!$B$14,Revenue_Build!AI10&gt;=Assumptions!$F$233*Assumptions!$B$51)),Assumptions!$D$233,0)</f>
        <v/>
      </c>
      <c r="AJ18" s="41">
        <f>IF(OR(AI18&gt;0,AND(AJ$3&gt;=Assumptions!$E$233,AJ$3&gt;=Assumptions!$B$14,Revenue_Build!AJ10&gt;=Assumptions!$F$233*Assumptions!$B$51)),Assumptions!$D$233,0)</f>
        <v/>
      </c>
      <c r="AK18" s="41">
        <f>IF(OR(AJ18&gt;0,AND(AK$3&gt;=Assumptions!$E$233,AK$3&gt;=Assumptions!$B$14,Revenue_Build!AK10&gt;=Assumptions!$F$233*Assumptions!$B$51)),Assumptions!$D$233,0)</f>
        <v/>
      </c>
      <c r="AL18" s="41">
        <f>IF(OR(AK18&gt;0,AND(AL$3&gt;=Assumptions!$E$233,AL$3&gt;=Assumptions!$B$14,Revenue_Build!AL10&gt;=Assumptions!$F$233*Assumptions!$B$51)),Assumptions!$D$233,0)</f>
        <v/>
      </c>
      <c r="AM18" s="41">
        <f>IF(OR(AL18&gt;0,AND(AM$3&gt;=Assumptions!$E$233,AM$3&gt;=Assumptions!$B$14,Revenue_Build!AM10&gt;=Assumptions!$F$233*Assumptions!$B$51)),Assumptions!$D$233,0)</f>
        <v/>
      </c>
      <c r="AN18" s="41">
        <f>IF(OR(AM18&gt;0,AND(AN$3&gt;=Assumptions!$E$233,AN$3&gt;=Assumptions!$B$14,Revenue_Build!AN10&gt;=Assumptions!$F$233*Assumptions!$B$51)),Assumptions!$D$233,0)</f>
        <v/>
      </c>
      <c r="AO18" s="41">
        <f>IF(OR(AN18&gt;0,AND(AO$3&gt;=Assumptions!$E$233,AO$3&gt;=Assumptions!$B$14,Revenue_Build!AO10&gt;=Assumptions!$F$233*Assumptions!$B$51)),Assumptions!$D$233,0)</f>
        <v/>
      </c>
      <c r="AP18" s="41">
        <f>IF(OR(AO18&gt;0,AND(AP$3&gt;=Assumptions!$E$233,AP$3&gt;=Assumptions!$B$14,Revenue_Build!AP10&gt;=Assumptions!$F$233*Assumptions!$B$51)),Assumptions!$D$233,0)</f>
        <v/>
      </c>
      <c r="AQ18" s="41">
        <f>IF(OR(AP18&gt;0,AND(AQ$3&gt;=Assumptions!$E$233,AQ$3&gt;=Assumptions!$B$14,Revenue_Build!AQ10&gt;=Assumptions!$F$233*Assumptions!$B$51)),Assumptions!$D$233,0)</f>
        <v/>
      </c>
      <c r="AR18" s="41">
        <f>IF(OR(AQ18&gt;0,AND(AR$3&gt;=Assumptions!$E$233,AR$3&gt;=Assumptions!$B$14,Revenue_Build!AR10&gt;=Assumptions!$F$233*Assumptions!$B$51)),Assumptions!$D$233,0)</f>
        <v/>
      </c>
      <c r="AS18" s="41">
        <f>IF(OR(AR18&gt;0,AND(AS$3&gt;=Assumptions!$E$233,AS$3&gt;=Assumptions!$B$14,Revenue_Build!AS10&gt;=Assumptions!$F$233*Assumptions!$B$51)),Assumptions!$D$233,0)</f>
        <v/>
      </c>
      <c r="AT18" s="41">
        <f>IF(OR(AS18&gt;0,AND(AT$3&gt;=Assumptions!$E$233,AT$3&gt;=Assumptions!$B$14,Revenue_Build!AT10&gt;=Assumptions!$F$233*Assumptions!$B$51)),Assumptions!$D$233,0)</f>
        <v/>
      </c>
      <c r="AU18" s="41">
        <f>IF(OR(AT18&gt;0,AND(AU$3&gt;=Assumptions!$E$233,AU$3&gt;=Assumptions!$B$14,Revenue_Build!AU10&gt;=Assumptions!$F$233*Assumptions!$B$51)),Assumptions!$D$233,0)</f>
        <v/>
      </c>
      <c r="AV18" s="41">
        <f>IF(OR(AU18&gt;0,AND(AV$3&gt;=Assumptions!$E$233,AV$3&gt;=Assumptions!$B$14,Revenue_Build!AV10&gt;=Assumptions!$F$233*Assumptions!$B$51)),Assumptions!$D$233,0)</f>
        <v/>
      </c>
      <c r="AW18" s="41">
        <f>IF(OR(AV18&gt;0,AND(AW$3&gt;=Assumptions!$E$233,AW$3&gt;=Assumptions!$B$14,Revenue_Build!AW10&gt;=Assumptions!$F$233*Assumptions!$B$51)),Assumptions!$D$233,0)</f>
        <v/>
      </c>
      <c r="AX18" s="41">
        <f>IF(OR(AW18&gt;0,AND(AX$3&gt;=Assumptions!$E$233,AX$3&gt;=Assumptions!$B$14,Revenue_Build!AX10&gt;=Assumptions!$F$233*Assumptions!$B$51)),Assumptions!$D$233,0)</f>
        <v/>
      </c>
      <c r="AY18" s="41">
        <f>IF(OR(AX18&gt;0,AND(AY$3&gt;=Assumptions!$E$233,AY$3&gt;=Assumptions!$B$14,Revenue_Build!AY10&gt;=Assumptions!$F$233*Assumptions!$B$51)),Assumptions!$D$233,0)</f>
        <v/>
      </c>
      <c r="AZ18" s="41">
        <f>IF(OR(AY18&gt;0,AND(AZ$3&gt;=Assumptions!$E$233,AZ$3&gt;=Assumptions!$B$14,Revenue_Build!AZ10&gt;=Assumptions!$F$233*Assumptions!$B$51)),Assumptions!$D$233,0)</f>
        <v/>
      </c>
      <c r="BA18" s="41">
        <f>IF(OR(AZ18&gt;0,AND(BA$3&gt;=Assumptions!$E$233,BA$3&gt;=Assumptions!$B$14,Revenue_Build!BA10&gt;=Assumptions!$F$233*Assumptions!$B$51)),Assumptions!$D$233,0)</f>
        <v/>
      </c>
      <c r="BB18" s="41">
        <f>IF(OR(BA18&gt;0,AND(BB$3&gt;=Assumptions!$E$233,BB$3&gt;=Assumptions!$B$14,Revenue_Build!BB10&gt;=Assumptions!$F$233*Assumptions!$B$51)),Assumptions!$D$233,0)</f>
        <v/>
      </c>
      <c r="BC18" s="41">
        <f>IF(OR(BB18&gt;0,AND(BC$3&gt;=Assumptions!$E$233,BC$3&gt;=Assumptions!$B$14,Revenue_Build!BC10&gt;=Assumptions!$F$233*Assumptions!$B$51)),Assumptions!$D$233,0)</f>
        <v/>
      </c>
      <c r="BD18" s="41">
        <f>IF(OR(BC18&gt;0,AND(BD$3&gt;=Assumptions!$E$233,BD$3&gt;=Assumptions!$B$14,Revenue_Build!BD10&gt;=Assumptions!$F$233*Assumptions!$B$51)),Assumptions!$D$233,0)</f>
        <v/>
      </c>
      <c r="BE18" s="41">
        <f>IF(OR(BD18&gt;0,AND(BE$3&gt;=Assumptions!$E$233,BE$3&gt;=Assumptions!$B$14,Revenue_Build!BE10&gt;=Assumptions!$F$233*Assumptions!$B$51)),Assumptions!$D$233,0)</f>
        <v/>
      </c>
      <c r="BF18" s="41">
        <f>IF(OR(BE18&gt;0,AND(BF$3&gt;=Assumptions!$E$233,BF$3&gt;=Assumptions!$B$14,Revenue_Build!BF10&gt;=Assumptions!$F$233*Assumptions!$B$51)),Assumptions!$D$233,0)</f>
        <v/>
      </c>
      <c r="BG18" s="41">
        <f>IF(OR(BF18&gt;0,AND(BG$3&gt;=Assumptions!$E$233,BG$3&gt;=Assumptions!$B$14,Revenue_Build!BG10&gt;=Assumptions!$F$233*Assumptions!$B$51)),Assumptions!$D$233,0)</f>
        <v/>
      </c>
      <c r="BH18" s="41">
        <f>IF(OR(BG18&gt;0,AND(BH$3&gt;=Assumptions!$E$233,BH$3&gt;=Assumptions!$B$14,Revenue_Build!BH10&gt;=Assumptions!$F$233*Assumptions!$B$51)),Assumptions!$D$233,0)</f>
        <v/>
      </c>
      <c r="BI18" s="41">
        <f>IF(OR(BH18&gt;0,AND(BI$3&gt;=Assumptions!$E$233,BI$3&gt;=Assumptions!$B$14,Revenue_Build!BI10&gt;=Assumptions!$F$233*Assumptions!$B$51)),Assumptions!$D$233,0)</f>
        <v/>
      </c>
      <c r="BJ18" s="41">
        <f>IF(OR(BI18&gt;0,AND(BJ$3&gt;=Assumptions!$E$233,BJ$3&gt;=Assumptions!$B$14,Revenue_Build!BJ10&gt;=Assumptions!$F$233*Assumptions!$B$51)),Assumptions!$D$233,0)</f>
        <v/>
      </c>
    </row>
    <row r="19">
      <c r="A19" s="4" t="inlineStr">
        <is>
          <t>Engineers (scale-up I)</t>
        </is>
      </c>
      <c r="B19" s="17" t="inlineStr">
        <is>
          <t>FTE</t>
        </is>
      </c>
      <c r="C19" s="41">
        <f>IF(AND(C$3&gt;=Assumptions!$E$234,C$3&gt;=Assumptions!$B$14,Revenue_Build!C10&gt;=Assumptions!$F$234*Assumptions!$B$51),Assumptions!$D$234,0)</f>
        <v/>
      </c>
      <c r="D19" s="41">
        <f>IF(OR(C19&gt;0,AND(D$3&gt;=Assumptions!$E$234,D$3&gt;=Assumptions!$B$14,Revenue_Build!D10&gt;=Assumptions!$F$234*Assumptions!$B$51)),Assumptions!$D$234,0)</f>
        <v/>
      </c>
      <c r="E19" s="41">
        <f>IF(OR(D19&gt;0,AND(E$3&gt;=Assumptions!$E$234,E$3&gt;=Assumptions!$B$14,Revenue_Build!E10&gt;=Assumptions!$F$234*Assumptions!$B$51)),Assumptions!$D$234,0)</f>
        <v/>
      </c>
      <c r="F19" s="41">
        <f>IF(OR(E19&gt;0,AND(F$3&gt;=Assumptions!$E$234,F$3&gt;=Assumptions!$B$14,Revenue_Build!F10&gt;=Assumptions!$F$234*Assumptions!$B$51)),Assumptions!$D$234,0)</f>
        <v/>
      </c>
      <c r="G19" s="41">
        <f>IF(OR(F19&gt;0,AND(G$3&gt;=Assumptions!$E$234,G$3&gt;=Assumptions!$B$14,Revenue_Build!G10&gt;=Assumptions!$F$234*Assumptions!$B$51)),Assumptions!$D$234,0)</f>
        <v/>
      </c>
      <c r="H19" s="41">
        <f>IF(OR(G19&gt;0,AND(H$3&gt;=Assumptions!$E$234,H$3&gt;=Assumptions!$B$14,Revenue_Build!H10&gt;=Assumptions!$F$234*Assumptions!$B$51)),Assumptions!$D$234,0)</f>
        <v/>
      </c>
      <c r="I19" s="41">
        <f>IF(OR(H19&gt;0,AND(I$3&gt;=Assumptions!$E$234,I$3&gt;=Assumptions!$B$14,Revenue_Build!I10&gt;=Assumptions!$F$234*Assumptions!$B$51)),Assumptions!$D$234,0)</f>
        <v/>
      </c>
      <c r="J19" s="41">
        <f>IF(OR(I19&gt;0,AND(J$3&gt;=Assumptions!$E$234,J$3&gt;=Assumptions!$B$14,Revenue_Build!J10&gt;=Assumptions!$F$234*Assumptions!$B$51)),Assumptions!$D$234,0)</f>
        <v/>
      </c>
      <c r="K19" s="41">
        <f>IF(OR(J19&gt;0,AND(K$3&gt;=Assumptions!$E$234,K$3&gt;=Assumptions!$B$14,Revenue_Build!K10&gt;=Assumptions!$F$234*Assumptions!$B$51)),Assumptions!$D$234,0)</f>
        <v/>
      </c>
      <c r="L19" s="41">
        <f>IF(OR(K19&gt;0,AND(L$3&gt;=Assumptions!$E$234,L$3&gt;=Assumptions!$B$14,Revenue_Build!L10&gt;=Assumptions!$F$234*Assumptions!$B$51)),Assumptions!$D$234,0)</f>
        <v/>
      </c>
      <c r="M19" s="41">
        <f>IF(OR(L19&gt;0,AND(M$3&gt;=Assumptions!$E$234,M$3&gt;=Assumptions!$B$14,Revenue_Build!M10&gt;=Assumptions!$F$234*Assumptions!$B$51)),Assumptions!$D$234,0)</f>
        <v/>
      </c>
      <c r="N19" s="41">
        <f>IF(OR(M19&gt;0,AND(N$3&gt;=Assumptions!$E$234,N$3&gt;=Assumptions!$B$14,Revenue_Build!N10&gt;=Assumptions!$F$234*Assumptions!$B$51)),Assumptions!$D$234,0)</f>
        <v/>
      </c>
      <c r="O19" s="41">
        <f>IF(OR(N19&gt;0,AND(O$3&gt;=Assumptions!$E$234,O$3&gt;=Assumptions!$B$14,Revenue_Build!O10&gt;=Assumptions!$F$234*Assumptions!$B$51)),Assumptions!$D$234,0)</f>
        <v/>
      </c>
      <c r="P19" s="41">
        <f>IF(OR(O19&gt;0,AND(P$3&gt;=Assumptions!$E$234,P$3&gt;=Assumptions!$B$14,Revenue_Build!P10&gt;=Assumptions!$F$234*Assumptions!$B$51)),Assumptions!$D$234,0)</f>
        <v/>
      </c>
      <c r="Q19" s="41">
        <f>IF(OR(P19&gt;0,AND(Q$3&gt;=Assumptions!$E$234,Q$3&gt;=Assumptions!$B$14,Revenue_Build!Q10&gt;=Assumptions!$F$234*Assumptions!$B$51)),Assumptions!$D$234,0)</f>
        <v/>
      </c>
      <c r="R19" s="41">
        <f>IF(OR(Q19&gt;0,AND(R$3&gt;=Assumptions!$E$234,R$3&gt;=Assumptions!$B$14,Revenue_Build!R10&gt;=Assumptions!$F$234*Assumptions!$B$51)),Assumptions!$D$234,0)</f>
        <v/>
      </c>
      <c r="S19" s="41">
        <f>IF(OR(R19&gt;0,AND(S$3&gt;=Assumptions!$E$234,S$3&gt;=Assumptions!$B$14,Revenue_Build!S10&gt;=Assumptions!$F$234*Assumptions!$B$51)),Assumptions!$D$234,0)</f>
        <v/>
      </c>
      <c r="T19" s="41">
        <f>IF(OR(S19&gt;0,AND(T$3&gt;=Assumptions!$E$234,T$3&gt;=Assumptions!$B$14,Revenue_Build!T10&gt;=Assumptions!$F$234*Assumptions!$B$51)),Assumptions!$D$234,0)</f>
        <v/>
      </c>
      <c r="U19" s="41">
        <f>IF(OR(T19&gt;0,AND(U$3&gt;=Assumptions!$E$234,U$3&gt;=Assumptions!$B$14,Revenue_Build!U10&gt;=Assumptions!$F$234*Assumptions!$B$51)),Assumptions!$D$234,0)</f>
        <v/>
      </c>
      <c r="V19" s="41">
        <f>IF(OR(U19&gt;0,AND(V$3&gt;=Assumptions!$E$234,V$3&gt;=Assumptions!$B$14,Revenue_Build!V10&gt;=Assumptions!$F$234*Assumptions!$B$51)),Assumptions!$D$234,0)</f>
        <v/>
      </c>
      <c r="W19" s="41">
        <f>IF(OR(V19&gt;0,AND(W$3&gt;=Assumptions!$E$234,W$3&gt;=Assumptions!$B$14,Revenue_Build!W10&gt;=Assumptions!$F$234*Assumptions!$B$51)),Assumptions!$D$234,0)</f>
        <v/>
      </c>
      <c r="X19" s="41">
        <f>IF(OR(W19&gt;0,AND(X$3&gt;=Assumptions!$E$234,X$3&gt;=Assumptions!$B$14,Revenue_Build!X10&gt;=Assumptions!$F$234*Assumptions!$B$51)),Assumptions!$D$234,0)</f>
        <v/>
      </c>
      <c r="Y19" s="41">
        <f>IF(OR(X19&gt;0,AND(Y$3&gt;=Assumptions!$E$234,Y$3&gt;=Assumptions!$B$14,Revenue_Build!Y10&gt;=Assumptions!$F$234*Assumptions!$B$51)),Assumptions!$D$234,0)</f>
        <v/>
      </c>
      <c r="Z19" s="41">
        <f>IF(OR(Y19&gt;0,AND(Z$3&gt;=Assumptions!$E$234,Z$3&gt;=Assumptions!$B$14,Revenue_Build!Z10&gt;=Assumptions!$F$234*Assumptions!$B$51)),Assumptions!$D$234,0)</f>
        <v/>
      </c>
      <c r="AA19" s="41">
        <f>IF(OR(Z19&gt;0,AND(AA$3&gt;=Assumptions!$E$234,AA$3&gt;=Assumptions!$B$14,Revenue_Build!AA10&gt;=Assumptions!$F$234*Assumptions!$B$51)),Assumptions!$D$234,0)</f>
        <v/>
      </c>
      <c r="AB19" s="41">
        <f>IF(OR(AA19&gt;0,AND(AB$3&gt;=Assumptions!$E$234,AB$3&gt;=Assumptions!$B$14,Revenue_Build!AB10&gt;=Assumptions!$F$234*Assumptions!$B$51)),Assumptions!$D$234,0)</f>
        <v/>
      </c>
      <c r="AC19" s="41">
        <f>IF(OR(AB19&gt;0,AND(AC$3&gt;=Assumptions!$E$234,AC$3&gt;=Assumptions!$B$14,Revenue_Build!AC10&gt;=Assumptions!$F$234*Assumptions!$B$51)),Assumptions!$D$234,0)</f>
        <v/>
      </c>
      <c r="AD19" s="41">
        <f>IF(OR(AC19&gt;0,AND(AD$3&gt;=Assumptions!$E$234,AD$3&gt;=Assumptions!$B$14,Revenue_Build!AD10&gt;=Assumptions!$F$234*Assumptions!$B$51)),Assumptions!$D$234,0)</f>
        <v/>
      </c>
      <c r="AE19" s="41">
        <f>IF(OR(AD19&gt;0,AND(AE$3&gt;=Assumptions!$E$234,AE$3&gt;=Assumptions!$B$14,Revenue_Build!AE10&gt;=Assumptions!$F$234*Assumptions!$B$51)),Assumptions!$D$234,0)</f>
        <v/>
      </c>
      <c r="AF19" s="41">
        <f>IF(OR(AE19&gt;0,AND(AF$3&gt;=Assumptions!$E$234,AF$3&gt;=Assumptions!$B$14,Revenue_Build!AF10&gt;=Assumptions!$F$234*Assumptions!$B$51)),Assumptions!$D$234,0)</f>
        <v/>
      </c>
      <c r="AG19" s="41">
        <f>IF(OR(AF19&gt;0,AND(AG$3&gt;=Assumptions!$E$234,AG$3&gt;=Assumptions!$B$14,Revenue_Build!AG10&gt;=Assumptions!$F$234*Assumptions!$B$51)),Assumptions!$D$234,0)</f>
        <v/>
      </c>
      <c r="AH19" s="41">
        <f>IF(OR(AG19&gt;0,AND(AH$3&gt;=Assumptions!$E$234,AH$3&gt;=Assumptions!$B$14,Revenue_Build!AH10&gt;=Assumptions!$F$234*Assumptions!$B$51)),Assumptions!$D$234,0)</f>
        <v/>
      </c>
      <c r="AI19" s="41">
        <f>IF(OR(AH19&gt;0,AND(AI$3&gt;=Assumptions!$E$234,AI$3&gt;=Assumptions!$B$14,Revenue_Build!AI10&gt;=Assumptions!$F$234*Assumptions!$B$51)),Assumptions!$D$234,0)</f>
        <v/>
      </c>
      <c r="AJ19" s="41">
        <f>IF(OR(AI19&gt;0,AND(AJ$3&gt;=Assumptions!$E$234,AJ$3&gt;=Assumptions!$B$14,Revenue_Build!AJ10&gt;=Assumptions!$F$234*Assumptions!$B$51)),Assumptions!$D$234,0)</f>
        <v/>
      </c>
      <c r="AK19" s="41">
        <f>IF(OR(AJ19&gt;0,AND(AK$3&gt;=Assumptions!$E$234,AK$3&gt;=Assumptions!$B$14,Revenue_Build!AK10&gt;=Assumptions!$F$234*Assumptions!$B$51)),Assumptions!$D$234,0)</f>
        <v/>
      </c>
      <c r="AL19" s="41">
        <f>IF(OR(AK19&gt;0,AND(AL$3&gt;=Assumptions!$E$234,AL$3&gt;=Assumptions!$B$14,Revenue_Build!AL10&gt;=Assumptions!$F$234*Assumptions!$B$51)),Assumptions!$D$234,0)</f>
        <v/>
      </c>
      <c r="AM19" s="41">
        <f>IF(OR(AL19&gt;0,AND(AM$3&gt;=Assumptions!$E$234,AM$3&gt;=Assumptions!$B$14,Revenue_Build!AM10&gt;=Assumptions!$F$234*Assumptions!$B$51)),Assumptions!$D$234,0)</f>
        <v/>
      </c>
      <c r="AN19" s="41">
        <f>IF(OR(AM19&gt;0,AND(AN$3&gt;=Assumptions!$E$234,AN$3&gt;=Assumptions!$B$14,Revenue_Build!AN10&gt;=Assumptions!$F$234*Assumptions!$B$51)),Assumptions!$D$234,0)</f>
        <v/>
      </c>
      <c r="AO19" s="41">
        <f>IF(OR(AN19&gt;0,AND(AO$3&gt;=Assumptions!$E$234,AO$3&gt;=Assumptions!$B$14,Revenue_Build!AO10&gt;=Assumptions!$F$234*Assumptions!$B$51)),Assumptions!$D$234,0)</f>
        <v/>
      </c>
      <c r="AP19" s="41">
        <f>IF(OR(AO19&gt;0,AND(AP$3&gt;=Assumptions!$E$234,AP$3&gt;=Assumptions!$B$14,Revenue_Build!AP10&gt;=Assumptions!$F$234*Assumptions!$B$51)),Assumptions!$D$234,0)</f>
        <v/>
      </c>
      <c r="AQ19" s="41">
        <f>IF(OR(AP19&gt;0,AND(AQ$3&gt;=Assumptions!$E$234,AQ$3&gt;=Assumptions!$B$14,Revenue_Build!AQ10&gt;=Assumptions!$F$234*Assumptions!$B$51)),Assumptions!$D$234,0)</f>
        <v/>
      </c>
      <c r="AR19" s="41">
        <f>IF(OR(AQ19&gt;0,AND(AR$3&gt;=Assumptions!$E$234,AR$3&gt;=Assumptions!$B$14,Revenue_Build!AR10&gt;=Assumptions!$F$234*Assumptions!$B$51)),Assumptions!$D$234,0)</f>
        <v/>
      </c>
      <c r="AS19" s="41">
        <f>IF(OR(AR19&gt;0,AND(AS$3&gt;=Assumptions!$E$234,AS$3&gt;=Assumptions!$B$14,Revenue_Build!AS10&gt;=Assumptions!$F$234*Assumptions!$B$51)),Assumptions!$D$234,0)</f>
        <v/>
      </c>
      <c r="AT19" s="41">
        <f>IF(OR(AS19&gt;0,AND(AT$3&gt;=Assumptions!$E$234,AT$3&gt;=Assumptions!$B$14,Revenue_Build!AT10&gt;=Assumptions!$F$234*Assumptions!$B$51)),Assumptions!$D$234,0)</f>
        <v/>
      </c>
      <c r="AU19" s="41">
        <f>IF(OR(AT19&gt;0,AND(AU$3&gt;=Assumptions!$E$234,AU$3&gt;=Assumptions!$B$14,Revenue_Build!AU10&gt;=Assumptions!$F$234*Assumptions!$B$51)),Assumptions!$D$234,0)</f>
        <v/>
      </c>
      <c r="AV19" s="41">
        <f>IF(OR(AU19&gt;0,AND(AV$3&gt;=Assumptions!$E$234,AV$3&gt;=Assumptions!$B$14,Revenue_Build!AV10&gt;=Assumptions!$F$234*Assumptions!$B$51)),Assumptions!$D$234,0)</f>
        <v/>
      </c>
      <c r="AW19" s="41">
        <f>IF(OR(AV19&gt;0,AND(AW$3&gt;=Assumptions!$E$234,AW$3&gt;=Assumptions!$B$14,Revenue_Build!AW10&gt;=Assumptions!$F$234*Assumptions!$B$51)),Assumptions!$D$234,0)</f>
        <v/>
      </c>
      <c r="AX19" s="41">
        <f>IF(OR(AW19&gt;0,AND(AX$3&gt;=Assumptions!$E$234,AX$3&gt;=Assumptions!$B$14,Revenue_Build!AX10&gt;=Assumptions!$F$234*Assumptions!$B$51)),Assumptions!$D$234,0)</f>
        <v/>
      </c>
      <c r="AY19" s="41">
        <f>IF(OR(AX19&gt;0,AND(AY$3&gt;=Assumptions!$E$234,AY$3&gt;=Assumptions!$B$14,Revenue_Build!AY10&gt;=Assumptions!$F$234*Assumptions!$B$51)),Assumptions!$D$234,0)</f>
        <v/>
      </c>
      <c r="AZ19" s="41">
        <f>IF(OR(AY19&gt;0,AND(AZ$3&gt;=Assumptions!$E$234,AZ$3&gt;=Assumptions!$B$14,Revenue_Build!AZ10&gt;=Assumptions!$F$234*Assumptions!$B$51)),Assumptions!$D$234,0)</f>
        <v/>
      </c>
      <c r="BA19" s="41">
        <f>IF(OR(AZ19&gt;0,AND(BA$3&gt;=Assumptions!$E$234,BA$3&gt;=Assumptions!$B$14,Revenue_Build!BA10&gt;=Assumptions!$F$234*Assumptions!$B$51)),Assumptions!$D$234,0)</f>
        <v/>
      </c>
      <c r="BB19" s="41">
        <f>IF(OR(BA19&gt;0,AND(BB$3&gt;=Assumptions!$E$234,BB$3&gt;=Assumptions!$B$14,Revenue_Build!BB10&gt;=Assumptions!$F$234*Assumptions!$B$51)),Assumptions!$D$234,0)</f>
        <v/>
      </c>
      <c r="BC19" s="41">
        <f>IF(OR(BB19&gt;0,AND(BC$3&gt;=Assumptions!$E$234,BC$3&gt;=Assumptions!$B$14,Revenue_Build!BC10&gt;=Assumptions!$F$234*Assumptions!$B$51)),Assumptions!$D$234,0)</f>
        <v/>
      </c>
      <c r="BD19" s="41">
        <f>IF(OR(BC19&gt;0,AND(BD$3&gt;=Assumptions!$E$234,BD$3&gt;=Assumptions!$B$14,Revenue_Build!BD10&gt;=Assumptions!$F$234*Assumptions!$B$51)),Assumptions!$D$234,0)</f>
        <v/>
      </c>
      <c r="BE19" s="41">
        <f>IF(OR(BD19&gt;0,AND(BE$3&gt;=Assumptions!$E$234,BE$3&gt;=Assumptions!$B$14,Revenue_Build!BE10&gt;=Assumptions!$F$234*Assumptions!$B$51)),Assumptions!$D$234,0)</f>
        <v/>
      </c>
      <c r="BF19" s="41">
        <f>IF(OR(BE19&gt;0,AND(BF$3&gt;=Assumptions!$E$234,BF$3&gt;=Assumptions!$B$14,Revenue_Build!BF10&gt;=Assumptions!$F$234*Assumptions!$B$51)),Assumptions!$D$234,0)</f>
        <v/>
      </c>
      <c r="BG19" s="41">
        <f>IF(OR(BF19&gt;0,AND(BG$3&gt;=Assumptions!$E$234,BG$3&gt;=Assumptions!$B$14,Revenue_Build!BG10&gt;=Assumptions!$F$234*Assumptions!$B$51)),Assumptions!$D$234,0)</f>
        <v/>
      </c>
      <c r="BH19" s="41">
        <f>IF(OR(BG19&gt;0,AND(BH$3&gt;=Assumptions!$E$234,BH$3&gt;=Assumptions!$B$14,Revenue_Build!BH10&gt;=Assumptions!$F$234*Assumptions!$B$51)),Assumptions!$D$234,0)</f>
        <v/>
      </c>
      <c r="BI19" s="41">
        <f>IF(OR(BH19&gt;0,AND(BI$3&gt;=Assumptions!$E$234,BI$3&gt;=Assumptions!$B$14,Revenue_Build!BI10&gt;=Assumptions!$F$234*Assumptions!$B$51)),Assumptions!$D$234,0)</f>
        <v/>
      </c>
      <c r="BJ19" s="41">
        <f>IF(OR(BI19&gt;0,AND(BJ$3&gt;=Assumptions!$E$234,BJ$3&gt;=Assumptions!$B$14,Revenue_Build!BJ10&gt;=Assumptions!$F$234*Assumptions!$B$51)),Assumptions!$D$234,0)</f>
        <v/>
      </c>
    </row>
    <row r="20">
      <c r="A20" s="4" t="inlineStr">
        <is>
          <t>VP Engineering</t>
        </is>
      </c>
      <c r="B20" s="17" t="inlineStr">
        <is>
          <t>FTE</t>
        </is>
      </c>
      <c r="C20" s="41">
        <f>IF(AND(C$3&gt;=Assumptions!$E$235,C$3&gt;=Assumptions!$B$14,Revenue_Build!C10&gt;=Assumptions!$F$235*Assumptions!$B$51),Assumptions!$D$235,0)</f>
        <v/>
      </c>
      <c r="D20" s="41">
        <f>IF(OR(C20&gt;0,AND(D$3&gt;=Assumptions!$E$235,D$3&gt;=Assumptions!$B$14,Revenue_Build!D10&gt;=Assumptions!$F$235*Assumptions!$B$51)),Assumptions!$D$235,0)</f>
        <v/>
      </c>
      <c r="E20" s="41">
        <f>IF(OR(D20&gt;0,AND(E$3&gt;=Assumptions!$E$235,E$3&gt;=Assumptions!$B$14,Revenue_Build!E10&gt;=Assumptions!$F$235*Assumptions!$B$51)),Assumptions!$D$235,0)</f>
        <v/>
      </c>
      <c r="F20" s="41">
        <f>IF(OR(E20&gt;0,AND(F$3&gt;=Assumptions!$E$235,F$3&gt;=Assumptions!$B$14,Revenue_Build!F10&gt;=Assumptions!$F$235*Assumptions!$B$51)),Assumptions!$D$235,0)</f>
        <v/>
      </c>
      <c r="G20" s="41">
        <f>IF(OR(F20&gt;0,AND(G$3&gt;=Assumptions!$E$235,G$3&gt;=Assumptions!$B$14,Revenue_Build!G10&gt;=Assumptions!$F$235*Assumptions!$B$51)),Assumptions!$D$235,0)</f>
        <v/>
      </c>
      <c r="H20" s="41">
        <f>IF(OR(G20&gt;0,AND(H$3&gt;=Assumptions!$E$235,H$3&gt;=Assumptions!$B$14,Revenue_Build!H10&gt;=Assumptions!$F$235*Assumptions!$B$51)),Assumptions!$D$235,0)</f>
        <v/>
      </c>
      <c r="I20" s="41">
        <f>IF(OR(H20&gt;0,AND(I$3&gt;=Assumptions!$E$235,I$3&gt;=Assumptions!$B$14,Revenue_Build!I10&gt;=Assumptions!$F$235*Assumptions!$B$51)),Assumptions!$D$235,0)</f>
        <v/>
      </c>
      <c r="J20" s="41">
        <f>IF(OR(I20&gt;0,AND(J$3&gt;=Assumptions!$E$235,J$3&gt;=Assumptions!$B$14,Revenue_Build!J10&gt;=Assumptions!$F$235*Assumptions!$B$51)),Assumptions!$D$235,0)</f>
        <v/>
      </c>
      <c r="K20" s="41">
        <f>IF(OR(J20&gt;0,AND(K$3&gt;=Assumptions!$E$235,K$3&gt;=Assumptions!$B$14,Revenue_Build!K10&gt;=Assumptions!$F$235*Assumptions!$B$51)),Assumptions!$D$235,0)</f>
        <v/>
      </c>
      <c r="L20" s="41">
        <f>IF(OR(K20&gt;0,AND(L$3&gt;=Assumptions!$E$235,L$3&gt;=Assumptions!$B$14,Revenue_Build!L10&gt;=Assumptions!$F$235*Assumptions!$B$51)),Assumptions!$D$235,0)</f>
        <v/>
      </c>
      <c r="M20" s="41">
        <f>IF(OR(L20&gt;0,AND(M$3&gt;=Assumptions!$E$235,M$3&gt;=Assumptions!$B$14,Revenue_Build!M10&gt;=Assumptions!$F$235*Assumptions!$B$51)),Assumptions!$D$235,0)</f>
        <v/>
      </c>
      <c r="N20" s="41">
        <f>IF(OR(M20&gt;0,AND(N$3&gt;=Assumptions!$E$235,N$3&gt;=Assumptions!$B$14,Revenue_Build!N10&gt;=Assumptions!$F$235*Assumptions!$B$51)),Assumptions!$D$235,0)</f>
        <v/>
      </c>
      <c r="O20" s="41">
        <f>IF(OR(N20&gt;0,AND(O$3&gt;=Assumptions!$E$235,O$3&gt;=Assumptions!$B$14,Revenue_Build!O10&gt;=Assumptions!$F$235*Assumptions!$B$51)),Assumptions!$D$235,0)</f>
        <v/>
      </c>
      <c r="P20" s="41">
        <f>IF(OR(O20&gt;0,AND(P$3&gt;=Assumptions!$E$235,P$3&gt;=Assumptions!$B$14,Revenue_Build!P10&gt;=Assumptions!$F$235*Assumptions!$B$51)),Assumptions!$D$235,0)</f>
        <v/>
      </c>
      <c r="Q20" s="41">
        <f>IF(OR(P20&gt;0,AND(Q$3&gt;=Assumptions!$E$235,Q$3&gt;=Assumptions!$B$14,Revenue_Build!Q10&gt;=Assumptions!$F$235*Assumptions!$B$51)),Assumptions!$D$235,0)</f>
        <v/>
      </c>
      <c r="R20" s="41">
        <f>IF(OR(Q20&gt;0,AND(R$3&gt;=Assumptions!$E$235,R$3&gt;=Assumptions!$B$14,Revenue_Build!R10&gt;=Assumptions!$F$235*Assumptions!$B$51)),Assumptions!$D$235,0)</f>
        <v/>
      </c>
      <c r="S20" s="41">
        <f>IF(OR(R20&gt;0,AND(S$3&gt;=Assumptions!$E$235,S$3&gt;=Assumptions!$B$14,Revenue_Build!S10&gt;=Assumptions!$F$235*Assumptions!$B$51)),Assumptions!$D$235,0)</f>
        <v/>
      </c>
      <c r="T20" s="41">
        <f>IF(OR(S20&gt;0,AND(T$3&gt;=Assumptions!$E$235,T$3&gt;=Assumptions!$B$14,Revenue_Build!T10&gt;=Assumptions!$F$235*Assumptions!$B$51)),Assumptions!$D$235,0)</f>
        <v/>
      </c>
      <c r="U20" s="41">
        <f>IF(OR(T20&gt;0,AND(U$3&gt;=Assumptions!$E$235,U$3&gt;=Assumptions!$B$14,Revenue_Build!U10&gt;=Assumptions!$F$235*Assumptions!$B$51)),Assumptions!$D$235,0)</f>
        <v/>
      </c>
      <c r="V20" s="41">
        <f>IF(OR(U20&gt;0,AND(V$3&gt;=Assumptions!$E$235,V$3&gt;=Assumptions!$B$14,Revenue_Build!V10&gt;=Assumptions!$F$235*Assumptions!$B$51)),Assumptions!$D$235,0)</f>
        <v/>
      </c>
      <c r="W20" s="41">
        <f>IF(OR(V20&gt;0,AND(W$3&gt;=Assumptions!$E$235,W$3&gt;=Assumptions!$B$14,Revenue_Build!W10&gt;=Assumptions!$F$235*Assumptions!$B$51)),Assumptions!$D$235,0)</f>
        <v/>
      </c>
      <c r="X20" s="41">
        <f>IF(OR(W20&gt;0,AND(X$3&gt;=Assumptions!$E$235,X$3&gt;=Assumptions!$B$14,Revenue_Build!X10&gt;=Assumptions!$F$235*Assumptions!$B$51)),Assumptions!$D$235,0)</f>
        <v/>
      </c>
      <c r="Y20" s="41">
        <f>IF(OR(X20&gt;0,AND(Y$3&gt;=Assumptions!$E$235,Y$3&gt;=Assumptions!$B$14,Revenue_Build!Y10&gt;=Assumptions!$F$235*Assumptions!$B$51)),Assumptions!$D$235,0)</f>
        <v/>
      </c>
      <c r="Z20" s="41">
        <f>IF(OR(Y20&gt;0,AND(Z$3&gt;=Assumptions!$E$235,Z$3&gt;=Assumptions!$B$14,Revenue_Build!Z10&gt;=Assumptions!$F$235*Assumptions!$B$51)),Assumptions!$D$235,0)</f>
        <v/>
      </c>
      <c r="AA20" s="41">
        <f>IF(OR(Z20&gt;0,AND(AA$3&gt;=Assumptions!$E$235,AA$3&gt;=Assumptions!$B$14,Revenue_Build!AA10&gt;=Assumptions!$F$235*Assumptions!$B$51)),Assumptions!$D$235,0)</f>
        <v/>
      </c>
      <c r="AB20" s="41">
        <f>IF(OR(AA20&gt;0,AND(AB$3&gt;=Assumptions!$E$235,AB$3&gt;=Assumptions!$B$14,Revenue_Build!AB10&gt;=Assumptions!$F$235*Assumptions!$B$51)),Assumptions!$D$235,0)</f>
        <v/>
      </c>
      <c r="AC20" s="41">
        <f>IF(OR(AB20&gt;0,AND(AC$3&gt;=Assumptions!$E$235,AC$3&gt;=Assumptions!$B$14,Revenue_Build!AC10&gt;=Assumptions!$F$235*Assumptions!$B$51)),Assumptions!$D$235,0)</f>
        <v/>
      </c>
      <c r="AD20" s="41">
        <f>IF(OR(AC20&gt;0,AND(AD$3&gt;=Assumptions!$E$235,AD$3&gt;=Assumptions!$B$14,Revenue_Build!AD10&gt;=Assumptions!$F$235*Assumptions!$B$51)),Assumptions!$D$235,0)</f>
        <v/>
      </c>
      <c r="AE20" s="41">
        <f>IF(OR(AD20&gt;0,AND(AE$3&gt;=Assumptions!$E$235,AE$3&gt;=Assumptions!$B$14,Revenue_Build!AE10&gt;=Assumptions!$F$235*Assumptions!$B$51)),Assumptions!$D$235,0)</f>
        <v/>
      </c>
      <c r="AF20" s="41">
        <f>IF(OR(AE20&gt;0,AND(AF$3&gt;=Assumptions!$E$235,AF$3&gt;=Assumptions!$B$14,Revenue_Build!AF10&gt;=Assumptions!$F$235*Assumptions!$B$51)),Assumptions!$D$235,0)</f>
        <v/>
      </c>
      <c r="AG20" s="41">
        <f>IF(OR(AF20&gt;0,AND(AG$3&gt;=Assumptions!$E$235,AG$3&gt;=Assumptions!$B$14,Revenue_Build!AG10&gt;=Assumptions!$F$235*Assumptions!$B$51)),Assumptions!$D$235,0)</f>
        <v/>
      </c>
      <c r="AH20" s="41">
        <f>IF(OR(AG20&gt;0,AND(AH$3&gt;=Assumptions!$E$235,AH$3&gt;=Assumptions!$B$14,Revenue_Build!AH10&gt;=Assumptions!$F$235*Assumptions!$B$51)),Assumptions!$D$235,0)</f>
        <v/>
      </c>
      <c r="AI20" s="41">
        <f>IF(OR(AH20&gt;0,AND(AI$3&gt;=Assumptions!$E$235,AI$3&gt;=Assumptions!$B$14,Revenue_Build!AI10&gt;=Assumptions!$F$235*Assumptions!$B$51)),Assumptions!$D$235,0)</f>
        <v/>
      </c>
      <c r="AJ20" s="41">
        <f>IF(OR(AI20&gt;0,AND(AJ$3&gt;=Assumptions!$E$235,AJ$3&gt;=Assumptions!$B$14,Revenue_Build!AJ10&gt;=Assumptions!$F$235*Assumptions!$B$51)),Assumptions!$D$235,0)</f>
        <v/>
      </c>
      <c r="AK20" s="41">
        <f>IF(OR(AJ20&gt;0,AND(AK$3&gt;=Assumptions!$E$235,AK$3&gt;=Assumptions!$B$14,Revenue_Build!AK10&gt;=Assumptions!$F$235*Assumptions!$B$51)),Assumptions!$D$235,0)</f>
        <v/>
      </c>
      <c r="AL20" s="41">
        <f>IF(OR(AK20&gt;0,AND(AL$3&gt;=Assumptions!$E$235,AL$3&gt;=Assumptions!$B$14,Revenue_Build!AL10&gt;=Assumptions!$F$235*Assumptions!$B$51)),Assumptions!$D$235,0)</f>
        <v/>
      </c>
      <c r="AM20" s="41">
        <f>IF(OR(AL20&gt;0,AND(AM$3&gt;=Assumptions!$E$235,AM$3&gt;=Assumptions!$B$14,Revenue_Build!AM10&gt;=Assumptions!$F$235*Assumptions!$B$51)),Assumptions!$D$235,0)</f>
        <v/>
      </c>
      <c r="AN20" s="41">
        <f>IF(OR(AM20&gt;0,AND(AN$3&gt;=Assumptions!$E$235,AN$3&gt;=Assumptions!$B$14,Revenue_Build!AN10&gt;=Assumptions!$F$235*Assumptions!$B$51)),Assumptions!$D$235,0)</f>
        <v/>
      </c>
      <c r="AO20" s="41">
        <f>IF(OR(AN20&gt;0,AND(AO$3&gt;=Assumptions!$E$235,AO$3&gt;=Assumptions!$B$14,Revenue_Build!AO10&gt;=Assumptions!$F$235*Assumptions!$B$51)),Assumptions!$D$235,0)</f>
        <v/>
      </c>
      <c r="AP20" s="41">
        <f>IF(OR(AO20&gt;0,AND(AP$3&gt;=Assumptions!$E$235,AP$3&gt;=Assumptions!$B$14,Revenue_Build!AP10&gt;=Assumptions!$F$235*Assumptions!$B$51)),Assumptions!$D$235,0)</f>
        <v/>
      </c>
      <c r="AQ20" s="41">
        <f>IF(OR(AP20&gt;0,AND(AQ$3&gt;=Assumptions!$E$235,AQ$3&gt;=Assumptions!$B$14,Revenue_Build!AQ10&gt;=Assumptions!$F$235*Assumptions!$B$51)),Assumptions!$D$235,0)</f>
        <v/>
      </c>
      <c r="AR20" s="41">
        <f>IF(OR(AQ20&gt;0,AND(AR$3&gt;=Assumptions!$E$235,AR$3&gt;=Assumptions!$B$14,Revenue_Build!AR10&gt;=Assumptions!$F$235*Assumptions!$B$51)),Assumptions!$D$235,0)</f>
        <v/>
      </c>
      <c r="AS20" s="41">
        <f>IF(OR(AR20&gt;0,AND(AS$3&gt;=Assumptions!$E$235,AS$3&gt;=Assumptions!$B$14,Revenue_Build!AS10&gt;=Assumptions!$F$235*Assumptions!$B$51)),Assumptions!$D$235,0)</f>
        <v/>
      </c>
      <c r="AT20" s="41">
        <f>IF(OR(AS20&gt;0,AND(AT$3&gt;=Assumptions!$E$235,AT$3&gt;=Assumptions!$B$14,Revenue_Build!AT10&gt;=Assumptions!$F$235*Assumptions!$B$51)),Assumptions!$D$235,0)</f>
        <v/>
      </c>
      <c r="AU20" s="41">
        <f>IF(OR(AT20&gt;0,AND(AU$3&gt;=Assumptions!$E$235,AU$3&gt;=Assumptions!$B$14,Revenue_Build!AU10&gt;=Assumptions!$F$235*Assumptions!$B$51)),Assumptions!$D$235,0)</f>
        <v/>
      </c>
      <c r="AV20" s="41">
        <f>IF(OR(AU20&gt;0,AND(AV$3&gt;=Assumptions!$E$235,AV$3&gt;=Assumptions!$B$14,Revenue_Build!AV10&gt;=Assumptions!$F$235*Assumptions!$B$51)),Assumptions!$D$235,0)</f>
        <v/>
      </c>
      <c r="AW20" s="41">
        <f>IF(OR(AV20&gt;0,AND(AW$3&gt;=Assumptions!$E$235,AW$3&gt;=Assumptions!$B$14,Revenue_Build!AW10&gt;=Assumptions!$F$235*Assumptions!$B$51)),Assumptions!$D$235,0)</f>
        <v/>
      </c>
      <c r="AX20" s="41">
        <f>IF(OR(AW20&gt;0,AND(AX$3&gt;=Assumptions!$E$235,AX$3&gt;=Assumptions!$B$14,Revenue_Build!AX10&gt;=Assumptions!$F$235*Assumptions!$B$51)),Assumptions!$D$235,0)</f>
        <v/>
      </c>
      <c r="AY20" s="41">
        <f>IF(OR(AX20&gt;0,AND(AY$3&gt;=Assumptions!$E$235,AY$3&gt;=Assumptions!$B$14,Revenue_Build!AY10&gt;=Assumptions!$F$235*Assumptions!$B$51)),Assumptions!$D$235,0)</f>
        <v/>
      </c>
      <c r="AZ20" s="41">
        <f>IF(OR(AY20&gt;0,AND(AZ$3&gt;=Assumptions!$E$235,AZ$3&gt;=Assumptions!$B$14,Revenue_Build!AZ10&gt;=Assumptions!$F$235*Assumptions!$B$51)),Assumptions!$D$235,0)</f>
        <v/>
      </c>
      <c r="BA20" s="41">
        <f>IF(OR(AZ20&gt;0,AND(BA$3&gt;=Assumptions!$E$235,BA$3&gt;=Assumptions!$B$14,Revenue_Build!BA10&gt;=Assumptions!$F$235*Assumptions!$B$51)),Assumptions!$D$235,0)</f>
        <v/>
      </c>
      <c r="BB20" s="41">
        <f>IF(OR(BA20&gt;0,AND(BB$3&gt;=Assumptions!$E$235,BB$3&gt;=Assumptions!$B$14,Revenue_Build!BB10&gt;=Assumptions!$F$235*Assumptions!$B$51)),Assumptions!$D$235,0)</f>
        <v/>
      </c>
      <c r="BC20" s="41">
        <f>IF(OR(BB20&gt;0,AND(BC$3&gt;=Assumptions!$E$235,BC$3&gt;=Assumptions!$B$14,Revenue_Build!BC10&gt;=Assumptions!$F$235*Assumptions!$B$51)),Assumptions!$D$235,0)</f>
        <v/>
      </c>
      <c r="BD20" s="41">
        <f>IF(OR(BC20&gt;0,AND(BD$3&gt;=Assumptions!$E$235,BD$3&gt;=Assumptions!$B$14,Revenue_Build!BD10&gt;=Assumptions!$F$235*Assumptions!$B$51)),Assumptions!$D$235,0)</f>
        <v/>
      </c>
      <c r="BE20" s="41">
        <f>IF(OR(BD20&gt;0,AND(BE$3&gt;=Assumptions!$E$235,BE$3&gt;=Assumptions!$B$14,Revenue_Build!BE10&gt;=Assumptions!$F$235*Assumptions!$B$51)),Assumptions!$D$235,0)</f>
        <v/>
      </c>
      <c r="BF20" s="41">
        <f>IF(OR(BE20&gt;0,AND(BF$3&gt;=Assumptions!$E$235,BF$3&gt;=Assumptions!$B$14,Revenue_Build!BF10&gt;=Assumptions!$F$235*Assumptions!$B$51)),Assumptions!$D$235,0)</f>
        <v/>
      </c>
      <c r="BG20" s="41">
        <f>IF(OR(BF20&gt;0,AND(BG$3&gt;=Assumptions!$E$235,BG$3&gt;=Assumptions!$B$14,Revenue_Build!BG10&gt;=Assumptions!$F$235*Assumptions!$B$51)),Assumptions!$D$235,0)</f>
        <v/>
      </c>
      <c r="BH20" s="41">
        <f>IF(OR(BG20&gt;0,AND(BH$3&gt;=Assumptions!$E$235,BH$3&gt;=Assumptions!$B$14,Revenue_Build!BH10&gt;=Assumptions!$F$235*Assumptions!$B$51)),Assumptions!$D$235,0)</f>
        <v/>
      </c>
      <c r="BI20" s="41">
        <f>IF(OR(BH20&gt;0,AND(BI$3&gt;=Assumptions!$E$235,BI$3&gt;=Assumptions!$B$14,Revenue_Build!BI10&gt;=Assumptions!$F$235*Assumptions!$B$51)),Assumptions!$D$235,0)</f>
        <v/>
      </c>
      <c r="BJ20" s="41">
        <f>IF(OR(BI20&gt;0,AND(BJ$3&gt;=Assumptions!$E$235,BJ$3&gt;=Assumptions!$B$14,Revenue_Build!BJ10&gt;=Assumptions!$F$235*Assumptions!$B$51)),Assumptions!$D$235,0)</f>
        <v/>
      </c>
    </row>
    <row r="21">
      <c r="A21" s="4" t="inlineStr">
        <is>
          <t>Product manager #2</t>
        </is>
      </c>
      <c r="B21" s="17" t="inlineStr">
        <is>
          <t>FTE</t>
        </is>
      </c>
      <c r="C21" s="41">
        <f>IF(AND(C$3&gt;=Assumptions!$E$236,C$3&gt;=Assumptions!$B$14,Revenue_Build!C10&gt;=Assumptions!$F$236*Assumptions!$B$51),Assumptions!$D$236,0)</f>
        <v/>
      </c>
      <c r="D21" s="41">
        <f>IF(OR(C21&gt;0,AND(D$3&gt;=Assumptions!$E$236,D$3&gt;=Assumptions!$B$14,Revenue_Build!D10&gt;=Assumptions!$F$236*Assumptions!$B$51)),Assumptions!$D$236,0)</f>
        <v/>
      </c>
      <c r="E21" s="41">
        <f>IF(OR(D21&gt;0,AND(E$3&gt;=Assumptions!$E$236,E$3&gt;=Assumptions!$B$14,Revenue_Build!E10&gt;=Assumptions!$F$236*Assumptions!$B$51)),Assumptions!$D$236,0)</f>
        <v/>
      </c>
      <c r="F21" s="41">
        <f>IF(OR(E21&gt;0,AND(F$3&gt;=Assumptions!$E$236,F$3&gt;=Assumptions!$B$14,Revenue_Build!F10&gt;=Assumptions!$F$236*Assumptions!$B$51)),Assumptions!$D$236,0)</f>
        <v/>
      </c>
      <c r="G21" s="41">
        <f>IF(OR(F21&gt;0,AND(G$3&gt;=Assumptions!$E$236,G$3&gt;=Assumptions!$B$14,Revenue_Build!G10&gt;=Assumptions!$F$236*Assumptions!$B$51)),Assumptions!$D$236,0)</f>
        <v/>
      </c>
      <c r="H21" s="41">
        <f>IF(OR(G21&gt;0,AND(H$3&gt;=Assumptions!$E$236,H$3&gt;=Assumptions!$B$14,Revenue_Build!H10&gt;=Assumptions!$F$236*Assumptions!$B$51)),Assumptions!$D$236,0)</f>
        <v/>
      </c>
      <c r="I21" s="41">
        <f>IF(OR(H21&gt;0,AND(I$3&gt;=Assumptions!$E$236,I$3&gt;=Assumptions!$B$14,Revenue_Build!I10&gt;=Assumptions!$F$236*Assumptions!$B$51)),Assumptions!$D$236,0)</f>
        <v/>
      </c>
      <c r="J21" s="41">
        <f>IF(OR(I21&gt;0,AND(J$3&gt;=Assumptions!$E$236,J$3&gt;=Assumptions!$B$14,Revenue_Build!J10&gt;=Assumptions!$F$236*Assumptions!$B$51)),Assumptions!$D$236,0)</f>
        <v/>
      </c>
      <c r="K21" s="41">
        <f>IF(OR(J21&gt;0,AND(K$3&gt;=Assumptions!$E$236,K$3&gt;=Assumptions!$B$14,Revenue_Build!K10&gt;=Assumptions!$F$236*Assumptions!$B$51)),Assumptions!$D$236,0)</f>
        <v/>
      </c>
      <c r="L21" s="41">
        <f>IF(OR(K21&gt;0,AND(L$3&gt;=Assumptions!$E$236,L$3&gt;=Assumptions!$B$14,Revenue_Build!L10&gt;=Assumptions!$F$236*Assumptions!$B$51)),Assumptions!$D$236,0)</f>
        <v/>
      </c>
      <c r="M21" s="41">
        <f>IF(OR(L21&gt;0,AND(M$3&gt;=Assumptions!$E$236,M$3&gt;=Assumptions!$B$14,Revenue_Build!M10&gt;=Assumptions!$F$236*Assumptions!$B$51)),Assumptions!$D$236,0)</f>
        <v/>
      </c>
      <c r="N21" s="41">
        <f>IF(OR(M21&gt;0,AND(N$3&gt;=Assumptions!$E$236,N$3&gt;=Assumptions!$B$14,Revenue_Build!N10&gt;=Assumptions!$F$236*Assumptions!$B$51)),Assumptions!$D$236,0)</f>
        <v/>
      </c>
      <c r="O21" s="41">
        <f>IF(OR(N21&gt;0,AND(O$3&gt;=Assumptions!$E$236,O$3&gt;=Assumptions!$B$14,Revenue_Build!O10&gt;=Assumptions!$F$236*Assumptions!$B$51)),Assumptions!$D$236,0)</f>
        <v/>
      </c>
      <c r="P21" s="41">
        <f>IF(OR(O21&gt;0,AND(P$3&gt;=Assumptions!$E$236,P$3&gt;=Assumptions!$B$14,Revenue_Build!P10&gt;=Assumptions!$F$236*Assumptions!$B$51)),Assumptions!$D$236,0)</f>
        <v/>
      </c>
      <c r="Q21" s="41">
        <f>IF(OR(P21&gt;0,AND(Q$3&gt;=Assumptions!$E$236,Q$3&gt;=Assumptions!$B$14,Revenue_Build!Q10&gt;=Assumptions!$F$236*Assumptions!$B$51)),Assumptions!$D$236,0)</f>
        <v/>
      </c>
      <c r="R21" s="41">
        <f>IF(OR(Q21&gt;0,AND(R$3&gt;=Assumptions!$E$236,R$3&gt;=Assumptions!$B$14,Revenue_Build!R10&gt;=Assumptions!$F$236*Assumptions!$B$51)),Assumptions!$D$236,0)</f>
        <v/>
      </c>
      <c r="S21" s="41">
        <f>IF(OR(R21&gt;0,AND(S$3&gt;=Assumptions!$E$236,S$3&gt;=Assumptions!$B$14,Revenue_Build!S10&gt;=Assumptions!$F$236*Assumptions!$B$51)),Assumptions!$D$236,0)</f>
        <v/>
      </c>
      <c r="T21" s="41">
        <f>IF(OR(S21&gt;0,AND(T$3&gt;=Assumptions!$E$236,T$3&gt;=Assumptions!$B$14,Revenue_Build!T10&gt;=Assumptions!$F$236*Assumptions!$B$51)),Assumptions!$D$236,0)</f>
        <v/>
      </c>
      <c r="U21" s="41">
        <f>IF(OR(T21&gt;0,AND(U$3&gt;=Assumptions!$E$236,U$3&gt;=Assumptions!$B$14,Revenue_Build!U10&gt;=Assumptions!$F$236*Assumptions!$B$51)),Assumptions!$D$236,0)</f>
        <v/>
      </c>
      <c r="V21" s="41">
        <f>IF(OR(U21&gt;0,AND(V$3&gt;=Assumptions!$E$236,V$3&gt;=Assumptions!$B$14,Revenue_Build!V10&gt;=Assumptions!$F$236*Assumptions!$B$51)),Assumptions!$D$236,0)</f>
        <v/>
      </c>
      <c r="W21" s="41">
        <f>IF(OR(V21&gt;0,AND(W$3&gt;=Assumptions!$E$236,W$3&gt;=Assumptions!$B$14,Revenue_Build!W10&gt;=Assumptions!$F$236*Assumptions!$B$51)),Assumptions!$D$236,0)</f>
        <v/>
      </c>
      <c r="X21" s="41">
        <f>IF(OR(W21&gt;0,AND(X$3&gt;=Assumptions!$E$236,X$3&gt;=Assumptions!$B$14,Revenue_Build!X10&gt;=Assumptions!$F$236*Assumptions!$B$51)),Assumptions!$D$236,0)</f>
        <v/>
      </c>
      <c r="Y21" s="41">
        <f>IF(OR(X21&gt;0,AND(Y$3&gt;=Assumptions!$E$236,Y$3&gt;=Assumptions!$B$14,Revenue_Build!Y10&gt;=Assumptions!$F$236*Assumptions!$B$51)),Assumptions!$D$236,0)</f>
        <v/>
      </c>
      <c r="Z21" s="41">
        <f>IF(OR(Y21&gt;0,AND(Z$3&gt;=Assumptions!$E$236,Z$3&gt;=Assumptions!$B$14,Revenue_Build!Z10&gt;=Assumptions!$F$236*Assumptions!$B$51)),Assumptions!$D$236,0)</f>
        <v/>
      </c>
      <c r="AA21" s="41">
        <f>IF(OR(Z21&gt;0,AND(AA$3&gt;=Assumptions!$E$236,AA$3&gt;=Assumptions!$B$14,Revenue_Build!AA10&gt;=Assumptions!$F$236*Assumptions!$B$51)),Assumptions!$D$236,0)</f>
        <v/>
      </c>
      <c r="AB21" s="41">
        <f>IF(OR(AA21&gt;0,AND(AB$3&gt;=Assumptions!$E$236,AB$3&gt;=Assumptions!$B$14,Revenue_Build!AB10&gt;=Assumptions!$F$236*Assumptions!$B$51)),Assumptions!$D$236,0)</f>
        <v/>
      </c>
      <c r="AC21" s="41">
        <f>IF(OR(AB21&gt;0,AND(AC$3&gt;=Assumptions!$E$236,AC$3&gt;=Assumptions!$B$14,Revenue_Build!AC10&gt;=Assumptions!$F$236*Assumptions!$B$51)),Assumptions!$D$236,0)</f>
        <v/>
      </c>
      <c r="AD21" s="41">
        <f>IF(OR(AC21&gt;0,AND(AD$3&gt;=Assumptions!$E$236,AD$3&gt;=Assumptions!$B$14,Revenue_Build!AD10&gt;=Assumptions!$F$236*Assumptions!$B$51)),Assumptions!$D$236,0)</f>
        <v/>
      </c>
      <c r="AE21" s="41">
        <f>IF(OR(AD21&gt;0,AND(AE$3&gt;=Assumptions!$E$236,AE$3&gt;=Assumptions!$B$14,Revenue_Build!AE10&gt;=Assumptions!$F$236*Assumptions!$B$51)),Assumptions!$D$236,0)</f>
        <v/>
      </c>
      <c r="AF21" s="41">
        <f>IF(OR(AE21&gt;0,AND(AF$3&gt;=Assumptions!$E$236,AF$3&gt;=Assumptions!$B$14,Revenue_Build!AF10&gt;=Assumptions!$F$236*Assumptions!$B$51)),Assumptions!$D$236,0)</f>
        <v/>
      </c>
      <c r="AG21" s="41">
        <f>IF(OR(AF21&gt;0,AND(AG$3&gt;=Assumptions!$E$236,AG$3&gt;=Assumptions!$B$14,Revenue_Build!AG10&gt;=Assumptions!$F$236*Assumptions!$B$51)),Assumptions!$D$236,0)</f>
        <v/>
      </c>
      <c r="AH21" s="41">
        <f>IF(OR(AG21&gt;0,AND(AH$3&gt;=Assumptions!$E$236,AH$3&gt;=Assumptions!$B$14,Revenue_Build!AH10&gt;=Assumptions!$F$236*Assumptions!$B$51)),Assumptions!$D$236,0)</f>
        <v/>
      </c>
      <c r="AI21" s="41">
        <f>IF(OR(AH21&gt;0,AND(AI$3&gt;=Assumptions!$E$236,AI$3&gt;=Assumptions!$B$14,Revenue_Build!AI10&gt;=Assumptions!$F$236*Assumptions!$B$51)),Assumptions!$D$236,0)</f>
        <v/>
      </c>
      <c r="AJ21" s="41">
        <f>IF(OR(AI21&gt;0,AND(AJ$3&gt;=Assumptions!$E$236,AJ$3&gt;=Assumptions!$B$14,Revenue_Build!AJ10&gt;=Assumptions!$F$236*Assumptions!$B$51)),Assumptions!$D$236,0)</f>
        <v/>
      </c>
      <c r="AK21" s="41">
        <f>IF(OR(AJ21&gt;0,AND(AK$3&gt;=Assumptions!$E$236,AK$3&gt;=Assumptions!$B$14,Revenue_Build!AK10&gt;=Assumptions!$F$236*Assumptions!$B$51)),Assumptions!$D$236,0)</f>
        <v/>
      </c>
      <c r="AL21" s="41">
        <f>IF(OR(AK21&gt;0,AND(AL$3&gt;=Assumptions!$E$236,AL$3&gt;=Assumptions!$B$14,Revenue_Build!AL10&gt;=Assumptions!$F$236*Assumptions!$B$51)),Assumptions!$D$236,0)</f>
        <v/>
      </c>
      <c r="AM21" s="41">
        <f>IF(OR(AL21&gt;0,AND(AM$3&gt;=Assumptions!$E$236,AM$3&gt;=Assumptions!$B$14,Revenue_Build!AM10&gt;=Assumptions!$F$236*Assumptions!$B$51)),Assumptions!$D$236,0)</f>
        <v/>
      </c>
      <c r="AN21" s="41">
        <f>IF(OR(AM21&gt;0,AND(AN$3&gt;=Assumptions!$E$236,AN$3&gt;=Assumptions!$B$14,Revenue_Build!AN10&gt;=Assumptions!$F$236*Assumptions!$B$51)),Assumptions!$D$236,0)</f>
        <v/>
      </c>
      <c r="AO21" s="41">
        <f>IF(OR(AN21&gt;0,AND(AO$3&gt;=Assumptions!$E$236,AO$3&gt;=Assumptions!$B$14,Revenue_Build!AO10&gt;=Assumptions!$F$236*Assumptions!$B$51)),Assumptions!$D$236,0)</f>
        <v/>
      </c>
      <c r="AP21" s="41">
        <f>IF(OR(AO21&gt;0,AND(AP$3&gt;=Assumptions!$E$236,AP$3&gt;=Assumptions!$B$14,Revenue_Build!AP10&gt;=Assumptions!$F$236*Assumptions!$B$51)),Assumptions!$D$236,0)</f>
        <v/>
      </c>
      <c r="AQ21" s="41">
        <f>IF(OR(AP21&gt;0,AND(AQ$3&gt;=Assumptions!$E$236,AQ$3&gt;=Assumptions!$B$14,Revenue_Build!AQ10&gt;=Assumptions!$F$236*Assumptions!$B$51)),Assumptions!$D$236,0)</f>
        <v/>
      </c>
      <c r="AR21" s="41">
        <f>IF(OR(AQ21&gt;0,AND(AR$3&gt;=Assumptions!$E$236,AR$3&gt;=Assumptions!$B$14,Revenue_Build!AR10&gt;=Assumptions!$F$236*Assumptions!$B$51)),Assumptions!$D$236,0)</f>
        <v/>
      </c>
      <c r="AS21" s="41">
        <f>IF(OR(AR21&gt;0,AND(AS$3&gt;=Assumptions!$E$236,AS$3&gt;=Assumptions!$B$14,Revenue_Build!AS10&gt;=Assumptions!$F$236*Assumptions!$B$51)),Assumptions!$D$236,0)</f>
        <v/>
      </c>
      <c r="AT21" s="41">
        <f>IF(OR(AS21&gt;0,AND(AT$3&gt;=Assumptions!$E$236,AT$3&gt;=Assumptions!$B$14,Revenue_Build!AT10&gt;=Assumptions!$F$236*Assumptions!$B$51)),Assumptions!$D$236,0)</f>
        <v/>
      </c>
      <c r="AU21" s="41">
        <f>IF(OR(AT21&gt;0,AND(AU$3&gt;=Assumptions!$E$236,AU$3&gt;=Assumptions!$B$14,Revenue_Build!AU10&gt;=Assumptions!$F$236*Assumptions!$B$51)),Assumptions!$D$236,0)</f>
        <v/>
      </c>
      <c r="AV21" s="41">
        <f>IF(OR(AU21&gt;0,AND(AV$3&gt;=Assumptions!$E$236,AV$3&gt;=Assumptions!$B$14,Revenue_Build!AV10&gt;=Assumptions!$F$236*Assumptions!$B$51)),Assumptions!$D$236,0)</f>
        <v/>
      </c>
      <c r="AW21" s="41">
        <f>IF(OR(AV21&gt;0,AND(AW$3&gt;=Assumptions!$E$236,AW$3&gt;=Assumptions!$B$14,Revenue_Build!AW10&gt;=Assumptions!$F$236*Assumptions!$B$51)),Assumptions!$D$236,0)</f>
        <v/>
      </c>
      <c r="AX21" s="41">
        <f>IF(OR(AW21&gt;0,AND(AX$3&gt;=Assumptions!$E$236,AX$3&gt;=Assumptions!$B$14,Revenue_Build!AX10&gt;=Assumptions!$F$236*Assumptions!$B$51)),Assumptions!$D$236,0)</f>
        <v/>
      </c>
      <c r="AY21" s="41">
        <f>IF(OR(AX21&gt;0,AND(AY$3&gt;=Assumptions!$E$236,AY$3&gt;=Assumptions!$B$14,Revenue_Build!AY10&gt;=Assumptions!$F$236*Assumptions!$B$51)),Assumptions!$D$236,0)</f>
        <v/>
      </c>
      <c r="AZ21" s="41">
        <f>IF(OR(AY21&gt;0,AND(AZ$3&gt;=Assumptions!$E$236,AZ$3&gt;=Assumptions!$B$14,Revenue_Build!AZ10&gt;=Assumptions!$F$236*Assumptions!$B$51)),Assumptions!$D$236,0)</f>
        <v/>
      </c>
      <c r="BA21" s="41">
        <f>IF(OR(AZ21&gt;0,AND(BA$3&gt;=Assumptions!$E$236,BA$3&gt;=Assumptions!$B$14,Revenue_Build!BA10&gt;=Assumptions!$F$236*Assumptions!$B$51)),Assumptions!$D$236,0)</f>
        <v/>
      </c>
      <c r="BB21" s="41">
        <f>IF(OR(BA21&gt;0,AND(BB$3&gt;=Assumptions!$E$236,BB$3&gt;=Assumptions!$B$14,Revenue_Build!BB10&gt;=Assumptions!$F$236*Assumptions!$B$51)),Assumptions!$D$236,0)</f>
        <v/>
      </c>
      <c r="BC21" s="41">
        <f>IF(OR(BB21&gt;0,AND(BC$3&gt;=Assumptions!$E$236,BC$3&gt;=Assumptions!$B$14,Revenue_Build!BC10&gt;=Assumptions!$F$236*Assumptions!$B$51)),Assumptions!$D$236,0)</f>
        <v/>
      </c>
      <c r="BD21" s="41">
        <f>IF(OR(BC21&gt;0,AND(BD$3&gt;=Assumptions!$E$236,BD$3&gt;=Assumptions!$B$14,Revenue_Build!BD10&gt;=Assumptions!$F$236*Assumptions!$B$51)),Assumptions!$D$236,0)</f>
        <v/>
      </c>
      <c r="BE21" s="41">
        <f>IF(OR(BD21&gt;0,AND(BE$3&gt;=Assumptions!$E$236,BE$3&gt;=Assumptions!$B$14,Revenue_Build!BE10&gt;=Assumptions!$F$236*Assumptions!$B$51)),Assumptions!$D$236,0)</f>
        <v/>
      </c>
      <c r="BF21" s="41">
        <f>IF(OR(BE21&gt;0,AND(BF$3&gt;=Assumptions!$E$236,BF$3&gt;=Assumptions!$B$14,Revenue_Build!BF10&gt;=Assumptions!$F$236*Assumptions!$B$51)),Assumptions!$D$236,0)</f>
        <v/>
      </c>
      <c r="BG21" s="41">
        <f>IF(OR(BF21&gt;0,AND(BG$3&gt;=Assumptions!$E$236,BG$3&gt;=Assumptions!$B$14,Revenue_Build!BG10&gt;=Assumptions!$F$236*Assumptions!$B$51)),Assumptions!$D$236,0)</f>
        <v/>
      </c>
      <c r="BH21" s="41">
        <f>IF(OR(BG21&gt;0,AND(BH$3&gt;=Assumptions!$E$236,BH$3&gt;=Assumptions!$B$14,Revenue_Build!BH10&gt;=Assumptions!$F$236*Assumptions!$B$51)),Assumptions!$D$236,0)</f>
        <v/>
      </c>
      <c r="BI21" s="41">
        <f>IF(OR(BH21&gt;0,AND(BI$3&gt;=Assumptions!$E$236,BI$3&gt;=Assumptions!$B$14,Revenue_Build!BI10&gt;=Assumptions!$F$236*Assumptions!$B$51)),Assumptions!$D$236,0)</f>
        <v/>
      </c>
      <c r="BJ21" s="41">
        <f>IF(OR(BI21&gt;0,AND(BJ$3&gt;=Assumptions!$E$236,BJ$3&gt;=Assumptions!$B$14,Revenue_Build!BJ10&gt;=Assumptions!$F$236*Assumptions!$B$51)),Assumptions!$D$236,0)</f>
        <v/>
      </c>
    </row>
    <row r="22">
      <c r="A22" s="4" t="inlineStr">
        <is>
          <t>Engineers (scale-up II)</t>
        </is>
      </c>
      <c r="B22" s="17" t="inlineStr">
        <is>
          <t>FTE</t>
        </is>
      </c>
      <c r="C22" s="41">
        <f>IF(AND(C$3&gt;=Assumptions!$E$237,C$3&gt;=Assumptions!$B$14,Revenue_Build!C10&gt;=Assumptions!$F$237*Assumptions!$B$51),Assumptions!$D$237,0)</f>
        <v/>
      </c>
      <c r="D22" s="41">
        <f>IF(OR(C22&gt;0,AND(D$3&gt;=Assumptions!$E$237,D$3&gt;=Assumptions!$B$14,Revenue_Build!D10&gt;=Assumptions!$F$237*Assumptions!$B$51)),Assumptions!$D$237,0)</f>
        <v/>
      </c>
      <c r="E22" s="41">
        <f>IF(OR(D22&gt;0,AND(E$3&gt;=Assumptions!$E$237,E$3&gt;=Assumptions!$B$14,Revenue_Build!E10&gt;=Assumptions!$F$237*Assumptions!$B$51)),Assumptions!$D$237,0)</f>
        <v/>
      </c>
      <c r="F22" s="41">
        <f>IF(OR(E22&gt;0,AND(F$3&gt;=Assumptions!$E$237,F$3&gt;=Assumptions!$B$14,Revenue_Build!F10&gt;=Assumptions!$F$237*Assumptions!$B$51)),Assumptions!$D$237,0)</f>
        <v/>
      </c>
      <c r="G22" s="41">
        <f>IF(OR(F22&gt;0,AND(G$3&gt;=Assumptions!$E$237,G$3&gt;=Assumptions!$B$14,Revenue_Build!G10&gt;=Assumptions!$F$237*Assumptions!$B$51)),Assumptions!$D$237,0)</f>
        <v/>
      </c>
      <c r="H22" s="41">
        <f>IF(OR(G22&gt;0,AND(H$3&gt;=Assumptions!$E$237,H$3&gt;=Assumptions!$B$14,Revenue_Build!H10&gt;=Assumptions!$F$237*Assumptions!$B$51)),Assumptions!$D$237,0)</f>
        <v/>
      </c>
      <c r="I22" s="41">
        <f>IF(OR(H22&gt;0,AND(I$3&gt;=Assumptions!$E$237,I$3&gt;=Assumptions!$B$14,Revenue_Build!I10&gt;=Assumptions!$F$237*Assumptions!$B$51)),Assumptions!$D$237,0)</f>
        <v/>
      </c>
      <c r="J22" s="41">
        <f>IF(OR(I22&gt;0,AND(J$3&gt;=Assumptions!$E$237,J$3&gt;=Assumptions!$B$14,Revenue_Build!J10&gt;=Assumptions!$F$237*Assumptions!$B$51)),Assumptions!$D$237,0)</f>
        <v/>
      </c>
      <c r="K22" s="41">
        <f>IF(OR(J22&gt;0,AND(K$3&gt;=Assumptions!$E$237,K$3&gt;=Assumptions!$B$14,Revenue_Build!K10&gt;=Assumptions!$F$237*Assumptions!$B$51)),Assumptions!$D$237,0)</f>
        <v/>
      </c>
      <c r="L22" s="41">
        <f>IF(OR(K22&gt;0,AND(L$3&gt;=Assumptions!$E$237,L$3&gt;=Assumptions!$B$14,Revenue_Build!L10&gt;=Assumptions!$F$237*Assumptions!$B$51)),Assumptions!$D$237,0)</f>
        <v/>
      </c>
      <c r="M22" s="41">
        <f>IF(OR(L22&gt;0,AND(M$3&gt;=Assumptions!$E$237,M$3&gt;=Assumptions!$B$14,Revenue_Build!M10&gt;=Assumptions!$F$237*Assumptions!$B$51)),Assumptions!$D$237,0)</f>
        <v/>
      </c>
      <c r="N22" s="41">
        <f>IF(OR(M22&gt;0,AND(N$3&gt;=Assumptions!$E$237,N$3&gt;=Assumptions!$B$14,Revenue_Build!N10&gt;=Assumptions!$F$237*Assumptions!$B$51)),Assumptions!$D$237,0)</f>
        <v/>
      </c>
      <c r="O22" s="41">
        <f>IF(OR(N22&gt;0,AND(O$3&gt;=Assumptions!$E$237,O$3&gt;=Assumptions!$B$14,Revenue_Build!O10&gt;=Assumptions!$F$237*Assumptions!$B$51)),Assumptions!$D$237,0)</f>
        <v/>
      </c>
      <c r="P22" s="41">
        <f>IF(OR(O22&gt;0,AND(P$3&gt;=Assumptions!$E$237,P$3&gt;=Assumptions!$B$14,Revenue_Build!P10&gt;=Assumptions!$F$237*Assumptions!$B$51)),Assumptions!$D$237,0)</f>
        <v/>
      </c>
      <c r="Q22" s="41">
        <f>IF(OR(P22&gt;0,AND(Q$3&gt;=Assumptions!$E$237,Q$3&gt;=Assumptions!$B$14,Revenue_Build!Q10&gt;=Assumptions!$F$237*Assumptions!$B$51)),Assumptions!$D$237,0)</f>
        <v/>
      </c>
      <c r="R22" s="41">
        <f>IF(OR(Q22&gt;0,AND(R$3&gt;=Assumptions!$E$237,R$3&gt;=Assumptions!$B$14,Revenue_Build!R10&gt;=Assumptions!$F$237*Assumptions!$B$51)),Assumptions!$D$237,0)</f>
        <v/>
      </c>
      <c r="S22" s="41">
        <f>IF(OR(R22&gt;0,AND(S$3&gt;=Assumptions!$E$237,S$3&gt;=Assumptions!$B$14,Revenue_Build!S10&gt;=Assumptions!$F$237*Assumptions!$B$51)),Assumptions!$D$237,0)</f>
        <v/>
      </c>
      <c r="T22" s="41">
        <f>IF(OR(S22&gt;0,AND(T$3&gt;=Assumptions!$E$237,T$3&gt;=Assumptions!$B$14,Revenue_Build!T10&gt;=Assumptions!$F$237*Assumptions!$B$51)),Assumptions!$D$237,0)</f>
        <v/>
      </c>
      <c r="U22" s="41">
        <f>IF(OR(T22&gt;0,AND(U$3&gt;=Assumptions!$E$237,U$3&gt;=Assumptions!$B$14,Revenue_Build!U10&gt;=Assumptions!$F$237*Assumptions!$B$51)),Assumptions!$D$237,0)</f>
        <v/>
      </c>
      <c r="V22" s="41">
        <f>IF(OR(U22&gt;0,AND(V$3&gt;=Assumptions!$E$237,V$3&gt;=Assumptions!$B$14,Revenue_Build!V10&gt;=Assumptions!$F$237*Assumptions!$B$51)),Assumptions!$D$237,0)</f>
        <v/>
      </c>
      <c r="W22" s="41">
        <f>IF(OR(V22&gt;0,AND(W$3&gt;=Assumptions!$E$237,W$3&gt;=Assumptions!$B$14,Revenue_Build!W10&gt;=Assumptions!$F$237*Assumptions!$B$51)),Assumptions!$D$237,0)</f>
        <v/>
      </c>
      <c r="X22" s="41">
        <f>IF(OR(W22&gt;0,AND(X$3&gt;=Assumptions!$E$237,X$3&gt;=Assumptions!$B$14,Revenue_Build!X10&gt;=Assumptions!$F$237*Assumptions!$B$51)),Assumptions!$D$237,0)</f>
        <v/>
      </c>
      <c r="Y22" s="41">
        <f>IF(OR(X22&gt;0,AND(Y$3&gt;=Assumptions!$E$237,Y$3&gt;=Assumptions!$B$14,Revenue_Build!Y10&gt;=Assumptions!$F$237*Assumptions!$B$51)),Assumptions!$D$237,0)</f>
        <v/>
      </c>
      <c r="Z22" s="41">
        <f>IF(OR(Y22&gt;0,AND(Z$3&gt;=Assumptions!$E$237,Z$3&gt;=Assumptions!$B$14,Revenue_Build!Z10&gt;=Assumptions!$F$237*Assumptions!$B$51)),Assumptions!$D$237,0)</f>
        <v/>
      </c>
      <c r="AA22" s="41">
        <f>IF(OR(Z22&gt;0,AND(AA$3&gt;=Assumptions!$E$237,AA$3&gt;=Assumptions!$B$14,Revenue_Build!AA10&gt;=Assumptions!$F$237*Assumptions!$B$51)),Assumptions!$D$237,0)</f>
        <v/>
      </c>
      <c r="AB22" s="41">
        <f>IF(OR(AA22&gt;0,AND(AB$3&gt;=Assumptions!$E$237,AB$3&gt;=Assumptions!$B$14,Revenue_Build!AB10&gt;=Assumptions!$F$237*Assumptions!$B$51)),Assumptions!$D$237,0)</f>
        <v/>
      </c>
      <c r="AC22" s="41">
        <f>IF(OR(AB22&gt;0,AND(AC$3&gt;=Assumptions!$E$237,AC$3&gt;=Assumptions!$B$14,Revenue_Build!AC10&gt;=Assumptions!$F$237*Assumptions!$B$51)),Assumptions!$D$237,0)</f>
        <v/>
      </c>
      <c r="AD22" s="41">
        <f>IF(OR(AC22&gt;0,AND(AD$3&gt;=Assumptions!$E$237,AD$3&gt;=Assumptions!$B$14,Revenue_Build!AD10&gt;=Assumptions!$F$237*Assumptions!$B$51)),Assumptions!$D$237,0)</f>
        <v/>
      </c>
      <c r="AE22" s="41">
        <f>IF(OR(AD22&gt;0,AND(AE$3&gt;=Assumptions!$E$237,AE$3&gt;=Assumptions!$B$14,Revenue_Build!AE10&gt;=Assumptions!$F$237*Assumptions!$B$51)),Assumptions!$D$237,0)</f>
        <v/>
      </c>
      <c r="AF22" s="41">
        <f>IF(OR(AE22&gt;0,AND(AF$3&gt;=Assumptions!$E$237,AF$3&gt;=Assumptions!$B$14,Revenue_Build!AF10&gt;=Assumptions!$F$237*Assumptions!$B$51)),Assumptions!$D$237,0)</f>
        <v/>
      </c>
      <c r="AG22" s="41">
        <f>IF(OR(AF22&gt;0,AND(AG$3&gt;=Assumptions!$E$237,AG$3&gt;=Assumptions!$B$14,Revenue_Build!AG10&gt;=Assumptions!$F$237*Assumptions!$B$51)),Assumptions!$D$237,0)</f>
        <v/>
      </c>
      <c r="AH22" s="41">
        <f>IF(OR(AG22&gt;0,AND(AH$3&gt;=Assumptions!$E$237,AH$3&gt;=Assumptions!$B$14,Revenue_Build!AH10&gt;=Assumptions!$F$237*Assumptions!$B$51)),Assumptions!$D$237,0)</f>
        <v/>
      </c>
      <c r="AI22" s="41">
        <f>IF(OR(AH22&gt;0,AND(AI$3&gt;=Assumptions!$E$237,AI$3&gt;=Assumptions!$B$14,Revenue_Build!AI10&gt;=Assumptions!$F$237*Assumptions!$B$51)),Assumptions!$D$237,0)</f>
        <v/>
      </c>
      <c r="AJ22" s="41">
        <f>IF(OR(AI22&gt;0,AND(AJ$3&gt;=Assumptions!$E$237,AJ$3&gt;=Assumptions!$B$14,Revenue_Build!AJ10&gt;=Assumptions!$F$237*Assumptions!$B$51)),Assumptions!$D$237,0)</f>
        <v/>
      </c>
      <c r="AK22" s="41">
        <f>IF(OR(AJ22&gt;0,AND(AK$3&gt;=Assumptions!$E$237,AK$3&gt;=Assumptions!$B$14,Revenue_Build!AK10&gt;=Assumptions!$F$237*Assumptions!$B$51)),Assumptions!$D$237,0)</f>
        <v/>
      </c>
      <c r="AL22" s="41">
        <f>IF(OR(AK22&gt;0,AND(AL$3&gt;=Assumptions!$E$237,AL$3&gt;=Assumptions!$B$14,Revenue_Build!AL10&gt;=Assumptions!$F$237*Assumptions!$B$51)),Assumptions!$D$237,0)</f>
        <v/>
      </c>
      <c r="AM22" s="41">
        <f>IF(OR(AL22&gt;0,AND(AM$3&gt;=Assumptions!$E$237,AM$3&gt;=Assumptions!$B$14,Revenue_Build!AM10&gt;=Assumptions!$F$237*Assumptions!$B$51)),Assumptions!$D$237,0)</f>
        <v/>
      </c>
      <c r="AN22" s="41">
        <f>IF(OR(AM22&gt;0,AND(AN$3&gt;=Assumptions!$E$237,AN$3&gt;=Assumptions!$B$14,Revenue_Build!AN10&gt;=Assumptions!$F$237*Assumptions!$B$51)),Assumptions!$D$237,0)</f>
        <v/>
      </c>
      <c r="AO22" s="41">
        <f>IF(OR(AN22&gt;0,AND(AO$3&gt;=Assumptions!$E$237,AO$3&gt;=Assumptions!$B$14,Revenue_Build!AO10&gt;=Assumptions!$F$237*Assumptions!$B$51)),Assumptions!$D$237,0)</f>
        <v/>
      </c>
      <c r="AP22" s="41">
        <f>IF(OR(AO22&gt;0,AND(AP$3&gt;=Assumptions!$E$237,AP$3&gt;=Assumptions!$B$14,Revenue_Build!AP10&gt;=Assumptions!$F$237*Assumptions!$B$51)),Assumptions!$D$237,0)</f>
        <v/>
      </c>
      <c r="AQ22" s="41">
        <f>IF(OR(AP22&gt;0,AND(AQ$3&gt;=Assumptions!$E$237,AQ$3&gt;=Assumptions!$B$14,Revenue_Build!AQ10&gt;=Assumptions!$F$237*Assumptions!$B$51)),Assumptions!$D$237,0)</f>
        <v/>
      </c>
      <c r="AR22" s="41">
        <f>IF(OR(AQ22&gt;0,AND(AR$3&gt;=Assumptions!$E$237,AR$3&gt;=Assumptions!$B$14,Revenue_Build!AR10&gt;=Assumptions!$F$237*Assumptions!$B$51)),Assumptions!$D$237,0)</f>
        <v/>
      </c>
      <c r="AS22" s="41">
        <f>IF(OR(AR22&gt;0,AND(AS$3&gt;=Assumptions!$E$237,AS$3&gt;=Assumptions!$B$14,Revenue_Build!AS10&gt;=Assumptions!$F$237*Assumptions!$B$51)),Assumptions!$D$237,0)</f>
        <v/>
      </c>
      <c r="AT22" s="41">
        <f>IF(OR(AS22&gt;0,AND(AT$3&gt;=Assumptions!$E$237,AT$3&gt;=Assumptions!$B$14,Revenue_Build!AT10&gt;=Assumptions!$F$237*Assumptions!$B$51)),Assumptions!$D$237,0)</f>
        <v/>
      </c>
      <c r="AU22" s="41">
        <f>IF(OR(AT22&gt;0,AND(AU$3&gt;=Assumptions!$E$237,AU$3&gt;=Assumptions!$B$14,Revenue_Build!AU10&gt;=Assumptions!$F$237*Assumptions!$B$51)),Assumptions!$D$237,0)</f>
        <v/>
      </c>
      <c r="AV22" s="41">
        <f>IF(OR(AU22&gt;0,AND(AV$3&gt;=Assumptions!$E$237,AV$3&gt;=Assumptions!$B$14,Revenue_Build!AV10&gt;=Assumptions!$F$237*Assumptions!$B$51)),Assumptions!$D$237,0)</f>
        <v/>
      </c>
      <c r="AW22" s="41">
        <f>IF(OR(AV22&gt;0,AND(AW$3&gt;=Assumptions!$E$237,AW$3&gt;=Assumptions!$B$14,Revenue_Build!AW10&gt;=Assumptions!$F$237*Assumptions!$B$51)),Assumptions!$D$237,0)</f>
        <v/>
      </c>
      <c r="AX22" s="41">
        <f>IF(OR(AW22&gt;0,AND(AX$3&gt;=Assumptions!$E$237,AX$3&gt;=Assumptions!$B$14,Revenue_Build!AX10&gt;=Assumptions!$F$237*Assumptions!$B$51)),Assumptions!$D$237,0)</f>
        <v/>
      </c>
      <c r="AY22" s="41">
        <f>IF(OR(AX22&gt;0,AND(AY$3&gt;=Assumptions!$E$237,AY$3&gt;=Assumptions!$B$14,Revenue_Build!AY10&gt;=Assumptions!$F$237*Assumptions!$B$51)),Assumptions!$D$237,0)</f>
        <v/>
      </c>
      <c r="AZ22" s="41">
        <f>IF(OR(AY22&gt;0,AND(AZ$3&gt;=Assumptions!$E$237,AZ$3&gt;=Assumptions!$B$14,Revenue_Build!AZ10&gt;=Assumptions!$F$237*Assumptions!$B$51)),Assumptions!$D$237,0)</f>
        <v/>
      </c>
      <c r="BA22" s="41">
        <f>IF(OR(AZ22&gt;0,AND(BA$3&gt;=Assumptions!$E$237,BA$3&gt;=Assumptions!$B$14,Revenue_Build!BA10&gt;=Assumptions!$F$237*Assumptions!$B$51)),Assumptions!$D$237,0)</f>
        <v/>
      </c>
      <c r="BB22" s="41">
        <f>IF(OR(BA22&gt;0,AND(BB$3&gt;=Assumptions!$E$237,BB$3&gt;=Assumptions!$B$14,Revenue_Build!BB10&gt;=Assumptions!$F$237*Assumptions!$B$51)),Assumptions!$D$237,0)</f>
        <v/>
      </c>
      <c r="BC22" s="41">
        <f>IF(OR(BB22&gt;0,AND(BC$3&gt;=Assumptions!$E$237,BC$3&gt;=Assumptions!$B$14,Revenue_Build!BC10&gt;=Assumptions!$F$237*Assumptions!$B$51)),Assumptions!$D$237,0)</f>
        <v/>
      </c>
      <c r="BD22" s="41">
        <f>IF(OR(BC22&gt;0,AND(BD$3&gt;=Assumptions!$E$237,BD$3&gt;=Assumptions!$B$14,Revenue_Build!BD10&gt;=Assumptions!$F$237*Assumptions!$B$51)),Assumptions!$D$237,0)</f>
        <v/>
      </c>
      <c r="BE22" s="41">
        <f>IF(OR(BD22&gt;0,AND(BE$3&gt;=Assumptions!$E$237,BE$3&gt;=Assumptions!$B$14,Revenue_Build!BE10&gt;=Assumptions!$F$237*Assumptions!$B$51)),Assumptions!$D$237,0)</f>
        <v/>
      </c>
      <c r="BF22" s="41">
        <f>IF(OR(BE22&gt;0,AND(BF$3&gt;=Assumptions!$E$237,BF$3&gt;=Assumptions!$B$14,Revenue_Build!BF10&gt;=Assumptions!$F$237*Assumptions!$B$51)),Assumptions!$D$237,0)</f>
        <v/>
      </c>
      <c r="BG22" s="41">
        <f>IF(OR(BF22&gt;0,AND(BG$3&gt;=Assumptions!$E$237,BG$3&gt;=Assumptions!$B$14,Revenue_Build!BG10&gt;=Assumptions!$F$237*Assumptions!$B$51)),Assumptions!$D$237,0)</f>
        <v/>
      </c>
      <c r="BH22" s="41">
        <f>IF(OR(BG22&gt;0,AND(BH$3&gt;=Assumptions!$E$237,BH$3&gt;=Assumptions!$B$14,Revenue_Build!BH10&gt;=Assumptions!$F$237*Assumptions!$B$51)),Assumptions!$D$237,0)</f>
        <v/>
      </c>
      <c r="BI22" s="41">
        <f>IF(OR(BH22&gt;0,AND(BI$3&gt;=Assumptions!$E$237,BI$3&gt;=Assumptions!$B$14,Revenue_Build!BI10&gt;=Assumptions!$F$237*Assumptions!$B$51)),Assumptions!$D$237,0)</f>
        <v/>
      </c>
      <c r="BJ22" s="41">
        <f>IF(OR(BI22&gt;0,AND(BJ$3&gt;=Assumptions!$E$237,BJ$3&gt;=Assumptions!$B$14,Revenue_Build!BJ10&gt;=Assumptions!$F$237*Assumptions!$B$51)),Assumptions!$D$237,0)</f>
        <v/>
      </c>
    </row>
    <row r="23">
      <c r="A23" s="4" t="inlineStr">
        <is>
          <t>Data / AI engineers</t>
        </is>
      </c>
      <c r="B23" s="17" t="inlineStr">
        <is>
          <t>FTE</t>
        </is>
      </c>
      <c r="C23" s="41">
        <f>IF(AND(C$3&gt;=Assumptions!$E$238,C$3&gt;=Assumptions!$B$14,Revenue_Build!C10&gt;=Assumptions!$F$238*Assumptions!$B$51),Assumptions!$D$238,0)</f>
        <v/>
      </c>
      <c r="D23" s="41">
        <f>IF(OR(C23&gt;0,AND(D$3&gt;=Assumptions!$E$238,D$3&gt;=Assumptions!$B$14,Revenue_Build!D10&gt;=Assumptions!$F$238*Assumptions!$B$51)),Assumptions!$D$238,0)</f>
        <v/>
      </c>
      <c r="E23" s="41">
        <f>IF(OR(D23&gt;0,AND(E$3&gt;=Assumptions!$E$238,E$3&gt;=Assumptions!$B$14,Revenue_Build!E10&gt;=Assumptions!$F$238*Assumptions!$B$51)),Assumptions!$D$238,0)</f>
        <v/>
      </c>
      <c r="F23" s="41">
        <f>IF(OR(E23&gt;0,AND(F$3&gt;=Assumptions!$E$238,F$3&gt;=Assumptions!$B$14,Revenue_Build!F10&gt;=Assumptions!$F$238*Assumptions!$B$51)),Assumptions!$D$238,0)</f>
        <v/>
      </c>
      <c r="G23" s="41">
        <f>IF(OR(F23&gt;0,AND(G$3&gt;=Assumptions!$E$238,G$3&gt;=Assumptions!$B$14,Revenue_Build!G10&gt;=Assumptions!$F$238*Assumptions!$B$51)),Assumptions!$D$238,0)</f>
        <v/>
      </c>
      <c r="H23" s="41">
        <f>IF(OR(G23&gt;0,AND(H$3&gt;=Assumptions!$E$238,H$3&gt;=Assumptions!$B$14,Revenue_Build!H10&gt;=Assumptions!$F$238*Assumptions!$B$51)),Assumptions!$D$238,0)</f>
        <v/>
      </c>
      <c r="I23" s="41">
        <f>IF(OR(H23&gt;0,AND(I$3&gt;=Assumptions!$E$238,I$3&gt;=Assumptions!$B$14,Revenue_Build!I10&gt;=Assumptions!$F$238*Assumptions!$B$51)),Assumptions!$D$238,0)</f>
        <v/>
      </c>
      <c r="J23" s="41">
        <f>IF(OR(I23&gt;0,AND(J$3&gt;=Assumptions!$E$238,J$3&gt;=Assumptions!$B$14,Revenue_Build!J10&gt;=Assumptions!$F$238*Assumptions!$B$51)),Assumptions!$D$238,0)</f>
        <v/>
      </c>
      <c r="K23" s="41">
        <f>IF(OR(J23&gt;0,AND(K$3&gt;=Assumptions!$E$238,K$3&gt;=Assumptions!$B$14,Revenue_Build!K10&gt;=Assumptions!$F$238*Assumptions!$B$51)),Assumptions!$D$238,0)</f>
        <v/>
      </c>
      <c r="L23" s="41">
        <f>IF(OR(K23&gt;0,AND(L$3&gt;=Assumptions!$E$238,L$3&gt;=Assumptions!$B$14,Revenue_Build!L10&gt;=Assumptions!$F$238*Assumptions!$B$51)),Assumptions!$D$238,0)</f>
        <v/>
      </c>
      <c r="M23" s="41">
        <f>IF(OR(L23&gt;0,AND(M$3&gt;=Assumptions!$E$238,M$3&gt;=Assumptions!$B$14,Revenue_Build!M10&gt;=Assumptions!$F$238*Assumptions!$B$51)),Assumptions!$D$238,0)</f>
        <v/>
      </c>
      <c r="N23" s="41">
        <f>IF(OR(M23&gt;0,AND(N$3&gt;=Assumptions!$E$238,N$3&gt;=Assumptions!$B$14,Revenue_Build!N10&gt;=Assumptions!$F$238*Assumptions!$B$51)),Assumptions!$D$238,0)</f>
        <v/>
      </c>
      <c r="O23" s="41">
        <f>IF(OR(N23&gt;0,AND(O$3&gt;=Assumptions!$E$238,O$3&gt;=Assumptions!$B$14,Revenue_Build!O10&gt;=Assumptions!$F$238*Assumptions!$B$51)),Assumptions!$D$238,0)</f>
        <v/>
      </c>
      <c r="P23" s="41">
        <f>IF(OR(O23&gt;0,AND(P$3&gt;=Assumptions!$E$238,P$3&gt;=Assumptions!$B$14,Revenue_Build!P10&gt;=Assumptions!$F$238*Assumptions!$B$51)),Assumptions!$D$238,0)</f>
        <v/>
      </c>
      <c r="Q23" s="41">
        <f>IF(OR(P23&gt;0,AND(Q$3&gt;=Assumptions!$E$238,Q$3&gt;=Assumptions!$B$14,Revenue_Build!Q10&gt;=Assumptions!$F$238*Assumptions!$B$51)),Assumptions!$D$238,0)</f>
        <v/>
      </c>
      <c r="R23" s="41">
        <f>IF(OR(Q23&gt;0,AND(R$3&gt;=Assumptions!$E$238,R$3&gt;=Assumptions!$B$14,Revenue_Build!R10&gt;=Assumptions!$F$238*Assumptions!$B$51)),Assumptions!$D$238,0)</f>
        <v/>
      </c>
      <c r="S23" s="41">
        <f>IF(OR(R23&gt;0,AND(S$3&gt;=Assumptions!$E$238,S$3&gt;=Assumptions!$B$14,Revenue_Build!S10&gt;=Assumptions!$F$238*Assumptions!$B$51)),Assumptions!$D$238,0)</f>
        <v/>
      </c>
      <c r="T23" s="41">
        <f>IF(OR(S23&gt;0,AND(T$3&gt;=Assumptions!$E$238,T$3&gt;=Assumptions!$B$14,Revenue_Build!T10&gt;=Assumptions!$F$238*Assumptions!$B$51)),Assumptions!$D$238,0)</f>
        <v/>
      </c>
      <c r="U23" s="41">
        <f>IF(OR(T23&gt;0,AND(U$3&gt;=Assumptions!$E$238,U$3&gt;=Assumptions!$B$14,Revenue_Build!U10&gt;=Assumptions!$F$238*Assumptions!$B$51)),Assumptions!$D$238,0)</f>
        <v/>
      </c>
      <c r="V23" s="41">
        <f>IF(OR(U23&gt;0,AND(V$3&gt;=Assumptions!$E$238,V$3&gt;=Assumptions!$B$14,Revenue_Build!V10&gt;=Assumptions!$F$238*Assumptions!$B$51)),Assumptions!$D$238,0)</f>
        <v/>
      </c>
      <c r="W23" s="41">
        <f>IF(OR(V23&gt;0,AND(W$3&gt;=Assumptions!$E$238,W$3&gt;=Assumptions!$B$14,Revenue_Build!W10&gt;=Assumptions!$F$238*Assumptions!$B$51)),Assumptions!$D$238,0)</f>
        <v/>
      </c>
      <c r="X23" s="41">
        <f>IF(OR(W23&gt;0,AND(X$3&gt;=Assumptions!$E$238,X$3&gt;=Assumptions!$B$14,Revenue_Build!X10&gt;=Assumptions!$F$238*Assumptions!$B$51)),Assumptions!$D$238,0)</f>
        <v/>
      </c>
      <c r="Y23" s="41">
        <f>IF(OR(X23&gt;0,AND(Y$3&gt;=Assumptions!$E$238,Y$3&gt;=Assumptions!$B$14,Revenue_Build!Y10&gt;=Assumptions!$F$238*Assumptions!$B$51)),Assumptions!$D$238,0)</f>
        <v/>
      </c>
      <c r="Z23" s="41">
        <f>IF(OR(Y23&gt;0,AND(Z$3&gt;=Assumptions!$E$238,Z$3&gt;=Assumptions!$B$14,Revenue_Build!Z10&gt;=Assumptions!$F$238*Assumptions!$B$51)),Assumptions!$D$238,0)</f>
        <v/>
      </c>
      <c r="AA23" s="41">
        <f>IF(OR(Z23&gt;0,AND(AA$3&gt;=Assumptions!$E$238,AA$3&gt;=Assumptions!$B$14,Revenue_Build!AA10&gt;=Assumptions!$F$238*Assumptions!$B$51)),Assumptions!$D$238,0)</f>
        <v/>
      </c>
      <c r="AB23" s="41">
        <f>IF(OR(AA23&gt;0,AND(AB$3&gt;=Assumptions!$E$238,AB$3&gt;=Assumptions!$B$14,Revenue_Build!AB10&gt;=Assumptions!$F$238*Assumptions!$B$51)),Assumptions!$D$238,0)</f>
        <v/>
      </c>
      <c r="AC23" s="41">
        <f>IF(OR(AB23&gt;0,AND(AC$3&gt;=Assumptions!$E$238,AC$3&gt;=Assumptions!$B$14,Revenue_Build!AC10&gt;=Assumptions!$F$238*Assumptions!$B$51)),Assumptions!$D$238,0)</f>
        <v/>
      </c>
      <c r="AD23" s="41">
        <f>IF(OR(AC23&gt;0,AND(AD$3&gt;=Assumptions!$E$238,AD$3&gt;=Assumptions!$B$14,Revenue_Build!AD10&gt;=Assumptions!$F$238*Assumptions!$B$51)),Assumptions!$D$238,0)</f>
        <v/>
      </c>
      <c r="AE23" s="41">
        <f>IF(OR(AD23&gt;0,AND(AE$3&gt;=Assumptions!$E$238,AE$3&gt;=Assumptions!$B$14,Revenue_Build!AE10&gt;=Assumptions!$F$238*Assumptions!$B$51)),Assumptions!$D$238,0)</f>
        <v/>
      </c>
      <c r="AF23" s="41">
        <f>IF(OR(AE23&gt;0,AND(AF$3&gt;=Assumptions!$E$238,AF$3&gt;=Assumptions!$B$14,Revenue_Build!AF10&gt;=Assumptions!$F$238*Assumptions!$B$51)),Assumptions!$D$238,0)</f>
        <v/>
      </c>
      <c r="AG23" s="41">
        <f>IF(OR(AF23&gt;0,AND(AG$3&gt;=Assumptions!$E$238,AG$3&gt;=Assumptions!$B$14,Revenue_Build!AG10&gt;=Assumptions!$F$238*Assumptions!$B$51)),Assumptions!$D$238,0)</f>
        <v/>
      </c>
      <c r="AH23" s="41">
        <f>IF(OR(AG23&gt;0,AND(AH$3&gt;=Assumptions!$E$238,AH$3&gt;=Assumptions!$B$14,Revenue_Build!AH10&gt;=Assumptions!$F$238*Assumptions!$B$51)),Assumptions!$D$238,0)</f>
        <v/>
      </c>
      <c r="AI23" s="41">
        <f>IF(OR(AH23&gt;0,AND(AI$3&gt;=Assumptions!$E$238,AI$3&gt;=Assumptions!$B$14,Revenue_Build!AI10&gt;=Assumptions!$F$238*Assumptions!$B$51)),Assumptions!$D$238,0)</f>
        <v/>
      </c>
      <c r="AJ23" s="41">
        <f>IF(OR(AI23&gt;0,AND(AJ$3&gt;=Assumptions!$E$238,AJ$3&gt;=Assumptions!$B$14,Revenue_Build!AJ10&gt;=Assumptions!$F$238*Assumptions!$B$51)),Assumptions!$D$238,0)</f>
        <v/>
      </c>
      <c r="AK23" s="41">
        <f>IF(OR(AJ23&gt;0,AND(AK$3&gt;=Assumptions!$E$238,AK$3&gt;=Assumptions!$B$14,Revenue_Build!AK10&gt;=Assumptions!$F$238*Assumptions!$B$51)),Assumptions!$D$238,0)</f>
        <v/>
      </c>
      <c r="AL23" s="41">
        <f>IF(OR(AK23&gt;0,AND(AL$3&gt;=Assumptions!$E$238,AL$3&gt;=Assumptions!$B$14,Revenue_Build!AL10&gt;=Assumptions!$F$238*Assumptions!$B$51)),Assumptions!$D$238,0)</f>
        <v/>
      </c>
      <c r="AM23" s="41">
        <f>IF(OR(AL23&gt;0,AND(AM$3&gt;=Assumptions!$E$238,AM$3&gt;=Assumptions!$B$14,Revenue_Build!AM10&gt;=Assumptions!$F$238*Assumptions!$B$51)),Assumptions!$D$238,0)</f>
        <v/>
      </c>
      <c r="AN23" s="41">
        <f>IF(OR(AM23&gt;0,AND(AN$3&gt;=Assumptions!$E$238,AN$3&gt;=Assumptions!$B$14,Revenue_Build!AN10&gt;=Assumptions!$F$238*Assumptions!$B$51)),Assumptions!$D$238,0)</f>
        <v/>
      </c>
      <c r="AO23" s="41">
        <f>IF(OR(AN23&gt;0,AND(AO$3&gt;=Assumptions!$E$238,AO$3&gt;=Assumptions!$B$14,Revenue_Build!AO10&gt;=Assumptions!$F$238*Assumptions!$B$51)),Assumptions!$D$238,0)</f>
        <v/>
      </c>
      <c r="AP23" s="41">
        <f>IF(OR(AO23&gt;0,AND(AP$3&gt;=Assumptions!$E$238,AP$3&gt;=Assumptions!$B$14,Revenue_Build!AP10&gt;=Assumptions!$F$238*Assumptions!$B$51)),Assumptions!$D$238,0)</f>
        <v/>
      </c>
      <c r="AQ23" s="41">
        <f>IF(OR(AP23&gt;0,AND(AQ$3&gt;=Assumptions!$E$238,AQ$3&gt;=Assumptions!$B$14,Revenue_Build!AQ10&gt;=Assumptions!$F$238*Assumptions!$B$51)),Assumptions!$D$238,0)</f>
        <v/>
      </c>
      <c r="AR23" s="41">
        <f>IF(OR(AQ23&gt;0,AND(AR$3&gt;=Assumptions!$E$238,AR$3&gt;=Assumptions!$B$14,Revenue_Build!AR10&gt;=Assumptions!$F$238*Assumptions!$B$51)),Assumptions!$D$238,0)</f>
        <v/>
      </c>
      <c r="AS23" s="41">
        <f>IF(OR(AR23&gt;0,AND(AS$3&gt;=Assumptions!$E$238,AS$3&gt;=Assumptions!$B$14,Revenue_Build!AS10&gt;=Assumptions!$F$238*Assumptions!$B$51)),Assumptions!$D$238,0)</f>
        <v/>
      </c>
      <c r="AT23" s="41">
        <f>IF(OR(AS23&gt;0,AND(AT$3&gt;=Assumptions!$E$238,AT$3&gt;=Assumptions!$B$14,Revenue_Build!AT10&gt;=Assumptions!$F$238*Assumptions!$B$51)),Assumptions!$D$238,0)</f>
        <v/>
      </c>
      <c r="AU23" s="41">
        <f>IF(OR(AT23&gt;0,AND(AU$3&gt;=Assumptions!$E$238,AU$3&gt;=Assumptions!$B$14,Revenue_Build!AU10&gt;=Assumptions!$F$238*Assumptions!$B$51)),Assumptions!$D$238,0)</f>
        <v/>
      </c>
      <c r="AV23" s="41">
        <f>IF(OR(AU23&gt;0,AND(AV$3&gt;=Assumptions!$E$238,AV$3&gt;=Assumptions!$B$14,Revenue_Build!AV10&gt;=Assumptions!$F$238*Assumptions!$B$51)),Assumptions!$D$238,0)</f>
        <v/>
      </c>
      <c r="AW23" s="41">
        <f>IF(OR(AV23&gt;0,AND(AW$3&gt;=Assumptions!$E$238,AW$3&gt;=Assumptions!$B$14,Revenue_Build!AW10&gt;=Assumptions!$F$238*Assumptions!$B$51)),Assumptions!$D$238,0)</f>
        <v/>
      </c>
      <c r="AX23" s="41">
        <f>IF(OR(AW23&gt;0,AND(AX$3&gt;=Assumptions!$E$238,AX$3&gt;=Assumptions!$B$14,Revenue_Build!AX10&gt;=Assumptions!$F$238*Assumptions!$B$51)),Assumptions!$D$238,0)</f>
        <v/>
      </c>
      <c r="AY23" s="41">
        <f>IF(OR(AX23&gt;0,AND(AY$3&gt;=Assumptions!$E$238,AY$3&gt;=Assumptions!$B$14,Revenue_Build!AY10&gt;=Assumptions!$F$238*Assumptions!$B$51)),Assumptions!$D$238,0)</f>
        <v/>
      </c>
      <c r="AZ23" s="41">
        <f>IF(OR(AY23&gt;0,AND(AZ$3&gt;=Assumptions!$E$238,AZ$3&gt;=Assumptions!$B$14,Revenue_Build!AZ10&gt;=Assumptions!$F$238*Assumptions!$B$51)),Assumptions!$D$238,0)</f>
        <v/>
      </c>
      <c r="BA23" s="41">
        <f>IF(OR(AZ23&gt;0,AND(BA$3&gt;=Assumptions!$E$238,BA$3&gt;=Assumptions!$B$14,Revenue_Build!BA10&gt;=Assumptions!$F$238*Assumptions!$B$51)),Assumptions!$D$238,0)</f>
        <v/>
      </c>
      <c r="BB23" s="41">
        <f>IF(OR(BA23&gt;0,AND(BB$3&gt;=Assumptions!$E$238,BB$3&gt;=Assumptions!$B$14,Revenue_Build!BB10&gt;=Assumptions!$F$238*Assumptions!$B$51)),Assumptions!$D$238,0)</f>
        <v/>
      </c>
      <c r="BC23" s="41">
        <f>IF(OR(BB23&gt;0,AND(BC$3&gt;=Assumptions!$E$238,BC$3&gt;=Assumptions!$B$14,Revenue_Build!BC10&gt;=Assumptions!$F$238*Assumptions!$B$51)),Assumptions!$D$238,0)</f>
        <v/>
      </c>
      <c r="BD23" s="41">
        <f>IF(OR(BC23&gt;0,AND(BD$3&gt;=Assumptions!$E$238,BD$3&gt;=Assumptions!$B$14,Revenue_Build!BD10&gt;=Assumptions!$F$238*Assumptions!$B$51)),Assumptions!$D$238,0)</f>
        <v/>
      </c>
      <c r="BE23" s="41">
        <f>IF(OR(BD23&gt;0,AND(BE$3&gt;=Assumptions!$E$238,BE$3&gt;=Assumptions!$B$14,Revenue_Build!BE10&gt;=Assumptions!$F$238*Assumptions!$B$51)),Assumptions!$D$238,0)</f>
        <v/>
      </c>
      <c r="BF23" s="41">
        <f>IF(OR(BE23&gt;0,AND(BF$3&gt;=Assumptions!$E$238,BF$3&gt;=Assumptions!$B$14,Revenue_Build!BF10&gt;=Assumptions!$F$238*Assumptions!$B$51)),Assumptions!$D$238,0)</f>
        <v/>
      </c>
      <c r="BG23" s="41">
        <f>IF(OR(BF23&gt;0,AND(BG$3&gt;=Assumptions!$E$238,BG$3&gt;=Assumptions!$B$14,Revenue_Build!BG10&gt;=Assumptions!$F$238*Assumptions!$B$51)),Assumptions!$D$238,0)</f>
        <v/>
      </c>
      <c r="BH23" s="41">
        <f>IF(OR(BG23&gt;0,AND(BH$3&gt;=Assumptions!$E$238,BH$3&gt;=Assumptions!$B$14,Revenue_Build!BH10&gt;=Assumptions!$F$238*Assumptions!$B$51)),Assumptions!$D$238,0)</f>
        <v/>
      </c>
      <c r="BI23" s="41">
        <f>IF(OR(BH23&gt;0,AND(BI$3&gt;=Assumptions!$E$238,BI$3&gt;=Assumptions!$B$14,Revenue_Build!BI10&gt;=Assumptions!$F$238*Assumptions!$B$51)),Assumptions!$D$238,0)</f>
        <v/>
      </c>
      <c r="BJ23" s="41">
        <f>IF(OR(BI23&gt;0,AND(BJ$3&gt;=Assumptions!$E$238,BJ$3&gt;=Assumptions!$B$14,Revenue_Build!BJ10&gt;=Assumptions!$F$238*Assumptions!$B$51)),Assumptions!$D$238,0)</f>
        <v/>
      </c>
    </row>
    <row r="24">
      <c r="A24" s="4" t="inlineStr">
        <is>
          <t>Engineers (scale-up III)</t>
        </is>
      </c>
      <c r="B24" s="17" t="inlineStr">
        <is>
          <t>FTE</t>
        </is>
      </c>
      <c r="C24" s="41">
        <f>IF(AND(C$3&gt;=Assumptions!$E$239,C$3&gt;=Assumptions!$B$14,Revenue_Build!C10&gt;=Assumptions!$F$239*Assumptions!$B$51),Assumptions!$D$239,0)</f>
        <v/>
      </c>
      <c r="D24" s="41">
        <f>IF(OR(C24&gt;0,AND(D$3&gt;=Assumptions!$E$239,D$3&gt;=Assumptions!$B$14,Revenue_Build!D10&gt;=Assumptions!$F$239*Assumptions!$B$51)),Assumptions!$D$239,0)</f>
        <v/>
      </c>
      <c r="E24" s="41">
        <f>IF(OR(D24&gt;0,AND(E$3&gt;=Assumptions!$E$239,E$3&gt;=Assumptions!$B$14,Revenue_Build!E10&gt;=Assumptions!$F$239*Assumptions!$B$51)),Assumptions!$D$239,0)</f>
        <v/>
      </c>
      <c r="F24" s="41">
        <f>IF(OR(E24&gt;0,AND(F$3&gt;=Assumptions!$E$239,F$3&gt;=Assumptions!$B$14,Revenue_Build!F10&gt;=Assumptions!$F$239*Assumptions!$B$51)),Assumptions!$D$239,0)</f>
        <v/>
      </c>
      <c r="G24" s="41">
        <f>IF(OR(F24&gt;0,AND(G$3&gt;=Assumptions!$E$239,G$3&gt;=Assumptions!$B$14,Revenue_Build!G10&gt;=Assumptions!$F$239*Assumptions!$B$51)),Assumptions!$D$239,0)</f>
        <v/>
      </c>
      <c r="H24" s="41">
        <f>IF(OR(G24&gt;0,AND(H$3&gt;=Assumptions!$E$239,H$3&gt;=Assumptions!$B$14,Revenue_Build!H10&gt;=Assumptions!$F$239*Assumptions!$B$51)),Assumptions!$D$239,0)</f>
        <v/>
      </c>
      <c r="I24" s="41">
        <f>IF(OR(H24&gt;0,AND(I$3&gt;=Assumptions!$E$239,I$3&gt;=Assumptions!$B$14,Revenue_Build!I10&gt;=Assumptions!$F$239*Assumptions!$B$51)),Assumptions!$D$239,0)</f>
        <v/>
      </c>
      <c r="J24" s="41">
        <f>IF(OR(I24&gt;0,AND(J$3&gt;=Assumptions!$E$239,J$3&gt;=Assumptions!$B$14,Revenue_Build!J10&gt;=Assumptions!$F$239*Assumptions!$B$51)),Assumptions!$D$239,0)</f>
        <v/>
      </c>
      <c r="K24" s="41">
        <f>IF(OR(J24&gt;0,AND(K$3&gt;=Assumptions!$E$239,K$3&gt;=Assumptions!$B$14,Revenue_Build!K10&gt;=Assumptions!$F$239*Assumptions!$B$51)),Assumptions!$D$239,0)</f>
        <v/>
      </c>
      <c r="L24" s="41">
        <f>IF(OR(K24&gt;0,AND(L$3&gt;=Assumptions!$E$239,L$3&gt;=Assumptions!$B$14,Revenue_Build!L10&gt;=Assumptions!$F$239*Assumptions!$B$51)),Assumptions!$D$239,0)</f>
        <v/>
      </c>
      <c r="M24" s="41">
        <f>IF(OR(L24&gt;0,AND(M$3&gt;=Assumptions!$E$239,M$3&gt;=Assumptions!$B$14,Revenue_Build!M10&gt;=Assumptions!$F$239*Assumptions!$B$51)),Assumptions!$D$239,0)</f>
        <v/>
      </c>
      <c r="N24" s="41">
        <f>IF(OR(M24&gt;0,AND(N$3&gt;=Assumptions!$E$239,N$3&gt;=Assumptions!$B$14,Revenue_Build!N10&gt;=Assumptions!$F$239*Assumptions!$B$51)),Assumptions!$D$239,0)</f>
        <v/>
      </c>
      <c r="O24" s="41">
        <f>IF(OR(N24&gt;0,AND(O$3&gt;=Assumptions!$E$239,O$3&gt;=Assumptions!$B$14,Revenue_Build!O10&gt;=Assumptions!$F$239*Assumptions!$B$51)),Assumptions!$D$239,0)</f>
        <v/>
      </c>
      <c r="P24" s="41">
        <f>IF(OR(O24&gt;0,AND(P$3&gt;=Assumptions!$E$239,P$3&gt;=Assumptions!$B$14,Revenue_Build!P10&gt;=Assumptions!$F$239*Assumptions!$B$51)),Assumptions!$D$239,0)</f>
        <v/>
      </c>
      <c r="Q24" s="41">
        <f>IF(OR(P24&gt;0,AND(Q$3&gt;=Assumptions!$E$239,Q$3&gt;=Assumptions!$B$14,Revenue_Build!Q10&gt;=Assumptions!$F$239*Assumptions!$B$51)),Assumptions!$D$239,0)</f>
        <v/>
      </c>
      <c r="R24" s="41">
        <f>IF(OR(Q24&gt;0,AND(R$3&gt;=Assumptions!$E$239,R$3&gt;=Assumptions!$B$14,Revenue_Build!R10&gt;=Assumptions!$F$239*Assumptions!$B$51)),Assumptions!$D$239,0)</f>
        <v/>
      </c>
      <c r="S24" s="41">
        <f>IF(OR(R24&gt;0,AND(S$3&gt;=Assumptions!$E$239,S$3&gt;=Assumptions!$B$14,Revenue_Build!S10&gt;=Assumptions!$F$239*Assumptions!$B$51)),Assumptions!$D$239,0)</f>
        <v/>
      </c>
      <c r="T24" s="41">
        <f>IF(OR(S24&gt;0,AND(T$3&gt;=Assumptions!$E$239,T$3&gt;=Assumptions!$B$14,Revenue_Build!T10&gt;=Assumptions!$F$239*Assumptions!$B$51)),Assumptions!$D$239,0)</f>
        <v/>
      </c>
      <c r="U24" s="41">
        <f>IF(OR(T24&gt;0,AND(U$3&gt;=Assumptions!$E$239,U$3&gt;=Assumptions!$B$14,Revenue_Build!U10&gt;=Assumptions!$F$239*Assumptions!$B$51)),Assumptions!$D$239,0)</f>
        <v/>
      </c>
      <c r="V24" s="41">
        <f>IF(OR(U24&gt;0,AND(V$3&gt;=Assumptions!$E$239,V$3&gt;=Assumptions!$B$14,Revenue_Build!V10&gt;=Assumptions!$F$239*Assumptions!$B$51)),Assumptions!$D$239,0)</f>
        <v/>
      </c>
      <c r="W24" s="41">
        <f>IF(OR(V24&gt;0,AND(W$3&gt;=Assumptions!$E$239,W$3&gt;=Assumptions!$B$14,Revenue_Build!W10&gt;=Assumptions!$F$239*Assumptions!$B$51)),Assumptions!$D$239,0)</f>
        <v/>
      </c>
      <c r="X24" s="41">
        <f>IF(OR(W24&gt;0,AND(X$3&gt;=Assumptions!$E$239,X$3&gt;=Assumptions!$B$14,Revenue_Build!X10&gt;=Assumptions!$F$239*Assumptions!$B$51)),Assumptions!$D$239,0)</f>
        <v/>
      </c>
      <c r="Y24" s="41">
        <f>IF(OR(X24&gt;0,AND(Y$3&gt;=Assumptions!$E$239,Y$3&gt;=Assumptions!$B$14,Revenue_Build!Y10&gt;=Assumptions!$F$239*Assumptions!$B$51)),Assumptions!$D$239,0)</f>
        <v/>
      </c>
      <c r="Z24" s="41">
        <f>IF(OR(Y24&gt;0,AND(Z$3&gt;=Assumptions!$E$239,Z$3&gt;=Assumptions!$B$14,Revenue_Build!Z10&gt;=Assumptions!$F$239*Assumptions!$B$51)),Assumptions!$D$239,0)</f>
        <v/>
      </c>
      <c r="AA24" s="41">
        <f>IF(OR(Z24&gt;0,AND(AA$3&gt;=Assumptions!$E$239,AA$3&gt;=Assumptions!$B$14,Revenue_Build!AA10&gt;=Assumptions!$F$239*Assumptions!$B$51)),Assumptions!$D$239,0)</f>
        <v/>
      </c>
      <c r="AB24" s="41">
        <f>IF(OR(AA24&gt;0,AND(AB$3&gt;=Assumptions!$E$239,AB$3&gt;=Assumptions!$B$14,Revenue_Build!AB10&gt;=Assumptions!$F$239*Assumptions!$B$51)),Assumptions!$D$239,0)</f>
        <v/>
      </c>
      <c r="AC24" s="41">
        <f>IF(OR(AB24&gt;0,AND(AC$3&gt;=Assumptions!$E$239,AC$3&gt;=Assumptions!$B$14,Revenue_Build!AC10&gt;=Assumptions!$F$239*Assumptions!$B$51)),Assumptions!$D$239,0)</f>
        <v/>
      </c>
      <c r="AD24" s="41">
        <f>IF(OR(AC24&gt;0,AND(AD$3&gt;=Assumptions!$E$239,AD$3&gt;=Assumptions!$B$14,Revenue_Build!AD10&gt;=Assumptions!$F$239*Assumptions!$B$51)),Assumptions!$D$239,0)</f>
        <v/>
      </c>
      <c r="AE24" s="41">
        <f>IF(OR(AD24&gt;0,AND(AE$3&gt;=Assumptions!$E$239,AE$3&gt;=Assumptions!$B$14,Revenue_Build!AE10&gt;=Assumptions!$F$239*Assumptions!$B$51)),Assumptions!$D$239,0)</f>
        <v/>
      </c>
      <c r="AF24" s="41">
        <f>IF(OR(AE24&gt;0,AND(AF$3&gt;=Assumptions!$E$239,AF$3&gt;=Assumptions!$B$14,Revenue_Build!AF10&gt;=Assumptions!$F$239*Assumptions!$B$51)),Assumptions!$D$239,0)</f>
        <v/>
      </c>
      <c r="AG24" s="41">
        <f>IF(OR(AF24&gt;0,AND(AG$3&gt;=Assumptions!$E$239,AG$3&gt;=Assumptions!$B$14,Revenue_Build!AG10&gt;=Assumptions!$F$239*Assumptions!$B$51)),Assumptions!$D$239,0)</f>
        <v/>
      </c>
      <c r="AH24" s="41">
        <f>IF(OR(AG24&gt;0,AND(AH$3&gt;=Assumptions!$E$239,AH$3&gt;=Assumptions!$B$14,Revenue_Build!AH10&gt;=Assumptions!$F$239*Assumptions!$B$51)),Assumptions!$D$239,0)</f>
        <v/>
      </c>
      <c r="AI24" s="41">
        <f>IF(OR(AH24&gt;0,AND(AI$3&gt;=Assumptions!$E$239,AI$3&gt;=Assumptions!$B$14,Revenue_Build!AI10&gt;=Assumptions!$F$239*Assumptions!$B$51)),Assumptions!$D$239,0)</f>
        <v/>
      </c>
      <c r="AJ24" s="41">
        <f>IF(OR(AI24&gt;0,AND(AJ$3&gt;=Assumptions!$E$239,AJ$3&gt;=Assumptions!$B$14,Revenue_Build!AJ10&gt;=Assumptions!$F$239*Assumptions!$B$51)),Assumptions!$D$239,0)</f>
        <v/>
      </c>
      <c r="AK24" s="41">
        <f>IF(OR(AJ24&gt;0,AND(AK$3&gt;=Assumptions!$E$239,AK$3&gt;=Assumptions!$B$14,Revenue_Build!AK10&gt;=Assumptions!$F$239*Assumptions!$B$51)),Assumptions!$D$239,0)</f>
        <v/>
      </c>
      <c r="AL24" s="41">
        <f>IF(OR(AK24&gt;0,AND(AL$3&gt;=Assumptions!$E$239,AL$3&gt;=Assumptions!$B$14,Revenue_Build!AL10&gt;=Assumptions!$F$239*Assumptions!$B$51)),Assumptions!$D$239,0)</f>
        <v/>
      </c>
      <c r="AM24" s="41">
        <f>IF(OR(AL24&gt;0,AND(AM$3&gt;=Assumptions!$E$239,AM$3&gt;=Assumptions!$B$14,Revenue_Build!AM10&gt;=Assumptions!$F$239*Assumptions!$B$51)),Assumptions!$D$239,0)</f>
        <v/>
      </c>
      <c r="AN24" s="41">
        <f>IF(OR(AM24&gt;0,AND(AN$3&gt;=Assumptions!$E$239,AN$3&gt;=Assumptions!$B$14,Revenue_Build!AN10&gt;=Assumptions!$F$239*Assumptions!$B$51)),Assumptions!$D$239,0)</f>
        <v/>
      </c>
      <c r="AO24" s="41">
        <f>IF(OR(AN24&gt;0,AND(AO$3&gt;=Assumptions!$E$239,AO$3&gt;=Assumptions!$B$14,Revenue_Build!AO10&gt;=Assumptions!$F$239*Assumptions!$B$51)),Assumptions!$D$239,0)</f>
        <v/>
      </c>
      <c r="AP24" s="41">
        <f>IF(OR(AO24&gt;0,AND(AP$3&gt;=Assumptions!$E$239,AP$3&gt;=Assumptions!$B$14,Revenue_Build!AP10&gt;=Assumptions!$F$239*Assumptions!$B$51)),Assumptions!$D$239,0)</f>
        <v/>
      </c>
      <c r="AQ24" s="41">
        <f>IF(OR(AP24&gt;0,AND(AQ$3&gt;=Assumptions!$E$239,AQ$3&gt;=Assumptions!$B$14,Revenue_Build!AQ10&gt;=Assumptions!$F$239*Assumptions!$B$51)),Assumptions!$D$239,0)</f>
        <v/>
      </c>
      <c r="AR24" s="41">
        <f>IF(OR(AQ24&gt;0,AND(AR$3&gt;=Assumptions!$E$239,AR$3&gt;=Assumptions!$B$14,Revenue_Build!AR10&gt;=Assumptions!$F$239*Assumptions!$B$51)),Assumptions!$D$239,0)</f>
        <v/>
      </c>
      <c r="AS24" s="41">
        <f>IF(OR(AR24&gt;0,AND(AS$3&gt;=Assumptions!$E$239,AS$3&gt;=Assumptions!$B$14,Revenue_Build!AS10&gt;=Assumptions!$F$239*Assumptions!$B$51)),Assumptions!$D$239,0)</f>
        <v/>
      </c>
      <c r="AT24" s="41">
        <f>IF(OR(AS24&gt;0,AND(AT$3&gt;=Assumptions!$E$239,AT$3&gt;=Assumptions!$B$14,Revenue_Build!AT10&gt;=Assumptions!$F$239*Assumptions!$B$51)),Assumptions!$D$239,0)</f>
        <v/>
      </c>
      <c r="AU24" s="41">
        <f>IF(OR(AT24&gt;0,AND(AU$3&gt;=Assumptions!$E$239,AU$3&gt;=Assumptions!$B$14,Revenue_Build!AU10&gt;=Assumptions!$F$239*Assumptions!$B$51)),Assumptions!$D$239,0)</f>
        <v/>
      </c>
      <c r="AV24" s="41">
        <f>IF(OR(AU24&gt;0,AND(AV$3&gt;=Assumptions!$E$239,AV$3&gt;=Assumptions!$B$14,Revenue_Build!AV10&gt;=Assumptions!$F$239*Assumptions!$B$51)),Assumptions!$D$239,0)</f>
        <v/>
      </c>
      <c r="AW24" s="41">
        <f>IF(OR(AV24&gt;0,AND(AW$3&gt;=Assumptions!$E$239,AW$3&gt;=Assumptions!$B$14,Revenue_Build!AW10&gt;=Assumptions!$F$239*Assumptions!$B$51)),Assumptions!$D$239,0)</f>
        <v/>
      </c>
      <c r="AX24" s="41">
        <f>IF(OR(AW24&gt;0,AND(AX$3&gt;=Assumptions!$E$239,AX$3&gt;=Assumptions!$B$14,Revenue_Build!AX10&gt;=Assumptions!$F$239*Assumptions!$B$51)),Assumptions!$D$239,0)</f>
        <v/>
      </c>
      <c r="AY24" s="41">
        <f>IF(OR(AX24&gt;0,AND(AY$3&gt;=Assumptions!$E$239,AY$3&gt;=Assumptions!$B$14,Revenue_Build!AY10&gt;=Assumptions!$F$239*Assumptions!$B$51)),Assumptions!$D$239,0)</f>
        <v/>
      </c>
      <c r="AZ24" s="41">
        <f>IF(OR(AY24&gt;0,AND(AZ$3&gt;=Assumptions!$E$239,AZ$3&gt;=Assumptions!$B$14,Revenue_Build!AZ10&gt;=Assumptions!$F$239*Assumptions!$B$51)),Assumptions!$D$239,0)</f>
        <v/>
      </c>
      <c r="BA24" s="41">
        <f>IF(OR(AZ24&gt;0,AND(BA$3&gt;=Assumptions!$E$239,BA$3&gt;=Assumptions!$B$14,Revenue_Build!BA10&gt;=Assumptions!$F$239*Assumptions!$B$51)),Assumptions!$D$239,0)</f>
        <v/>
      </c>
      <c r="BB24" s="41">
        <f>IF(OR(BA24&gt;0,AND(BB$3&gt;=Assumptions!$E$239,BB$3&gt;=Assumptions!$B$14,Revenue_Build!BB10&gt;=Assumptions!$F$239*Assumptions!$B$51)),Assumptions!$D$239,0)</f>
        <v/>
      </c>
      <c r="BC24" s="41">
        <f>IF(OR(BB24&gt;0,AND(BC$3&gt;=Assumptions!$E$239,BC$3&gt;=Assumptions!$B$14,Revenue_Build!BC10&gt;=Assumptions!$F$239*Assumptions!$B$51)),Assumptions!$D$239,0)</f>
        <v/>
      </c>
      <c r="BD24" s="41">
        <f>IF(OR(BC24&gt;0,AND(BD$3&gt;=Assumptions!$E$239,BD$3&gt;=Assumptions!$B$14,Revenue_Build!BD10&gt;=Assumptions!$F$239*Assumptions!$B$51)),Assumptions!$D$239,0)</f>
        <v/>
      </c>
      <c r="BE24" s="41">
        <f>IF(OR(BD24&gt;0,AND(BE$3&gt;=Assumptions!$E$239,BE$3&gt;=Assumptions!$B$14,Revenue_Build!BE10&gt;=Assumptions!$F$239*Assumptions!$B$51)),Assumptions!$D$239,0)</f>
        <v/>
      </c>
      <c r="BF24" s="41">
        <f>IF(OR(BE24&gt;0,AND(BF$3&gt;=Assumptions!$E$239,BF$3&gt;=Assumptions!$B$14,Revenue_Build!BF10&gt;=Assumptions!$F$239*Assumptions!$B$51)),Assumptions!$D$239,0)</f>
        <v/>
      </c>
      <c r="BG24" s="41">
        <f>IF(OR(BF24&gt;0,AND(BG$3&gt;=Assumptions!$E$239,BG$3&gt;=Assumptions!$B$14,Revenue_Build!BG10&gt;=Assumptions!$F$239*Assumptions!$B$51)),Assumptions!$D$239,0)</f>
        <v/>
      </c>
      <c r="BH24" s="41">
        <f>IF(OR(BG24&gt;0,AND(BH$3&gt;=Assumptions!$E$239,BH$3&gt;=Assumptions!$B$14,Revenue_Build!BH10&gt;=Assumptions!$F$239*Assumptions!$B$51)),Assumptions!$D$239,0)</f>
        <v/>
      </c>
      <c r="BI24" s="41">
        <f>IF(OR(BH24&gt;0,AND(BI$3&gt;=Assumptions!$E$239,BI$3&gt;=Assumptions!$B$14,Revenue_Build!BI10&gt;=Assumptions!$F$239*Assumptions!$B$51)),Assumptions!$D$239,0)</f>
        <v/>
      </c>
      <c r="BJ24" s="41">
        <f>IF(OR(BI24&gt;0,AND(BJ$3&gt;=Assumptions!$E$239,BJ$3&gt;=Assumptions!$B$14,Revenue_Build!BJ10&gt;=Assumptions!$F$239*Assumptions!$B$51)),Assumptions!$D$239,0)</f>
        <v/>
      </c>
    </row>
    <row r="25">
      <c r="A25" s="4" t="inlineStr">
        <is>
          <t>Engineers (scale-up IV: social adapters &amp; integrations at scale)</t>
        </is>
      </c>
      <c r="B25" s="17" t="inlineStr">
        <is>
          <t>FTE</t>
        </is>
      </c>
      <c r="C25" s="41">
        <f>IF(AND(C$3&gt;=Assumptions!$E$240,C$3&gt;=Assumptions!$B$14,Revenue_Build!C10&gt;=Assumptions!$F$240*Assumptions!$B$51),Assumptions!$D$240,0)</f>
        <v/>
      </c>
      <c r="D25" s="41">
        <f>IF(OR(C25&gt;0,AND(D$3&gt;=Assumptions!$E$240,D$3&gt;=Assumptions!$B$14,Revenue_Build!D10&gt;=Assumptions!$F$240*Assumptions!$B$51)),Assumptions!$D$240,0)</f>
        <v/>
      </c>
      <c r="E25" s="41">
        <f>IF(OR(D25&gt;0,AND(E$3&gt;=Assumptions!$E$240,E$3&gt;=Assumptions!$B$14,Revenue_Build!E10&gt;=Assumptions!$F$240*Assumptions!$B$51)),Assumptions!$D$240,0)</f>
        <v/>
      </c>
      <c r="F25" s="41">
        <f>IF(OR(E25&gt;0,AND(F$3&gt;=Assumptions!$E$240,F$3&gt;=Assumptions!$B$14,Revenue_Build!F10&gt;=Assumptions!$F$240*Assumptions!$B$51)),Assumptions!$D$240,0)</f>
        <v/>
      </c>
      <c r="G25" s="41">
        <f>IF(OR(F25&gt;0,AND(G$3&gt;=Assumptions!$E$240,G$3&gt;=Assumptions!$B$14,Revenue_Build!G10&gt;=Assumptions!$F$240*Assumptions!$B$51)),Assumptions!$D$240,0)</f>
        <v/>
      </c>
      <c r="H25" s="41">
        <f>IF(OR(G25&gt;0,AND(H$3&gt;=Assumptions!$E$240,H$3&gt;=Assumptions!$B$14,Revenue_Build!H10&gt;=Assumptions!$F$240*Assumptions!$B$51)),Assumptions!$D$240,0)</f>
        <v/>
      </c>
      <c r="I25" s="41">
        <f>IF(OR(H25&gt;0,AND(I$3&gt;=Assumptions!$E$240,I$3&gt;=Assumptions!$B$14,Revenue_Build!I10&gt;=Assumptions!$F$240*Assumptions!$B$51)),Assumptions!$D$240,0)</f>
        <v/>
      </c>
      <c r="J25" s="41">
        <f>IF(OR(I25&gt;0,AND(J$3&gt;=Assumptions!$E$240,J$3&gt;=Assumptions!$B$14,Revenue_Build!J10&gt;=Assumptions!$F$240*Assumptions!$B$51)),Assumptions!$D$240,0)</f>
        <v/>
      </c>
      <c r="K25" s="41">
        <f>IF(OR(J25&gt;0,AND(K$3&gt;=Assumptions!$E$240,K$3&gt;=Assumptions!$B$14,Revenue_Build!K10&gt;=Assumptions!$F$240*Assumptions!$B$51)),Assumptions!$D$240,0)</f>
        <v/>
      </c>
      <c r="L25" s="41">
        <f>IF(OR(K25&gt;0,AND(L$3&gt;=Assumptions!$E$240,L$3&gt;=Assumptions!$B$14,Revenue_Build!L10&gt;=Assumptions!$F$240*Assumptions!$B$51)),Assumptions!$D$240,0)</f>
        <v/>
      </c>
      <c r="M25" s="41">
        <f>IF(OR(L25&gt;0,AND(M$3&gt;=Assumptions!$E$240,M$3&gt;=Assumptions!$B$14,Revenue_Build!M10&gt;=Assumptions!$F$240*Assumptions!$B$51)),Assumptions!$D$240,0)</f>
        <v/>
      </c>
      <c r="N25" s="41">
        <f>IF(OR(M25&gt;0,AND(N$3&gt;=Assumptions!$E$240,N$3&gt;=Assumptions!$B$14,Revenue_Build!N10&gt;=Assumptions!$F$240*Assumptions!$B$51)),Assumptions!$D$240,0)</f>
        <v/>
      </c>
      <c r="O25" s="41">
        <f>IF(OR(N25&gt;0,AND(O$3&gt;=Assumptions!$E$240,O$3&gt;=Assumptions!$B$14,Revenue_Build!O10&gt;=Assumptions!$F$240*Assumptions!$B$51)),Assumptions!$D$240,0)</f>
        <v/>
      </c>
      <c r="P25" s="41">
        <f>IF(OR(O25&gt;0,AND(P$3&gt;=Assumptions!$E$240,P$3&gt;=Assumptions!$B$14,Revenue_Build!P10&gt;=Assumptions!$F$240*Assumptions!$B$51)),Assumptions!$D$240,0)</f>
        <v/>
      </c>
      <c r="Q25" s="41">
        <f>IF(OR(P25&gt;0,AND(Q$3&gt;=Assumptions!$E$240,Q$3&gt;=Assumptions!$B$14,Revenue_Build!Q10&gt;=Assumptions!$F$240*Assumptions!$B$51)),Assumptions!$D$240,0)</f>
        <v/>
      </c>
      <c r="R25" s="41">
        <f>IF(OR(Q25&gt;0,AND(R$3&gt;=Assumptions!$E$240,R$3&gt;=Assumptions!$B$14,Revenue_Build!R10&gt;=Assumptions!$F$240*Assumptions!$B$51)),Assumptions!$D$240,0)</f>
        <v/>
      </c>
      <c r="S25" s="41">
        <f>IF(OR(R25&gt;0,AND(S$3&gt;=Assumptions!$E$240,S$3&gt;=Assumptions!$B$14,Revenue_Build!S10&gt;=Assumptions!$F$240*Assumptions!$B$51)),Assumptions!$D$240,0)</f>
        <v/>
      </c>
      <c r="T25" s="41">
        <f>IF(OR(S25&gt;0,AND(T$3&gt;=Assumptions!$E$240,T$3&gt;=Assumptions!$B$14,Revenue_Build!T10&gt;=Assumptions!$F$240*Assumptions!$B$51)),Assumptions!$D$240,0)</f>
        <v/>
      </c>
      <c r="U25" s="41">
        <f>IF(OR(T25&gt;0,AND(U$3&gt;=Assumptions!$E$240,U$3&gt;=Assumptions!$B$14,Revenue_Build!U10&gt;=Assumptions!$F$240*Assumptions!$B$51)),Assumptions!$D$240,0)</f>
        <v/>
      </c>
      <c r="V25" s="41">
        <f>IF(OR(U25&gt;0,AND(V$3&gt;=Assumptions!$E$240,V$3&gt;=Assumptions!$B$14,Revenue_Build!V10&gt;=Assumptions!$F$240*Assumptions!$B$51)),Assumptions!$D$240,0)</f>
        <v/>
      </c>
      <c r="W25" s="41">
        <f>IF(OR(V25&gt;0,AND(W$3&gt;=Assumptions!$E$240,W$3&gt;=Assumptions!$B$14,Revenue_Build!W10&gt;=Assumptions!$F$240*Assumptions!$B$51)),Assumptions!$D$240,0)</f>
        <v/>
      </c>
      <c r="X25" s="41">
        <f>IF(OR(W25&gt;0,AND(X$3&gt;=Assumptions!$E$240,X$3&gt;=Assumptions!$B$14,Revenue_Build!X10&gt;=Assumptions!$F$240*Assumptions!$B$51)),Assumptions!$D$240,0)</f>
        <v/>
      </c>
      <c r="Y25" s="41">
        <f>IF(OR(X25&gt;0,AND(Y$3&gt;=Assumptions!$E$240,Y$3&gt;=Assumptions!$B$14,Revenue_Build!Y10&gt;=Assumptions!$F$240*Assumptions!$B$51)),Assumptions!$D$240,0)</f>
        <v/>
      </c>
      <c r="Z25" s="41">
        <f>IF(OR(Y25&gt;0,AND(Z$3&gt;=Assumptions!$E$240,Z$3&gt;=Assumptions!$B$14,Revenue_Build!Z10&gt;=Assumptions!$F$240*Assumptions!$B$51)),Assumptions!$D$240,0)</f>
        <v/>
      </c>
      <c r="AA25" s="41">
        <f>IF(OR(Z25&gt;0,AND(AA$3&gt;=Assumptions!$E$240,AA$3&gt;=Assumptions!$B$14,Revenue_Build!AA10&gt;=Assumptions!$F$240*Assumptions!$B$51)),Assumptions!$D$240,0)</f>
        <v/>
      </c>
      <c r="AB25" s="41">
        <f>IF(OR(AA25&gt;0,AND(AB$3&gt;=Assumptions!$E$240,AB$3&gt;=Assumptions!$B$14,Revenue_Build!AB10&gt;=Assumptions!$F$240*Assumptions!$B$51)),Assumptions!$D$240,0)</f>
        <v/>
      </c>
      <c r="AC25" s="41">
        <f>IF(OR(AB25&gt;0,AND(AC$3&gt;=Assumptions!$E$240,AC$3&gt;=Assumptions!$B$14,Revenue_Build!AC10&gt;=Assumptions!$F$240*Assumptions!$B$51)),Assumptions!$D$240,0)</f>
        <v/>
      </c>
      <c r="AD25" s="41">
        <f>IF(OR(AC25&gt;0,AND(AD$3&gt;=Assumptions!$E$240,AD$3&gt;=Assumptions!$B$14,Revenue_Build!AD10&gt;=Assumptions!$F$240*Assumptions!$B$51)),Assumptions!$D$240,0)</f>
        <v/>
      </c>
      <c r="AE25" s="41">
        <f>IF(OR(AD25&gt;0,AND(AE$3&gt;=Assumptions!$E$240,AE$3&gt;=Assumptions!$B$14,Revenue_Build!AE10&gt;=Assumptions!$F$240*Assumptions!$B$51)),Assumptions!$D$240,0)</f>
        <v/>
      </c>
      <c r="AF25" s="41">
        <f>IF(OR(AE25&gt;0,AND(AF$3&gt;=Assumptions!$E$240,AF$3&gt;=Assumptions!$B$14,Revenue_Build!AF10&gt;=Assumptions!$F$240*Assumptions!$B$51)),Assumptions!$D$240,0)</f>
        <v/>
      </c>
      <c r="AG25" s="41">
        <f>IF(OR(AF25&gt;0,AND(AG$3&gt;=Assumptions!$E$240,AG$3&gt;=Assumptions!$B$14,Revenue_Build!AG10&gt;=Assumptions!$F$240*Assumptions!$B$51)),Assumptions!$D$240,0)</f>
        <v/>
      </c>
      <c r="AH25" s="41">
        <f>IF(OR(AG25&gt;0,AND(AH$3&gt;=Assumptions!$E$240,AH$3&gt;=Assumptions!$B$14,Revenue_Build!AH10&gt;=Assumptions!$F$240*Assumptions!$B$51)),Assumptions!$D$240,0)</f>
        <v/>
      </c>
      <c r="AI25" s="41">
        <f>IF(OR(AH25&gt;0,AND(AI$3&gt;=Assumptions!$E$240,AI$3&gt;=Assumptions!$B$14,Revenue_Build!AI10&gt;=Assumptions!$F$240*Assumptions!$B$51)),Assumptions!$D$240,0)</f>
        <v/>
      </c>
      <c r="AJ25" s="41">
        <f>IF(OR(AI25&gt;0,AND(AJ$3&gt;=Assumptions!$E$240,AJ$3&gt;=Assumptions!$B$14,Revenue_Build!AJ10&gt;=Assumptions!$F$240*Assumptions!$B$51)),Assumptions!$D$240,0)</f>
        <v/>
      </c>
      <c r="AK25" s="41">
        <f>IF(OR(AJ25&gt;0,AND(AK$3&gt;=Assumptions!$E$240,AK$3&gt;=Assumptions!$B$14,Revenue_Build!AK10&gt;=Assumptions!$F$240*Assumptions!$B$51)),Assumptions!$D$240,0)</f>
        <v/>
      </c>
      <c r="AL25" s="41">
        <f>IF(OR(AK25&gt;0,AND(AL$3&gt;=Assumptions!$E$240,AL$3&gt;=Assumptions!$B$14,Revenue_Build!AL10&gt;=Assumptions!$F$240*Assumptions!$B$51)),Assumptions!$D$240,0)</f>
        <v/>
      </c>
      <c r="AM25" s="41">
        <f>IF(OR(AL25&gt;0,AND(AM$3&gt;=Assumptions!$E$240,AM$3&gt;=Assumptions!$B$14,Revenue_Build!AM10&gt;=Assumptions!$F$240*Assumptions!$B$51)),Assumptions!$D$240,0)</f>
        <v/>
      </c>
      <c r="AN25" s="41">
        <f>IF(OR(AM25&gt;0,AND(AN$3&gt;=Assumptions!$E$240,AN$3&gt;=Assumptions!$B$14,Revenue_Build!AN10&gt;=Assumptions!$F$240*Assumptions!$B$51)),Assumptions!$D$240,0)</f>
        <v/>
      </c>
      <c r="AO25" s="41">
        <f>IF(OR(AN25&gt;0,AND(AO$3&gt;=Assumptions!$E$240,AO$3&gt;=Assumptions!$B$14,Revenue_Build!AO10&gt;=Assumptions!$F$240*Assumptions!$B$51)),Assumptions!$D$240,0)</f>
        <v/>
      </c>
      <c r="AP25" s="41">
        <f>IF(OR(AO25&gt;0,AND(AP$3&gt;=Assumptions!$E$240,AP$3&gt;=Assumptions!$B$14,Revenue_Build!AP10&gt;=Assumptions!$F$240*Assumptions!$B$51)),Assumptions!$D$240,0)</f>
        <v/>
      </c>
      <c r="AQ25" s="41">
        <f>IF(OR(AP25&gt;0,AND(AQ$3&gt;=Assumptions!$E$240,AQ$3&gt;=Assumptions!$B$14,Revenue_Build!AQ10&gt;=Assumptions!$F$240*Assumptions!$B$51)),Assumptions!$D$240,0)</f>
        <v/>
      </c>
      <c r="AR25" s="41">
        <f>IF(OR(AQ25&gt;0,AND(AR$3&gt;=Assumptions!$E$240,AR$3&gt;=Assumptions!$B$14,Revenue_Build!AR10&gt;=Assumptions!$F$240*Assumptions!$B$51)),Assumptions!$D$240,0)</f>
        <v/>
      </c>
      <c r="AS25" s="41">
        <f>IF(OR(AR25&gt;0,AND(AS$3&gt;=Assumptions!$E$240,AS$3&gt;=Assumptions!$B$14,Revenue_Build!AS10&gt;=Assumptions!$F$240*Assumptions!$B$51)),Assumptions!$D$240,0)</f>
        <v/>
      </c>
      <c r="AT25" s="41">
        <f>IF(OR(AS25&gt;0,AND(AT$3&gt;=Assumptions!$E$240,AT$3&gt;=Assumptions!$B$14,Revenue_Build!AT10&gt;=Assumptions!$F$240*Assumptions!$B$51)),Assumptions!$D$240,0)</f>
        <v/>
      </c>
      <c r="AU25" s="41">
        <f>IF(OR(AT25&gt;0,AND(AU$3&gt;=Assumptions!$E$240,AU$3&gt;=Assumptions!$B$14,Revenue_Build!AU10&gt;=Assumptions!$F$240*Assumptions!$B$51)),Assumptions!$D$240,0)</f>
        <v/>
      </c>
      <c r="AV25" s="41">
        <f>IF(OR(AU25&gt;0,AND(AV$3&gt;=Assumptions!$E$240,AV$3&gt;=Assumptions!$B$14,Revenue_Build!AV10&gt;=Assumptions!$F$240*Assumptions!$B$51)),Assumptions!$D$240,0)</f>
        <v/>
      </c>
      <c r="AW25" s="41">
        <f>IF(OR(AV25&gt;0,AND(AW$3&gt;=Assumptions!$E$240,AW$3&gt;=Assumptions!$B$14,Revenue_Build!AW10&gt;=Assumptions!$F$240*Assumptions!$B$51)),Assumptions!$D$240,0)</f>
        <v/>
      </c>
      <c r="AX25" s="41">
        <f>IF(OR(AW25&gt;0,AND(AX$3&gt;=Assumptions!$E$240,AX$3&gt;=Assumptions!$B$14,Revenue_Build!AX10&gt;=Assumptions!$F$240*Assumptions!$B$51)),Assumptions!$D$240,0)</f>
        <v/>
      </c>
      <c r="AY25" s="41">
        <f>IF(OR(AX25&gt;0,AND(AY$3&gt;=Assumptions!$E$240,AY$3&gt;=Assumptions!$B$14,Revenue_Build!AY10&gt;=Assumptions!$F$240*Assumptions!$B$51)),Assumptions!$D$240,0)</f>
        <v/>
      </c>
      <c r="AZ25" s="41">
        <f>IF(OR(AY25&gt;0,AND(AZ$3&gt;=Assumptions!$E$240,AZ$3&gt;=Assumptions!$B$14,Revenue_Build!AZ10&gt;=Assumptions!$F$240*Assumptions!$B$51)),Assumptions!$D$240,0)</f>
        <v/>
      </c>
      <c r="BA25" s="41">
        <f>IF(OR(AZ25&gt;0,AND(BA$3&gt;=Assumptions!$E$240,BA$3&gt;=Assumptions!$B$14,Revenue_Build!BA10&gt;=Assumptions!$F$240*Assumptions!$B$51)),Assumptions!$D$240,0)</f>
        <v/>
      </c>
      <c r="BB25" s="41">
        <f>IF(OR(BA25&gt;0,AND(BB$3&gt;=Assumptions!$E$240,BB$3&gt;=Assumptions!$B$14,Revenue_Build!BB10&gt;=Assumptions!$F$240*Assumptions!$B$51)),Assumptions!$D$240,0)</f>
        <v/>
      </c>
      <c r="BC25" s="41">
        <f>IF(OR(BB25&gt;0,AND(BC$3&gt;=Assumptions!$E$240,BC$3&gt;=Assumptions!$B$14,Revenue_Build!BC10&gt;=Assumptions!$F$240*Assumptions!$B$51)),Assumptions!$D$240,0)</f>
        <v/>
      </c>
      <c r="BD25" s="41">
        <f>IF(OR(BC25&gt;0,AND(BD$3&gt;=Assumptions!$E$240,BD$3&gt;=Assumptions!$B$14,Revenue_Build!BD10&gt;=Assumptions!$F$240*Assumptions!$B$51)),Assumptions!$D$240,0)</f>
        <v/>
      </c>
      <c r="BE25" s="41">
        <f>IF(OR(BD25&gt;0,AND(BE$3&gt;=Assumptions!$E$240,BE$3&gt;=Assumptions!$B$14,Revenue_Build!BE10&gt;=Assumptions!$F$240*Assumptions!$B$51)),Assumptions!$D$240,0)</f>
        <v/>
      </c>
      <c r="BF25" s="41">
        <f>IF(OR(BE25&gt;0,AND(BF$3&gt;=Assumptions!$E$240,BF$3&gt;=Assumptions!$B$14,Revenue_Build!BF10&gt;=Assumptions!$F$240*Assumptions!$B$51)),Assumptions!$D$240,0)</f>
        <v/>
      </c>
      <c r="BG25" s="41">
        <f>IF(OR(BF25&gt;0,AND(BG$3&gt;=Assumptions!$E$240,BG$3&gt;=Assumptions!$B$14,Revenue_Build!BG10&gt;=Assumptions!$F$240*Assumptions!$B$51)),Assumptions!$D$240,0)</f>
        <v/>
      </c>
      <c r="BH25" s="41">
        <f>IF(OR(BG25&gt;0,AND(BH$3&gt;=Assumptions!$E$240,BH$3&gt;=Assumptions!$B$14,Revenue_Build!BH10&gt;=Assumptions!$F$240*Assumptions!$B$51)),Assumptions!$D$240,0)</f>
        <v/>
      </c>
      <c r="BI25" s="41">
        <f>IF(OR(BH25&gt;0,AND(BI$3&gt;=Assumptions!$E$240,BI$3&gt;=Assumptions!$B$14,Revenue_Build!BI10&gt;=Assumptions!$F$240*Assumptions!$B$51)),Assumptions!$D$240,0)</f>
        <v/>
      </c>
      <c r="BJ25" s="41">
        <f>IF(OR(BI25&gt;0,AND(BJ$3&gt;=Assumptions!$E$240,BJ$3&gt;=Assumptions!$B$14,Revenue_Build!BJ10&gt;=Assumptions!$F$240*Assumptions!$B$51)),Assumptions!$D$240,0)</f>
        <v/>
      </c>
    </row>
    <row r="26">
      <c r="A26" s="4" t="inlineStr">
        <is>
          <t>Data &amp; AI team II</t>
        </is>
      </c>
      <c r="B26" s="17" t="inlineStr">
        <is>
          <t>FTE</t>
        </is>
      </c>
      <c r="C26" s="41">
        <f>IF(AND(C$3&gt;=Assumptions!$E$241,C$3&gt;=Assumptions!$B$14,Revenue_Build!C10&gt;=Assumptions!$F$241*Assumptions!$B$51),Assumptions!$D$241,0)</f>
        <v/>
      </c>
      <c r="D26" s="41">
        <f>IF(OR(C26&gt;0,AND(D$3&gt;=Assumptions!$E$241,D$3&gt;=Assumptions!$B$14,Revenue_Build!D10&gt;=Assumptions!$F$241*Assumptions!$B$51)),Assumptions!$D$241,0)</f>
        <v/>
      </c>
      <c r="E26" s="41">
        <f>IF(OR(D26&gt;0,AND(E$3&gt;=Assumptions!$E$241,E$3&gt;=Assumptions!$B$14,Revenue_Build!E10&gt;=Assumptions!$F$241*Assumptions!$B$51)),Assumptions!$D$241,0)</f>
        <v/>
      </c>
      <c r="F26" s="41">
        <f>IF(OR(E26&gt;0,AND(F$3&gt;=Assumptions!$E$241,F$3&gt;=Assumptions!$B$14,Revenue_Build!F10&gt;=Assumptions!$F$241*Assumptions!$B$51)),Assumptions!$D$241,0)</f>
        <v/>
      </c>
      <c r="G26" s="41">
        <f>IF(OR(F26&gt;0,AND(G$3&gt;=Assumptions!$E$241,G$3&gt;=Assumptions!$B$14,Revenue_Build!G10&gt;=Assumptions!$F$241*Assumptions!$B$51)),Assumptions!$D$241,0)</f>
        <v/>
      </c>
      <c r="H26" s="41">
        <f>IF(OR(G26&gt;0,AND(H$3&gt;=Assumptions!$E$241,H$3&gt;=Assumptions!$B$14,Revenue_Build!H10&gt;=Assumptions!$F$241*Assumptions!$B$51)),Assumptions!$D$241,0)</f>
        <v/>
      </c>
      <c r="I26" s="41">
        <f>IF(OR(H26&gt;0,AND(I$3&gt;=Assumptions!$E$241,I$3&gt;=Assumptions!$B$14,Revenue_Build!I10&gt;=Assumptions!$F$241*Assumptions!$B$51)),Assumptions!$D$241,0)</f>
        <v/>
      </c>
      <c r="J26" s="41">
        <f>IF(OR(I26&gt;0,AND(J$3&gt;=Assumptions!$E$241,J$3&gt;=Assumptions!$B$14,Revenue_Build!J10&gt;=Assumptions!$F$241*Assumptions!$B$51)),Assumptions!$D$241,0)</f>
        <v/>
      </c>
      <c r="K26" s="41">
        <f>IF(OR(J26&gt;0,AND(K$3&gt;=Assumptions!$E$241,K$3&gt;=Assumptions!$B$14,Revenue_Build!K10&gt;=Assumptions!$F$241*Assumptions!$B$51)),Assumptions!$D$241,0)</f>
        <v/>
      </c>
      <c r="L26" s="41">
        <f>IF(OR(K26&gt;0,AND(L$3&gt;=Assumptions!$E$241,L$3&gt;=Assumptions!$B$14,Revenue_Build!L10&gt;=Assumptions!$F$241*Assumptions!$B$51)),Assumptions!$D$241,0)</f>
        <v/>
      </c>
      <c r="M26" s="41">
        <f>IF(OR(L26&gt;0,AND(M$3&gt;=Assumptions!$E$241,M$3&gt;=Assumptions!$B$14,Revenue_Build!M10&gt;=Assumptions!$F$241*Assumptions!$B$51)),Assumptions!$D$241,0)</f>
        <v/>
      </c>
      <c r="N26" s="41">
        <f>IF(OR(M26&gt;0,AND(N$3&gt;=Assumptions!$E$241,N$3&gt;=Assumptions!$B$14,Revenue_Build!N10&gt;=Assumptions!$F$241*Assumptions!$B$51)),Assumptions!$D$241,0)</f>
        <v/>
      </c>
      <c r="O26" s="41">
        <f>IF(OR(N26&gt;0,AND(O$3&gt;=Assumptions!$E$241,O$3&gt;=Assumptions!$B$14,Revenue_Build!O10&gt;=Assumptions!$F$241*Assumptions!$B$51)),Assumptions!$D$241,0)</f>
        <v/>
      </c>
      <c r="P26" s="41">
        <f>IF(OR(O26&gt;0,AND(P$3&gt;=Assumptions!$E$241,P$3&gt;=Assumptions!$B$14,Revenue_Build!P10&gt;=Assumptions!$F$241*Assumptions!$B$51)),Assumptions!$D$241,0)</f>
        <v/>
      </c>
      <c r="Q26" s="41">
        <f>IF(OR(P26&gt;0,AND(Q$3&gt;=Assumptions!$E$241,Q$3&gt;=Assumptions!$B$14,Revenue_Build!Q10&gt;=Assumptions!$F$241*Assumptions!$B$51)),Assumptions!$D$241,0)</f>
        <v/>
      </c>
      <c r="R26" s="41">
        <f>IF(OR(Q26&gt;0,AND(R$3&gt;=Assumptions!$E$241,R$3&gt;=Assumptions!$B$14,Revenue_Build!R10&gt;=Assumptions!$F$241*Assumptions!$B$51)),Assumptions!$D$241,0)</f>
        <v/>
      </c>
      <c r="S26" s="41">
        <f>IF(OR(R26&gt;0,AND(S$3&gt;=Assumptions!$E$241,S$3&gt;=Assumptions!$B$14,Revenue_Build!S10&gt;=Assumptions!$F$241*Assumptions!$B$51)),Assumptions!$D$241,0)</f>
        <v/>
      </c>
      <c r="T26" s="41">
        <f>IF(OR(S26&gt;0,AND(T$3&gt;=Assumptions!$E$241,T$3&gt;=Assumptions!$B$14,Revenue_Build!T10&gt;=Assumptions!$F$241*Assumptions!$B$51)),Assumptions!$D$241,0)</f>
        <v/>
      </c>
      <c r="U26" s="41">
        <f>IF(OR(T26&gt;0,AND(U$3&gt;=Assumptions!$E$241,U$3&gt;=Assumptions!$B$14,Revenue_Build!U10&gt;=Assumptions!$F$241*Assumptions!$B$51)),Assumptions!$D$241,0)</f>
        <v/>
      </c>
      <c r="V26" s="41">
        <f>IF(OR(U26&gt;0,AND(V$3&gt;=Assumptions!$E$241,V$3&gt;=Assumptions!$B$14,Revenue_Build!V10&gt;=Assumptions!$F$241*Assumptions!$B$51)),Assumptions!$D$241,0)</f>
        <v/>
      </c>
      <c r="W26" s="41">
        <f>IF(OR(V26&gt;0,AND(W$3&gt;=Assumptions!$E$241,W$3&gt;=Assumptions!$B$14,Revenue_Build!W10&gt;=Assumptions!$F$241*Assumptions!$B$51)),Assumptions!$D$241,0)</f>
        <v/>
      </c>
      <c r="X26" s="41">
        <f>IF(OR(W26&gt;0,AND(X$3&gt;=Assumptions!$E$241,X$3&gt;=Assumptions!$B$14,Revenue_Build!X10&gt;=Assumptions!$F$241*Assumptions!$B$51)),Assumptions!$D$241,0)</f>
        <v/>
      </c>
      <c r="Y26" s="41">
        <f>IF(OR(X26&gt;0,AND(Y$3&gt;=Assumptions!$E$241,Y$3&gt;=Assumptions!$B$14,Revenue_Build!Y10&gt;=Assumptions!$F$241*Assumptions!$B$51)),Assumptions!$D$241,0)</f>
        <v/>
      </c>
      <c r="Z26" s="41">
        <f>IF(OR(Y26&gt;0,AND(Z$3&gt;=Assumptions!$E$241,Z$3&gt;=Assumptions!$B$14,Revenue_Build!Z10&gt;=Assumptions!$F$241*Assumptions!$B$51)),Assumptions!$D$241,0)</f>
        <v/>
      </c>
      <c r="AA26" s="41">
        <f>IF(OR(Z26&gt;0,AND(AA$3&gt;=Assumptions!$E$241,AA$3&gt;=Assumptions!$B$14,Revenue_Build!AA10&gt;=Assumptions!$F$241*Assumptions!$B$51)),Assumptions!$D$241,0)</f>
        <v/>
      </c>
      <c r="AB26" s="41">
        <f>IF(OR(AA26&gt;0,AND(AB$3&gt;=Assumptions!$E$241,AB$3&gt;=Assumptions!$B$14,Revenue_Build!AB10&gt;=Assumptions!$F$241*Assumptions!$B$51)),Assumptions!$D$241,0)</f>
        <v/>
      </c>
      <c r="AC26" s="41">
        <f>IF(OR(AB26&gt;0,AND(AC$3&gt;=Assumptions!$E$241,AC$3&gt;=Assumptions!$B$14,Revenue_Build!AC10&gt;=Assumptions!$F$241*Assumptions!$B$51)),Assumptions!$D$241,0)</f>
        <v/>
      </c>
      <c r="AD26" s="41">
        <f>IF(OR(AC26&gt;0,AND(AD$3&gt;=Assumptions!$E$241,AD$3&gt;=Assumptions!$B$14,Revenue_Build!AD10&gt;=Assumptions!$F$241*Assumptions!$B$51)),Assumptions!$D$241,0)</f>
        <v/>
      </c>
      <c r="AE26" s="41">
        <f>IF(OR(AD26&gt;0,AND(AE$3&gt;=Assumptions!$E$241,AE$3&gt;=Assumptions!$B$14,Revenue_Build!AE10&gt;=Assumptions!$F$241*Assumptions!$B$51)),Assumptions!$D$241,0)</f>
        <v/>
      </c>
      <c r="AF26" s="41">
        <f>IF(OR(AE26&gt;0,AND(AF$3&gt;=Assumptions!$E$241,AF$3&gt;=Assumptions!$B$14,Revenue_Build!AF10&gt;=Assumptions!$F$241*Assumptions!$B$51)),Assumptions!$D$241,0)</f>
        <v/>
      </c>
      <c r="AG26" s="41">
        <f>IF(OR(AF26&gt;0,AND(AG$3&gt;=Assumptions!$E$241,AG$3&gt;=Assumptions!$B$14,Revenue_Build!AG10&gt;=Assumptions!$F$241*Assumptions!$B$51)),Assumptions!$D$241,0)</f>
        <v/>
      </c>
      <c r="AH26" s="41">
        <f>IF(OR(AG26&gt;0,AND(AH$3&gt;=Assumptions!$E$241,AH$3&gt;=Assumptions!$B$14,Revenue_Build!AH10&gt;=Assumptions!$F$241*Assumptions!$B$51)),Assumptions!$D$241,0)</f>
        <v/>
      </c>
      <c r="AI26" s="41">
        <f>IF(OR(AH26&gt;0,AND(AI$3&gt;=Assumptions!$E$241,AI$3&gt;=Assumptions!$B$14,Revenue_Build!AI10&gt;=Assumptions!$F$241*Assumptions!$B$51)),Assumptions!$D$241,0)</f>
        <v/>
      </c>
      <c r="AJ26" s="41">
        <f>IF(OR(AI26&gt;0,AND(AJ$3&gt;=Assumptions!$E$241,AJ$3&gt;=Assumptions!$B$14,Revenue_Build!AJ10&gt;=Assumptions!$F$241*Assumptions!$B$51)),Assumptions!$D$241,0)</f>
        <v/>
      </c>
      <c r="AK26" s="41">
        <f>IF(OR(AJ26&gt;0,AND(AK$3&gt;=Assumptions!$E$241,AK$3&gt;=Assumptions!$B$14,Revenue_Build!AK10&gt;=Assumptions!$F$241*Assumptions!$B$51)),Assumptions!$D$241,0)</f>
        <v/>
      </c>
      <c r="AL26" s="41">
        <f>IF(OR(AK26&gt;0,AND(AL$3&gt;=Assumptions!$E$241,AL$3&gt;=Assumptions!$B$14,Revenue_Build!AL10&gt;=Assumptions!$F$241*Assumptions!$B$51)),Assumptions!$D$241,0)</f>
        <v/>
      </c>
      <c r="AM26" s="41">
        <f>IF(OR(AL26&gt;0,AND(AM$3&gt;=Assumptions!$E$241,AM$3&gt;=Assumptions!$B$14,Revenue_Build!AM10&gt;=Assumptions!$F$241*Assumptions!$B$51)),Assumptions!$D$241,0)</f>
        <v/>
      </c>
      <c r="AN26" s="41">
        <f>IF(OR(AM26&gt;0,AND(AN$3&gt;=Assumptions!$E$241,AN$3&gt;=Assumptions!$B$14,Revenue_Build!AN10&gt;=Assumptions!$F$241*Assumptions!$B$51)),Assumptions!$D$241,0)</f>
        <v/>
      </c>
      <c r="AO26" s="41">
        <f>IF(OR(AN26&gt;0,AND(AO$3&gt;=Assumptions!$E$241,AO$3&gt;=Assumptions!$B$14,Revenue_Build!AO10&gt;=Assumptions!$F$241*Assumptions!$B$51)),Assumptions!$D$241,0)</f>
        <v/>
      </c>
      <c r="AP26" s="41">
        <f>IF(OR(AO26&gt;0,AND(AP$3&gt;=Assumptions!$E$241,AP$3&gt;=Assumptions!$B$14,Revenue_Build!AP10&gt;=Assumptions!$F$241*Assumptions!$B$51)),Assumptions!$D$241,0)</f>
        <v/>
      </c>
      <c r="AQ26" s="41">
        <f>IF(OR(AP26&gt;0,AND(AQ$3&gt;=Assumptions!$E$241,AQ$3&gt;=Assumptions!$B$14,Revenue_Build!AQ10&gt;=Assumptions!$F$241*Assumptions!$B$51)),Assumptions!$D$241,0)</f>
        <v/>
      </c>
      <c r="AR26" s="41">
        <f>IF(OR(AQ26&gt;0,AND(AR$3&gt;=Assumptions!$E$241,AR$3&gt;=Assumptions!$B$14,Revenue_Build!AR10&gt;=Assumptions!$F$241*Assumptions!$B$51)),Assumptions!$D$241,0)</f>
        <v/>
      </c>
      <c r="AS26" s="41">
        <f>IF(OR(AR26&gt;0,AND(AS$3&gt;=Assumptions!$E$241,AS$3&gt;=Assumptions!$B$14,Revenue_Build!AS10&gt;=Assumptions!$F$241*Assumptions!$B$51)),Assumptions!$D$241,0)</f>
        <v/>
      </c>
      <c r="AT26" s="41">
        <f>IF(OR(AS26&gt;0,AND(AT$3&gt;=Assumptions!$E$241,AT$3&gt;=Assumptions!$B$14,Revenue_Build!AT10&gt;=Assumptions!$F$241*Assumptions!$B$51)),Assumptions!$D$241,0)</f>
        <v/>
      </c>
      <c r="AU26" s="41">
        <f>IF(OR(AT26&gt;0,AND(AU$3&gt;=Assumptions!$E$241,AU$3&gt;=Assumptions!$B$14,Revenue_Build!AU10&gt;=Assumptions!$F$241*Assumptions!$B$51)),Assumptions!$D$241,0)</f>
        <v/>
      </c>
      <c r="AV26" s="41">
        <f>IF(OR(AU26&gt;0,AND(AV$3&gt;=Assumptions!$E$241,AV$3&gt;=Assumptions!$B$14,Revenue_Build!AV10&gt;=Assumptions!$F$241*Assumptions!$B$51)),Assumptions!$D$241,0)</f>
        <v/>
      </c>
      <c r="AW26" s="41">
        <f>IF(OR(AV26&gt;0,AND(AW$3&gt;=Assumptions!$E$241,AW$3&gt;=Assumptions!$B$14,Revenue_Build!AW10&gt;=Assumptions!$F$241*Assumptions!$B$51)),Assumptions!$D$241,0)</f>
        <v/>
      </c>
      <c r="AX26" s="41">
        <f>IF(OR(AW26&gt;0,AND(AX$3&gt;=Assumptions!$E$241,AX$3&gt;=Assumptions!$B$14,Revenue_Build!AX10&gt;=Assumptions!$F$241*Assumptions!$B$51)),Assumptions!$D$241,0)</f>
        <v/>
      </c>
      <c r="AY26" s="41">
        <f>IF(OR(AX26&gt;0,AND(AY$3&gt;=Assumptions!$E$241,AY$3&gt;=Assumptions!$B$14,Revenue_Build!AY10&gt;=Assumptions!$F$241*Assumptions!$B$51)),Assumptions!$D$241,0)</f>
        <v/>
      </c>
      <c r="AZ26" s="41">
        <f>IF(OR(AY26&gt;0,AND(AZ$3&gt;=Assumptions!$E$241,AZ$3&gt;=Assumptions!$B$14,Revenue_Build!AZ10&gt;=Assumptions!$F$241*Assumptions!$B$51)),Assumptions!$D$241,0)</f>
        <v/>
      </c>
      <c r="BA26" s="41">
        <f>IF(OR(AZ26&gt;0,AND(BA$3&gt;=Assumptions!$E$241,BA$3&gt;=Assumptions!$B$14,Revenue_Build!BA10&gt;=Assumptions!$F$241*Assumptions!$B$51)),Assumptions!$D$241,0)</f>
        <v/>
      </c>
      <c r="BB26" s="41">
        <f>IF(OR(BA26&gt;0,AND(BB$3&gt;=Assumptions!$E$241,BB$3&gt;=Assumptions!$B$14,Revenue_Build!BB10&gt;=Assumptions!$F$241*Assumptions!$B$51)),Assumptions!$D$241,0)</f>
        <v/>
      </c>
      <c r="BC26" s="41">
        <f>IF(OR(BB26&gt;0,AND(BC$3&gt;=Assumptions!$E$241,BC$3&gt;=Assumptions!$B$14,Revenue_Build!BC10&gt;=Assumptions!$F$241*Assumptions!$B$51)),Assumptions!$D$241,0)</f>
        <v/>
      </c>
      <c r="BD26" s="41">
        <f>IF(OR(BC26&gt;0,AND(BD$3&gt;=Assumptions!$E$241,BD$3&gt;=Assumptions!$B$14,Revenue_Build!BD10&gt;=Assumptions!$F$241*Assumptions!$B$51)),Assumptions!$D$241,0)</f>
        <v/>
      </c>
      <c r="BE26" s="41">
        <f>IF(OR(BD26&gt;0,AND(BE$3&gt;=Assumptions!$E$241,BE$3&gt;=Assumptions!$B$14,Revenue_Build!BE10&gt;=Assumptions!$F$241*Assumptions!$B$51)),Assumptions!$D$241,0)</f>
        <v/>
      </c>
      <c r="BF26" s="41">
        <f>IF(OR(BE26&gt;0,AND(BF$3&gt;=Assumptions!$E$241,BF$3&gt;=Assumptions!$B$14,Revenue_Build!BF10&gt;=Assumptions!$F$241*Assumptions!$B$51)),Assumptions!$D$241,0)</f>
        <v/>
      </c>
      <c r="BG26" s="41">
        <f>IF(OR(BF26&gt;0,AND(BG$3&gt;=Assumptions!$E$241,BG$3&gt;=Assumptions!$B$14,Revenue_Build!BG10&gt;=Assumptions!$F$241*Assumptions!$B$51)),Assumptions!$D$241,0)</f>
        <v/>
      </c>
      <c r="BH26" s="41">
        <f>IF(OR(BG26&gt;0,AND(BH$3&gt;=Assumptions!$E$241,BH$3&gt;=Assumptions!$B$14,Revenue_Build!BH10&gt;=Assumptions!$F$241*Assumptions!$B$51)),Assumptions!$D$241,0)</f>
        <v/>
      </c>
      <c r="BI26" s="41">
        <f>IF(OR(BH26&gt;0,AND(BI$3&gt;=Assumptions!$E$241,BI$3&gt;=Assumptions!$B$14,Revenue_Build!BI10&gt;=Assumptions!$F$241*Assumptions!$B$51)),Assumptions!$D$241,0)</f>
        <v/>
      </c>
      <c r="BJ26" s="41">
        <f>IF(OR(BI26&gt;0,AND(BJ$3&gt;=Assumptions!$E$241,BJ$3&gt;=Assumptions!$B$14,Revenue_Build!BJ10&gt;=Assumptions!$F$241*Assumptions!$B$51)),Assumptions!$D$241,0)</f>
        <v/>
      </c>
    </row>
    <row r="27">
      <c r="A27" s="4" t="inlineStr">
        <is>
          <t>Head of Growth</t>
        </is>
      </c>
      <c r="B27" s="17" t="inlineStr">
        <is>
          <t>FTE</t>
        </is>
      </c>
      <c r="C27" s="41">
        <f>IF(AND(C$3&gt;=Assumptions!$E$242,C$3&gt;=Assumptions!$B$14,Revenue_Build!C10&gt;=Assumptions!$F$242*Assumptions!$B$51),Assumptions!$D$242,0)</f>
        <v/>
      </c>
      <c r="D27" s="41">
        <f>IF(OR(C27&gt;0,AND(D$3&gt;=Assumptions!$E$242,D$3&gt;=Assumptions!$B$14,Revenue_Build!D10&gt;=Assumptions!$F$242*Assumptions!$B$51)),Assumptions!$D$242,0)</f>
        <v/>
      </c>
      <c r="E27" s="41">
        <f>IF(OR(D27&gt;0,AND(E$3&gt;=Assumptions!$E$242,E$3&gt;=Assumptions!$B$14,Revenue_Build!E10&gt;=Assumptions!$F$242*Assumptions!$B$51)),Assumptions!$D$242,0)</f>
        <v/>
      </c>
      <c r="F27" s="41">
        <f>IF(OR(E27&gt;0,AND(F$3&gt;=Assumptions!$E$242,F$3&gt;=Assumptions!$B$14,Revenue_Build!F10&gt;=Assumptions!$F$242*Assumptions!$B$51)),Assumptions!$D$242,0)</f>
        <v/>
      </c>
      <c r="G27" s="41">
        <f>IF(OR(F27&gt;0,AND(G$3&gt;=Assumptions!$E$242,G$3&gt;=Assumptions!$B$14,Revenue_Build!G10&gt;=Assumptions!$F$242*Assumptions!$B$51)),Assumptions!$D$242,0)</f>
        <v/>
      </c>
      <c r="H27" s="41">
        <f>IF(OR(G27&gt;0,AND(H$3&gt;=Assumptions!$E$242,H$3&gt;=Assumptions!$B$14,Revenue_Build!H10&gt;=Assumptions!$F$242*Assumptions!$B$51)),Assumptions!$D$242,0)</f>
        <v/>
      </c>
      <c r="I27" s="41">
        <f>IF(OR(H27&gt;0,AND(I$3&gt;=Assumptions!$E$242,I$3&gt;=Assumptions!$B$14,Revenue_Build!I10&gt;=Assumptions!$F$242*Assumptions!$B$51)),Assumptions!$D$242,0)</f>
        <v/>
      </c>
      <c r="J27" s="41">
        <f>IF(OR(I27&gt;0,AND(J$3&gt;=Assumptions!$E$242,J$3&gt;=Assumptions!$B$14,Revenue_Build!J10&gt;=Assumptions!$F$242*Assumptions!$B$51)),Assumptions!$D$242,0)</f>
        <v/>
      </c>
      <c r="K27" s="41">
        <f>IF(OR(J27&gt;0,AND(K$3&gt;=Assumptions!$E$242,K$3&gt;=Assumptions!$B$14,Revenue_Build!K10&gt;=Assumptions!$F$242*Assumptions!$B$51)),Assumptions!$D$242,0)</f>
        <v/>
      </c>
      <c r="L27" s="41">
        <f>IF(OR(K27&gt;0,AND(L$3&gt;=Assumptions!$E$242,L$3&gt;=Assumptions!$B$14,Revenue_Build!L10&gt;=Assumptions!$F$242*Assumptions!$B$51)),Assumptions!$D$242,0)</f>
        <v/>
      </c>
      <c r="M27" s="41">
        <f>IF(OR(L27&gt;0,AND(M$3&gt;=Assumptions!$E$242,M$3&gt;=Assumptions!$B$14,Revenue_Build!M10&gt;=Assumptions!$F$242*Assumptions!$B$51)),Assumptions!$D$242,0)</f>
        <v/>
      </c>
      <c r="N27" s="41">
        <f>IF(OR(M27&gt;0,AND(N$3&gt;=Assumptions!$E$242,N$3&gt;=Assumptions!$B$14,Revenue_Build!N10&gt;=Assumptions!$F$242*Assumptions!$B$51)),Assumptions!$D$242,0)</f>
        <v/>
      </c>
      <c r="O27" s="41">
        <f>IF(OR(N27&gt;0,AND(O$3&gt;=Assumptions!$E$242,O$3&gt;=Assumptions!$B$14,Revenue_Build!O10&gt;=Assumptions!$F$242*Assumptions!$B$51)),Assumptions!$D$242,0)</f>
        <v/>
      </c>
      <c r="P27" s="41">
        <f>IF(OR(O27&gt;0,AND(P$3&gt;=Assumptions!$E$242,P$3&gt;=Assumptions!$B$14,Revenue_Build!P10&gt;=Assumptions!$F$242*Assumptions!$B$51)),Assumptions!$D$242,0)</f>
        <v/>
      </c>
      <c r="Q27" s="41">
        <f>IF(OR(P27&gt;0,AND(Q$3&gt;=Assumptions!$E$242,Q$3&gt;=Assumptions!$B$14,Revenue_Build!Q10&gt;=Assumptions!$F$242*Assumptions!$B$51)),Assumptions!$D$242,0)</f>
        <v/>
      </c>
      <c r="R27" s="41">
        <f>IF(OR(Q27&gt;0,AND(R$3&gt;=Assumptions!$E$242,R$3&gt;=Assumptions!$B$14,Revenue_Build!R10&gt;=Assumptions!$F$242*Assumptions!$B$51)),Assumptions!$D$242,0)</f>
        <v/>
      </c>
      <c r="S27" s="41">
        <f>IF(OR(R27&gt;0,AND(S$3&gt;=Assumptions!$E$242,S$3&gt;=Assumptions!$B$14,Revenue_Build!S10&gt;=Assumptions!$F$242*Assumptions!$B$51)),Assumptions!$D$242,0)</f>
        <v/>
      </c>
      <c r="T27" s="41">
        <f>IF(OR(S27&gt;0,AND(T$3&gt;=Assumptions!$E$242,T$3&gt;=Assumptions!$B$14,Revenue_Build!T10&gt;=Assumptions!$F$242*Assumptions!$B$51)),Assumptions!$D$242,0)</f>
        <v/>
      </c>
      <c r="U27" s="41">
        <f>IF(OR(T27&gt;0,AND(U$3&gt;=Assumptions!$E$242,U$3&gt;=Assumptions!$B$14,Revenue_Build!U10&gt;=Assumptions!$F$242*Assumptions!$B$51)),Assumptions!$D$242,0)</f>
        <v/>
      </c>
      <c r="V27" s="41">
        <f>IF(OR(U27&gt;0,AND(V$3&gt;=Assumptions!$E$242,V$3&gt;=Assumptions!$B$14,Revenue_Build!V10&gt;=Assumptions!$F$242*Assumptions!$B$51)),Assumptions!$D$242,0)</f>
        <v/>
      </c>
      <c r="W27" s="41">
        <f>IF(OR(V27&gt;0,AND(W$3&gt;=Assumptions!$E$242,W$3&gt;=Assumptions!$B$14,Revenue_Build!W10&gt;=Assumptions!$F$242*Assumptions!$B$51)),Assumptions!$D$242,0)</f>
        <v/>
      </c>
      <c r="X27" s="41">
        <f>IF(OR(W27&gt;0,AND(X$3&gt;=Assumptions!$E$242,X$3&gt;=Assumptions!$B$14,Revenue_Build!X10&gt;=Assumptions!$F$242*Assumptions!$B$51)),Assumptions!$D$242,0)</f>
        <v/>
      </c>
      <c r="Y27" s="41">
        <f>IF(OR(X27&gt;0,AND(Y$3&gt;=Assumptions!$E$242,Y$3&gt;=Assumptions!$B$14,Revenue_Build!Y10&gt;=Assumptions!$F$242*Assumptions!$B$51)),Assumptions!$D$242,0)</f>
        <v/>
      </c>
      <c r="Z27" s="41">
        <f>IF(OR(Y27&gt;0,AND(Z$3&gt;=Assumptions!$E$242,Z$3&gt;=Assumptions!$B$14,Revenue_Build!Z10&gt;=Assumptions!$F$242*Assumptions!$B$51)),Assumptions!$D$242,0)</f>
        <v/>
      </c>
      <c r="AA27" s="41">
        <f>IF(OR(Z27&gt;0,AND(AA$3&gt;=Assumptions!$E$242,AA$3&gt;=Assumptions!$B$14,Revenue_Build!AA10&gt;=Assumptions!$F$242*Assumptions!$B$51)),Assumptions!$D$242,0)</f>
        <v/>
      </c>
      <c r="AB27" s="41">
        <f>IF(OR(AA27&gt;0,AND(AB$3&gt;=Assumptions!$E$242,AB$3&gt;=Assumptions!$B$14,Revenue_Build!AB10&gt;=Assumptions!$F$242*Assumptions!$B$51)),Assumptions!$D$242,0)</f>
        <v/>
      </c>
      <c r="AC27" s="41">
        <f>IF(OR(AB27&gt;0,AND(AC$3&gt;=Assumptions!$E$242,AC$3&gt;=Assumptions!$B$14,Revenue_Build!AC10&gt;=Assumptions!$F$242*Assumptions!$B$51)),Assumptions!$D$242,0)</f>
        <v/>
      </c>
      <c r="AD27" s="41">
        <f>IF(OR(AC27&gt;0,AND(AD$3&gt;=Assumptions!$E$242,AD$3&gt;=Assumptions!$B$14,Revenue_Build!AD10&gt;=Assumptions!$F$242*Assumptions!$B$51)),Assumptions!$D$242,0)</f>
        <v/>
      </c>
      <c r="AE27" s="41">
        <f>IF(OR(AD27&gt;0,AND(AE$3&gt;=Assumptions!$E$242,AE$3&gt;=Assumptions!$B$14,Revenue_Build!AE10&gt;=Assumptions!$F$242*Assumptions!$B$51)),Assumptions!$D$242,0)</f>
        <v/>
      </c>
      <c r="AF27" s="41">
        <f>IF(OR(AE27&gt;0,AND(AF$3&gt;=Assumptions!$E$242,AF$3&gt;=Assumptions!$B$14,Revenue_Build!AF10&gt;=Assumptions!$F$242*Assumptions!$B$51)),Assumptions!$D$242,0)</f>
        <v/>
      </c>
      <c r="AG27" s="41">
        <f>IF(OR(AF27&gt;0,AND(AG$3&gt;=Assumptions!$E$242,AG$3&gt;=Assumptions!$B$14,Revenue_Build!AG10&gt;=Assumptions!$F$242*Assumptions!$B$51)),Assumptions!$D$242,0)</f>
        <v/>
      </c>
      <c r="AH27" s="41">
        <f>IF(OR(AG27&gt;0,AND(AH$3&gt;=Assumptions!$E$242,AH$3&gt;=Assumptions!$B$14,Revenue_Build!AH10&gt;=Assumptions!$F$242*Assumptions!$B$51)),Assumptions!$D$242,0)</f>
        <v/>
      </c>
      <c r="AI27" s="41">
        <f>IF(OR(AH27&gt;0,AND(AI$3&gt;=Assumptions!$E$242,AI$3&gt;=Assumptions!$B$14,Revenue_Build!AI10&gt;=Assumptions!$F$242*Assumptions!$B$51)),Assumptions!$D$242,0)</f>
        <v/>
      </c>
      <c r="AJ27" s="41">
        <f>IF(OR(AI27&gt;0,AND(AJ$3&gt;=Assumptions!$E$242,AJ$3&gt;=Assumptions!$B$14,Revenue_Build!AJ10&gt;=Assumptions!$F$242*Assumptions!$B$51)),Assumptions!$D$242,0)</f>
        <v/>
      </c>
      <c r="AK27" s="41">
        <f>IF(OR(AJ27&gt;0,AND(AK$3&gt;=Assumptions!$E$242,AK$3&gt;=Assumptions!$B$14,Revenue_Build!AK10&gt;=Assumptions!$F$242*Assumptions!$B$51)),Assumptions!$D$242,0)</f>
        <v/>
      </c>
      <c r="AL27" s="41">
        <f>IF(OR(AK27&gt;0,AND(AL$3&gt;=Assumptions!$E$242,AL$3&gt;=Assumptions!$B$14,Revenue_Build!AL10&gt;=Assumptions!$F$242*Assumptions!$B$51)),Assumptions!$D$242,0)</f>
        <v/>
      </c>
      <c r="AM27" s="41">
        <f>IF(OR(AL27&gt;0,AND(AM$3&gt;=Assumptions!$E$242,AM$3&gt;=Assumptions!$B$14,Revenue_Build!AM10&gt;=Assumptions!$F$242*Assumptions!$B$51)),Assumptions!$D$242,0)</f>
        <v/>
      </c>
      <c r="AN27" s="41">
        <f>IF(OR(AM27&gt;0,AND(AN$3&gt;=Assumptions!$E$242,AN$3&gt;=Assumptions!$B$14,Revenue_Build!AN10&gt;=Assumptions!$F$242*Assumptions!$B$51)),Assumptions!$D$242,0)</f>
        <v/>
      </c>
      <c r="AO27" s="41">
        <f>IF(OR(AN27&gt;0,AND(AO$3&gt;=Assumptions!$E$242,AO$3&gt;=Assumptions!$B$14,Revenue_Build!AO10&gt;=Assumptions!$F$242*Assumptions!$B$51)),Assumptions!$D$242,0)</f>
        <v/>
      </c>
      <c r="AP27" s="41">
        <f>IF(OR(AO27&gt;0,AND(AP$3&gt;=Assumptions!$E$242,AP$3&gt;=Assumptions!$B$14,Revenue_Build!AP10&gt;=Assumptions!$F$242*Assumptions!$B$51)),Assumptions!$D$242,0)</f>
        <v/>
      </c>
      <c r="AQ27" s="41">
        <f>IF(OR(AP27&gt;0,AND(AQ$3&gt;=Assumptions!$E$242,AQ$3&gt;=Assumptions!$B$14,Revenue_Build!AQ10&gt;=Assumptions!$F$242*Assumptions!$B$51)),Assumptions!$D$242,0)</f>
        <v/>
      </c>
      <c r="AR27" s="41">
        <f>IF(OR(AQ27&gt;0,AND(AR$3&gt;=Assumptions!$E$242,AR$3&gt;=Assumptions!$B$14,Revenue_Build!AR10&gt;=Assumptions!$F$242*Assumptions!$B$51)),Assumptions!$D$242,0)</f>
        <v/>
      </c>
      <c r="AS27" s="41">
        <f>IF(OR(AR27&gt;0,AND(AS$3&gt;=Assumptions!$E$242,AS$3&gt;=Assumptions!$B$14,Revenue_Build!AS10&gt;=Assumptions!$F$242*Assumptions!$B$51)),Assumptions!$D$242,0)</f>
        <v/>
      </c>
      <c r="AT27" s="41">
        <f>IF(OR(AS27&gt;0,AND(AT$3&gt;=Assumptions!$E$242,AT$3&gt;=Assumptions!$B$14,Revenue_Build!AT10&gt;=Assumptions!$F$242*Assumptions!$B$51)),Assumptions!$D$242,0)</f>
        <v/>
      </c>
      <c r="AU27" s="41">
        <f>IF(OR(AT27&gt;0,AND(AU$3&gt;=Assumptions!$E$242,AU$3&gt;=Assumptions!$B$14,Revenue_Build!AU10&gt;=Assumptions!$F$242*Assumptions!$B$51)),Assumptions!$D$242,0)</f>
        <v/>
      </c>
      <c r="AV27" s="41">
        <f>IF(OR(AU27&gt;0,AND(AV$3&gt;=Assumptions!$E$242,AV$3&gt;=Assumptions!$B$14,Revenue_Build!AV10&gt;=Assumptions!$F$242*Assumptions!$B$51)),Assumptions!$D$242,0)</f>
        <v/>
      </c>
      <c r="AW27" s="41">
        <f>IF(OR(AV27&gt;0,AND(AW$3&gt;=Assumptions!$E$242,AW$3&gt;=Assumptions!$B$14,Revenue_Build!AW10&gt;=Assumptions!$F$242*Assumptions!$B$51)),Assumptions!$D$242,0)</f>
        <v/>
      </c>
      <c r="AX27" s="41">
        <f>IF(OR(AW27&gt;0,AND(AX$3&gt;=Assumptions!$E$242,AX$3&gt;=Assumptions!$B$14,Revenue_Build!AX10&gt;=Assumptions!$F$242*Assumptions!$B$51)),Assumptions!$D$242,0)</f>
        <v/>
      </c>
      <c r="AY27" s="41">
        <f>IF(OR(AX27&gt;0,AND(AY$3&gt;=Assumptions!$E$242,AY$3&gt;=Assumptions!$B$14,Revenue_Build!AY10&gt;=Assumptions!$F$242*Assumptions!$B$51)),Assumptions!$D$242,0)</f>
        <v/>
      </c>
      <c r="AZ27" s="41">
        <f>IF(OR(AY27&gt;0,AND(AZ$3&gt;=Assumptions!$E$242,AZ$3&gt;=Assumptions!$B$14,Revenue_Build!AZ10&gt;=Assumptions!$F$242*Assumptions!$B$51)),Assumptions!$D$242,0)</f>
        <v/>
      </c>
      <c r="BA27" s="41">
        <f>IF(OR(AZ27&gt;0,AND(BA$3&gt;=Assumptions!$E$242,BA$3&gt;=Assumptions!$B$14,Revenue_Build!BA10&gt;=Assumptions!$F$242*Assumptions!$B$51)),Assumptions!$D$242,0)</f>
        <v/>
      </c>
      <c r="BB27" s="41">
        <f>IF(OR(BA27&gt;0,AND(BB$3&gt;=Assumptions!$E$242,BB$3&gt;=Assumptions!$B$14,Revenue_Build!BB10&gt;=Assumptions!$F$242*Assumptions!$B$51)),Assumptions!$D$242,0)</f>
        <v/>
      </c>
      <c r="BC27" s="41">
        <f>IF(OR(BB27&gt;0,AND(BC$3&gt;=Assumptions!$E$242,BC$3&gt;=Assumptions!$B$14,Revenue_Build!BC10&gt;=Assumptions!$F$242*Assumptions!$B$51)),Assumptions!$D$242,0)</f>
        <v/>
      </c>
      <c r="BD27" s="41">
        <f>IF(OR(BC27&gt;0,AND(BD$3&gt;=Assumptions!$E$242,BD$3&gt;=Assumptions!$B$14,Revenue_Build!BD10&gt;=Assumptions!$F$242*Assumptions!$B$51)),Assumptions!$D$242,0)</f>
        <v/>
      </c>
      <c r="BE27" s="41">
        <f>IF(OR(BD27&gt;0,AND(BE$3&gt;=Assumptions!$E$242,BE$3&gt;=Assumptions!$B$14,Revenue_Build!BE10&gt;=Assumptions!$F$242*Assumptions!$B$51)),Assumptions!$D$242,0)</f>
        <v/>
      </c>
      <c r="BF27" s="41">
        <f>IF(OR(BE27&gt;0,AND(BF$3&gt;=Assumptions!$E$242,BF$3&gt;=Assumptions!$B$14,Revenue_Build!BF10&gt;=Assumptions!$F$242*Assumptions!$B$51)),Assumptions!$D$242,0)</f>
        <v/>
      </c>
      <c r="BG27" s="41">
        <f>IF(OR(BF27&gt;0,AND(BG$3&gt;=Assumptions!$E$242,BG$3&gt;=Assumptions!$B$14,Revenue_Build!BG10&gt;=Assumptions!$F$242*Assumptions!$B$51)),Assumptions!$D$242,0)</f>
        <v/>
      </c>
      <c r="BH27" s="41">
        <f>IF(OR(BG27&gt;0,AND(BH$3&gt;=Assumptions!$E$242,BH$3&gt;=Assumptions!$B$14,Revenue_Build!BH10&gt;=Assumptions!$F$242*Assumptions!$B$51)),Assumptions!$D$242,0)</f>
        <v/>
      </c>
      <c r="BI27" s="41">
        <f>IF(OR(BH27&gt;0,AND(BI$3&gt;=Assumptions!$E$242,BI$3&gt;=Assumptions!$B$14,Revenue_Build!BI10&gt;=Assumptions!$F$242*Assumptions!$B$51)),Assumptions!$D$242,0)</f>
        <v/>
      </c>
      <c r="BJ27" s="41">
        <f>IF(OR(BI27&gt;0,AND(BJ$3&gt;=Assumptions!$E$242,BJ$3&gt;=Assumptions!$B$14,Revenue_Build!BJ10&gt;=Assumptions!$F$242*Assumptions!$B$51)),Assumptions!$D$242,0)</f>
        <v/>
      </c>
    </row>
    <row r="28">
      <c r="A28" s="4" t="inlineStr">
        <is>
          <t>Performance marketer</t>
        </is>
      </c>
      <c r="B28" s="17" t="inlineStr">
        <is>
          <t>FTE</t>
        </is>
      </c>
      <c r="C28" s="41">
        <f>IF(AND(C$3&gt;=Assumptions!$E$243,C$3&gt;=Assumptions!$B$14,Revenue_Build!C10&gt;=Assumptions!$F$243*Assumptions!$B$51),Assumptions!$D$243,0)</f>
        <v/>
      </c>
      <c r="D28" s="41">
        <f>IF(OR(C28&gt;0,AND(D$3&gt;=Assumptions!$E$243,D$3&gt;=Assumptions!$B$14,Revenue_Build!D10&gt;=Assumptions!$F$243*Assumptions!$B$51)),Assumptions!$D$243,0)</f>
        <v/>
      </c>
      <c r="E28" s="41">
        <f>IF(OR(D28&gt;0,AND(E$3&gt;=Assumptions!$E$243,E$3&gt;=Assumptions!$B$14,Revenue_Build!E10&gt;=Assumptions!$F$243*Assumptions!$B$51)),Assumptions!$D$243,0)</f>
        <v/>
      </c>
      <c r="F28" s="41">
        <f>IF(OR(E28&gt;0,AND(F$3&gt;=Assumptions!$E$243,F$3&gt;=Assumptions!$B$14,Revenue_Build!F10&gt;=Assumptions!$F$243*Assumptions!$B$51)),Assumptions!$D$243,0)</f>
        <v/>
      </c>
      <c r="G28" s="41">
        <f>IF(OR(F28&gt;0,AND(G$3&gt;=Assumptions!$E$243,G$3&gt;=Assumptions!$B$14,Revenue_Build!G10&gt;=Assumptions!$F$243*Assumptions!$B$51)),Assumptions!$D$243,0)</f>
        <v/>
      </c>
      <c r="H28" s="41">
        <f>IF(OR(G28&gt;0,AND(H$3&gt;=Assumptions!$E$243,H$3&gt;=Assumptions!$B$14,Revenue_Build!H10&gt;=Assumptions!$F$243*Assumptions!$B$51)),Assumptions!$D$243,0)</f>
        <v/>
      </c>
      <c r="I28" s="41">
        <f>IF(OR(H28&gt;0,AND(I$3&gt;=Assumptions!$E$243,I$3&gt;=Assumptions!$B$14,Revenue_Build!I10&gt;=Assumptions!$F$243*Assumptions!$B$51)),Assumptions!$D$243,0)</f>
        <v/>
      </c>
      <c r="J28" s="41">
        <f>IF(OR(I28&gt;0,AND(J$3&gt;=Assumptions!$E$243,J$3&gt;=Assumptions!$B$14,Revenue_Build!J10&gt;=Assumptions!$F$243*Assumptions!$B$51)),Assumptions!$D$243,0)</f>
        <v/>
      </c>
      <c r="K28" s="41">
        <f>IF(OR(J28&gt;0,AND(K$3&gt;=Assumptions!$E$243,K$3&gt;=Assumptions!$B$14,Revenue_Build!K10&gt;=Assumptions!$F$243*Assumptions!$B$51)),Assumptions!$D$243,0)</f>
        <v/>
      </c>
      <c r="L28" s="41">
        <f>IF(OR(K28&gt;0,AND(L$3&gt;=Assumptions!$E$243,L$3&gt;=Assumptions!$B$14,Revenue_Build!L10&gt;=Assumptions!$F$243*Assumptions!$B$51)),Assumptions!$D$243,0)</f>
        <v/>
      </c>
      <c r="M28" s="41">
        <f>IF(OR(L28&gt;0,AND(M$3&gt;=Assumptions!$E$243,M$3&gt;=Assumptions!$B$14,Revenue_Build!M10&gt;=Assumptions!$F$243*Assumptions!$B$51)),Assumptions!$D$243,0)</f>
        <v/>
      </c>
      <c r="N28" s="41">
        <f>IF(OR(M28&gt;0,AND(N$3&gt;=Assumptions!$E$243,N$3&gt;=Assumptions!$B$14,Revenue_Build!N10&gt;=Assumptions!$F$243*Assumptions!$B$51)),Assumptions!$D$243,0)</f>
        <v/>
      </c>
      <c r="O28" s="41">
        <f>IF(OR(N28&gt;0,AND(O$3&gt;=Assumptions!$E$243,O$3&gt;=Assumptions!$B$14,Revenue_Build!O10&gt;=Assumptions!$F$243*Assumptions!$B$51)),Assumptions!$D$243,0)</f>
        <v/>
      </c>
      <c r="P28" s="41">
        <f>IF(OR(O28&gt;0,AND(P$3&gt;=Assumptions!$E$243,P$3&gt;=Assumptions!$B$14,Revenue_Build!P10&gt;=Assumptions!$F$243*Assumptions!$B$51)),Assumptions!$D$243,0)</f>
        <v/>
      </c>
      <c r="Q28" s="41">
        <f>IF(OR(P28&gt;0,AND(Q$3&gt;=Assumptions!$E$243,Q$3&gt;=Assumptions!$B$14,Revenue_Build!Q10&gt;=Assumptions!$F$243*Assumptions!$B$51)),Assumptions!$D$243,0)</f>
        <v/>
      </c>
      <c r="R28" s="41">
        <f>IF(OR(Q28&gt;0,AND(R$3&gt;=Assumptions!$E$243,R$3&gt;=Assumptions!$B$14,Revenue_Build!R10&gt;=Assumptions!$F$243*Assumptions!$B$51)),Assumptions!$D$243,0)</f>
        <v/>
      </c>
      <c r="S28" s="41">
        <f>IF(OR(R28&gt;0,AND(S$3&gt;=Assumptions!$E$243,S$3&gt;=Assumptions!$B$14,Revenue_Build!S10&gt;=Assumptions!$F$243*Assumptions!$B$51)),Assumptions!$D$243,0)</f>
        <v/>
      </c>
      <c r="T28" s="41">
        <f>IF(OR(S28&gt;0,AND(T$3&gt;=Assumptions!$E$243,T$3&gt;=Assumptions!$B$14,Revenue_Build!T10&gt;=Assumptions!$F$243*Assumptions!$B$51)),Assumptions!$D$243,0)</f>
        <v/>
      </c>
      <c r="U28" s="41">
        <f>IF(OR(T28&gt;0,AND(U$3&gt;=Assumptions!$E$243,U$3&gt;=Assumptions!$B$14,Revenue_Build!U10&gt;=Assumptions!$F$243*Assumptions!$B$51)),Assumptions!$D$243,0)</f>
        <v/>
      </c>
      <c r="V28" s="41">
        <f>IF(OR(U28&gt;0,AND(V$3&gt;=Assumptions!$E$243,V$3&gt;=Assumptions!$B$14,Revenue_Build!V10&gt;=Assumptions!$F$243*Assumptions!$B$51)),Assumptions!$D$243,0)</f>
        <v/>
      </c>
      <c r="W28" s="41">
        <f>IF(OR(V28&gt;0,AND(W$3&gt;=Assumptions!$E$243,W$3&gt;=Assumptions!$B$14,Revenue_Build!W10&gt;=Assumptions!$F$243*Assumptions!$B$51)),Assumptions!$D$243,0)</f>
        <v/>
      </c>
      <c r="X28" s="41">
        <f>IF(OR(W28&gt;0,AND(X$3&gt;=Assumptions!$E$243,X$3&gt;=Assumptions!$B$14,Revenue_Build!X10&gt;=Assumptions!$F$243*Assumptions!$B$51)),Assumptions!$D$243,0)</f>
        <v/>
      </c>
      <c r="Y28" s="41">
        <f>IF(OR(X28&gt;0,AND(Y$3&gt;=Assumptions!$E$243,Y$3&gt;=Assumptions!$B$14,Revenue_Build!Y10&gt;=Assumptions!$F$243*Assumptions!$B$51)),Assumptions!$D$243,0)</f>
        <v/>
      </c>
      <c r="Z28" s="41">
        <f>IF(OR(Y28&gt;0,AND(Z$3&gt;=Assumptions!$E$243,Z$3&gt;=Assumptions!$B$14,Revenue_Build!Z10&gt;=Assumptions!$F$243*Assumptions!$B$51)),Assumptions!$D$243,0)</f>
        <v/>
      </c>
      <c r="AA28" s="41">
        <f>IF(OR(Z28&gt;0,AND(AA$3&gt;=Assumptions!$E$243,AA$3&gt;=Assumptions!$B$14,Revenue_Build!AA10&gt;=Assumptions!$F$243*Assumptions!$B$51)),Assumptions!$D$243,0)</f>
        <v/>
      </c>
      <c r="AB28" s="41">
        <f>IF(OR(AA28&gt;0,AND(AB$3&gt;=Assumptions!$E$243,AB$3&gt;=Assumptions!$B$14,Revenue_Build!AB10&gt;=Assumptions!$F$243*Assumptions!$B$51)),Assumptions!$D$243,0)</f>
        <v/>
      </c>
      <c r="AC28" s="41">
        <f>IF(OR(AB28&gt;0,AND(AC$3&gt;=Assumptions!$E$243,AC$3&gt;=Assumptions!$B$14,Revenue_Build!AC10&gt;=Assumptions!$F$243*Assumptions!$B$51)),Assumptions!$D$243,0)</f>
        <v/>
      </c>
      <c r="AD28" s="41">
        <f>IF(OR(AC28&gt;0,AND(AD$3&gt;=Assumptions!$E$243,AD$3&gt;=Assumptions!$B$14,Revenue_Build!AD10&gt;=Assumptions!$F$243*Assumptions!$B$51)),Assumptions!$D$243,0)</f>
        <v/>
      </c>
      <c r="AE28" s="41">
        <f>IF(OR(AD28&gt;0,AND(AE$3&gt;=Assumptions!$E$243,AE$3&gt;=Assumptions!$B$14,Revenue_Build!AE10&gt;=Assumptions!$F$243*Assumptions!$B$51)),Assumptions!$D$243,0)</f>
        <v/>
      </c>
      <c r="AF28" s="41">
        <f>IF(OR(AE28&gt;0,AND(AF$3&gt;=Assumptions!$E$243,AF$3&gt;=Assumptions!$B$14,Revenue_Build!AF10&gt;=Assumptions!$F$243*Assumptions!$B$51)),Assumptions!$D$243,0)</f>
        <v/>
      </c>
      <c r="AG28" s="41">
        <f>IF(OR(AF28&gt;0,AND(AG$3&gt;=Assumptions!$E$243,AG$3&gt;=Assumptions!$B$14,Revenue_Build!AG10&gt;=Assumptions!$F$243*Assumptions!$B$51)),Assumptions!$D$243,0)</f>
        <v/>
      </c>
      <c r="AH28" s="41">
        <f>IF(OR(AG28&gt;0,AND(AH$3&gt;=Assumptions!$E$243,AH$3&gt;=Assumptions!$B$14,Revenue_Build!AH10&gt;=Assumptions!$F$243*Assumptions!$B$51)),Assumptions!$D$243,0)</f>
        <v/>
      </c>
      <c r="AI28" s="41">
        <f>IF(OR(AH28&gt;0,AND(AI$3&gt;=Assumptions!$E$243,AI$3&gt;=Assumptions!$B$14,Revenue_Build!AI10&gt;=Assumptions!$F$243*Assumptions!$B$51)),Assumptions!$D$243,0)</f>
        <v/>
      </c>
      <c r="AJ28" s="41">
        <f>IF(OR(AI28&gt;0,AND(AJ$3&gt;=Assumptions!$E$243,AJ$3&gt;=Assumptions!$B$14,Revenue_Build!AJ10&gt;=Assumptions!$F$243*Assumptions!$B$51)),Assumptions!$D$243,0)</f>
        <v/>
      </c>
      <c r="AK28" s="41">
        <f>IF(OR(AJ28&gt;0,AND(AK$3&gt;=Assumptions!$E$243,AK$3&gt;=Assumptions!$B$14,Revenue_Build!AK10&gt;=Assumptions!$F$243*Assumptions!$B$51)),Assumptions!$D$243,0)</f>
        <v/>
      </c>
      <c r="AL28" s="41">
        <f>IF(OR(AK28&gt;0,AND(AL$3&gt;=Assumptions!$E$243,AL$3&gt;=Assumptions!$B$14,Revenue_Build!AL10&gt;=Assumptions!$F$243*Assumptions!$B$51)),Assumptions!$D$243,0)</f>
        <v/>
      </c>
      <c r="AM28" s="41">
        <f>IF(OR(AL28&gt;0,AND(AM$3&gt;=Assumptions!$E$243,AM$3&gt;=Assumptions!$B$14,Revenue_Build!AM10&gt;=Assumptions!$F$243*Assumptions!$B$51)),Assumptions!$D$243,0)</f>
        <v/>
      </c>
      <c r="AN28" s="41">
        <f>IF(OR(AM28&gt;0,AND(AN$3&gt;=Assumptions!$E$243,AN$3&gt;=Assumptions!$B$14,Revenue_Build!AN10&gt;=Assumptions!$F$243*Assumptions!$B$51)),Assumptions!$D$243,0)</f>
        <v/>
      </c>
      <c r="AO28" s="41">
        <f>IF(OR(AN28&gt;0,AND(AO$3&gt;=Assumptions!$E$243,AO$3&gt;=Assumptions!$B$14,Revenue_Build!AO10&gt;=Assumptions!$F$243*Assumptions!$B$51)),Assumptions!$D$243,0)</f>
        <v/>
      </c>
      <c r="AP28" s="41">
        <f>IF(OR(AO28&gt;0,AND(AP$3&gt;=Assumptions!$E$243,AP$3&gt;=Assumptions!$B$14,Revenue_Build!AP10&gt;=Assumptions!$F$243*Assumptions!$B$51)),Assumptions!$D$243,0)</f>
        <v/>
      </c>
      <c r="AQ28" s="41">
        <f>IF(OR(AP28&gt;0,AND(AQ$3&gt;=Assumptions!$E$243,AQ$3&gt;=Assumptions!$B$14,Revenue_Build!AQ10&gt;=Assumptions!$F$243*Assumptions!$B$51)),Assumptions!$D$243,0)</f>
        <v/>
      </c>
      <c r="AR28" s="41">
        <f>IF(OR(AQ28&gt;0,AND(AR$3&gt;=Assumptions!$E$243,AR$3&gt;=Assumptions!$B$14,Revenue_Build!AR10&gt;=Assumptions!$F$243*Assumptions!$B$51)),Assumptions!$D$243,0)</f>
        <v/>
      </c>
      <c r="AS28" s="41">
        <f>IF(OR(AR28&gt;0,AND(AS$3&gt;=Assumptions!$E$243,AS$3&gt;=Assumptions!$B$14,Revenue_Build!AS10&gt;=Assumptions!$F$243*Assumptions!$B$51)),Assumptions!$D$243,0)</f>
        <v/>
      </c>
      <c r="AT28" s="41">
        <f>IF(OR(AS28&gt;0,AND(AT$3&gt;=Assumptions!$E$243,AT$3&gt;=Assumptions!$B$14,Revenue_Build!AT10&gt;=Assumptions!$F$243*Assumptions!$B$51)),Assumptions!$D$243,0)</f>
        <v/>
      </c>
      <c r="AU28" s="41">
        <f>IF(OR(AT28&gt;0,AND(AU$3&gt;=Assumptions!$E$243,AU$3&gt;=Assumptions!$B$14,Revenue_Build!AU10&gt;=Assumptions!$F$243*Assumptions!$B$51)),Assumptions!$D$243,0)</f>
        <v/>
      </c>
      <c r="AV28" s="41">
        <f>IF(OR(AU28&gt;0,AND(AV$3&gt;=Assumptions!$E$243,AV$3&gt;=Assumptions!$B$14,Revenue_Build!AV10&gt;=Assumptions!$F$243*Assumptions!$B$51)),Assumptions!$D$243,0)</f>
        <v/>
      </c>
      <c r="AW28" s="41">
        <f>IF(OR(AV28&gt;0,AND(AW$3&gt;=Assumptions!$E$243,AW$3&gt;=Assumptions!$B$14,Revenue_Build!AW10&gt;=Assumptions!$F$243*Assumptions!$B$51)),Assumptions!$D$243,0)</f>
        <v/>
      </c>
      <c r="AX28" s="41">
        <f>IF(OR(AW28&gt;0,AND(AX$3&gt;=Assumptions!$E$243,AX$3&gt;=Assumptions!$B$14,Revenue_Build!AX10&gt;=Assumptions!$F$243*Assumptions!$B$51)),Assumptions!$D$243,0)</f>
        <v/>
      </c>
      <c r="AY28" s="41">
        <f>IF(OR(AX28&gt;0,AND(AY$3&gt;=Assumptions!$E$243,AY$3&gt;=Assumptions!$B$14,Revenue_Build!AY10&gt;=Assumptions!$F$243*Assumptions!$B$51)),Assumptions!$D$243,0)</f>
        <v/>
      </c>
      <c r="AZ28" s="41">
        <f>IF(OR(AY28&gt;0,AND(AZ$3&gt;=Assumptions!$E$243,AZ$3&gt;=Assumptions!$B$14,Revenue_Build!AZ10&gt;=Assumptions!$F$243*Assumptions!$B$51)),Assumptions!$D$243,0)</f>
        <v/>
      </c>
      <c r="BA28" s="41">
        <f>IF(OR(AZ28&gt;0,AND(BA$3&gt;=Assumptions!$E$243,BA$3&gt;=Assumptions!$B$14,Revenue_Build!BA10&gt;=Assumptions!$F$243*Assumptions!$B$51)),Assumptions!$D$243,0)</f>
        <v/>
      </c>
      <c r="BB28" s="41">
        <f>IF(OR(BA28&gt;0,AND(BB$3&gt;=Assumptions!$E$243,BB$3&gt;=Assumptions!$B$14,Revenue_Build!BB10&gt;=Assumptions!$F$243*Assumptions!$B$51)),Assumptions!$D$243,0)</f>
        <v/>
      </c>
      <c r="BC28" s="41">
        <f>IF(OR(BB28&gt;0,AND(BC$3&gt;=Assumptions!$E$243,BC$3&gt;=Assumptions!$B$14,Revenue_Build!BC10&gt;=Assumptions!$F$243*Assumptions!$B$51)),Assumptions!$D$243,0)</f>
        <v/>
      </c>
      <c r="BD28" s="41">
        <f>IF(OR(BC28&gt;0,AND(BD$3&gt;=Assumptions!$E$243,BD$3&gt;=Assumptions!$B$14,Revenue_Build!BD10&gt;=Assumptions!$F$243*Assumptions!$B$51)),Assumptions!$D$243,0)</f>
        <v/>
      </c>
      <c r="BE28" s="41">
        <f>IF(OR(BD28&gt;0,AND(BE$3&gt;=Assumptions!$E$243,BE$3&gt;=Assumptions!$B$14,Revenue_Build!BE10&gt;=Assumptions!$F$243*Assumptions!$B$51)),Assumptions!$D$243,0)</f>
        <v/>
      </c>
      <c r="BF28" s="41">
        <f>IF(OR(BE28&gt;0,AND(BF$3&gt;=Assumptions!$E$243,BF$3&gt;=Assumptions!$B$14,Revenue_Build!BF10&gt;=Assumptions!$F$243*Assumptions!$B$51)),Assumptions!$D$243,0)</f>
        <v/>
      </c>
      <c r="BG28" s="41">
        <f>IF(OR(BF28&gt;0,AND(BG$3&gt;=Assumptions!$E$243,BG$3&gt;=Assumptions!$B$14,Revenue_Build!BG10&gt;=Assumptions!$F$243*Assumptions!$B$51)),Assumptions!$D$243,0)</f>
        <v/>
      </c>
      <c r="BH28" s="41">
        <f>IF(OR(BG28&gt;0,AND(BH$3&gt;=Assumptions!$E$243,BH$3&gt;=Assumptions!$B$14,Revenue_Build!BH10&gt;=Assumptions!$F$243*Assumptions!$B$51)),Assumptions!$D$243,0)</f>
        <v/>
      </c>
      <c r="BI28" s="41">
        <f>IF(OR(BH28&gt;0,AND(BI$3&gt;=Assumptions!$E$243,BI$3&gt;=Assumptions!$B$14,Revenue_Build!BI10&gt;=Assumptions!$F$243*Assumptions!$B$51)),Assumptions!$D$243,0)</f>
        <v/>
      </c>
      <c r="BJ28" s="41">
        <f>IF(OR(BI28&gt;0,AND(BJ$3&gt;=Assumptions!$E$243,BJ$3&gt;=Assumptions!$B$14,Revenue_Build!BJ10&gt;=Assumptions!$F$243*Assumptions!$B$51)),Assumptions!$D$243,0)</f>
        <v/>
      </c>
    </row>
    <row r="29">
      <c r="A29" s="4" t="inlineStr">
        <is>
          <t>Multilingual content &amp; community</t>
        </is>
      </c>
      <c r="B29" s="17" t="inlineStr">
        <is>
          <t>FTE</t>
        </is>
      </c>
      <c r="C29" s="41">
        <f>IF(AND(C$3&gt;=Assumptions!$E$244,C$3&gt;=Assumptions!$B$14,Revenue_Build!C10&gt;=Assumptions!$F$244*Assumptions!$B$51),Assumptions!$D$244,0)</f>
        <v/>
      </c>
      <c r="D29" s="41">
        <f>IF(OR(C29&gt;0,AND(D$3&gt;=Assumptions!$E$244,D$3&gt;=Assumptions!$B$14,Revenue_Build!D10&gt;=Assumptions!$F$244*Assumptions!$B$51)),Assumptions!$D$244,0)</f>
        <v/>
      </c>
      <c r="E29" s="41">
        <f>IF(OR(D29&gt;0,AND(E$3&gt;=Assumptions!$E$244,E$3&gt;=Assumptions!$B$14,Revenue_Build!E10&gt;=Assumptions!$F$244*Assumptions!$B$51)),Assumptions!$D$244,0)</f>
        <v/>
      </c>
      <c r="F29" s="41">
        <f>IF(OR(E29&gt;0,AND(F$3&gt;=Assumptions!$E$244,F$3&gt;=Assumptions!$B$14,Revenue_Build!F10&gt;=Assumptions!$F$244*Assumptions!$B$51)),Assumptions!$D$244,0)</f>
        <v/>
      </c>
      <c r="G29" s="41">
        <f>IF(OR(F29&gt;0,AND(G$3&gt;=Assumptions!$E$244,G$3&gt;=Assumptions!$B$14,Revenue_Build!G10&gt;=Assumptions!$F$244*Assumptions!$B$51)),Assumptions!$D$244,0)</f>
        <v/>
      </c>
      <c r="H29" s="41">
        <f>IF(OR(G29&gt;0,AND(H$3&gt;=Assumptions!$E$244,H$3&gt;=Assumptions!$B$14,Revenue_Build!H10&gt;=Assumptions!$F$244*Assumptions!$B$51)),Assumptions!$D$244,0)</f>
        <v/>
      </c>
      <c r="I29" s="41">
        <f>IF(OR(H29&gt;0,AND(I$3&gt;=Assumptions!$E$244,I$3&gt;=Assumptions!$B$14,Revenue_Build!I10&gt;=Assumptions!$F$244*Assumptions!$B$51)),Assumptions!$D$244,0)</f>
        <v/>
      </c>
      <c r="J29" s="41">
        <f>IF(OR(I29&gt;0,AND(J$3&gt;=Assumptions!$E$244,J$3&gt;=Assumptions!$B$14,Revenue_Build!J10&gt;=Assumptions!$F$244*Assumptions!$B$51)),Assumptions!$D$244,0)</f>
        <v/>
      </c>
      <c r="K29" s="41">
        <f>IF(OR(J29&gt;0,AND(K$3&gt;=Assumptions!$E$244,K$3&gt;=Assumptions!$B$14,Revenue_Build!K10&gt;=Assumptions!$F$244*Assumptions!$B$51)),Assumptions!$D$244,0)</f>
        <v/>
      </c>
      <c r="L29" s="41">
        <f>IF(OR(K29&gt;0,AND(L$3&gt;=Assumptions!$E$244,L$3&gt;=Assumptions!$B$14,Revenue_Build!L10&gt;=Assumptions!$F$244*Assumptions!$B$51)),Assumptions!$D$244,0)</f>
        <v/>
      </c>
      <c r="M29" s="41">
        <f>IF(OR(L29&gt;0,AND(M$3&gt;=Assumptions!$E$244,M$3&gt;=Assumptions!$B$14,Revenue_Build!M10&gt;=Assumptions!$F$244*Assumptions!$B$51)),Assumptions!$D$244,0)</f>
        <v/>
      </c>
      <c r="N29" s="41">
        <f>IF(OR(M29&gt;0,AND(N$3&gt;=Assumptions!$E$244,N$3&gt;=Assumptions!$B$14,Revenue_Build!N10&gt;=Assumptions!$F$244*Assumptions!$B$51)),Assumptions!$D$244,0)</f>
        <v/>
      </c>
      <c r="O29" s="41">
        <f>IF(OR(N29&gt;0,AND(O$3&gt;=Assumptions!$E$244,O$3&gt;=Assumptions!$B$14,Revenue_Build!O10&gt;=Assumptions!$F$244*Assumptions!$B$51)),Assumptions!$D$244,0)</f>
        <v/>
      </c>
      <c r="P29" s="41">
        <f>IF(OR(O29&gt;0,AND(P$3&gt;=Assumptions!$E$244,P$3&gt;=Assumptions!$B$14,Revenue_Build!P10&gt;=Assumptions!$F$244*Assumptions!$B$51)),Assumptions!$D$244,0)</f>
        <v/>
      </c>
      <c r="Q29" s="41">
        <f>IF(OR(P29&gt;0,AND(Q$3&gt;=Assumptions!$E$244,Q$3&gt;=Assumptions!$B$14,Revenue_Build!Q10&gt;=Assumptions!$F$244*Assumptions!$B$51)),Assumptions!$D$244,0)</f>
        <v/>
      </c>
      <c r="R29" s="41">
        <f>IF(OR(Q29&gt;0,AND(R$3&gt;=Assumptions!$E$244,R$3&gt;=Assumptions!$B$14,Revenue_Build!R10&gt;=Assumptions!$F$244*Assumptions!$B$51)),Assumptions!$D$244,0)</f>
        <v/>
      </c>
      <c r="S29" s="41">
        <f>IF(OR(R29&gt;0,AND(S$3&gt;=Assumptions!$E$244,S$3&gt;=Assumptions!$B$14,Revenue_Build!S10&gt;=Assumptions!$F$244*Assumptions!$B$51)),Assumptions!$D$244,0)</f>
        <v/>
      </c>
      <c r="T29" s="41">
        <f>IF(OR(S29&gt;0,AND(T$3&gt;=Assumptions!$E$244,T$3&gt;=Assumptions!$B$14,Revenue_Build!T10&gt;=Assumptions!$F$244*Assumptions!$B$51)),Assumptions!$D$244,0)</f>
        <v/>
      </c>
      <c r="U29" s="41">
        <f>IF(OR(T29&gt;0,AND(U$3&gt;=Assumptions!$E$244,U$3&gt;=Assumptions!$B$14,Revenue_Build!U10&gt;=Assumptions!$F$244*Assumptions!$B$51)),Assumptions!$D$244,0)</f>
        <v/>
      </c>
      <c r="V29" s="41">
        <f>IF(OR(U29&gt;0,AND(V$3&gt;=Assumptions!$E$244,V$3&gt;=Assumptions!$B$14,Revenue_Build!V10&gt;=Assumptions!$F$244*Assumptions!$B$51)),Assumptions!$D$244,0)</f>
        <v/>
      </c>
      <c r="W29" s="41">
        <f>IF(OR(V29&gt;0,AND(W$3&gt;=Assumptions!$E$244,W$3&gt;=Assumptions!$B$14,Revenue_Build!W10&gt;=Assumptions!$F$244*Assumptions!$B$51)),Assumptions!$D$244,0)</f>
        <v/>
      </c>
      <c r="X29" s="41">
        <f>IF(OR(W29&gt;0,AND(X$3&gt;=Assumptions!$E$244,X$3&gt;=Assumptions!$B$14,Revenue_Build!X10&gt;=Assumptions!$F$244*Assumptions!$B$51)),Assumptions!$D$244,0)</f>
        <v/>
      </c>
      <c r="Y29" s="41">
        <f>IF(OR(X29&gt;0,AND(Y$3&gt;=Assumptions!$E$244,Y$3&gt;=Assumptions!$B$14,Revenue_Build!Y10&gt;=Assumptions!$F$244*Assumptions!$B$51)),Assumptions!$D$244,0)</f>
        <v/>
      </c>
      <c r="Z29" s="41">
        <f>IF(OR(Y29&gt;0,AND(Z$3&gt;=Assumptions!$E$244,Z$3&gt;=Assumptions!$B$14,Revenue_Build!Z10&gt;=Assumptions!$F$244*Assumptions!$B$51)),Assumptions!$D$244,0)</f>
        <v/>
      </c>
      <c r="AA29" s="41">
        <f>IF(OR(Z29&gt;0,AND(AA$3&gt;=Assumptions!$E$244,AA$3&gt;=Assumptions!$B$14,Revenue_Build!AA10&gt;=Assumptions!$F$244*Assumptions!$B$51)),Assumptions!$D$244,0)</f>
        <v/>
      </c>
      <c r="AB29" s="41">
        <f>IF(OR(AA29&gt;0,AND(AB$3&gt;=Assumptions!$E$244,AB$3&gt;=Assumptions!$B$14,Revenue_Build!AB10&gt;=Assumptions!$F$244*Assumptions!$B$51)),Assumptions!$D$244,0)</f>
        <v/>
      </c>
      <c r="AC29" s="41">
        <f>IF(OR(AB29&gt;0,AND(AC$3&gt;=Assumptions!$E$244,AC$3&gt;=Assumptions!$B$14,Revenue_Build!AC10&gt;=Assumptions!$F$244*Assumptions!$B$51)),Assumptions!$D$244,0)</f>
        <v/>
      </c>
      <c r="AD29" s="41">
        <f>IF(OR(AC29&gt;0,AND(AD$3&gt;=Assumptions!$E$244,AD$3&gt;=Assumptions!$B$14,Revenue_Build!AD10&gt;=Assumptions!$F$244*Assumptions!$B$51)),Assumptions!$D$244,0)</f>
        <v/>
      </c>
      <c r="AE29" s="41">
        <f>IF(OR(AD29&gt;0,AND(AE$3&gt;=Assumptions!$E$244,AE$3&gt;=Assumptions!$B$14,Revenue_Build!AE10&gt;=Assumptions!$F$244*Assumptions!$B$51)),Assumptions!$D$244,0)</f>
        <v/>
      </c>
      <c r="AF29" s="41">
        <f>IF(OR(AE29&gt;0,AND(AF$3&gt;=Assumptions!$E$244,AF$3&gt;=Assumptions!$B$14,Revenue_Build!AF10&gt;=Assumptions!$F$244*Assumptions!$B$51)),Assumptions!$D$244,0)</f>
        <v/>
      </c>
      <c r="AG29" s="41">
        <f>IF(OR(AF29&gt;0,AND(AG$3&gt;=Assumptions!$E$244,AG$3&gt;=Assumptions!$B$14,Revenue_Build!AG10&gt;=Assumptions!$F$244*Assumptions!$B$51)),Assumptions!$D$244,0)</f>
        <v/>
      </c>
      <c r="AH29" s="41">
        <f>IF(OR(AG29&gt;0,AND(AH$3&gt;=Assumptions!$E$244,AH$3&gt;=Assumptions!$B$14,Revenue_Build!AH10&gt;=Assumptions!$F$244*Assumptions!$B$51)),Assumptions!$D$244,0)</f>
        <v/>
      </c>
      <c r="AI29" s="41">
        <f>IF(OR(AH29&gt;0,AND(AI$3&gt;=Assumptions!$E$244,AI$3&gt;=Assumptions!$B$14,Revenue_Build!AI10&gt;=Assumptions!$F$244*Assumptions!$B$51)),Assumptions!$D$244,0)</f>
        <v/>
      </c>
      <c r="AJ29" s="41">
        <f>IF(OR(AI29&gt;0,AND(AJ$3&gt;=Assumptions!$E$244,AJ$3&gt;=Assumptions!$B$14,Revenue_Build!AJ10&gt;=Assumptions!$F$244*Assumptions!$B$51)),Assumptions!$D$244,0)</f>
        <v/>
      </c>
      <c r="AK29" s="41">
        <f>IF(OR(AJ29&gt;0,AND(AK$3&gt;=Assumptions!$E$244,AK$3&gt;=Assumptions!$B$14,Revenue_Build!AK10&gt;=Assumptions!$F$244*Assumptions!$B$51)),Assumptions!$D$244,0)</f>
        <v/>
      </c>
      <c r="AL29" s="41">
        <f>IF(OR(AK29&gt;0,AND(AL$3&gt;=Assumptions!$E$244,AL$3&gt;=Assumptions!$B$14,Revenue_Build!AL10&gt;=Assumptions!$F$244*Assumptions!$B$51)),Assumptions!$D$244,0)</f>
        <v/>
      </c>
      <c r="AM29" s="41">
        <f>IF(OR(AL29&gt;0,AND(AM$3&gt;=Assumptions!$E$244,AM$3&gt;=Assumptions!$B$14,Revenue_Build!AM10&gt;=Assumptions!$F$244*Assumptions!$B$51)),Assumptions!$D$244,0)</f>
        <v/>
      </c>
      <c r="AN29" s="41">
        <f>IF(OR(AM29&gt;0,AND(AN$3&gt;=Assumptions!$E$244,AN$3&gt;=Assumptions!$B$14,Revenue_Build!AN10&gt;=Assumptions!$F$244*Assumptions!$B$51)),Assumptions!$D$244,0)</f>
        <v/>
      </c>
      <c r="AO29" s="41">
        <f>IF(OR(AN29&gt;0,AND(AO$3&gt;=Assumptions!$E$244,AO$3&gt;=Assumptions!$B$14,Revenue_Build!AO10&gt;=Assumptions!$F$244*Assumptions!$B$51)),Assumptions!$D$244,0)</f>
        <v/>
      </c>
      <c r="AP29" s="41">
        <f>IF(OR(AO29&gt;0,AND(AP$3&gt;=Assumptions!$E$244,AP$3&gt;=Assumptions!$B$14,Revenue_Build!AP10&gt;=Assumptions!$F$244*Assumptions!$B$51)),Assumptions!$D$244,0)</f>
        <v/>
      </c>
      <c r="AQ29" s="41">
        <f>IF(OR(AP29&gt;0,AND(AQ$3&gt;=Assumptions!$E$244,AQ$3&gt;=Assumptions!$B$14,Revenue_Build!AQ10&gt;=Assumptions!$F$244*Assumptions!$B$51)),Assumptions!$D$244,0)</f>
        <v/>
      </c>
      <c r="AR29" s="41">
        <f>IF(OR(AQ29&gt;0,AND(AR$3&gt;=Assumptions!$E$244,AR$3&gt;=Assumptions!$B$14,Revenue_Build!AR10&gt;=Assumptions!$F$244*Assumptions!$B$51)),Assumptions!$D$244,0)</f>
        <v/>
      </c>
      <c r="AS29" s="41">
        <f>IF(OR(AR29&gt;0,AND(AS$3&gt;=Assumptions!$E$244,AS$3&gt;=Assumptions!$B$14,Revenue_Build!AS10&gt;=Assumptions!$F$244*Assumptions!$B$51)),Assumptions!$D$244,0)</f>
        <v/>
      </c>
      <c r="AT29" s="41">
        <f>IF(OR(AS29&gt;0,AND(AT$3&gt;=Assumptions!$E$244,AT$3&gt;=Assumptions!$B$14,Revenue_Build!AT10&gt;=Assumptions!$F$244*Assumptions!$B$51)),Assumptions!$D$244,0)</f>
        <v/>
      </c>
      <c r="AU29" s="41">
        <f>IF(OR(AT29&gt;0,AND(AU$3&gt;=Assumptions!$E$244,AU$3&gt;=Assumptions!$B$14,Revenue_Build!AU10&gt;=Assumptions!$F$244*Assumptions!$B$51)),Assumptions!$D$244,0)</f>
        <v/>
      </c>
      <c r="AV29" s="41">
        <f>IF(OR(AU29&gt;0,AND(AV$3&gt;=Assumptions!$E$244,AV$3&gt;=Assumptions!$B$14,Revenue_Build!AV10&gt;=Assumptions!$F$244*Assumptions!$B$51)),Assumptions!$D$244,0)</f>
        <v/>
      </c>
      <c r="AW29" s="41">
        <f>IF(OR(AV29&gt;0,AND(AW$3&gt;=Assumptions!$E$244,AW$3&gt;=Assumptions!$B$14,Revenue_Build!AW10&gt;=Assumptions!$F$244*Assumptions!$B$51)),Assumptions!$D$244,0)</f>
        <v/>
      </c>
      <c r="AX29" s="41">
        <f>IF(OR(AW29&gt;0,AND(AX$3&gt;=Assumptions!$E$244,AX$3&gt;=Assumptions!$B$14,Revenue_Build!AX10&gt;=Assumptions!$F$244*Assumptions!$B$51)),Assumptions!$D$244,0)</f>
        <v/>
      </c>
      <c r="AY29" s="41">
        <f>IF(OR(AX29&gt;0,AND(AY$3&gt;=Assumptions!$E$244,AY$3&gt;=Assumptions!$B$14,Revenue_Build!AY10&gt;=Assumptions!$F$244*Assumptions!$B$51)),Assumptions!$D$244,0)</f>
        <v/>
      </c>
      <c r="AZ29" s="41">
        <f>IF(OR(AY29&gt;0,AND(AZ$3&gt;=Assumptions!$E$244,AZ$3&gt;=Assumptions!$B$14,Revenue_Build!AZ10&gt;=Assumptions!$F$244*Assumptions!$B$51)),Assumptions!$D$244,0)</f>
        <v/>
      </c>
      <c r="BA29" s="41">
        <f>IF(OR(AZ29&gt;0,AND(BA$3&gt;=Assumptions!$E$244,BA$3&gt;=Assumptions!$B$14,Revenue_Build!BA10&gt;=Assumptions!$F$244*Assumptions!$B$51)),Assumptions!$D$244,0)</f>
        <v/>
      </c>
      <c r="BB29" s="41">
        <f>IF(OR(BA29&gt;0,AND(BB$3&gt;=Assumptions!$E$244,BB$3&gt;=Assumptions!$B$14,Revenue_Build!BB10&gt;=Assumptions!$F$244*Assumptions!$B$51)),Assumptions!$D$244,0)</f>
        <v/>
      </c>
      <c r="BC29" s="41">
        <f>IF(OR(BB29&gt;0,AND(BC$3&gt;=Assumptions!$E$244,BC$3&gt;=Assumptions!$B$14,Revenue_Build!BC10&gt;=Assumptions!$F$244*Assumptions!$B$51)),Assumptions!$D$244,0)</f>
        <v/>
      </c>
      <c r="BD29" s="41">
        <f>IF(OR(BC29&gt;0,AND(BD$3&gt;=Assumptions!$E$244,BD$3&gt;=Assumptions!$B$14,Revenue_Build!BD10&gt;=Assumptions!$F$244*Assumptions!$B$51)),Assumptions!$D$244,0)</f>
        <v/>
      </c>
      <c r="BE29" s="41">
        <f>IF(OR(BD29&gt;0,AND(BE$3&gt;=Assumptions!$E$244,BE$3&gt;=Assumptions!$B$14,Revenue_Build!BE10&gt;=Assumptions!$F$244*Assumptions!$B$51)),Assumptions!$D$244,0)</f>
        <v/>
      </c>
      <c r="BF29" s="41">
        <f>IF(OR(BE29&gt;0,AND(BF$3&gt;=Assumptions!$E$244,BF$3&gt;=Assumptions!$B$14,Revenue_Build!BF10&gt;=Assumptions!$F$244*Assumptions!$B$51)),Assumptions!$D$244,0)</f>
        <v/>
      </c>
      <c r="BG29" s="41">
        <f>IF(OR(BF29&gt;0,AND(BG$3&gt;=Assumptions!$E$244,BG$3&gt;=Assumptions!$B$14,Revenue_Build!BG10&gt;=Assumptions!$F$244*Assumptions!$B$51)),Assumptions!$D$244,0)</f>
        <v/>
      </c>
      <c r="BH29" s="41">
        <f>IF(OR(BG29&gt;0,AND(BH$3&gt;=Assumptions!$E$244,BH$3&gt;=Assumptions!$B$14,Revenue_Build!BH10&gt;=Assumptions!$F$244*Assumptions!$B$51)),Assumptions!$D$244,0)</f>
        <v/>
      </c>
      <c r="BI29" s="41">
        <f>IF(OR(BH29&gt;0,AND(BI$3&gt;=Assumptions!$E$244,BI$3&gt;=Assumptions!$B$14,Revenue_Build!BI10&gt;=Assumptions!$F$244*Assumptions!$B$51)),Assumptions!$D$244,0)</f>
        <v/>
      </c>
      <c r="BJ29" s="41">
        <f>IF(OR(BI29&gt;0,AND(BJ$3&gt;=Assumptions!$E$244,BJ$3&gt;=Assumptions!$B$14,Revenue_Build!BJ10&gt;=Assumptions!$F$244*Assumptions!$B$51)),Assumptions!$D$244,0)</f>
        <v/>
      </c>
    </row>
    <row r="30">
      <c r="A30" s="4" t="inlineStr">
        <is>
          <t>Lifecycle &amp; growth marketers</t>
        </is>
      </c>
      <c r="B30" s="17" t="inlineStr">
        <is>
          <t>FTE</t>
        </is>
      </c>
      <c r="C30" s="41">
        <f>IF(AND(C$3&gt;=Assumptions!$E$245,C$3&gt;=Assumptions!$B$14,Revenue_Build!C10&gt;=Assumptions!$F$245*Assumptions!$B$51),Assumptions!$D$245,0)</f>
        <v/>
      </c>
      <c r="D30" s="41">
        <f>IF(OR(C30&gt;0,AND(D$3&gt;=Assumptions!$E$245,D$3&gt;=Assumptions!$B$14,Revenue_Build!D10&gt;=Assumptions!$F$245*Assumptions!$B$51)),Assumptions!$D$245,0)</f>
        <v/>
      </c>
      <c r="E30" s="41">
        <f>IF(OR(D30&gt;0,AND(E$3&gt;=Assumptions!$E$245,E$3&gt;=Assumptions!$B$14,Revenue_Build!E10&gt;=Assumptions!$F$245*Assumptions!$B$51)),Assumptions!$D$245,0)</f>
        <v/>
      </c>
      <c r="F30" s="41">
        <f>IF(OR(E30&gt;0,AND(F$3&gt;=Assumptions!$E$245,F$3&gt;=Assumptions!$B$14,Revenue_Build!F10&gt;=Assumptions!$F$245*Assumptions!$B$51)),Assumptions!$D$245,0)</f>
        <v/>
      </c>
      <c r="G30" s="41">
        <f>IF(OR(F30&gt;0,AND(G$3&gt;=Assumptions!$E$245,G$3&gt;=Assumptions!$B$14,Revenue_Build!G10&gt;=Assumptions!$F$245*Assumptions!$B$51)),Assumptions!$D$245,0)</f>
        <v/>
      </c>
      <c r="H30" s="41">
        <f>IF(OR(G30&gt;0,AND(H$3&gt;=Assumptions!$E$245,H$3&gt;=Assumptions!$B$14,Revenue_Build!H10&gt;=Assumptions!$F$245*Assumptions!$B$51)),Assumptions!$D$245,0)</f>
        <v/>
      </c>
      <c r="I30" s="41">
        <f>IF(OR(H30&gt;0,AND(I$3&gt;=Assumptions!$E$245,I$3&gt;=Assumptions!$B$14,Revenue_Build!I10&gt;=Assumptions!$F$245*Assumptions!$B$51)),Assumptions!$D$245,0)</f>
        <v/>
      </c>
      <c r="J30" s="41">
        <f>IF(OR(I30&gt;0,AND(J$3&gt;=Assumptions!$E$245,J$3&gt;=Assumptions!$B$14,Revenue_Build!J10&gt;=Assumptions!$F$245*Assumptions!$B$51)),Assumptions!$D$245,0)</f>
        <v/>
      </c>
      <c r="K30" s="41">
        <f>IF(OR(J30&gt;0,AND(K$3&gt;=Assumptions!$E$245,K$3&gt;=Assumptions!$B$14,Revenue_Build!K10&gt;=Assumptions!$F$245*Assumptions!$B$51)),Assumptions!$D$245,0)</f>
        <v/>
      </c>
      <c r="L30" s="41">
        <f>IF(OR(K30&gt;0,AND(L$3&gt;=Assumptions!$E$245,L$3&gt;=Assumptions!$B$14,Revenue_Build!L10&gt;=Assumptions!$F$245*Assumptions!$B$51)),Assumptions!$D$245,0)</f>
        <v/>
      </c>
      <c r="M30" s="41">
        <f>IF(OR(L30&gt;0,AND(M$3&gt;=Assumptions!$E$245,M$3&gt;=Assumptions!$B$14,Revenue_Build!M10&gt;=Assumptions!$F$245*Assumptions!$B$51)),Assumptions!$D$245,0)</f>
        <v/>
      </c>
      <c r="N30" s="41">
        <f>IF(OR(M30&gt;0,AND(N$3&gt;=Assumptions!$E$245,N$3&gt;=Assumptions!$B$14,Revenue_Build!N10&gt;=Assumptions!$F$245*Assumptions!$B$51)),Assumptions!$D$245,0)</f>
        <v/>
      </c>
      <c r="O30" s="41">
        <f>IF(OR(N30&gt;0,AND(O$3&gt;=Assumptions!$E$245,O$3&gt;=Assumptions!$B$14,Revenue_Build!O10&gt;=Assumptions!$F$245*Assumptions!$B$51)),Assumptions!$D$245,0)</f>
        <v/>
      </c>
      <c r="P30" s="41">
        <f>IF(OR(O30&gt;0,AND(P$3&gt;=Assumptions!$E$245,P$3&gt;=Assumptions!$B$14,Revenue_Build!P10&gt;=Assumptions!$F$245*Assumptions!$B$51)),Assumptions!$D$245,0)</f>
        <v/>
      </c>
      <c r="Q30" s="41">
        <f>IF(OR(P30&gt;0,AND(Q$3&gt;=Assumptions!$E$245,Q$3&gt;=Assumptions!$B$14,Revenue_Build!Q10&gt;=Assumptions!$F$245*Assumptions!$B$51)),Assumptions!$D$245,0)</f>
        <v/>
      </c>
      <c r="R30" s="41">
        <f>IF(OR(Q30&gt;0,AND(R$3&gt;=Assumptions!$E$245,R$3&gt;=Assumptions!$B$14,Revenue_Build!R10&gt;=Assumptions!$F$245*Assumptions!$B$51)),Assumptions!$D$245,0)</f>
        <v/>
      </c>
      <c r="S30" s="41">
        <f>IF(OR(R30&gt;0,AND(S$3&gt;=Assumptions!$E$245,S$3&gt;=Assumptions!$B$14,Revenue_Build!S10&gt;=Assumptions!$F$245*Assumptions!$B$51)),Assumptions!$D$245,0)</f>
        <v/>
      </c>
      <c r="T30" s="41">
        <f>IF(OR(S30&gt;0,AND(T$3&gt;=Assumptions!$E$245,T$3&gt;=Assumptions!$B$14,Revenue_Build!T10&gt;=Assumptions!$F$245*Assumptions!$B$51)),Assumptions!$D$245,0)</f>
        <v/>
      </c>
      <c r="U30" s="41">
        <f>IF(OR(T30&gt;0,AND(U$3&gt;=Assumptions!$E$245,U$3&gt;=Assumptions!$B$14,Revenue_Build!U10&gt;=Assumptions!$F$245*Assumptions!$B$51)),Assumptions!$D$245,0)</f>
        <v/>
      </c>
      <c r="V30" s="41">
        <f>IF(OR(U30&gt;0,AND(V$3&gt;=Assumptions!$E$245,V$3&gt;=Assumptions!$B$14,Revenue_Build!V10&gt;=Assumptions!$F$245*Assumptions!$B$51)),Assumptions!$D$245,0)</f>
        <v/>
      </c>
      <c r="W30" s="41">
        <f>IF(OR(V30&gt;0,AND(W$3&gt;=Assumptions!$E$245,W$3&gt;=Assumptions!$B$14,Revenue_Build!W10&gt;=Assumptions!$F$245*Assumptions!$B$51)),Assumptions!$D$245,0)</f>
        <v/>
      </c>
      <c r="X30" s="41">
        <f>IF(OR(W30&gt;0,AND(X$3&gt;=Assumptions!$E$245,X$3&gt;=Assumptions!$B$14,Revenue_Build!X10&gt;=Assumptions!$F$245*Assumptions!$B$51)),Assumptions!$D$245,0)</f>
        <v/>
      </c>
      <c r="Y30" s="41">
        <f>IF(OR(X30&gt;0,AND(Y$3&gt;=Assumptions!$E$245,Y$3&gt;=Assumptions!$B$14,Revenue_Build!Y10&gt;=Assumptions!$F$245*Assumptions!$B$51)),Assumptions!$D$245,0)</f>
        <v/>
      </c>
      <c r="Z30" s="41">
        <f>IF(OR(Y30&gt;0,AND(Z$3&gt;=Assumptions!$E$245,Z$3&gt;=Assumptions!$B$14,Revenue_Build!Z10&gt;=Assumptions!$F$245*Assumptions!$B$51)),Assumptions!$D$245,0)</f>
        <v/>
      </c>
      <c r="AA30" s="41">
        <f>IF(OR(Z30&gt;0,AND(AA$3&gt;=Assumptions!$E$245,AA$3&gt;=Assumptions!$B$14,Revenue_Build!AA10&gt;=Assumptions!$F$245*Assumptions!$B$51)),Assumptions!$D$245,0)</f>
        <v/>
      </c>
      <c r="AB30" s="41">
        <f>IF(OR(AA30&gt;0,AND(AB$3&gt;=Assumptions!$E$245,AB$3&gt;=Assumptions!$B$14,Revenue_Build!AB10&gt;=Assumptions!$F$245*Assumptions!$B$51)),Assumptions!$D$245,0)</f>
        <v/>
      </c>
      <c r="AC30" s="41">
        <f>IF(OR(AB30&gt;0,AND(AC$3&gt;=Assumptions!$E$245,AC$3&gt;=Assumptions!$B$14,Revenue_Build!AC10&gt;=Assumptions!$F$245*Assumptions!$B$51)),Assumptions!$D$245,0)</f>
        <v/>
      </c>
      <c r="AD30" s="41">
        <f>IF(OR(AC30&gt;0,AND(AD$3&gt;=Assumptions!$E$245,AD$3&gt;=Assumptions!$B$14,Revenue_Build!AD10&gt;=Assumptions!$F$245*Assumptions!$B$51)),Assumptions!$D$245,0)</f>
        <v/>
      </c>
      <c r="AE30" s="41">
        <f>IF(OR(AD30&gt;0,AND(AE$3&gt;=Assumptions!$E$245,AE$3&gt;=Assumptions!$B$14,Revenue_Build!AE10&gt;=Assumptions!$F$245*Assumptions!$B$51)),Assumptions!$D$245,0)</f>
        <v/>
      </c>
      <c r="AF30" s="41">
        <f>IF(OR(AE30&gt;0,AND(AF$3&gt;=Assumptions!$E$245,AF$3&gt;=Assumptions!$B$14,Revenue_Build!AF10&gt;=Assumptions!$F$245*Assumptions!$B$51)),Assumptions!$D$245,0)</f>
        <v/>
      </c>
      <c r="AG30" s="41">
        <f>IF(OR(AF30&gt;0,AND(AG$3&gt;=Assumptions!$E$245,AG$3&gt;=Assumptions!$B$14,Revenue_Build!AG10&gt;=Assumptions!$F$245*Assumptions!$B$51)),Assumptions!$D$245,0)</f>
        <v/>
      </c>
      <c r="AH30" s="41">
        <f>IF(OR(AG30&gt;0,AND(AH$3&gt;=Assumptions!$E$245,AH$3&gt;=Assumptions!$B$14,Revenue_Build!AH10&gt;=Assumptions!$F$245*Assumptions!$B$51)),Assumptions!$D$245,0)</f>
        <v/>
      </c>
      <c r="AI30" s="41">
        <f>IF(OR(AH30&gt;0,AND(AI$3&gt;=Assumptions!$E$245,AI$3&gt;=Assumptions!$B$14,Revenue_Build!AI10&gt;=Assumptions!$F$245*Assumptions!$B$51)),Assumptions!$D$245,0)</f>
        <v/>
      </c>
      <c r="AJ30" s="41">
        <f>IF(OR(AI30&gt;0,AND(AJ$3&gt;=Assumptions!$E$245,AJ$3&gt;=Assumptions!$B$14,Revenue_Build!AJ10&gt;=Assumptions!$F$245*Assumptions!$B$51)),Assumptions!$D$245,0)</f>
        <v/>
      </c>
      <c r="AK30" s="41">
        <f>IF(OR(AJ30&gt;0,AND(AK$3&gt;=Assumptions!$E$245,AK$3&gt;=Assumptions!$B$14,Revenue_Build!AK10&gt;=Assumptions!$F$245*Assumptions!$B$51)),Assumptions!$D$245,0)</f>
        <v/>
      </c>
      <c r="AL30" s="41">
        <f>IF(OR(AK30&gt;0,AND(AL$3&gt;=Assumptions!$E$245,AL$3&gt;=Assumptions!$B$14,Revenue_Build!AL10&gt;=Assumptions!$F$245*Assumptions!$B$51)),Assumptions!$D$245,0)</f>
        <v/>
      </c>
      <c r="AM30" s="41">
        <f>IF(OR(AL30&gt;0,AND(AM$3&gt;=Assumptions!$E$245,AM$3&gt;=Assumptions!$B$14,Revenue_Build!AM10&gt;=Assumptions!$F$245*Assumptions!$B$51)),Assumptions!$D$245,0)</f>
        <v/>
      </c>
      <c r="AN30" s="41">
        <f>IF(OR(AM30&gt;0,AND(AN$3&gt;=Assumptions!$E$245,AN$3&gt;=Assumptions!$B$14,Revenue_Build!AN10&gt;=Assumptions!$F$245*Assumptions!$B$51)),Assumptions!$D$245,0)</f>
        <v/>
      </c>
      <c r="AO30" s="41">
        <f>IF(OR(AN30&gt;0,AND(AO$3&gt;=Assumptions!$E$245,AO$3&gt;=Assumptions!$B$14,Revenue_Build!AO10&gt;=Assumptions!$F$245*Assumptions!$B$51)),Assumptions!$D$245,0)</f>
        <v/>
      </c>
      <c r="AP30" s="41">
        <f>IF(OR(AO30&gt;0,AND(AP$3&gt;=Assumptions!$E$245,AP$3&gt;=Assumptions!$B$14,Revenue_Build!AP10&gt;=Assumptions!$F$245*Assumptions!$B$51)),Assumptions!$D$245,0)</f>
        <v/>
      </c>
      <c r="AQ30" s="41">
        <f>IF(OR(AP30&gt;0,AND(AQ$3&gt;=Assumptions!$E$245,AQ$3&gt;=Assumptions!$B$14,Revenue_Build!AQ10&gt;=Assumptions!$F$245*Assumptions!$B$51)),Assumptions!$D$245,0)</f>
        <v/>
      </c>
      <c r="AR30" s="41">
        <f>IF(OR(AQ30&gt;0,AND(AR$3&gt;=Assumptions!$E$245,AR$3&gt;=Assumptions!$B$14,Revenue_Build!AR10&gt;=Assumptions!$F$245*Assumptions!$B$51)),Assumptions!$D$245,0)</f>
        <v/>
      </c>
      <c r="AS30" s="41">
        <f>IF(OR(AR30&gt;0,AND(AS$3&gt;=Assumptions!$E$245,AS$3&gt;=Assumptions!$B$14,Revenue_Build!AS10&gt;=Assumptions!$F$245*Assumptions!$B$51)),Assumptions!$D$245,0)</f>
        <v/>
      </c>
      <c r="AT30" s="41">
        <f>IF(OR(AS30&gt;0,AND(AT$3&gt;=Assumptions!$E$245,AT$3&gt;=Assumptions!$B$14,Revenue_Build!AT10&gt;=Assumptions!$F$245*Assumptions!$B$51)),Assumptions!$D$245,0)</f>
        <v/>
      </c>
      <c r="AU30" s="41">
        <f>IF(OR(AT30&gt;0,AND(AU$3&gt;=Assumptions!$E$245,AU$3&gt;=Assumptions!$B$14,Revenue_Build!AU10&gt;=Assumptions!$F$245*Assumptions!$B$51)),Assumptions!$D$245,0)</f>
        <v/>
      </c>
      <c r="AV30" s="41">
        <f>IF(OR(AU30&gt;0,AND(AV$3&gt;=Assumptions!$E$245,AV$3&gt;=Assumptions!$B$14,Revenue_Build!AV10&gt;=Assumptions!$F$245*Assumptions!$B$51)),Assumptions!$D$245,0)</f>
        <v/>
      </c>
      <c r="AW30" s="41">
        <f>IF(OR(AV30&gt;0,AND(AW$3&gt;=Assumptions!$E$245,AW$3&gt;=Assumptions!$B$14,Revenue_Build!AW10&gt;=Assumptions!$F$245*Assumptions!$B$51)),Assumptions!$D$245,0)</f>
        <v/>
      </c>
      <c r="AX30" s="41">
        <f>IF(OR(AW30&gt;0,AND(AX$3&gt;=Assumptions!$E$245,AX$3&gt;=Assumptions!$B$14,Revenue_Build!AX10&gt;=Assumptions!$F$245*Assumptions!$B$51)),Assumptions!$D$245,0)</f>
        <v/>
      </c>
      <c r="AY30" s="41">
        <f>IF(OR(AX30&gt;0,AND(AY$3&gt;=Assumptions!$E$245,AY$3&gt;=Assumptions!$B$14,Revenue_Build!AY10&gt;=Assumptions!$F$245*Assumptions!$B$51)),Assumptions!$D$245,0)</f>
        <v/>
      </c>
      <c r="AZ30" s="41">
        <f>IF(OR(AY30&gt;0,AND(AZ$3&gt;=Assumptions!$E$245,AZ$3&gt;=Assumptions!$B$14,Revenue_Build!AZ10&gt;=Assumptions!$F$245*Assumptions!$B$51)),Assumptions!$D$245,0)</f>
        <v/>
      </c>
      <c r="BA30" s="41">
        <f>IF(OR(AZ30&gt;0,AND(BA$3&gt;=Assumptions!$E$245,BA$3&gt;=Assumptions!$B$14,Revenue_Build!BA10&gt;=Assumptions!$F$245*Assumptions!$B$51)),Assumptions!$D$245,0)</f>
        <v/>
      </c>
      <c r="BB30" s="41">
        <f>IF(OR(BA30&gt;0,AND(BB$3&gt;=Assumptions!$E$245,BB$3&gt;=Assumptions!$B$14,Revenue_Build!BB10&gt;=Assumptions!$F$245*Assumptions!$B$51)),Assumptions!$D$245,0)</f>
        <v/>
      </c>
      <c r="BC30" s="41">
        <f>IF(OR(BB30&gt;0,AND(BC$3&gt;=Assumptions!$E$245,BC$3&gt;=Assumptions!$B$14,Revenue_Build!BC10&gt;=Assumptions!$F$245*Assumptions!$B$51)),Assumptions!$D$245,0)</f>
        <v/>
      </c>
      <c r="BD30" s="41">
        <f>IF(OR(BC30&gt;0,AND(BD$3&gt;=Assumptions!$E$245,BD$3&gt;=Assumptions!$B$14,Revenue_Build!BD10&gt;=Assumptions!$F$245*Assumptions!$B$51)),Assumptions!$D$245,0)</f>
        <v/>
      </c>
      <c r="BE30" s="41">
        <f>IF(OR(BD30&gt;0,AND(BE$3&gt;=Assumptions!$E$245,BE$3&gt;=Assumptions!$B$14,Revenue_Build!BE10&gt;=Assumptions!$F$245*Assumptions!$B$51)),Assumptions!$D$245,0)</f>
        <v/>
      </c>
      <c r="BF30" s="41">
        <f>IF(OR(BE30&gt;0,AND(BF$3&gt;=Assumptions!$E$245,BF$3&gt;=Assumptions!$B$14,Revenue_Build!BF10&gt;=Assumptions!$F$245*Assumptions!$B$51)),Assumptions!$D$245,0)</f>
        <v/>
      </c>
      <c r="BG30" s="41">
        <f>IF(OR(BF30&gt;0,AND(BG$3&gt;=Assumptions!$E$245,BG$3&gt;=Assumptions!$B$14,Revenue_Build!BG10&gt;=Assumptions!$F$245*Assumptions!$B$51)),Assumptions!$D$245,0)</f>
        <v/>
      </c>
      <c r="BH30" s="41">
        <f>IF(OR(BG30&gt;0,AND(BH$3&gt;=Assumptions!$E$245,BH$3&gt;=Assumptions!$B$14,Revenue_Build!BH10&gt;=Assumptions!$F$245*Assumptions!$B$51)),Assumptions!$D$245,0)</f>
        <v/>
      </c>
      <c r="BI30" s="41">
        <f>IF(OR(BH30&gt;0,AND(BI$3&gt;=Assumptions!$E$245,BI$3&gt;=Assumptions!$B$14,Revenue_Build!BI10&gt;=Assumptions!$F$245*Assumptions!$B$51)),Assumptions!$D$245,0)</f>
        <v/>
      </c>
      <c r="BJ30" s="41">
        <f>IF(OR(BI30&gt;0,AND(BJ$3&gt;=Assumptions!$E$245,BJ$3&gt;=Assumptions!$B$14,Revenue_Build!BJ10&gt;=Assumptions!$F$245*Assumptions!$B$51)),Assumptions!$D$245,0)</f>
        <v/>
      </c>
    </row>
    <row r="31">
      <c r="A31" s="4" t="inlineStr">
        <is>
          <t>Marketing team expansion I</t>
        </is>
      </c>
      <c r="B31" s="17" t="inlineStr">
        <is>
          <t>FTE</t>
        </is>
      </c>
      <c r="C31" s="41">
        <f>IF(AND(C$3&gt;=Assumptions!$E$246,C$3&gt;=Assumptions!$B$14,Revenue_Build!C10&gt;=Assumptions!$F$246*Assumptions!$B$51),Assumptions!$D$246,0)</f>
        <v/>
      </c>
      <c r="D31" s="41">
        <f>IF(OR(C31&gt;0,AND(D$3&gt;=Assumptions!$E$246,D$3&gt;=Assumptions!$B$14,Revenue_Build!D10&gt;=Assumptions!$F$246*Assumptions!$B$51)),Assumptions!$D$246,0)</f>
        <v/>
      </c>
      <c r="E31" s="41">
        <f>IF(OR(D31&gt;0,AND(E$3&gt;=Assumptions!$E$246,E$3&gt;=Assumptions!$B$14,Revenue_Build!E10&gt;=Assumptions!$F$246*Assumptions!$B$51)),Assumptions!$D$246,0)</f>
        <v/>
      </c>
      <c r="F31" s="41">
        <f>IF(OR(E31&gt;0,AND(F$3&gt;=Assumptions!$E$246,F$3&gt;=Assumptions!$B$14,Revenue_Build!F10&gt;=Assumptions!$F$246*Assumptions!$B$51)),Assumptions!$D$246,0)</f>
        <v/>
      </c>
      <c r="G31" s="41">
        <f>IF(OR(F31&gt;0,AND(G$3&gt;=Assumptions!$E$246,G$3&gt;=Assumptions!$B$14,Revenue_Build!G10&gt;=Assumptions!$F$246*Assumptions!$B$51)),Assumptions!$D$246,0)</f>
        <v/>
      </c>
      <c r="H31" s="41">
        <f>IF(OR(G31&gt;0,AND(H$3&gt;=Assumptions!$E$246,H$3&gt;=Assumptions!$B$14,Revenue_Build!H10&gt;=Assumptions!$F$246*Assumptions!$B$51)),Assumptions!$D$246,0)</f>
        <v/>
      </c>
      <c r="I31" s="41">
        <f>IF(OR(H31&gt;0,AND(I$3&gt;=Assumptions!$E$246,I$3&gt;=Assumptions!$B$14,Revenue_Build!I10&gt;=Assumptions!$F$246*Assumptions!$B$51)),Assumptions!$D$246,0)</f>
        <v/>
      </c>
      <c r="J31" s="41">
        <f>IF(OR(I31&gt;0,AND(J$3&gt;=Assumptions!$E$246,J$3&gt;=Assumptions!$B$14,Revenue_Build!J10&gt;=Assumptions!$F$246*Assumptions!$B$51)),Assumptions!$D$246,0)</f>
        <v/>
      </c>
      <c r="K31" s="41">
        <f>IF(OR(J31&gt;0,AND(K$3&gt;=Assumptions!$E$246,K$3&gt;=Assumptions!$B$14,Revenue_Build!K10&gt;=Assumptions!$F$246*Assumptions!$B$51)),Assumptions!$D$246,0)</f>
        <v/>
      </c>
      <c r="L31" s="41">
        <f>IF(OR(K31&gt;0,AND(L$3&gt;=Assumptions!$E$246,L$3&gt;=Assumptions!$B$14,Revenue_Build!L10&gt;=Assumptions!$F$246*Assumptions!$B$51)),Assumptions!$D$246,0)</f>
        <v/>
      </c>
      <c r="M31" s="41">
        <f>IF(OR(L31&gt;0,AND(M$3&gt;=Assumptions!$E$246,M$3&gt;=Assumptions!$B$14,Revenue_Build!M10&gt;=Assumptions!$F$246*Assumptions!$B$51)),Assumptions!$D$246,0)</f>
        <v/>
      </c>
      <c r="N31" s="41">
        <f>IF(OR(M31&gt;0,AND(N$3&gt;=Assumptions!$E$246,N$3&gt;=Assumptions!$B$14,Revenue_Build!N10&gt;=Assumptions!$F$246*Assumptions!$B$51)),Assumptions!$D$246,0)</f>
        <v/>
      </c>
      <c r="O31" s="41">
        <f>IF(OR(N31&gt;0,AND(O$3&gt;=Assumptions!$E$246,O$3&gt;=Assumptions!$B$14,Revenue_Build!O10&gt;=Assumptions!$F$246*Assumptions!$B$51)),Assumptions!$D$246,0)</f>
        <v/>
      </c>
      <c r="P31" s="41">
        <f>IF(OR(O31&gt;0,AND(P$3&gt;=Assumptions!$E$246,P$3&gt;=Assumptions!$B$14,Revenue_Build!P10&gt;=Assumptions!$F$246*Assumptions!$B$51)),Assumptions!$D$246,0)</f>
        <v/>
      </c>
      <c r="Q31" s="41">
        <f>IF(OR(P31&gt;0,AND(Q$3&gt;=Assumptions!$E$246,Q$3&gt;=Assumptions!$B$14,Revenue_Build!Q10&gt;=Assumptions!$F$246*Assumptions!$B$51)),Assumptions!$D$246,0)</f>
        <v/>
      </c>
      <c r="R31" s="41">
        <f>IF(OR(Q31&gt;0,AND(R$3&gt;=Assumptions!$E$246,R$3&gt;=Assumptions!$B$14,Revenue_Build!R10&gt;=Assumptions!$F$246*Assumptions!$B$51)),Assumptions!$D$246,0)</f>
        <v/>
      </c>
      <c r="S31" s="41">
        <f>IF(OR(R31&gt;0,AND(S$3&gt;=Assumptions!$E$246,S$3&gt;=Assumptions!$B$14,Revenue_Build!S10&gt;=Assumptions!$F$246*Assumptions!$B$51)),Assumptions!$D$246,0)</f>
        <v/>
      </c>
      <c r="T31" s="41">
        <f>IF(OR(S31&gt;0,AND(T$3&gt;=Assumptions!$E$246,T$3&gt;=Assumptions!$B$14,Revenue_Build!T10&gt;=Assumptions!$F$246*Assumptions!$B$51)),Assumptions!$D$246,0)</f>
        <v/>
      </c>
      <c r="U31" s="41">
        <f>IF(OR(T31&gt;0,AND(U$3&gt;=Assumptions!$E$246,U$3&gt;=Assumptions!$B$14,Revenue_Build!U10&gt;=Assumptions!$F$246*Assumptions!$B$51)),Assumptions!$D$246,0)</f>
        <v/>
      </c>
      <c r="V31" s="41">
        <f>IF(OR(U31&gt;0,AND(V$3&gt;=Assumptions!$E$246,V$3&gt;=Assumptions!$B$14,Revenue_Build!V10&gt;=Assumptions!$F$246*Assumptions!$B$51)),Assumptions!$D$246,0)</f>
        <v/>
      </c>
      <c r="W31" s="41">
        <f>IF(OR(V31&gt;0,AND(W$3&gt;=Assumptions!$E$246,W$3&gt;=Assumptions!$B$14,Revenue_Build!W10&gt;=Assumptions!$F$246*Assumptions!$B$51)),Assumptions!$D$246,0)</f>
        <v/>
      </c>
      <c r="X31" s="41">
        <f>IF(OR(W31&gt;0,AND(X$3&gt;=Assumptions!$E$246,X$3&gt;=Assumptions!$B$14,Revenue_Build!X10&gt;=Assumptions!$F$246*Assumptions!$B$51)),Assumptions!$D$246,0)</f>
        <v/>
      </c>
      <c r="Y31" s="41">
        <f>IF(OR(X31&gt;0,AND(Y$3&gt;=Assumptions!$E$246,Y$3&gt;=Assumptions!$B$14,Revenue_Build!Y10&gt;=Assumptions!$F$246*Assumptions!$B$51)),Assumptions!$D$246,0)</f>
        <v/>
      </c>
      <c r="Z31" s="41">
        <f>IF(OR(Y31&gt;0,AND(Z$3&gt;=Assumptions!$E$246,Z$3&gt;=Assumptions!$B$14,Revenue_Build!Z10&gt;=Assumptions!$F$246*Assumptions!$B$51)),Assumptions!$D$246,0)</f>
        <v/>
      </c>
      <c r="AA31" s="41">
        <f>IF(OR(Z31&gt;0,AND(AA$3&gt;=Assumptions!$E$246,AA$3&gt;=Assumptions!$B$14,Revenue_Build!AA10&gt;=Assumptions!$F$246*Assumptions!$B$51)),Assumptions!$D$246,0)</f>
        <v/>
      </c>
      <c r="AB31" s="41">
        <f>IF(OR(AA31&gt;0,AND(AB$3&gt;=Assumptions!$E$246,AB$3&gt;=Assumptions!$B$14,Revenue_Build!AB10&gt;=Assumptions!$F$246*Assumptions!$B$51)),Assumptions!$D$246,0)</f>
        <v/>
      </c>
      <c r="AC31" s="41">
        <f>IF(OR(AB31&gt;0,AND(AC$3&gt;=Assumptions!$E$246,AC$3&gt;=Assumptions!$B$14,Revenue_Build!AC10&gt;=Assumptions!$F$246*Assumptions!$B$51)),Assumptions!$D$246,0)</f>
        <v/>
      </c>
      <c r="AD31" s="41">
        <f>IF(OR(AC31&gt;0,AND(AD$3&gt;=Assumptions!$E$246,AD$3&gt;=Assumptions!$B$14,Revenue_Build!AD10&gt;=Assumptions!$F$246*Assumptions!$B$51)),Assumptions!$D$246,0)</f>
        <v/>
      </c>
      <c r="AE31" s="41">
        <f>IF(OR(AD31&gt;0,AND(AE$3&gt;=Assumptions!$E$246,AE$3&gt;=Assumptions!$B$14,Revenue_Build!AE10&gt;=Assumptions!$F$246*Assumptions!$B$51)),Assumptions!$D$246,0)</f>
        <v/>
      </c>
      <c r="AF31" s="41">
        <f>IF(OR(AE31&gt;0,AND(AF$3&gt;=Assumptions!$E$246,AF$3&gt;=Assumptions!$B$14,Revenue_Build!AF10&gt;=Assumptions!$F$246*Assumptions!$B$51)),Assumptions!$D$246,0)</f>
        <v/>
      </c>
      <c r="AG31" s="41">
        <f>IF(OR(AF31&gt;0,AND(AG$3&gt;=Assumptions!$E$246,AG$3&gt;=Assumptions!$B$14,Revenue_Build!AG10&gt;=Assumptions!$F$246*Assumptions!$B$51)),Assumptions!$D$246,0)</f>
        <v/>
      </c>
      <c r="AH31" s="41">
        <f>IF(OR(AG31&gt;0,AND(AH$3&gt;=Assumptions!$E$246,AH$3&gt;=Assumptions!$B$14,Revenue_Build!AH10&gt;=Assumptions!$F$246*Assumptions!$B$51)),Assumptions!$D$246,0)</f>
        <v/>
      </c>
      <c r="AI31" s="41">
        <f>IF(OR(AH31&gt;0,AND(AI$3&gt;=Assumptions!$E$246,AI$3&gt;=Assumptions!$B$14,Revenue_Build!AI10&gt;=Assumptions!$F$246*Assumptions!$B$51)),Assumptions!$D$246,0)</f>
        <v/>
      </c>
      <c r="AJ31" s="41">
        <f>IF(OR(AI31&gt;0,AND(AJ$3&gt;=Assumptions!$E$246,AJ$3&gt;=Assumptions!$B$14,Revenue_Build!AJ10&gt;=Assumptions!$F$246*Assumptions!$B$51)),Assumptions!$D$246,0)</f>
        <v/>
      </c>
      <c r="AK31" s="41">
        <f>IF(OR(AJ31&gt;0,AND(AK$3&gt;=Assumptions!$E$246,AK$3&gt;=Assumptions!$B$14,Revenue_Build!AK10&gt;=Assumptions!$F$246*Assumptions!$B$51)),Assumptions!$D$246,0)</f>
        <v/>
      </c>
      <c r="AL31" s="41">
        <f>IF(OR(AK31&gt;0,AND(AL$3&gt;=Assumptions!$E$246,AL$3&gt;=Assumptions!$B$14,Revenue_Build!AL10&gt;=Assumptions!$F$246*Assumptions!$B$51)),Assumptions!$D$246,0)</f>
        <v/>
      </c>
      <c r="AM31" s="41">
        <f>IF(OR(AL31&gt;0,AND(AM$3&gt;=Assumptions!$E$246,AM$3&gt;=Assumptions!$B$14,Revenue_Build!AM10&gt;=Assumptions!$F$246*Assumptions!$B$51)),Assumptions!$D$246,0)</f>
        <v/>
      </c>
      <c r="AN31" s="41">
        <f>IF(OR(AM31&gt;0,AND(AN$3&gt;=Assumptions!$E$246,AN$3&gt;=Assumptions!$B$14,Revenue_Build!AN10&gt;=Assumptions!$F$246*Assumptions!$B$51)),Assumptions!$D$246,0)</f>
        <v/>
      </c>
      <c r="AO31" s="41">
        <f>IF(OR(AN31&gt;0,AND(AO$3&gt;=Assumptions!$E$246,AO$3&gt;=Assumptions!$B$14,Revenue_Build!AO10&gt;=Assumptions!$F$246*Assumptions!$B$51)),Assumptions!$D$246,0)</f>
        <v/>
      </c>
      <c r="AP31" s="41">
        <f>IF(OR(AO31&gt;0,AND(AP$3&gt;=Assumptions!$E$246,AP$3&gt;=Assumptions!$B$14,Revenue_Build!AP10&gt;=Assumptions!$F$246*Assumptions!$B$51)),Assumptions!$D$246,0)</f>
        <v/>
      </c>
      <c r="AQ31" s="41">
        <f>IF(OR(AP31&gt;0,AND(AQ$3&gt;=Assumptions!$E$246,AQ$3&gt;=Assumptions!$B$14,Revenue_Build!AQ10&gt;=Assumptions!$F$246*Assumptions!$B$51)),Assumptions!$D$246,0)</f>
        <v/>
      </c>
      <c r="AR31" s="41">
        <f>IF(OR(AQ31&gt;0,AND(AR$3&gt;=Assumptions!$E$246,AR$3&gt;=Assumptions!$B$14,Revenue_Build!AR10&gt;=Assumptions!$F$246*Assumptions!$B$51)),Assumptions!$D$246,0)</f>
        <v/>
      </c>
      <c r="AS31" s="41">
        <f>IF(OR(AR31&gt;0,AND(AS$3&gt;=Assumptions!$E$246,AS$3&gt;=Assumptions!$B$14,Revenue_Build!AS10&gt;=Assumptions!$F$246*Assumptions!$B$51)),Assumptions!$D$246,0)</f>
        <v/>
      </c>
      <c r="AT31" s="41">
        <f>IF(OR(AS31&gt;0,AND(AT$3&gt;=Assumptions!$E$246,AT$3&gt;=Assumptions!$B$14,Revenue_Build!AT10&gt;=Assumptions!$F$246*Assumptions!$B$51)),Assumptions!$D$246,0)</f>
        <v/>
      </c>
      <c r="AU31" s="41">
        <f>IF(OR(AT31&gt;0,AND(AU$3&gt;=Assumptions!$E$246,AU$3&gt;=Assumptions!$B$14,Revenue_Build!AU10&gt;=Assumptions!$F$246*Assumptions!$B$51)),Assumptions!$D$246,0)</f>
        <v/>
      </c>
      <c r="AV31" s="41">
        <f>IF(OR(AU31&gt;0,AND(AV$3&gt;=Assumptions!$E$246,AV$3&gt;=Assumptions!$B$14,Revenue_Build!AV10&gt;=Assumptions!$F$246*Assumptions!$B$51)),Assumptions!$D$246,0)</f>
        <v/>
      </c>
      <c r="AW31" s="41">
        <f>IF(OR(AV31&gt;0,AND(AW$3&gt;=Assumptions!$E$246,AW$3&gt;=Assumptions!$B$14,Revenue_Build!AW10&gt;=Assumptions!$F$246*Assumptions!$B$51)),Assumptions!$D$246,0)</f>
        <v/>
      </c>
      <c r="AX31" s="41">
        <f>IF(OR(AW31&gt;0,AND(AX$3&gt;=Assumptions!$E$246,AX$3&gt;=Assumptions!$B$14,Revenue_Build!AX10&gt;=Assumptions!$F$246*Assumptions!$B$51)),Assumptions!$D$246,0)</f>
        <v/>
      </c>
      <c r="AY31" s="41">
        <f>IF(OR(AX31&gt;0,AND(AY$3&gt;=Assumptions!$E$246,AY$3&gt;=Assumptions!$B$14,Revenue_Build!AY10&gt;=Assumptions!$F$246*Assumptions!$B$51)),Assumptions!$D$246,0)</f>
        <v/>
      </c>
      <c r="AZ31" s="41">
        <f>IF(OR(AY31&gt;0,AND(AZ$3&gt;=Assumptions!$E$246,AZ$3&gt;=Assumptions!$B$14,Revenue_Build!AZ10&gt;=Assumptions!$F$246*Assumptions!$B$51)),Assumptions!$D$246,0)</f>
        <v/>
      </c>
      <c r="BA31" s="41">
        <f>IF(OR(AZ31&gt;0,AND(BA$3&gt;=Assumptions!$E$246,BA$3&gt;=Assumptions!$B$14,Revenue_Build!BA10&gt;=Assumptions!$F$246*Assumptions!$B$51)),Assumptions!$D$246,0)</f>
        <v/>
      </c>
      <c r="BB31" s="41">
        <f>IF(OR(BA31&gt;0,AND(BB$3&gt;=Assumptions!$E$246,BB$3&gt;=Assumptions!$B$14,Revenue_Build!BB10&gt;=Assumptions!$F$246*Assumptions!$B$51)),Assumptions!$D$246,0)</f>
        <v/>
      </c>
      <c r="BC31" s="41">
        <f>IF(OR(BB31&gt;0,AND(BC$3&gt;=Assumptions!$E$246,BC$3&gt;=Assumptions!$B$14,Revenue_Build!BC10&gt;=Assumptions!$F$246*Assumptions!$B$51)),Assumptions!$D$246,0)</f>
        <v/>
      </c>
      <c r="BD31" s="41">
        <f>IF(OR(BC31&gt;0,AND(BD$3&gt;=Assumptions!$E$246,BD$3&gt;=Assumptions!$B$14,Revenue_Build!BD10&gt;=Assumptions!$F$246*Assumptions!$B$51)),Assumptions!$D$246,0)</f>
        <v/>
      </c>
      <c r="BE31" s="41">
        <f>IF(OR(BD31&gt;0,AND(BE$3&gt;=Assumptions!$E$246,BE$3&gt;=Assumptions!$B$14,Revenue_Build!BE10&gt;=Assumptions!$F$246*Assumptions!$B$51)),Assumptions!$D$246,0)</f>
        <v/>
      </c>
      <c r="BF31" s="41">
        <f>IF(OR(BE31&gt;0,AND(BF$3&gt;=Assumptions!$E$246,BF$3&gt;=Assumptions!$B$14,Revenue_Build!BF10&gt;=Assumptions!$F$246*Assumptions!$B$51)),Assumptions!$D$246,0)</f>
        <v/>
      </c>
      <c r="BG31" s="41">
        <f>IF(OR(BF31&gt;0,AND(BG$3&gt;=Assumptions!$E$246,BG$3&gt;=Assumptions!$B$14,Revenue_Build!BG10&gt;=Assumptions!$F$246*Assumptions!$B$51)),Assumptions!$D$246,0)</f>
        <v/>
      </c>
      <c r="BH31" s="41">
        <f>IF(OR(BG31&gt;0,AND(BH$3&gt;=Assumptions!$E$246,BH$3&gt;=Assumptions!$B$14,Revenue_Build!BH10&gt;=Assumptions!$F$246*Assumptions!$B$51)),Assumptions!$D$246,0)</f>
        <v/>
      </c>
      <c r="BI31" s="41">
        <f>IF(OR(BH31&gt;0,AND(BI$3&gt;=Assumptions!$E$246,BI$3&gt;=Assumptions!$B$14,Revenue_Build!BI10&gt;=Assumptions!$F$246*Assumptions!$B$51)),Assumptions!$D$246,0)</f>
        <v/>
      </c>
      <c r="BJ31" s="41">
        <f>IF(OR(BI31&gt;0,AND(BJ$3&gt;=Assumptions!$E$246,BJ$3&gt;=Assumptions!$B$14,Revenue_Build!BJ10&gt;=Assumptions!$F$246*Assumptions!$B$51)),Assumptions!$D$246,0)</f>
        <v/>
      </c>
    </row>
    <row r="32">
      <c r="A32" s="4" t="inlineStr">
        <is>
          <t>Marketing team expansion II</t>
        </is>
      </c>
      <c r="B32" s="17" t="inlineStr">
        <is>
          <t>FTE</t>
        </is>
      </c>
      <c r="C32" s="41">
        <f>IF(AND(C$3&gt;=Assumptions!$E$247,C$3&gt;=Assumptions!$B$14,Revenue_Build!C10&gt;=Assumptions!$F$247*Assumptions!$B$51),Assumptions!$D$247,0)</f>
        <v/>
      </c>
      <c r="D32" s="41">
        <f>IF(OR(C32&gt;0,AND(D$3&gt;=Assumptions!$E$247,D$3&gt;=Assumptions!$B$14,Revenue_Build!D10&gt;=Assumptions!$F$247*Assumptions!$B$51)),Assumptions!$D$247,0)</f>
        <v/>
      </c>
      <c r="E32" s="41">
        <f>IF(OR(D32&gt;0,AND(E$3&gt;=Assumptions!$E$247,E$3&gt;=Assumptions!$B$14,Revenue_Build!E10&gt;=Assumptions!$F$247*Assumptions!$B$51)),Assumptions!$D$247,0)</f>
        <v/>
      </c>
      <c r="F32" s="41">
        <f>IF(OR(E32&gt;0,AND(F$3&gt;=Assumptions!$E$247,F$3&gt;=Assumptions!$B$14,Revenue_Build!F10&gt;=Assumptions!$F$247*Assumptions!$B$51)),Assumptions!$D$247,0)</f>
        <v/>
      </c>
      <c r="G32" s="41">
        <f>IF(OR(F32&gt;0,AND(G$3&gt;=Assumptions!$E$247,G$3&gt;=Assumptions!$B$14,Revenue_Build!G10&gt;=Assumptions!$F$247*Assumptions!$B$51)),Assumptions!$D$247,0)</f>
        <v/>
      </c>
      <c r="H32" s="41">
        <f>IF(OR(G32&gt;0,AND(H$3&gt;=Assumptions!$E$247,H$3&gt;=Assumptions!$B$14,Revenue_Build!H10&gt;=Assumptions!$F$247*Assumptions!$B$51)),Assumptions!$D$247,0)</f>
        <v/>
      </c>
      <c r="I32" s="41">
        <f>IF(OR(H32&gt;0,AND(I$3&gt;=Assumptions!$E$247,I$3&gt;=Assumptions!$B$14,Revenue_Build!I10&gt;=Assumptions!$F$247*Assumptions!$B$51)),Assumptions!$D$247,0)</f>
        <v/>
      </c>
      <c r="J32" s="41">
        <f>IF(OR(I32&gt;0,AND(J$3&gt;=Assumptions!$E$247,J$3&gt;=Assumptions!$B$14,Revenue_Build!J10&gt;=Assumptions!$F$247*Assumptions!$B$51)),Assumptions!$D$247,0)</f>
        <v/>
      </c>
      <c r="K32" s="41">
        <f>IF(OR(J32&gt;0,AND(K$3&gt;=Assumptions!$E$247,K$3&gt;=Assumptions!$B$14,Revenue_Build!K10&gt;=Assumptions!$F$247*Assumptions!$B$51)),Assumptions!$D$247,0)</f>
        <v/>
      </c>
      <c r="L32" s="41">
        <f>IF(OR(K32&gt;0,AND(L$3&gt;=Assumptions!$E$247,L$3&gt;=Assumptions!$B$14,Revenue_Build!L10&gt;=Assumptions!$F$247*Assumptions!$B$51)),Assumptions!$D$247,0)</f>
        <v/>
      </c>
      <c r="M32" s="41">
        <f>IF(OR(L32&gt;0,AND(M$3&gt;=Assumptions!$E$247,M$3&gt;=Assumptions!$B$14,Revenue_Build!M10&gt;=Assumptions!$F$247*Assumptions!$B$51)),Assumptions!$D$247,0)</f>
        <v/>
      </c>
      <c r="N32" s="41">
        <f>IF(OR(M32&gt;0,AND(N$3&gt;=Assumptions!$E$247,N$3&gt;=Assumptions!$B$14,Revenue_Build!N10&gt;=Assumptions!$F$247*Assumptions!$B$51)),Assumptions!$D$247,0)</f>
        <v/>
      </c>
      <c r="O32" s="41">
        <f>IF(OR(N32&gt;0,AND(O$3&gt;=Assumptions!$E$247,O$3&gt;=Assumptions!$B$14,Revenue_Build!O10&gt;=Assumptions!$F$247*Assumptions!$B$51)),Assumptions!$D$247,0)</f>
        <v/>
      </c>
      <c r="P32" s="41">
        <f>IF(OR(O32&gt;0,AND(P$3&gt;=Assumptions!$E$247,P$3&gt;=Assumptions!$B$14,Revenue_Build!P10&gt;=Assumptions!$F$247*Assumptions!$B$51)),Assumptions!$D$247,0)</f>
        <v/>
      </c>
      <c r="Q32" s="41">
        <f>IF(OR(P32&gt;0,AND(Q$3&gt;=Assumptions!$E$247,Q$3&gt;=Assumptions!$B$14,Revenue_Build!Q10&gt;=Assumptions!$F$247*Assumptions!$B$51)),Assumptions!$D$247,0)</f>
        <v/>
      </c>
      <c r="R32" s="41">
        <f>IF(OR(Q32&gt;0,AND(R$3&gt;=Assumptions!$E$247,R$3&gt;=Assumptions!$B$14,Revenue_Build!R10&gt;=Assumptions!$F$247*Assumptions!$B$51)),Assumptions!$D$247,0)</f>
        <v/>
      </c>
      <c r="S32" s="41">
        <f>IF(OR(R32&gt;0,AND(S$3&gt;=Assumptions!$E$247,S$3&gt;=Assumptions!$B$14,Revenue_Build!S10&gt;=Assumptions!$F$247*Assumptions!$B$51)),Assumptions!$D$247,0)</f>
        <v/>
      </c>
      <c r="T32" s="41">
        <f>IF(OR(S32&gt;0,AND(T$3&gt;=Assumptions!$E$247,T$3&gt;=Assumptions!$B$14,Revenue_Build!T10&gt;=Assumptions!$F$247*Assumptions!$B$51)),Assumptions!$D$247,0)</f>
        <v/>
      </c>
      <c r="U32" s="41">
        <f>IF(OR(T32&gt;0,AND(U$3&gt;=Assumptions!$E$247,U$3&gt;=Assumptions!$B$14,Revenue_Build!U10&gt;=Assumptions!$F$247*Assumptions!$B$51)),Assumptions!$D$247,0)</f>
        <v/>
      </c>
      <c r="V32" s="41">
        <f>IF(OR(U32&gt;0,AND(V$3&gt;=Assumptions!$E$247,V$3&gt;=Assumptions!$B$14,Revenue_Build!V10&gt;=Assumptions!$F$247*Assumptions!$B$51)),Assumptions!$D$247,0)</f>
        <v/>
      </c>
      <c r="W32" s="41">
        <f>IF(OR(V32&gt;0,AND(W$3&gt;=Assumptions!$E$247,W$3&gt;=Assumptions!$B$14,Revenue_Build!W10&gt;=Assumptions!$F$247*Assumptions!$B$51)),Assumptions!$D$247,0)</f>
        <v/>
      </c>
      <c r="X32" s="41">
        <f>IF(OR(W32&gt;0,AND(X$3&gt;=Assumptions!$E$247,X$3&gt;=Assumptions!$B$14,Revenue_Build!X10&gt;=Assumptions!$F$247*Assumptions!$B$51)),Assumptions!$D$247,0)</f>
        <v/>
      </c>
      <c r="Y32" s="41">
        <f>IF(OR(X32&gt;0,AND(Y$3&gt;=Assumptions!$E$247,Y$3&gt;=Assumptions!$B$14,Revenue_Build!Y10&gt;=Assumptions!$F$247*Assumptions!$B$51)),Assumptions!$D$247,0)</f>
        <v/>
      </c>
      <c r="Z32" s="41">
        <f>IF(OR(Y32&gt;0,AND(Z$3&gt;=Assumptions!$E$247,Z$3&gt;=Assumptions!$B$14,Revenue_Build!Z10&gt;=Assumptions!$F$247*Assumptions!$B$51)),Assumptions!$D$247,0)</f>
        <v/>
      </c>
      <c r="AA32" s="41">
        <f>IF(OR(Z32&gt;0,AND(AA$3&gt;=Assumptions!$E$247,AA$3&gt;=Assumptions!$B$14,Revenue_Build!AA10&gt;=Assumptions!$F$247*Assumptions!$B$51)),Assumptions!$D$247,0)</f>
        <v/>
      </c>
      <c r="AB32" s="41">
        <f>IF(OR(AA32&gt;0,AND(AB$3&gt;=Assumptions!$E$247,AB$3&gt;=Assumptions!$B$14,Revenue_Build!AB10&gt;=Assumptions!$F$247*Assumptions!$B$51)),Assumptions!$D$247,0)</f>
        <v/>
      </c>
      <c r="AC32" s="41">
        <f>IF(OR(AB32&gt;0,AND(AC$3&gt;=Assumptions!$E$247,AC$3&gt;=Assumptions!$B$14,Revenue_Build!AC10&gt;=Assumptions!$F$247*Assumptions!$B$51)),Assumptions!$D$247,0)</f>
        <v/>
      </c>
      <c r="AD32" s="41">
        <f>IF(OR(AC32&gt;0,AND(AD$3&gt;=Assumptions!$E$247,AD$3&gt;=Assumptions!$B$14,Revenue_Build!AD10&gt;=Assumptions!$F$247*Assumptions!$B$51)),Assumptions!$D$247,0)</f>
        <v/>
      </c>
      <c r="AE32" s="41">
        <f>IF(OR(AD32&gt;0,AND(AE$3&gt;=Assumptions!$E$247,AE$3&gt;=Assumptions!$B$14,Revenue_Build!AE10&gt;=Assumptions!$F$247*Assumptions!$B$51)),Assumptions!$D$247,0)</f>
        <v/>
      </c>
      <c r="AF32" s="41">
        <f>IF(OR(AE32&gt;0,AND(AF$3&gt;=Assumptions!$E$247,AF$3&gt;=Assumptions!$B$14,Revenue_Build!AF10&gt;=Assumptions!$F$247*Assumptions!$B$51)),Assumptions!$D$247,0)</f>
        <v/>
      </c>
      <c r="AG32" s="41">
        <f>IF(OR(AF32&gt;0,AND(AG$3&gt;=Assumptions!$E$247,AG$3&gt;=Assumptions!$B$14,Revenue_Build!AG10&gt;=Assumptions!$F$247*Assumptions!$B$51)),Assumptions!$D$247,0)</f>
        <v/>
      </c>
      <c r="AH32" s="41">
        <f>IF(OR(AG32&gt;0,AND(AH$3&gt;=Assumptions!$E$247,AH$3&gt;=Assumptions!$B$14,Revenue_Build!AH10&gt;=Assumptions!$F$247*Assumptions!$B$51)),Assumptions!$D$247,0)</f>
        <v/>
      </c>
      <c r="AI32" s="41">
        <f>IF(OR(AH32&gt;0,AND(AI$3&gt;=Assumptions!$E$247,AI$3&gt;=Assumptions!$B$14,Revenue_Build!AI10&gt;=Assumptions!$F$247*Assumptions!$B$51)),Assumptions!$D$247,0)</f>
        <v/>
      </c>
      <c r="AJ32" s="41">
        <f>IF(OR(AI32&gt;0,AND(AJ$3&gt;=Assumptions!$E$247,AJ$3&gt;=Assumptions!$B$14,Revenue_Build!AJ10&gt;=Assumptions!$F$247*Assumptions!$B$51)),Assumptions!$D$247,0)</f>
        <v/>
      </c>
      <c r="AK32" s="41">
        <f>IF(OR(AJ32&gt;0,AND(AK$3&gt;=Assumptions!$E$247,AK$3&gt;=Assumptions!$B$14,Revenue_Build!AK10&gt;=Assumptions!$F$247*Assumptions!$B$51)),Assumptions!$D$247,0)</f>
        <v/>
      </c>
      <c r="AL32" s="41">
        <f>IF(OR(AK32&gt;0,AND(AL$3&gt;=Assumptions!$E$247,AL$3&gt;=Assumptions!$B$14,Revenue_Build!AL10&gt;=Assumptions!$F$247*Assumptions!$B$51)),Assumptions!$D$247,0)</f>
        <v/>
      </c>
      <c r="AM32" s="41">
        <f>IF(OR(AL32&gt;0,AND(AM$3&gt;=Assumptions!$E$247,AM$3&gt;=Assumptions!$B$14,Revenue_Build!AM10&gt;=Assumptions!$F$247*Assumptions!$B$51)),Assumptions!$D$247,0)</f>
        <v/>
      </c>
      <c r="AN32" s="41">
        <f>IF(OR(AM32&gt;0,AND(AN$3&gt;=Assumptions!$E$247,AN$3&gt;=Assumptions!$B$14,Revenue_Build!AN10&gt;=Assumptions!$F$247*Assumptions!$B$51)),Assumptions!$D$247,0)</f>
        <v/>
      </c>
      <c r="AO32" s="41">
        <f>IF(OR(AN32&gt;0,AND(AO$3&gt;=Assumptions!$E$247,AO$3&gt;=Assumptions!$B$14,Revenue_Build!AO10&gt;=Assumptions!$F$247*Assumptions!$B$51)),Assumptions!$D$247,0)</f>
        <v/>
      </c>
      <c r="AP32" s="41">
        <f>IF(OR(AO32&gt;0,AND(AP$3&gt;=Assumptions!$E$247,AP$3&gt;=Assumptions!$B$14,Revenue_Build!AP10&gt;=Assumptions!$F$247*Assumptions!$B$51)),Assumptions!$D$247,0)</f>
        <v/>
      </c>
      <c r="AQ32" s="41">
        <f>IF(OR(AP32&gt;0,AND(AQ$3&gt;=Assumptions!$E$247,AQ$3&gt;=Assumptions!$B$14,Revenue_Build!AQ10&gt;=Assumptions!$F$247*Assumptions!$B$51)),Assumptions!$D$247,0)</f>
        <v/>
      </c>
      <c r="AR32" s="41">
        <f>IF(OR(AQ32&gt;0,AND(AR$3&gt;=Assumptions!$E$247,AR$3&gt;=Assumptions!$B$14,Revenue_Build!AR10&gt;=Assumptions!$F$247*Assumptions!$B$51)),Assumptions!$D$247,0)</f>
        <v/>
      </c>
      <c r="AS32" s="41">
        <f>IF(OR(AR32&gt;0,AND(AS$3&gt;=Assumptions!$E$247,AS$3&gt;=Assumptions!$B$14,Revenue_Build!AS10&gt;=Assumptions!$F$247*Assumptions!$B$51)),Assumptions!$D$247,0)</f>
        <v/>
      </c>
      <c r="AT32" s="41">
        <f>IF(OR(AS32&gt;0,AND(AT$3&gt;=Assumptions!$E$247,AT$3&gt;=Assumptions!$B$14,Revenue_Build!AT10&gt;=Assumptions!$F$247*Assumptions!$B$51)),Assumptions!$D$247,0)</f>
        <v/>
      </c>
      <c r="AU32" s="41">
        <f>IF(OR(AT32&gt;0,AND(AU$3&gt;=Assumptions!$E$247,AU$3&gt;=Assumptions!$B$14,Revenue_Build!AU10&gt;=Assumptions!$F$247*Assumptions!$B$51)),Assumptions!$D$247,0)</f>
        <v/>
      </c>
      <c r="AV32" s="41">
        <f>IF(OR(AU32&gt;0,AND(AV$3&gt;=Assumptions!$E$247,AV$3&gt;=Assumptions!$B$14,Revenue_Build!AV10&gt;=Assumptions!$F$247*Assumptions!$B$51)),Assumptions!$D$247,0)</f>
        <v/>
      </c>
      <c r="AW32" s="41">
        <f>IF(OR(AV32&gt;0,AND(AW$3&gt;=Assumptions!$E$247,AW$3&gt;=Assumptions!$B$14,Revenue_Build!AW10&gt;=Assumptions!$F$247*Assumptions!$B$51)),Assumptions!$D$247,0)</f>
        <v/>
      </c>
      <c r="AX32" s="41">
        <f>IF(OR(AW32&gt;0,AND(AX$3&gt;=Assumptions!$E$247,AX$3&gt;=Assumptions!$B$14,Revenue_Build!AX10&gt;=Assumptions!$F$247*Assumptions!$B$51)),Assumptions!$D$247,0)</f>
        <v/>
      </c>
      <c r="AY32" s="41">
        <f>IF(OR(AX32&gt;0,AND(AY$3&gt;=Assumptions!$E$247,AY$3&gt;=Assumptions!$B$14,Revenue_Build!AY10&gt;=Assumptions!$F$247*Assumptions!$B$51)),Assumptions!$D$247,0)</f>
        <v/>
      </c>
      <c r="AZ32" s="41">
        <f>IF(OR(AY32&gt;0,AND(AZ$3&gt;=Assumptions!$E$247,AZ$3&gt;=Assumptions!$B$14,Revenue_Build!AZ10&gt;=Assumptions!$F$247*Assumptions!$B$51)),Assumptions!$D$247,0)</f>
        <v/>
      </c>
      <c r="BA32" s="41">
        <f>IF(OR(AZ32&gt;0,AND(BA$3&gt;=Assumptions!$E$247,BA$3&gt;=Assumptions!$B$14,Revenue_Build!BA10&gt;=Assumptions!$F$247*Assumptions!$B$51)),Assumptions!$D$247,0)</f>
        <v/>
      </c>
      <c r="BB32" s="41">
        <f>IF(OR(BA32&gt;0,AND(BB$3&gt;=Assumptions!$E$247,BB$3&gt;=Assumptions!$B$14,Revenue_Build!BB10&gt;=Assumptions!$F$247*Assumptions!$B$51)),Assumptions!$D$247,0)</f>
        <v/>
      </c>
      <c r="BC32" s="41">
        <f>IF(OR(BB32&gt;0,AND(BC$3&gt;=Assumptions!$E$247,BC$3&gt;=Assumptions!$B$14,Revenue_Build!BC10&gt;=Assumptions!$F$247*Assumptions!$B$51)),Assumptions!$D$247,0)</f>
        <v/>
      </c>
      <c r="BD32" s="41">
        <f>IF(OR(BC32&gt;0,AND(BD$3&gt;=Assumptions!$E$247,BD$3&gt;=Assumptions!$B$14,Revenue_Build!BD10&gt;=Assumptions!$F$247*Assumptions!$B$51)),Assumptions!$D$247,0)</f>
        <v/>
      </c>
      <c r="BE32" s="41">
        <f>IF(OR(BD32&gt;0,AND(BE$3&gt;=Assumptions!$E$247,BE$3&gt;=Assumptions!$B$14,Revenue_Build!BE10&gt;=Assumptions!$F$247*Assumptions!$B$51)),Assumptions!$D$247,0)</f>
        <v/>
      </c>
      <c r="BF32" s="41">
        <f>IF(OR(BE32&gt;0,AND(BF$3&gt;=Assumptions!$E$247,BF$3&gt;=Assumptions!$B$14,Revenue_Build!BF10&gt;=Assumptions!$F$247*Assumptions!$B$51)),Assumptions!$D$247,0)</f>
        <v/>
      </c>
      <c r="BG32" s="41">
        <f>IF(OR(BF32&gt;0,AND(BG$3&gt;=Assumptions!$E$247,BG$3&gt;=Assumptions!$B$14,Revenue_Build!BG10&gt;=Assumptions!$F$247*Assumptions!$B$51)),Assumptions!$D$247,0)</f>
        <v/>
      </c>
      <c r="BH32" s="41">
        <f>IF(OR(BG32&gt;0,AND(BH$3&gt;=Assumptions!$E$247,BH$3&gt;=Assumptions!$B$14,Revenue_Build!BH10&gt;=Assumptions!$F$247*Assumptions!$B$51)),Assumptions!$D$247,0)</f>
        <v/>
      </c>
      <c r="BI32" s="41">
        <f>IF(OR(BH32&gt;0,AND(BI$3&gt;=Assumptions!$E$247,BI$3&gt;=Assumptions!$B$14,Revenue_Build!BI10&gt;=Assumptions!$F$247*Assumptions!$B$51)),Assumptions!$D$247,0)</f>
        <v/>
      </c>
      <c r="BJ32" s="41">
        <f>IF(OR(BI32&gt;0,AND(BJ$3&gt;=Assumptions!$E$247,BJ$3&gt;=Assumptions!$B$14,Revenue_Build!BJ10&gt;=Assumptions!$F$247*Assumptions!$B$51)),Assumptions!$D$247,0)</f>
        <v/>
      </c>
    </row>
    <row r="33">
      <c r="A33" s="4" t="inlineStr">
        <is>
          <t>Marketing team expansion III</t>
        </is>
      </c>
      <c r="B33" s="17" t="inlineStr">
        <is>
          <t>FTE</t>
        </is>
      </c>
      <c r="C33" s="41">
        <f>IF(AND(C$3&gt;=Assumptions!$E$248,C$3&gt;=Assumptions!$B$14,Revenue_Build!C10&gt;=Assumptions!$F$248*Assumptions!$B$51),Assumptions!$D$248,0)</f>
        <v/>
      </c>
      <c r="D33" s="41">
        <f>IF(OR(C33&gt;0,AND(D$3&gt;=Assumptions!$E$248,D$3&gt;=Assumptions!$B$14,Revenue_Build!D10&gt;=Assumptions!$F$248*Assumptions!$B$51)),Assumptions!$D$248,0)</f>
        <v/>
      </c>
      <c r="E33" s="41">
        <f>IF(OR(D33&gt;0,AND(E$3&gt;=Assumptions!$E$248,E$3&gt;=Assumptions!$B$14,Revenue_Build!E10&gt;=Assumptions!$F$248*Assumptions!$B$51)),Assumptions!$D$248,0)</f>
        <v/>
      </c>
      <c r="F33" s="41">
        <f>IF(OR(E33&gt;0,AND(F$3&gt;=Assumptions!$E$248,F$3&gt;=Assumptions!$B$14,Revenue_Build!F10&gt;=Assumptions!$F$248*Assumptions!$B$51)),Assumptions!$D$248,0)</f>
        <v/>
      </c>
      <c r="G33" s="41">
        <f>IF(OR(F33&gt;0,AND(G$3&gt;=Assumptions!$E$248,G$3&gt;=Assumptions!$B$14,Revenue_Build!G10&gt;=Assumptions!$F$248*Assumptions!$B$51)),Assumptions!$D$248,0)</f>
        <v/>
      </c>
      <c r="H33" s="41">
        <f>IF(OR(G33&gt;0,AND(H$3&gt;=Assumptions!$E$248,H$3&gt;=Assumptions!$B$14,Revenue_Build!H10&gt;=Assumptions!$F$248*Assumptions!$B$51)),Assumptions!$D$248,0)</f>
        <v/>
      </c>
      <c r="I33" s="41">
        <f>IF(OR(H33&gt;0,AND(I$3&gt;=Assumptions!$E$248,I$3&gt;=Assumptions!$B$14,Revenue_Build!I10&gt;=Assumptions!$F$248*Assumptions!$B$51)),Assumptions!$D$248,0)</f>
        <v/>
      </c>
      <c r="J33" s="41">
        <f>IF(OR(I33&gt;0,AND(J$3&gt;=Assumptions!$E$248,J$3&gt;=Assumptions!$B$14,Revenue_Build!J10&gt;=Assumptions!$F$248*Assumptions!$B$51)),Assumptions!$D$248,0)</f>
        <v/>
      </c>
      <c r="K33" s="41">
        <f>IF(OR(J33&gt;0,AND(K$3&gt;=Assumptions!$E$248,K$3&gt;=Assumptions!$B$14,Revenue_Build!K10&gt;=Assumptions!$F$248*Assumptions!$B$51)),Assumptions!$D$248,0)</f>
        <v/>
      </c>
      <c r="L33" s="41">
        <f>IF(OR(K33&gt;0,AND(L$3&gt;=Assumptions!$E$248,L$3&gt;=Assumptions!$B$14,Revenue_Build!L10&gt;=Assumptions!$F$248*Assumptions!$B$51)),Assumptions!$D$248,0)</f>
        <v/>
      </c>
      <c r="M33" s="41">
        <f>IF(OR(L33&gt;0,AND(M$3&gt;=Assumptions!$E$248,M$3&gt;=Assumptions!$B$14,Revenue_Build!M10&gt;=Assumptions!$F$248*Assumptions!$B$51)),Assumptions!$D$248,0)</f>
        <v/>
      </c>
      <c r="N33" s="41">
        <f>IF(OR(M33&gt;0,AND(N$3&gt;=Assumptions!$E$248,N$3&gt;=Assumptions!$B$14,Revenue_Build!N10&gt;=Assumptions!$F$248*Assumptions!$B$51)),Assumptions!$D$248,0)</f>
        <v/>
      </c>
      <c r="O33" s="41">
        <f>IF(OR(N33&gt;0,AND(O$3&gt;=Assumptions!$E$248,O$3&gt;=Assumptions!$B$14,Revenue_Build!O10&gt;=Assumptions!$F$248*Assumptions!$B$51)),Assumptions!$D$248,0)</f>
        <v/>
      </c>
      <c r="P33" s="41">
        <f>IF(OR(O33&gt;0,AND(P$3&gt;=Assumptions!$E$248,P$3&gt;=Assumptions!$B$14,Revenue_Build!P10&gt;=Assumptions!$F$248*Assumptions!$B$51)),Assumptions!$D$248,0)</f>
        <v/>
      </c>
      <c r="Q33" s="41">
        <f>IF(OR(P33&gt;0,AND(Q$3&gt;=Assumptions!$E$248,Q$3&gt;=Assumptions!$B$14,Revenue_Build!Q10&gt;=Assumptions!$F$248*Assumptions!$B$51)),Assumptions!$D$248,0)</f>
        <v/>
      </c>
      <c r="R33" s="41">
        <f>IF(OR(Q33&gt;0,AND(R$3&gt;=Assumptions!$E$248,R$3&gt;=Assumptions!$B$14,Revenue_Build!R10&gt;=Assumptions!$F$248*Assumptions!$B$51)),Assumptions!$D$248,0)</f>
        <v/>
      </c>
      <c r="S33" s="41">
        <f>IF(OR(R33&gt;0,AND(S$3&gt;=Assumptions!$E$248,S$3&gt;=Assumptions!$B$14,Revenue_Build!S10&gt;=Assumptions!$F$248*Assumptions!$B$51)),Assumptions!$D$248,0)</f>
        <v/>
      </c>
      <c r="T33" s="41">
        <f>IF(OR(S33&gt;0,AND(T$3&gt;=Assumptions!$E$248,T$3&gt;=Assumptions!$B$14,Revenue_Build!T10&gt;=Assumptions!$F$248*Assumptions!$B$51)),Assumptions!$D$248,0)</f>
        <v/>
      </c>
      <c r="U33" s="41">
        <f>IF(OR(T33&gt;0,AND(U$3&gt;=Assumptions!$E$248,U$3&gt;=Assumptions!$B$14,Revenue_Build!U10&gt;=Assumptions!$F$248*Assumptions!$B$51)),Assumptions!$D$248,0)</f>
        <v/>
      </c>
      <c r="V33" s="41">
        <f>IF(OR(U33&gt;0,AND(V$3&gt;=Assumptions!$E$248,V$3&gt;=Assumptions!$B$14,Revenue_Build!V10&gt;=Assumptions!$F$248*Assumptions!$B$51)),Assumptions!$D$248,0)</f>
        <v/>
      </c>
      <c r="W33" s="41">
        <f>IF(OR(V33&gt;0,AND(W$3&gt;=Assumptions!$E$248,W$3&gt;=Assumptions!$B$14,Revenue_Build!W10&gt;=Assumptions!$F$248*Assumptions!$B$51)),Assumptions!$D$248,0)</f>
        <v/>
      </c>
      <c r="X33" s="41">
        <f>IF(OR(W33&gt;0,AND(X$3&gt;=Assumptions!$E$248,X$3&gt;=Assumptions!$B$14,Revenue_Build!X10&gt;=Assumptions!$F$248*Assumptions!$B$51)),Assumptions!$D$248,0)</f>
        <v/>
      </c>
      <c r="Y33" s="41">
        <f>IF(OR(X33&gt;0,AND(Y$3&gt;=Assumptions!$E$248,Y$3&gt;=Assumptions!$B$14,Revenue_Build!Y10&gt;=Assumptions!$F$248*Assumptions!$B$51)),Assumptions!$D$248,0)</f>
        <v/>
      </c>
      <c r="Z33" s="41">
        <f>IF(OR(Y33&gt;0,AND(Z$3&gt;=Assumptions!$E$248,Z$3&gt;=Assumptions!$B$14,Revenue_Build!Z10&gt;=Assumptions!$F$248*Assumptions!$B$51)),Assumptions!$D$248,0)</f>
        <v/>
      </c>
      <c r="AA33" s="41">
        <f>IF(OR(Z33&gt;0,AND(AA$3&gt;=Assumptions!$E$248,AA$3&gt;=Assumptions!$B$14,Revenue_Build!AA10&gt;=Assumptions!$F$248*Assumptions!$B$51)),Assumptions!$D$248,0)</f>
        <v/>
      </c>
      <c r="AB33" s="41">
        <f>IF(OR(AA33&gt;0,AND(AB$3&gt;=Assumptions!$E$248,AB$3&gt;=Assumptions!$B$14,Revenue_Build!AB10&gt;=Assumptions!$F$248*Assumptions!$B$51)),Assumptions!$D$248,0)</f>
        <v/>
      </c>
      <c r="AC33" s="41">
        <f>IF(OR(AB33&gt;0,AND(AC$3&gt;=Assumptions!$E$248,AC$3&gt;=Assumptions!$B$14,Revenue_Build!AC10&gt;=Assumptions!$F$248*Assumptions!$B$51)),Assumptions!$D$248,0)</f>
        <v/>
      </c>
      <c r="AD33" s="41">
        <f>IF(OR(AC33&gt;0,AND(AD$3&gt;=Assumptions!$E$248,AD$3&gt;=Assumptions!$B$14,Revenue_Build!AD10&gt;=Assumptions!$F$248*Assumptions!$B$51)),Assumptions!$D$248,0)</f>
        <v/>
      </c>
      <c r="AE33" s="41">
        <f>IF(OR(AD33&gt;0,AND(AE$3&gt;=Assumptions!$E$248,AE$3&gt;=Assumptions!$B$14,Revenue_Build!AE10&gt;=Assumptions!$F$248*Assumptions!$B$51)),Assumptions!$D$248,0)</f>
        <v/>
      </c>
      <c r="AF33" s="41">
        <f>IF(OR(AE33&gt;0,AND(AF$3&gt;=Assumptions!$E$248,AF$3&gt;=Assumptions!$B$14,Revenue_Build!AF10&gt;=Assumptions!$F$248*Assumptions!$B$51)),Assumptions!$D$248,0)</f>
        <v/>
      </c>
      <c r="AG33" s="41">
        <f>IF(OR(AF33&gt;0,AND(AG$3&gt;=Assumptions!$E$248,AG$3&gt;=Assumptions!$B$14,Revenue_Build!AG10&gt;=Assumptions!$F$248*Assumptions!$B$51)),Assumptions!$D$248,0)</f>
        <v/>
      </c>
      <c r="AH33" s="41">
        <f>IF(OR(AG33&gt;0,AND(AH$3&gt;=Assumptions!$E$248,AH$3&gt;=Assumptions!$B$14,Revenue_Build!AH10&gt;=Assumptions!$F$248*Assumptions!$B$51)),Assumptions!$D$248,0)</f>
        <v/>
      </c>
      <c r="AI33" s="41">
        <f>IF(OR(AH33&gt;0,AND(AI$3&gt;=Assumptions!$E$248,AI$3&gt;=Assumptions!$B$14,Revenue_Build!AI10&gt;=Assumptions!$F$248*Assumptions!$B$51)),Assumptions!$D$248,0)</f>
        <v/>
      </c>
      <c r="AJ33" s="41">
        <f>IF(OR(AI33&gt;0,AND(AJ$3&gt;=Assumptions!$E$248,AJ$3&gt;=Assumptions!$B$14,Revenue_Build!AJ10&gt;=Assumptions!$F$248*Assumptions!$B$51)),Assumptions!$D$248,0)</f>
        <v/>
      </c>
      <c r="AK33" s="41">
        <f>IF(OR(AJ33&gt;0,AND(AK$3&gt;=Assumptions!$E$248,AK$3&gt;=Assumptions!$B$14,Revenue_Build!AK10&gt;=Assumptions!$F$248*Assumptions!$B$51)),Assumptions!$D$248,0)</f>
        <v/>
      </c>
      <c r="AL33" s="41">
        <f>IF(OR(AK33&gt;0,AND(AL$3&gt;=Assumptions!$E$248,AL$3&gt;=Assumptions!$B$14,Revenue_Build!AL10&gt;=Assumptions!$F$248*Assumptions!$B$51)),Assumptions!$D$248,0)</f>
        <v/>
      </c>
      <c r="AM33" s="41">
        <f>IF(OR(AL33&gt;0,AND(AM$3&gt;=Assumptions!$E$248,AM$3&gt;=Assumptions!$B$14,Revenue_Build!AM10&gt;=Assumptions!$F$248*Assumptions!$B$51)),Assumptions!$D$248,0)</f>
        <v/>
      </c>
      <c r="AN33" s="41">
        <f>IF(OR(AM33&gt;0,AND(AN$3&gt;=Assumptions!$E$248,AN$3&gt;=Assumptions!$B$14,Revenue_Build!AN10&gt;=Assumptions!$F$248*Assumptions!$B$51)),Assumptions!$D$248,0)</f>
        <v/>
      </c>
      <c r="AO33" s="41">
        <f>IF(OR(AN33&gt;0,AND(AO$3&gt;=Assumptions!$E$248,AO$3&gt;=Assumptions!$B$14,Revenue_Build!AO10&gt;=Assumptions!$F$248*Assumptions!$B$51)),Assumptions!$D$248,0)</f>
        <v/>
      </c>
      <c r="AP33" s="41">
        <f>IF(OR(AO33&gt;0,AND(AP$3&gt;=Assumptions!$E$248,AP$3&gt;=Assumptions!$B$14,Revenue_Build!AP10&gt;=Assumptions!$F$248*Assumptions!$B$51)),Assumptions!$D$248,0)</f>
        <v/>
      </c>
      <c r="AQ33" s="41">
        <f>IF(OR(AP33&gt;0,AND(AQ$3&gt;=Assumptions!$E$248,AQ$3&gt;=Assumptions!$B$14,Revenue_Build!AQ10&gt;=Assumptions!$F$248*Assumptions!$B$51)),Assumptions!$D$248,0)</f>
        <v/>
      </c>
      <c r="AR33" s="41">
        <f>IF(OR(AQ33&gt;0,AND(AR$3&gt;=Assumptions!$E$248,AR$3&gt;=Assumptions!$B$14,Revenue_Build!AR10&gt;=Assumptions!$F$248*Assumptions!$B$51)),Assumptions!$D$248,0)</f>
        <v/>
      </c>
      <c r="AS33" s="41">
        <f>IF(OR(AR33&gt;0,AND(AS$3&gt;=Assumptions!$E$248,AS$3&gt;=Assumptions!$B$14,Revenue_Build!AS10&gt;=Assumptions!$F$248*Assumptions!$B$51)),Assumptions!$D$248,0)</f>
        <v/>
      </c>
      <c r="AT33" s="41">
        <f>IF(OR(AS33&gt;0,AND(AT$3&gt;=Assumptions!$E$248,AT$3&gt;=Assumptions!$B$14,Revenue_Build!AT10&gt;=Assumptions!$F$248*Assumptions!$B$51)),Assumptions!$D$248,0)</f>
        <v/>
      </c>
      <c r="AU33" s="41">
        <f>IF(OR(AT33&gt;0,AND(AU$3&gt;=Assumptions!$E$248,AU$3&gt;=Assumptions!$B$14,Revenue_Build!AU10&gt;=Assumptions!$F$248*Assumptions!$B$51)),Assumptions!$D$248,0)</f>
        <v/>
      </c>
      <c r="AV33" s="41">
        <f>IF(OR(AU33&gt;0,AND(AV$3&gt;=Assumptions!$E$248,AV$3&gt;=Assumptions!$B$14,Revenue_Build!AV10&gt;=Assumptions!$F$248*Assumptions!$B$51)),Assumptions!$D$248,0)</f>
        <v/>
      </c>
      <c r="AW33" s="41">
        <f>IF(OR(AV33&gt;0,AND(AW$3&gt;=Assumptions!$E$248,AW$3&gt;=Assumptions!$B$14,Revenue_Build!AW10&gt;=Assumptions!$F$248*Assumptions!$B$51)),Assumptions!$D$248,0)</f>
        <v/>
      </c>
      <c r="AX33" s="41">
        <f>IF(OR(AW33&gt;0,AND(AX$3&gt;=Assumptions!$E$248,AX$3&gt;=Assumptions!$B$14,Revenue_Build!AX10&gt;=Assumptions!$F$248*Assumptions!$B$51)),Assumptions!$D$248,0)</f>
        <v/>
      </c>
      <c r="AY33" s="41">
        <f>IF(OR(AX33&gt;0,AND(AY$3&gt;=Assumptions!$E$248,AY$3&gt;=Assumptions!$B$14,Revenue_Build!AY10&gt;=Assumptions!$F$248*Assumptions!$B$51)),Assumptions!$D$248,0)</f>
        <v/>
      </c>
      <c r="AZ33" s="41">
        <f>IF(OR(AY33&gt;0,AND(AZ$3&gt;=Assumptions!$E$248,AZ$3&gt;=Assumptions!$B$14,Revenue_Build!AZ10&gt;=Assumptions!$F$248*Assumptions!$B$51)),Assumptions!$D$248,0)</f>
        <v/>
      </c>
      <c r="BA33" s="41">
        <f>IF(OR(AZ33&gt;0,AND(BA$3&gt;=Assumptions!$E$248,BA$3&gt;=Assumptions!$B$14,Revenue_Build!BA10&gt;=Assumptions!$F$248*Assumptions!$B$51)),Assumptions!$D$248,0)</f>
        <v/>
      </c>
      <c r="BB33" s="41">
        <f>IF(OR(BA33&gt;0,AND(BB$3&gt;=Assumptions!$E$248,BB$3&gt;=Assumptions!$B$14,Revenue_Build!BB10&gt;=Assumptions!$F$248*Assumptions!$B$51)),Assumptions!$D$248,0)</f>
        <v/>
      </c>
      <c r="BC33" s="41">
        <f>IF(OR(BB33&gt;0,AND(BC$3&gt;=Assumptions!$E$248,BC$3&gt;=Assumptions!$B$14,Revenue_Build!BC10&gt;=Assumptions!$F$248*Assumptions!$B$51)),Assumptions!$D$248,0)</f>
        <v/>
      </c>
      <c r="BD33" s="41">
        <f>IF(OR(BC33&gt;0,AND(BD$3&gt;=Assumptions!$E$248,BD$3&gt;=Assumptions!$B$14,Revenue_Build!BD10&gt;=Assumptions!$F$248*Assumptions!$B$51)),Assumptions!$D$248,0)</f>
        <v/>
      </c>
      <c r="BE33" s="41">
        <f>IF(OR(BD33&gt;0,AND(BE$3&gt;=Assumptions!$E$248,BE$3&gt;=Assumptions!$B$14,Revenue_Build!BE10&gt;=Assumptions!$F$248*Assumptions!$B$51)),Assumptions!$D$248,0)</f>
        <v/>
      </c>
      <c r="BF33" s="41">
        <f>IF(OR(BE33&gt;0,AND(BF$3&gt;=Assumptions!$E$248,BF$3&gt;=Assumptions!$B$14,Revenue_Build!BF10&gt;=Assumptions!$F$248*Assumptions!$B$51)),Assumptions!$D$248,0)</f>
        <v/>
      </c>
      <c r="BG33" s="41">
        <f>IF(OR(BF33&gt;0,AND(BG$3&gt;=Assumptions!$E$248,BG$3&gt;=Assumptions!$B$14,Revenue_Build!BG10&gt;=Assumptions!$F$248*Assumptions!$B$51)),Assumptions!$D$248,0)</f>
        <v/>
      </c>
      <c r="BH33" s="41">
        <f>IF(OR(BG33&gt;0,AND(BH$3&gt;=Assumptions!$E$248,BH$3&gt;=Assumptions!$B$14,Revenue_Build!BH10&gt;=Assumptions!$F$248*Assumptions!$B$51)),Assumptions!$D$248,0)</f>
        <v/>
      </c>
      <c r="BI33" s="41">
        <f>IF(OR(BH33&gt;0,AND(BI$3&gt;=Assumptions!$E$248,BI$3&gt;=Assumptions!$B$14,Revenue_Build!BI10&gt;=Assumptions!$F$248*Assumptions!$B$51)),Assumptions!$D$248,0)</f>
        <v/>
      </c>
      <c r="BJ33" s="41">
        <f>IF(OR(BI33&gt;0,AND(BJ$3&gt;=Assumptions!$E$248,BJ$3&gt;=Assumptions!$B$14,Revenue_Build!BJ10&gt;=Assumptions!$F$248*Assumptions!$B$51)),Assumptions!$D$248,0)</f>
        <v/>
      </c>
    </row>
    <row r="34">
      <c r="A34" s="4" t="inlineStr">
        <is>
          <t>Partnerships manager #1 (agency programme)</t>
        </is>
      </c>
      <c r="B34" s="17" t="inlineStr">
        <is>
          <t>FTE</t>
        </is>
      </c>
      <c r="C34" s="41">
        <f>IF(AND(C$3&gt;=Assumptions!$E$249,C$3&gt;=Assumptions!$B$14,Revenue_Build!C10&gt;=Assumptions!$F$249*Assumptions!$B$51),Assumptions!$D$249,0)</f>
        <v/>
      </c>
      <c r="D34" s="41">
        <f>IF(OR(C34&gt;0,AND(D$3&gt;=Assumptions!$E$249,D$3&gt;=Assumptions!$B$14,Revenue_Build!D10&gt;=Assumptions!$F$249*Assumptions!$B$51)),Assumptions!$D$249,0)</f>
        <v/>
      </c>
      <c r="E34" s="41">
        <f>IF(OR(D34&gt;0,AND(E$3&gt;=Assumptions!$E$249,E$3&gt;=Assumptions!$B$14,Revenue_Build!E10&gt;=Assumptions!$F$249*Assumptions!$B$51)),Assumptions!$D$249,0)</f>
        <v/>
      </c>
      <c r="F34" s="41">
        <f>IF(OR(E34&gt;0,AND(F$3&gt;=Assumptions!$E$249,F$3&gt;=Assumptions!$B$14,Revenue_Build!F10&gt;=Assumptions!$F$249*Assumptions!$B$51)),Assumptions!$D$249,0)</f>
        <v/>
      </c>
      <c r="G34" s="41">
        <f>IF(OR(F34&gt;0,AND(G$3&gt;=Assumptions!$E$249,G$3&gt;=Assumptions!$B$14,Revenue_Build!G10&gt;=Assumptions!$F$249*Assumptions!$B$51)),Assumptions!$D$249,0)</f>
        <v/>
      </c>
      <c r="H34" s="41">
        <f>IF(OR(G34&gt;0,AND(H$3&gt;=Assumptions!$E$249,H$3&gt;=Assumptions!$B$14,Revenue_Build!H10&gt;=Assumptions!$F$249*Assumptions!$B$51)),Assumptions!$D$249,0)</f>
        <v/>
      </c>
      <c r="I34" s="41">
        <f>IF(OR(H34&gt;0,AND(I$3&gt;=Assumptions!$E$249,I$3&gt;=Assumptions!$B$14,Revenue_Build!I10&gt;=Assumptions!$F$249*Assumptions!$B$51)),Assumptions!$D$249,0)</f>
        <v/>
      </c>
      <c r="J34" s="41">
        <f>IF(OR(I34&gt;0,AND(J$3&gt;=Assumptions!$E$249,J$3&gt;=Assumptions!$B$14,Revenue_Build!J10&gt;=Assumptions!$F$249*Assumptions!$B$51)),Assumptions!$D$249,0)</f>
        <v/>
      </c>
      <c r="K34" s="41">
        <f>IF(OR(J34&gt;0,AND(K$3&gt;=Assumptions!$E$249,K$3&gt;=Assumptions!$B$14,Revenue_Build!K10&gt;=Assumptions!$F$249*Assumptions!$B$51)),Assumptions!$D$249,0)</f>
        <v/>
      </c>
      <c r="L34" s="41">
        <f>IF(OR(K34&gt;0,AND(L$3&gt;=Assumptions!$E$249,L$3&gt;=Assumptions!$B$14,Revenue_Build!L10&gt;=Assumptions!$F$249*Assumptions!$B$51)),Assumptions!$D$249,0)</f>
        <v/>
      </c>
      <c r="M34" s="41">
        <f>IF(OR(L34&gt;0,AND(M$3&gt;=Assumptions!$E$249,M$3&gt;=Assumptions!$B$14,Revenue_Build!M10&gt;=Assumptions!$F$249*Assumptions!$B$51)),Assumptions!$D$249,0)</f>
        <v/>
      </c>
      <c r="N34" s="41">
        <f>IF(OR(M34&gt;0,AND(N$3&gt;=Assumptions!$E$249,N$3&gt;=Assumptions!$B$14,Revenue_Build!N10&gt;=Assumptions!$F$249*Assumptions!$B$51)),Assumptions!$D$249,0)</f>
        <v/>
      </c>
      <c r="O34" s="41">
        <f>IF(OR(N34&gt;0,AND(O$3&gt;=Assumptions!$E$249,O$3&gt;=Assumptions!$B$14,Revenue_Build!O10&gt;=Assumptions!$F$249*Assumptions!$B$51)),Assumptions!$D$249,0)</f>
        <v/>
      </c>
      <c r="P34" s="41">
        <f>IF(OR(O34&gt;0,AND(P$3&gt;=Assumptions!$E$249,P$3&gt;=Assumptions!$B$14,Revenue_Build!P10&gt;=Assumptions!$F$249*Assumptions!$B$51)),Assumptions!$D$249,0)</f>
        <v/>
      </c>
      <c r="Q34" s="41">
        <f>IF(OR(P34&gt;0,AND(Q$3&gt;=Assumptions!$E$249,Q$3&gt;=Assumptions!$B$14,Revenue_Build!Q10&gt;=Assumptions!$F$249*Assumptions!$B$51)),Assumptions!$D$249,0)</f>
        <v/>
      </c>
      <c r="R34" s="41">
        <f>IF(OR(Q34&gt;0,AND(R$3&gt;=Assumptions!$E$249,R$3&gt;=Assumptions!$B$14,Revenue_Build!R10&gt;=Assumptions!$F$249*Assumptions!$B$51)),Assumptions!$D$249,0)</f>
        <v/>
      </c>
      <c r="S34" s="41">
        <f>IF(OR(R34&gt;0,AND(S$3&gt;=Assumptions!$E$249,S$3&gt;=Assumptions!$B$14,Revenue_Build!S10&gt;=Assumptions!$F$249*Assumptions!$B$51)),Assumptions!$D$249,0)</f>
        <v/>
      </c>
      <c r="T34" s="41">
        <f>IF(OR(S34&gt;0,AND(T$3&gt;=Assumptions!$E$249,T$3&gt;=Assumptions!$B$14,Revenue_Build!T10&gt;=Assumptions!$F$249*Assumptions!$B$51)),Assumptions!$D$249,0)</f>
        <v/>
      </c>
      <c r="U34" s="41">
        <f>IF(OR(T34&gt;0,AND(U$3&gt;=Assumptions!$E$249,U$3&gt;=Assumptions!$B$14,Revenue_Build!U10&gt;=Assumptions!$F$249*Assumptions!$B$51)),Assumptions!$D$249,0)</f>
        <v/>
      </c>
      <c r="V34" s="41">
        <f>IF(OR(U34&gt;0,AND(V$3&gt;=Assumptions!$E$249,V$3&gt;=Assumptions!$B$14,Revenue_Build!V10&gt;=Assumptions!$F$249*Assumptions!$B$51)),Assumptions!$D$249,0)</f>
        <v/>
      </c>
      <c r="W34" s="41">
        <f>IF(OR(V34&gt;0,AND(W$3&gt;=Assumptions!$E$249,W$3&gt;=Assumptions!$B$14,Revenue_Build!W10&gt;=Assumptions!$F$249*Assumptions!$B$51)),Assumptions!$D$249,0)</f>
        <v/>
      </c>
      <c r="X34" s="41">
        <f>IF(OR(W34&gt;0,AND(X$3&gt;=Assumptions!$E$249,X$3&gt;=Assumptions!$B$14,Revenue_Build!X10&gt;=Assumptions!$F$249*Assumptions!$B$51)),Assumptions!$D$249,0)</f>
        <v/>
      </c>
      <c r="Y34" s="41">
        <f>IF(OR(X34&gt;0,AND(Y$3&gt;=Assumptions!$E$249,Y$3&gt;=Assumptions!$B$14,Revenue_Build!Y10&gt;=Assumptions!$F$249*Assumptions!$B$51)),Assumptions!$D$249,0)</f>
        <v/>
      </c>
      <c r="Z34" s="41">
        <f>IF(OR(Y34&gt;0,AND(Z$3&gt;=Assumptions!$E$249,Z$3&gt;=Assumptions!$B$14,Revenue_Build!Z10&gt;=Assumptions!$F$249*Assumptions!$B$51)),Assumptions!$D$249,0)</f>
        <v/>
      </c>
      <c r="AA34" s="41">
        <f>IF(OR(Z34&gt;0,AND(AA$3&gt;=Assumptions!$E$249,AA$3&gt;=Assumptions!$B$14,Revenue_Build!AA10&gt;=Assumptions!$F$249*Assumptions!$B$51)),Assumptions!$D$249,0)</f>
        <v/>
      </c>
      <c r="AB34" s="41">
        <f>IF(OR(AA34&gt;0,AND(AB$3&gt;=Assumptions!$E$249,AB$3&gt;=Assumptions!$B$14,Revenue_Build!AB10&gt;=Assumptions!$F$249*Assumptions!$B$51)),Assumptions!$D$249,0)</f>
        <v/>
      </c>
      <c r="AC34" s="41">
        <f>IF(OR(AB34&gt;0,AND(AC$3&gt;=Assumptions!$E$249,AC$3&gt;=Assumptions!$B$14,Revenue_Build!AC10&gt;=Assumptions!$F$249*Assumptions!$B$51)),Assumptions!$D$249,0)</f>
        <v/>
      </c>
      <c r="AD34" s="41">
        <f>IF(OR(AC34&gt;0,AND(AD$3&gt;=Assumptions!$E$249,AD$3&gt;=Assumptions!$B$14,Revenue_Build!AD10&gt;=Assumptions!$F$249*Assumptions!$B$51)),Assumptions!$D$249,0)</f>
        <v/>
      </c>
      <c r="AE34" s="41">
        <f>IF(OR(AD34&gt;0,AND(AE$3&gt;=Assumptions!$E$249,AE$3&gt;=Assumptions!$B$14,Revenue_Build!AE10&gt;=Assumptions!$F$249*Assumptions!$B$51)),Assumptions!$D$249,0)</f>
        <v/>
      </c>
      <c r="AF34" s="41">
        <f>IF(OR(AE34&gt;0,AND(AF$3&gt;=Assumptions!$E$249,AF$3&gt;=Assumptions!$B$14,Revenue_Build!AF10&gt;=Assumptions!$F$249*Assumptions!$B$51)),Assumptions!$D$249,0)</f>
        <v/>
      </c>
      <c r="AG34" s="41">
        <f>IF(OR(AF34&gt;0,AND(AG$3&gt;=Assumptions!$E$249,AG$3&gt;=Assumptions!$B$14,Revenue_Build!AG10&gt;=Assumptions!$F$249*Assumptions!$B$51)),Assumptions!$D$249,0)</f>
        <v/>
      </c>
      <c r="AH34" s="41">
        <f>IF(OR(AG34&gt;0,AND(AH$3&gt;=Assumptions!$E$249,AH$3&gt;=Assumptions!$B$14,Revenue_Build!AH10&gt;=Assumptions!$F$249*Assumptions!$B$51)),Assumptions!$D$249,0)</f>
        <v/>
      </c>
      <c r="AI34" s="41">
        <f>IF(OR(AH34&gt;0,AND(AI$3&gt;=Assumptions!$E$249,AI$3&gt;=Assumptions!$B$14,Revenue_Build!AI10&gt;=Assumptions!$F$249*Assumptions!$B$51)),Assumptions!$D$249,0)</f>
        <v/>
      </c>
      <c r="AJ34" s="41">
        <f>IF(OR(AI34&gt;0,AND(AJ$3&gt;=Assumptions!$E$249,AJ$3&gt;=Assumptions!$B$14,Revenue_Build!AJ10&gt;=Assumptions!$F$249*Assumptions!$B$51)),Assumptions!$D$249,0)</f>
        <v/>
      </c>
      <c r="AK34" s="41">
        <f>IF(OR(AJ34&gt;0,AND(AK$3&gt;=Assumptions!$E$249,AK$3&gt;=Assumptions!$B$14,Revenue_Build!AK10&gt;=Assumptions!$F$249*Assumptions!$B$51)),Assumptions!$D$249,0)</f>
        <v/>
      </c>
      <c r="AL34" s="41">
        <f>IF(OR(AK34&gt;0,AND(AL$3&gt;=Assumptions!$E$249,AL$3&gt;=Assumptions!$B$14,Revenue_Build!AL10&gt;=Assumptions!$F$249*Assumptions!$B$51)),Assumptions!$D$249,0)</f>
        <v/>
      </c>
      <c r="AM34" s="41">
        <f>IF(OR(AL34&gt;0,AND(AM$3&gt;=Assumptions!$E$249,AM$3&gt;=Assumptions!$B$14,Revenue_Build!AM10&gt;=Assumptions!$F$249*Assumptions!$B$51)),Assumptions!$D$249,0)</f>
        <v/>
      </c>
      <c r="AN34" s="41">
        <f>IF(OR(AM34&gt;0,AND(AN$3&gt;=Assumptions!$E$249,AN$3&gt;=Assumptions!$B$14,Revenue_Build!AN10&gt;=Assumptions!$F$249*Assumptions!$B$51)),Assumptions!$D$249,0)</f>
        <v/>
      </c>
      <c r="AO34" s="41">
        <f>IF(OR(AN34&gt;0,AND(AO$3&gt;=Assumptions!$E$249,AO$3&gt;=Assumptions!$B$14,Revenue_Build!AO10&gt;=Assumptions!$F$249*Assumptions!$B$51)),Assumptions!$D$249,0)</f>
        <v/>
      </c>
      <c r="AP34" s="41">
        <f>IF(OR(AO34&gt;0,AND(AP$3&gt;=Assumptions!$E$249,AP$3&gt;=Assumptions!$B$14,Revenue_Build!AP10&gt;=Assumptions!$F$249*Assumptions!$B$51)),Assumptions!$D$249,0)</f>
        <v/>
      </c>
      <c r="AQ34" s="41">
        <f>IF(OR(AP34&gt;0,AND(AQ$3&gt;=Assumptions!$E$249,AQ$3&gt;=Assumptions!$B$14,Revenue_Build!AQ10&gt;=Assumptions!$F$249*Assumptions!$B$51)),Assumptions!$D$249,0)</f>
        <v/>
      </c>
      <c r="AR34" s="41">
        <f>IF(OR(AQ34&gt;0,AND(AR$3&gt;=Assumptions!$E$249,AR$3&gt;=Assumptions!$B$14,Revenue_Build!AR10&gt;=Assumptions!$F$249*Assumptions!$B$51)),Assumptions!$D$249,0)</f>
        <v/>
      </c>
      <c r="AS34" s="41">
        <f>IF(OR(AR34&gt;0,AND(AS$3&gt;=Assumptions!$E$249,AS$3&gt;=Assumptions!$B$14,Revenue_Build!AS10&gt;=Assumptions!$F$249*Assumptions!$B$51)),Assumptions!$D$249,0)</f>
        <v/>
      </c>
      <c r="AT34" s="41">
        <f>IF(OR(AS34&gt;0,AND(AT$3&gt;=Assumptions!$E$249,AT$3&gt;=Assumptions!$B$14,Revenue_Build!AT10&gt;=Assumptions!$F$249*Assumptions!$B$51)),Assumptions!$D$249,0)</f>
        <v/>
      </c>
      <c r="AU34" s="41">
        <f>IF(OR(AT34&gt;0,AND(AU$3&gt;=Assumptions!$E$249,AU$3&gt;=Assumptions!$B$14,Revenue_Build!AU10&gt;=Assumptions!$F$249*Assumptions!$B$51)),Assumptions!$D$249,0)</f>
        <v/>
      </c>
      <c r="AV34" s="41">
        <f>IF(OR(AU34&gt;0,AND(AV$3&gt;=Assumptions!$E$249,AV$3&gt;=Assumptions!$B$14,Revenue_Build!AV10&gt;=Assumptions!$F$249*Assumptions!$B$51)),Assumptions!$D$249,0)</f>
        <v/>
      </c>
      <c r="AW34" s="41">
        <f>IF(OR(AV34&gt;0,AND(AW$3&gt;=Assumptions!$E$249,AW$3&gt;=Assumptions!$B$14,Revenue_Build!AW10&gt;=Assumptions!$F$249*Assumptions!$B$51)),Assumptions!$D$249,0)</f>
        <v/>
      </c>
      <c r="AX34" s="41">
        <f>IF(OR(AW34&gt;0,AND(AX$3&gt;=Assumptions!$E$249,AX$3&gt;=Assumptions!$B$14,Revenue_Build!AX10&gt;=Assumptions!$F$249*Assumptions!$B$51)),Assumptions!$D$249,0)</f>
        <v/>
      </c>
      <c r="AY34" s="41">
        <f>IF(OR(AX34&gt;0,AND(AY$3&gt;=Assumptions!$E$249,AY$3&gt;=Assumptions!$B$14,Revenue_Build!AY10&gt;=Assumptions!$F$249*Assumptions!$B$51)),Assumptions!$D$249,0)</f>
        <v/>
      </c>
      <c r="AZ34" s="41">
        <f>IF(OR(AY34&gt;0,AND(AZ$3&gt;=Assumptions!$E$249,AZ$3&gt;=Assumptions!$B$14,Revenue_Build!AZ10&gt;=Assumptions!$F$249*Assumptions!$B$51)),Assumptions!$D$249,0)</f>
        <v/>
      </c>
      <c r="BA34" s="41">
        <f>IF(OR(AZ34&gt;0,AND(BA$3&gt;=Assumptions!$E$249,BA$3&gt;=Assumptions!$B$14,Revenue_Build!BA10&gt;=Assumptions!$F$249*Assumptions!$B$51)),Assumptions!$D$249,0)</f>
        <v/>
      </c>
      <c r="BB34" s="41">
        <f>IF(OR(BA34&gt;0,AND(BB$3&gt;=Assumptions!$E$249,BB$3&gt;=Assumptions!$B$14,Revenue_Build!BB10&gt;=Assumptions!$F$249*Assumptions!$B$51)),Assumptions!$D$249,0)</f>
        <v/>
      </c>
      <c r="BC34" s="41">
        <f>IF(OR(BB34&gt;0,AND(BC$3&gt;=Assumptions!$E$249,BC$3&gt;=Assumptions!$B$14,Revenue_Build!BC10&gt;=Assumptions!$F$249*Assumptions!$B$51)),Assumptions!$D$249,0)</f>
        <v/>
      </c>
      <c r="BD34" s="41">
        <f>IF(OR(BC34&gt;0,AND(BD$3&gt;=Assumptions!$E$249,BD$3&gt;=Assumptions!$B$14,Revenue_Build!BD10&gt;=Assumptions!$F$249*Assumptions!$B$51)),Assumptions!$D$249,0)</f>
        <v/>
      </c>
      <c r="BE34" s="41">
        <f>IF(OR(BD34&gt;0,AND(BE$3&gt;=Assumptions!$E$249,BE$3&gt;=Assumptions!$B$14,Revenue_Build!BE10&gt;=Assumptions!$F$249*Assumptions!$B$51)),Assumptions!$D$249,0)</f>
        <v/>
      </c>
      <c r="BF34" s="41">
        <f>IF(OR(BE34&gt;0,AND(BF$3&gt;=Assumptions!$E$249,BF$3&gt;=Assumptions!$B$14,Revenue_Build!BF10&gt;=Assumptions!$F$249*Assumptions!$B$51)),Assumptions!$D$249,0)</f>
        <v/>
      </c>
      <c r="BG34" s="41">
        <f>IF(OR(BF34&gt;0,AND(BG$3&gt;=Assumptions!$E$249,BG$3&gt;=Assumptions!$B$14,Revenue_Build!BG10&gt;=Assumptions!$F$249*Assumptions!$B$51)),Assumptions!$D$249,0)</f>
        <v/>
      </c>
      <c r="BH34" s="41">
        <f>IF(OR(BG34&gt;0,AND(BH$3&gt;=Assumptions!$E$249,BH$3&gt;=Assumptions!$B$14,Revenue_Build!BH10&gt;=Assumptions!$F$249*Assumptions!$B$51)),Assumptions!$D$249,0)</f>
        <v/>
      </c>
      <c r="BI34" s="41">
        <f>IF(OR(BH34&gt;0,AND(BI$3&gt;=Assumptions!$E$249,BI$3&gt;=Assumptions!$B$14,Revenue_Build!BI10&gt;=Assumptions!$F$249*Assumptions!$B$51)),Assumptions!$D$249,0)</f>
        <v/>
      </c>
      <c r="BJ34" s="41">
        <f>IF(OR(BI34&gt;0,AND(BJ$3&gt;=Assumptions!$E$249,BJ$3&gt;=Assumptions!$B$14,Revenue_Build!BJ10&gt;=Assumptions!$F$249*Assumptions!$B$51)),Assumptions!$D$249,0)</f>
        <v/>
      </c>
    </row>
    <row r="35">
      <c r="A35" s="4" t="inlineStr">
        <is>
          <t>Partnerships manager #2</t>
        </is>
      </c>
      <c r="B35" s="17" t="inlineStr">
        <is>
          <t>FTE</t>
        </is>
      </c>
      <c r="C35" s="41">
        <f>IF(AND(C$3&gt;=Assumptions!$E$250,C$3&gt;=Assumptions!$B$14,Revenue_Build!C10&gt;=Assumptions!$F$250*Assumptions!$B$51),Assumptions!$D$250,0)</f>
        <v/>
      </c>
      <c r="D35" s="41">
        <f>IF(OR(C35&gt;0,AND(D$3&gt;=Assumptions!$E$250,D$3&gt;=Assumptions!$B$14,Revenue_Build!D10&gt;=Assumptions!$F$250*Assumptions!$B$51)),Assumptions!$D$250,0)</f>
        <v/>
      </c>
      <c r="E35" s="41">
        <f>IF(OR(D35&gt;0,AND(E$3&gt;=Assumptions!$E$250,E$3&gt;=Assumptions!$B$14,Revenue_Build!E10&gt;=Assumptions!$F$250*Assumptions!$B$51)),Assumptions!$D$250,0)</f>
        <v/>
      </c>
      <c r="F35" s="41">
        <f>IF(OR(E35&gt;0,AND(F$3&gt;=Assumptions!$E$250,F$3&gt;=Assumptions!$B$14,Revenue_Build!F10&gt;=Assumptions!$F$250*Assumptions!$B$51)),Assumptions!$D$250,0)</f>
        <v/>
      </c>
      <c r="G35" s="41">
        <f>IF(OR(F35&gt;0,AND(G$3&gt;=Assumptions!$E$250,G$3&gt;=Assumptions!$B$14,Revenue_Build!G10&gt;=Assumptions!$F$250*Assumptions!$B$51)),Assumptions!$D$250,0)</f>
        <v/>
      </c>
      <c r="H35" s="41">
        <f>IF(OR(G35&gt;0,AND(H$3&gt;=Assumptions!$E$250,H$3&gt;=Assumptions!$B$14,Revenue_Build!H10&gt;=Assumptions!$F$250*Assumptions!$B$51)),Assumptions!$D$250,0)</f>
        <v/>
      </c>
      <c r="I35" s="41">
        <f>IF(OR(H35&gt;0,AND(I$3&gt;=Assumptions!$E$250,I$3&gt;=Assumptions!$B$14,Revenue_Build!I10&gt;=Assumptions!$F$250*Assumptions!$B$51)),Assumptions!$D$250,0)</f>
        <v/>
      </c>
      <c r="J35" s="41">
        <f>IF(OR(I35&gt;0,AND(J$3&gt;=Assumptions!$E$250,J$3&gt;=Assumptions!$B$14,Revenue_Build!J10&gt;=Assumptions!$F$250*Assumptions!$B$51)),Assumptions!$D$250,0)</f>
        <v/>
      </c>
      <c r="K35" s="41">
        <f>IF(OR(J35&gt;0,AND(K$3&gt;=Assumptions!$E$250,K$3&gt;=Assumptions!$B$14,Revenue_Build!K10&gt;=Assumptions!$F$250*Assumptions!$B$51)),Assumptions!$D$250,0)</f>
        <v/>
      </c>
      <c r="L35" s="41">
        <f>IF(OR(K35&gt;0,AND(L$3&gt;=Assumptions!$E$250,L$3&gt;=Assumptions!$B$14,Revenue_Build!L10&gt;=Assumptions!$F$250*Assumptions!$B$51)),Assumptions!$D$250,0)</f>
        <v/>
      </c>
      <c r="M35" s="41">
        <f>IF(OR(L35&gt;0,AND(M$3&gt;=Assumptions!$E$250,M$3&gt;=Assumptions!$B$14,Revenue_Build!M10&gt;=Assumptions!$F$250*Assumptions!$B$51)),Assumptions!$D$250,0)</f>
        <v/>
      </c>
      <c r="N35" s="41">
        <f>IF(OR(M35&gt;0,AND(N$3&gt;=Assumptions!$E$250,N$3&gt;=Assumptions!$B$14,Revenue_Build!N10&gt;=Assumptions!$F$250*Assumptions!$B$51)),Assumptions!$D$250,0)</f>
        <v/>
      </c>
      <c r="O35" s="41">
        <f>IF(OR(N35&gt;0,AND(O$3&gt;=Assumptions!$E$250,O$3&gt;=Assumptions!$B$14,Revenue_Build!O10&gt;=Assumptions!$F$250*Assumptions!$B$51)),Assumptions!$D$250,0)</f>
        <v/>
      </c>
      <c r="P35" s="41">
        <f>IF(OR(O35&gt;0,AND(P$3&gt;=Assumptions!$E$250,P$3&gt;=Assumptions!$B$14,Revenue_Build!P10&gt;=Assumptions!$F$250*Assumptions!$B$51)),Assumptions!$D$250,0)</f>
        <v/>
      </c>
      <c r="Q35" s="41">
        <f>IF(OR(P35&gt;0,AND(Q$3&gt;=Assumptions!$E$250,Q$3&gt;=Assumptions!$B$14,Revenue_Build!Q10&gt;=Assumptions!$F$250*Assumptions!$B$51)),Assumptions!$D$250,0)</f>
        <v/>
      </c>
      <c r="R35" s="41">
        <f>IF(OR(Q35&gt;0,AND(R$3&gt;=Assumptions!$E$250,R$3&gt;=Assumptions!$B$14,Revenue_Build!R10&gt;=Assumptions!$F$250*Assumptions!$B$51)),Assumptions!$D$250,0)</f>
        <v/>
      </c>
      <c r="S35" s="41">
        <f>IF(OR(R35&gt;0,AND(S$3&gt;=Assumptions!$E$250,S$3&gt;=Assumptions!$B$14,Revenue_Build!S10&gt;=Assumptions!$F$250*Assumptions!$B$51)),Assumptions!$D$250,0)</f>
        <v/>
      </c>
      <c r="T35" s="41">
        <f>IF(OR(S35&gt;0,AND(T$3&gt;=Assumptions!$E$250,T$3&gt;=Assumptions!$B$14,Revenue_Build!T10&gt;=Assumptions!$F$250*Assumptions!$B$51)),Assumptions!$D$250,0)</f>
        <v/>
      </c>
      <c r="U35" s="41">
        <f>IF(OR(T35&gt;0,AND(U$3&gt;=Assumptions!$E$250,U$3&gt;=Assumptions!$B$14,Revenue_Build!U10&gt;=Assumptions!$F$250*Assumptions!$B$51)),Assumptions!$D$250,0)</f>
        <v/>
      </c>
      <c r="V35" s="41">
        <f>IF(OR(U35&gt;0,AND(V$3&gt;=Assumptions!$E$250,V$3&gt;=Assumptions!$B$14,Revenue_Build!V10&gt;=Assumptions!$F$250*Assumptions!$B$51)),Assumptions!$D$250,0)</f>
        <v/>
      </c>
      <c r="W35" s="41">
        <f>IF(OR(V35&gt;0,AND(W$3&gt;=Assumptions!$E$250,W$3&gt;=Assumptions!$B$14,Revenue_Build!W10&gt;=Assumptions!$F$250*Assumptions!$B$51)),Assumptions!$D$250,0)</f>
        <v/>
      </c>
      <c r="X35" s="41">
        <f>IF(OR(W35&gt;0,AND(X$3&gt;=Assumptions!$E$250,X$3&gt;=Assumptions!$B$14,Revenue_Build!X10&gt;=Assumptions!$F$250*Assumptions!$B$51)),Assumptions!$D$250,0)</f>
        <v/>
      </c>
      <c r="Y35" s="41">
        <f>IF(OR(X35&gt;0,AND(Y$3&gt;=Assumptions!$E$250,Y$3&gt;=Assumptions!$B$14,Revenue_Build!Y10&gt;=Assumptions!$F$250*Assumptions!$B$51)),Assumptions!$D$250,0)</f>
        <v/>
      </c>
      <c r="Z35" s="41">
        <f>IF(OR(Y35&gt;0,AND(Z$3&gt;=Assumptions!$E$250,Z$3&gt;=Assumptions!$B$14,Revenue_Build!Z10&gt;=Assumptions!$F$250*Assumptions!$B$51)),Assumptions!$D$250,0)</f>
        <v/>
      </c>
      <c r="AA35" s="41">
        <f>IF(OR(Z35&gt;0,AND(AA$3&gt;=Assumptions!$E$250,AA$3&gt;=Assumptions!$B$14,Revenue_Build!AA10&gt;=Assumptions!$F$250*Assumptions!$B$51)),Assumptions!$D$250,0)</f>
        <v/>
      </c>
      <c r="AB35" s="41">
        <f>IF(OR(AA35&gt;0,AND(AB$3&gt;=Assumptions!$E$250,AB$3&gt;=Assumptions!$B$14,Revenue_Build!AB10&gt;=Assumptions!$F$250*Assumptions!$B$51)),Assumptions!$D$250,0)</f>
        <v/>
      </c>
      <c r="AC35" s="41">
        <f>IF(OR(AB35&gt;0,AND(AC$3&gt;=Assumptions!$E$250,AC$3&gt;=Assumptions!$B$14,Revenue_Build!AC10&gt;=Assumptions!$F$250*Assumptions!$B$51)),Assumptions!$D$250,0)</f>
        <v/>
      </c>
      <c r="AD35" s="41">
        <f>IF(OR(AC35&gt;0,AND(AD$3&gt;=Assumptions!$E$250,AD$3&gt;=Assumptions!$B$14,Revenue_Build!AD10&gt;=Assumptions!$F$250*Assumptions!$B$51)),Assumptions!$D$250,0)</f>
        <v/>
      </c>
      <c r="AE35" s="41">
        <f>IF(OR(AD35&gt;0,AND(AE$3&gt;=Assumptions!$E$250,AE$3&gt;=Assumptions!$B$14,Revenue_Build!AE10&gt;=Assumptions!$F$250*Assumptions!$B$51)),Assumptions!$D$250,0)</f>
        <v/>
      </c>
      <c r="AF35" s="41">
        <f>IF(OR(AE35&gt;0,AND(AF$3&gt;=Assumptions!$E$250,AF$3&gt;=Assumptions!$B$14,Revenue_Build!AF10&gt;=Assumptions!$F$250*Assumptions!$B$51)),Assumptions!$D$250,0)</f>
        <v/>
      </c>
      <c r="AG35" s="41">
        <f>IF(OR(AF35&gt;0,AND(AG$3&gt;=Assumptions!$E$250,AG$3&gt;=Assumptions!$B$14,Revenue_Build!AG10&gt;=Assumptions!$F$250*Assumptions!$B$51)),Assumptions!$D$250,0)</f>
        <v/>
      </c>
      <c r="AH35" s="41">
        <f>IF(OR(AG35&gt;0,AND(AH$3&gt;=Assumptions!$E$250,AH$3&gt;=Assumptions!$B$14,Revenue_Build!AH10&gt;=Assumptions!$F$250*Assumptions!$B$51)),Assumptions!$D$250,0)</f>
        <v/>
      </c>
      <c r="AI35" s="41">
        <f>IF(OR(AH35&gt;0,AND(AI$3&gt;=Assumptions!$E$250,AI$3&gt;=Assumptions!$B$14,Revenue_Build!AI10&gt;=Assumptions!$F$250*Assumptions!$B$51)),Assumptions!$D$250,0)</f>
        <v/>
      </c>
      <c r="AJ35" s="41">
        <f>IF(OR(AI35&gt;0,AND(AJ$3&gt;=Assumptions!$E$250,AJ$3&gt;=Assumptions!$B$14,Revenue_Build!AJ10&gt;=Assumptions!$F$250*Assumptions!$B$51)),Assumptions!$D$250,0)</f>
        <v/>
      </c>
      <c r="AK35" s="41">
        <f>IF(OR(AJ35&gt;0,AND(AK$3&gt;=Assumptions!$E$250,AK$3&gt;=Assumptions!$B$14,Revenue_Build!AK10&gt;=Assumptions!$F$250*Assumptions!$B$51)),Assumptions!$D$250,0)</f>
        <v/>
      </c>
      <c r="AL35" s="41">
        <f>IF(OR(AK35&gt;0,AND(AL$3&gt;=Assumptions!$E$250,AL$3&gt;=Assumptions!$B$14,Revenue_Build!AL10&gt;=Assumptions!$F$250*Assumptions!$B$51)),Assumptions!$D$250,0)</f>
        <v/>
      </c>
      <c r="AM35" s="41">
        <f>IF(OR(AL35&gt;0,AND(AM$3&gt;=Assumptions!$E$250,AM$3&gt;=Assumptions!$B$14,Revenue_Build!AM10&gt;=Assumptions!$F$250*Assumptions!$B$51)),Assumptions!$D$250,0)</f>
        <v/>
      </c>
      <c r="AN35" s="41">
        <f>IF(OR(AM35&gt;0,AND(AN$3&gt;=Assumptions!$E$250,AN$3&gt;=Assumptions!$B$14,Revenue_Build!AN10&gt;=Assumptions!$F$250*Assumptions!$B$51)),Assumptions!$D$250,0)</f>
        <v/>
      </c>
      <c r="AO35" s="41">
        <f>IF(OR(AN35&gt;0,AND(AO$3&gt;=Assumptions!$E$250,AO$3&gt;=Assumptions!$B$14,Revenue_Build!AO10&gt;=Assumptions!$F$250*Assumptions!$B$51)),Assumptions!$D$250,0)</f>
        <v/>
      </c>
      <c r="AP35" s="41">
        <f>IF(OR(AO35&gt;0,AND(AP$3&gt;=Assumptions!$E$250,AP$3&gt;=Assumptions!$B$14,Revenue_Build!AP10&gt;=Assumptions!$F$250*Assumptions!$B$51)),Assumptions!$D$250,0)</f>
        <v/>
      </c>
      <c r="AQ35" s="41">
        <f>IF(OR(AP35&gt;0,AND(AQ$3&gt;=Assumptions!$E$250,AQ$3&gt;=Assumptions!$B$14,Revenue_Build!AQ10&gt;=Assumptions!$F$250*Assumptions!$B$51)),Assumptions!$D$250,0)</f>
        <v/>
      </c>
      <c r="AR35" s="41">
        <f>IF(OR(AQ35&gt;0,AND(AR$3&gt;=Assumptions!$E$250,AR$3&gt;=Assumptions!$B$14,Revenue_Build!AR10&gt;=Assumptions!$F$250*Assumptions!$B$51)),Assumptions!$D$250,0)</f>
        <v/>
      </c>
      <c r="AS35" s="41">
        <f>IF(OR(AR35&gt;0,AND(AS$3&gt;=Assumptions!$E$250,AS$3&gt;=Assumptions!$B$14,Revenue_Build!AS10&gt;=Assumptions!$F$250*Assumptions!$B$51)),Assumptions!$D$250,0)</f>
        <v/>
      </c>
      <c r="AT35" s="41">
        <f>IF(OR(AS35&gt;0,AND(AT$3&gt;=Assumptions!$E$250,AT$3&gt;=Assumptions!$B$14,Revenue_Build!AT10&gt;=Assumptions!$F$250*Assumptions!$B$51)),Assumptions!$D$250,0)</f>
        <v/>
      </c>
      <c r="AU35" s="41">
        <f>IF(OR(AT35&gt;0,AND(AU$3&gt;=Assumptions!$E$250,AU$3&gt;=Assumptions!$B$14,Revenue_Build!AU10&gt;=Assumptions!$F$250*Assumptions!$B$51)),Assumptions!$D$250,0)</f>
        <v/>
      </c>
      <c r="AV35" s="41">
        <f>IF(OR(AU35&gt;0,AND(AV$3&gt;=Assumptions!$E$250,AV$3&gt;=Assumptions!$B$14,Revenue_Build!AV10&gt;=Assumptions!$F$250*Assumptions!$B$51)),Assumptions!$D$250,0)</f>
        <v/>
      </c>
      <c r="AW35" s="41">
        <f>IF(OR(AV35&gt;0,AND(AW$3&gt;=Assumptions!$E$250,AW$3&gt;=Assumptions!$B$14,Revenue_Build!AW10&gt;=Assumptions!$F$250*Assumptions!$B$51)),Assumptions!$D$250,0)</f>
        <v/>
      </c>
      <c r="AX35" s="41">
        <f>IF(OR(AW35&gt;0,AND(AX$3&gt;=Assumptions!$E$250,AX$3&gt;=Assumptions!$B$14,Revenue_Build!AX10&gt;=Assumptions!$F$250*Assumptions!$B$51)),Assumptions!$D$250,0)</f>
        <v/>
      </c>
      <c r="AY35" s="41">
        <f>IF(OR(AX35&gt;0,AND(AY$3&gt;=Assumptions!$E$250,AY$3&gt;=Assumptions!$B$14,Revenue_Build!AY10&gt;=Assumptions!$F$250*Assumptions!$B$51)),Assumptions!$D$250,0)</f>
        <v/>
      </c>
      <c r="AZ35" s="41">
        <f>IF(OR(AY35&gt;0,AND(AZ$3&gt;=Assumptions!$E$250,AZ$3&gt;=Assumptions!$B$14,Revenue_Build!AZ10&gt;=Assumptions!$F$250*Assumptions!$B$51)),Assumptions!$D$250,0)</f>
        <v/>
      </c>
      <c r="BA35" s="41">
        <f>IF(OR(AZ35&gt;0,AND(BA$3&gt;=Assumptions!$E$250,BA$3&gt;=Assumptions!$B$14,Revenue_Build!BA10&gt;=Assumptions!$F$250*Assumptions!$B$51)),Assumptions!$D$250,0)</f>
        <v/>
      </c>
      <c r="BB35" s="41">
        <f>IF(OR(BA35&gt;0,AND(BB$3&gt;=Assumptions!$E$250,BB$3&gt;=Assumptions!$B$14,Revenue_Build!BB10&gt;=Assumptions!$F$250*Assumptions!$B$51)),Assumptions!$D$250,0)</f>
        <v/>
      </c>
      <c r="BC35" s="41">
        <f>IF(OR(BB35&gt;0,AND(BC$3&gt;=Assumptions!$E$250,BC$3&gt;=Assumptions!$B$14,Revenue_Build!BC10&gt;=Assumptions!$F$250*Assumptions!$B$51)),Assumptions!$D$250,0)</f>
        <v/>
      </c>
      <c r="BD35" s="41">
        <f>IF(OR(BC35&gt;0,AND(BD$3&gt;=Assumptions!$E$250,BD$3&gt;=Assumptions!$B$14,Revenue_Build!BD10&gt;=Assumptions!$F$250*Assumptions!$B$51)),Assumptions!$D$250,0)</f>
        <v/>
      </c>
      <c r="BE35" s="41">
        <f>IF(OR(BD35&gt;0,AND(BE$3&gt;=Assumptions!$E$250,BE$3&gt;=Assumptions!$B$14,Revenue_Build!BE10&gt;=Assumptions!$F$250*Assumptions!$B$51)),Assumptions!$D$250,0)</f>
        <v/>
      </c>
      <c r="BF35" s="41">
        <f>IF(OR(BE35&gt;0,AND(BF$3&gt;=Assumptions!$E$250,BF$3&gt;=Assumptions!$B$14,Revenue_Build!BF10&gt;=Assumptions!$F$250*Assumptions!$B$51)),Assumptions!$D$250,0)</f>
        <v/>
      </c>
      <c r="BG35" s="41">
        <f>IF(OR(BF35&gt;0,AND(BG$3&gt;=Assumptions!$E$250,BG$3&gt;=Assumptions!$B$14,Revenue_Build!BG10&gt;=Assumptions!$F$250*Assumptions!$B$51)),Assumptions!$D$250,0)</f>
        <v/>
      </c>
      <c r="BH35" s="41">
        <f>IF(OR(BG35&gt;0,AND(BH$3&gt;=Assumptions!$E$250,BH$3&gt;=Assumptions!$B$14,Revenue_Build!BH10&gt;=Assumptions!$F$250*Assumptions!$B$51)),Assumptions!$D$250,0)</f>
        <v/>
      </c>
      <c r="BI35" s="41">
        <f>IF(OR(BH35&gt;0,AND(BI$3&gt;=Assumptions!$E$250,BI$3&gt;=Assumptions!$B$14,Revenue_Build!BI10&gt;=Assumptions!$F$250*Assumptions!$B$51)),Assumptions!$D$250,0)</f>
        <v/>
      </c>
      <c r="BJ35" s="41">
        <f>IF(OR(BI35&gt;0,AND(BJ$3&gt;=Assumptions!$E$250,BJ$3&gt;=Assumptions!$B$14,Revenue_Build!BJ10&gt;=Assumptions!$F$250*Assumptions!$B$51)),Assumptions!$D$250,0)</f>
        <v/>
      </c>
    </row>
    <row r="36">
      <c r="A36" s="4" t="inlineStr">
        <is>
          <t>Partnerships managers (scale-up I)</t>
        </is>
      </c>
      <c r="B36" s="17" t="inlineStr">
        <is>
          <t>FTE</t>
        </is>
      </c>
      <c r="C36" s="41">
        <f>IF(AND(C$3&gt;=Assumptions!$E$251,C$3&gt;=Assumptions!$B$14,Revenue_Build!C10&gt;=Assumptions!$F$251*Assumptions!$B$51),Assumptions!$D$251,0)</f>
        <v/>
      </c>
      <c r="D36" s="41">
        <f>IF(OR(C36&gt;0,AND(D$3&gt;=Assumptions!$E$251,D$3&gt;=Assumptions!$B$14,Revenue_Build!D10&gt;=Assumptions!$F$251*Assumptions!$B$51)),Assumptions!$D$251,0)</f>
        <v/>
      </c>
      <c r="E36" s="41">
        <f>IF(OR(D36&gt;0,AND(E$3&gt;=Assumptions!$E$251,E$3&gt;=Assumptions!$B$14,Revenue_Build!E10&gt;=Assumptions!$F$251*Assumptions!$B$51)),Assumptions!$D$251,0)</f>
        <v/>
      </c>
      <c r="F36" s="41">
        <f>IF(OR(E36&gt;0,AND(F$3&gt;=Assumptions!$E$251,F$3&gt;=Assumptions!$B$14,Revenue_Build!F10&gt;=Assumptions!$F$251*Assumptions!$B$51)),Assumptions!$D$251,0)</f>
        <v/>
      </c>
      <c r="G36" s="41">
        <f>IF(OR(F36&gt;0,AND(G$3&gt;=Assumptions!$E$251,G$3&gt;=Assumptions!$B$14,Revenue_Build!G10&gt;=Assumptions!$F$251*Assumptions!$B$51)),Assumptions!$D$251,0)</f>
        <v/>
      </c>
      <c r="H36" s="41">
        <f>IF(OR(G36&gt;0,AND(H$3&gt;=Assumptions!$E$251,H$3&gt;=Assumptions!$B$14,Revenue_Build!H10&gt;=Assumptions!$F$251*Assumptions!$B$51)),Assumptions!$D$251,0)</f>
        <v/>
      </c>
      <c r="I36" s="41">
        <f>IF(OR(H36&gt;0,AND(I$3&gt;=Assumptions!$E$251,I$3&gt;=Assumptions!$B$14,Revenue_Build!I10&gt;=Assumptions!$F$251*Assumptions!$B$51)),Assumptions!$D$251,0)</f>
        <v/>
      </c>
      <c r="J36" s="41">
        <f>IF(OR(I36&gt;0,AND(J$3&gt;=Assumptions!$E$251,J$3&gt;=Assumptions!$B$14,Revenue_Build!J10&gt;=Assumptions!$F$251*Assumptions!$B$51)),Assumptions!$D$251,0)</f>
        <v/>
      </c>
      <c r="K36" s="41">
        <f>IF(OR(J36&gt;0,AND(K$3&gt;=Assumptions!$E$251,K$3&gt;=Assumptions!$B$14,Revenue_Build!K10&gt;=Assumptions!$F$251*Assumptions!$B$51)),Assumptions!$D$251,0)</f>
        <v/>
      </c>
      <c r="L36" s="41">
        <f>IF(OR(K36&gt;0,AND(L$3&gt;=Assumptions!$E$251,L$3&gt;=Assumptions!$B$14,Revenue_Build!L10&gt;=Assumptions!$F$251*Assumptions!$B$51)),Assumptions!$D$251,0)</f>
        <v/>
      </c>
      <c r="M36" s="41">
        <f>IF(OR(L36&gt;0,AND(M$3&gt;=Assumptions!$E$251,M$3&gt;=Assumptions!$B$14,Revenue_Build!M10&gt;=Assumptions!$F$251*Assumptions!$B$51)),Assumptions!$D$251,0)</f>
        <v/>
      </c>
      <c r="N36" s="41">
        <f>IF(OR(M36&gt;0,AND(N$3&gt;=Assumptions!$E$251,N$3&gt;=Assumptions!$B$14,Revenue_Build!N10&gt;=Assumptions!$F$251*Assumptions!$B$51)),Assumptions!$D$251,0)</f>
        <v/>
      </c>
      <c r="O36" s="41">
        <f>IF(OR(N36&gt;0,AND(O$3&gt;=Assumptions!$E$251,O$3&gt;=Assumptions!$B$14,Revenue_Build!O10&gt;=Assumptions!$F$251*Assumptions!$B$51)),Assumptions!$D$251,0)</f>
        <v/>
      </c>
      <c r="P36" s="41">
        <f>IF(OR(O36&gt;0,AND(P$3&gt;=Assumptions!$E$251,P$3&gt;=Assumptions!$B$14,Revenue_Build!P10&gt;=Assumptions!$F$251*Assumptions!$B$51)),Assumptions!$D$251,0)</f>
        <v/>
      </c>
      <c r="Q36" s="41">
        <f>IF(OR(P36&gt;0,AND(Q$3&gt;=Assumptions!$E$251,Q$3&gt;=Assumptions!$B$14,Revenue_Build!Q10&gt;=Assumptions!$F$251*Assumptions!$B$51)),Assumptions!$D$251,0)</f>
        <v/>
      </c>
      <c r="R36" s="41">
        <f>IF(OR(Q36&gt;0,AND(R$3&gt;=Assumptions!$E$251,R$3&gt;=Assumptions!$B$14,Revenue_Build!R10&gt;=Assumptions!$F$251*Assumptions!$B$51)),Assumptions!$D$251,0)</f>
        <v/>
      </c>
      <c r="S36" s="41">
        <f>IF(OR(R36&gt;0,AND(S$3&gt;=Assumptions!$E$251,S$3&gt;=Assumptions!$B$14,Revenue_Build!S10&gt;=Assumptions!$F$251*Assumptions!$B$51)),Assumptions!$D$251,0)</f>
        <v/>
      </c>
      <c r="T36" s="41">
        <f>IF(OR(S36&gt;0,AND(T$3&gt;=Assumptions!$E$251,T$3&gt;=Assumptions!$B$14,Revenue_Build!T10&gt;=Assumptions!$F$251*Assumptions!$B$51)),Assumptions!$D$251,0)</f>
        <v/>
      </c>
      <c r="U36" s="41">
        <f>IF(OR(T36&gt;0,AND(U$3&gt;=Assumptions!$E$251,U$3&gt;=Assumptions!$B$14,Revenue_Build!U10&gt;=Assumptions!$F$251*Assumptions!$B$51)),Assumptions!$D$251,0)</f>
        <v/>
      </c>
      <c r="V36" s="41">
        <f>IF(OR(U36&gt;0,AND(V$3&gt;=Assumptions!$E$251,V$3&gt;=Assumptions!$B$14,Revenue_Build!V10&gt;=Assumptions!$F$251*Assumptions!$B$51)),Assumptions!$D$251,0)</f>
        <v/>
      </c>
      <c r="W36" s="41">
        <f>IF(OR(V36&gt;0,AND(W$3&gt;=Assumptions!$E$251,W$3&gt;=Assumptions!$B$14,Revenue_Build!W10&gt;=Assumptions!$F$251*Assumptions!$B$51)),Assumptions!$D$251,0)</f>
        <v/>
      </c>
      <c r="X36" s="41">
        <f>IF(OR(W36&gt;0,AND(X$3&gt;=Assumptions!$E$251,X$3&gt;=Assumptions!$B$14,Revenue_Build!X10&gt;=Assumptions!$F$251*Assumptions!$B$51)),Assumptions!$D$251,0)</f>
        <v/>
      </c>
      <c r="Y36" s="41">
        <f>IF(OR(X36&gt;0,AND(Y$3&gt;=Assumptions!$E$251,Y$3&gt;=Assumptions!$B$14,Revenue_Build!Y10&gt;=Assumptions!$F$251*Assumptions!$B$51)),Assumptions!$D$251,0)</f>
        <v/>
      </c>
      <c r="Z36" s="41">
        <f>IF(OR(Y36&gt;0,AND(Z$3&gt;=Assumptions!$E$251,Z$3&gt;=Assumptions!$B$14,Revenue_Build!Z10&gt;=Assumptions!$F$251*Assumptions!$B$51)),Assumptions!$D$251,0)</f>
        <v/>
      </c>
      <c r="AA36" s="41">
        <f>IF(OR(Z36&gt;0,AND(AA$3&gt;=Assumptions!$E$251,AA$3&gt;=Assumptions!$B$14,Revenue_Build!AA10&gt;=Assumptions!$F$251*Assumptions!$B$51)),Assumptions!$D$251,0)</f>
        <v/>
      </c>
      <c r="AB36" s="41">
        <f>IF(OR(AA36&gt;0,AND(AB$3&gt;=Assumptions!$E$251,AB$3&gt;=Assumptions!$B$14,Revenue_Build!AB10&gt;=Assumptions!$F$251*Assumptions!$B$51)),Assumptions!$D$251,0)</f>
        <v/>
      </c>
      <c r="AC36" s="41">
        <f>IF(OR(AB36&gt;0,AND(AC$3&gt;=Assumptions!$E$251,AC$3&gt;=Assumptions!$B$14,Revenue_Build!AC10&gt;=Assumptions!$F$251*Assumptions!$B$51)),Assumptions!$D$251,0)</f>
        <v/>
      </c>
      <c r="AD36" s="41">
        <f>IF(OR(AC36&gt;0,AND(AD$3&gt;=Assumptions!$E$251,AD$3&gt;=Assumptions!$B$14,Revenue_Build!AD10&gt;=Assumptions!$F$251*Assumptions!$B$51)),Assumptions!$D$251,0)</f>
        <v/>
      </c>
      <c r="AE36" s="41">
        <f>IF(OR(AD36&gt;0,AND(AE$3&gt;=Assumptions!$E$251,AE$3&gt;=Assumptions!$B$14,Revenue_Build!AE10&gt;=Assumptions!$F$251*Assumptions!$B$51)),Assumptions!$D$251,0)</f>
        <v/>
      </c>
      <c r="AF36" s="41">
        <f>IF(OR(AE36&gt;0,AND(AF$3&gt;=Assumptions!$E$251,AF$3&gt;=Assumptions!$B$14,Revenue_Build!AF10&gt;=Assumptions!$F$251*Assumptions!$B$51)),Assumptions!$D$251,0)</f>
        <v/>
      </c>
      <c r="AG36" s="41">
        <f>IF(OR(AF36&gt;0,AND(AG$3&gt;=Assumptions!$E$251,AG$3&gt;=Assumptions!$B$14,Revenue_Build!AG10&gt;=Assumptions!$F$251*Assumptions!$B$51)),Assumptions!$D$251,0)</f>
        <v/>
      </c>
      <c r="AH36" s="41">
        <f>IF(OR(AG36&gt;0,AND(AH$3&gt;=Assumptions!$E$251,AH$3&gt;=Assumptions!$B$14,Revenue_Build!AH10&gt;=Assumptions!$F$251*Assumptions!$B$51)),Assumptions!$D$251,0)</f>
        <v/>
      </c>
      <c r="AI36" s="41">
        <f>IF(OR(AH36&gt;0,AND(AI$3&gt;=Assumptions!$E$251,AI$3&gt;=Assumptions!$B$14,Revenue_Build!AI10&gt;=Assumptions!$F$251*Assumptions!$B$51)),Assumptions!$D$251,0)</f>
        <v/>
      </c>
      <c r="AJ36" s="41">
        <f>IF(OR(AI36&gt;0,AND(AJ$3&gt;=Assumptions!$E$251,AJ$3&gt;=Assumptions!$B$14,Revenue_Build!AJ10&gt;=Assumptions!$F$251*Assumptions!$B$51)),Assumptions!$D$251,0)</f>
        <v/>
      </c>
      <c r="AK36" s="41">
        <f>IF(OR(AJ36&gt;0,AND(AK$3&gt;=Assumptions!$E$251,AK$3&gt;=Assumptions!$B$14,Revenue_Build!AK10&gt;=Assumptions!$F$251*Assumptions!$B$51)),Assumptions!$D$251,0)</f>
        <v/>
      </c>
      <c r="AL36" s="41">
        <f>IF(OR(AK36&gt;0,AND(AL$3&gt;=Assumptions!$E$251,AL$3&gt;=Assumptions!$B$14,Revenue_Build!AL10&gt;=Assumptions!$F$251*Assumptions!$B$51)),Assumptions!$D$251,0)</f>
        <v/>
      </c>
      <c r="AM36" s="41">
        <f>IF(OR(AL36&gt;0,AND(AM$3&gt;=Assumptions!$E$251,AM$3&gt;=Assumptions!$B$14,Revenue_Build!AM10&gt;=Assumptions!$F$251*Assumptions!$B$51)),Assumptions!$D$251,0)</f>
        <v/>
      </c>
      <c r="AN36" s="41">
        <f>IF(OR(AM36&gt;0,AND(AN$3&gt;=Assumptions!$E$251,AN$3&gt;=Assumptions!$B$14,Revenue_Build!AN10&gt;=Assumptions!$F$251*Assumptions!$B$51)),Assumptions!$D$251,0)</f>
        <v/>
      </c>
      <c r="AO36" s="41">
        <f>IF(OR(AN36&gt;0,AND(AO$3&gt;=Assumptions!$E$251,AO$3&gt;=Assumptions!$B$14,Revenue_Build!AO10&gt;=Assumptions!$F$251*Assumptions!$B$51)),Assumptions!$D$251,0)</f>
        <v/>
      </c>
      <c r="AP36" s="41">
        <f>IF(OR(AO36&gt;0,AND(AP$3&gt;=Assumptions!$E$251,AP$3&gt;=Assumptions!$B$14,Revenue_Build!AP10&gt;=Assumptions!$F$251*Assumptions!$B$51)),Assumptions!$D$251,0)</f>
        <v/>
      </c>
      <c r="AQ36" s="41">
        <f>IF(OR(AP36&gt;0,AND(AQ$3&gt;=Assumptions!$E$251,AQ$3&gt;=Assumptions!$B$14,Revenue_Build!AQ10&gt;=Assumptions!$F$251*Assumptions!$B$51)),Assumptions!$D$251,0)</f>
        <v/>
      </c>
      <c r="AR36" s="41">
        <f>IF(OR(AQ36&gt;0,AND(AR$3&gt;=Assumptions!$E$251,AR$3&gt;=Assumptions!$B$14,Revenue_Build!AR10&gt;=Assumptions!$F$251*Assumptions!$B$51)),Assumptions!$D$251,0)</f>
        <v/>
      </c>
      <c r="AS36" s="41">
        <f>IF(OR(AR36&gt;0,AND(AS$3&gt;=Assumptions!$E$251,AS$3&gt;=Assumptions!$B$14,Revenue_Build!AS10&gt;=Assumptions!$F$251*Assumptions!$B$51)),Assumptions!$D$251,0)</f>
        <v/>
      </c>
      <c r="AT36" s="41">
        <f>IF(OR(AS36&gt;0,AND(AT$3&gt;=Assumptions!$E$251,AT$3&gt;=Assumptions!$B$14,Revenue_Build!AT10&gt;=Assumptions!$F$251*Assumptions!$B$51)),Assumptions!$D$251,0)</f>
        <v/>
      </c>
      <c r="AU36" s="41">
        <f>IF(OR(AT36&gt;0,AND(AU$3&gt;=Assumptions!$E$251,AU$3&gt;=Assumptions!$B$14,Revenue_Build!AU10&gt;=Assumptions!$F$251*Assumptions!$B$51)),Assumptions!$D$251,0)</f>
        <v/>
      </c>
      <c r="AV36" s="41">
        <f>IF(OR(AU36&gt;0,AND(AV$3&gt;=Assumptions!$E$251,AV$3&gt;=Assumptions!$B$14,Revenue_Build!AV10&gt;=Assumptions!$F$251*Assumptions!$B$51)),Assumptions!$D$251,0)</f>
        <v/>
      </c>
      <c r="AW36" s="41">
        <f>IF(OR(AV36&gt;0,AND(AW$3&gt;=Assumptions!$E$251,AW$3&gt;=Assumptions!$B$14,Revenue_Build!AW10&gt;=Assumptions!$F$251*Assumptions!$B$51)),Assumptions!$D$251,0)</f>
        <v/>
      </c>
      <c r="AX36" s="41">
        <f>IF(OR(AW36&gt;0,AND(AX$3&gt;=Assumptions!$E$251,AX$3&gt;=Assumptions!$B$14,Revenue_Build!AX10&gt;=Assumptions!$F$251*Assumptions!$B$51)),Assumptions!$D$251,0)</f>
        <v/>
      </c>
      <c r="AY36" s="41">
        <f>IF(OR(AX36&gt;0,AND(AY$3&gt;=Assumptions!$E$251,AY$3&gt;=Assumptions!$B$14,Revenue_Build!AY10&gt;=Assumptions!$F$251*Assumptions!$B$51)),Assumptions!$D$251,0)</f>
        <v/>
      </c>
      <c r="AZ36" s="41">
        <f>IF(OR(AY36&gt;0,AND(AZ$3&gt;=Assumptions!$E$251,AZ$3&gt;=Assumptions!$B$14,Revenue_Build!AZ10&gt;=Assumptions!$F$251*Assumptions!$B$51)),Assumptions!$D$251,0)</f>
        <v/>
      </c>
      <c r="BA36" s="41">
        <f>IF(OR(AZ36&gt;0,AND(BA$3&gt;=Assumptions!$E$251,BA$3&gt;=Assumptions!$B$14,Revenue_Build!BA10&gt;=Assumptions!$F$251*Assumptions!$B$51)),Assumptions!$D$251,0)</f>
        <v/>
      </c>
      <c r="BB36" s="41">
        <f>IF(OR(BA36&gt;0,AND(BB$3&gt;=Assumptions!$E$251,BB$3&gt;=Assumptions!$B$14,Revenue_Build!BB10&gt;=Assumptions!$F$251*Assumptions!$B$51)),Assumptions!$D$251,0)</f>
        <v/>
      </c>
      <c r="BC36" s="41">
        <f>IF(OR(BB36&gt;0,AND(BC$3&gt;=Assumptions!$E$251,BC$3&gt;=Assumptions!$B$14,Revenue_Build!BC10&gt;=Assumptions!$F$251*Assumptions!$B$51)),Assumptions!$D$251,0)</f>
        <v/>
      </c>
      <c r="BD36" s="41">
        <f>IF(OR(BC36&gt;0,AND(BD$3&gt;=Assumptions!$E$251,BD$3&gt;=Assumptions!$B$14,Revenue_Build!BD10&gt;=Assumptions!$F$251*Assumptions!$B$51)),Assumptions!$D$251,0)</f>
        <v/>
      </c>
      <c r="BE36" s="41">
        <f>IF(OR(BD36&gt;0,AND(BE$3&gt;=Assumptions!$E$251,BE$3&gt;=Assumptions!$B$14,Revenue_Build!BE10&gt;=Assumptions!$F$251*Assumptions!$B$51)),Assumptions!$D$251,0)</f>
        <v/>
      </c>
      <c r="BF36" s="41">
        <f>IF(OR(BE36&gt;0,AND(BF$3&gt;=Assumptions!$E$251,BF$3&gt;=Assumptions!$B$14,Revenue_Build!BF10&gt;=Assumptions!$F$251*Assumptions!$B$51)),Assumptions!$D$251,0)</f>
        <v/>
      </c>
      <c r="BG36" s="41">
        <f>IF(OR(BF36&gt;0,AND(BG$3&gt;=Assumptions!$E$251,BG$3&gt;=Assumptions!$B$14,Revenue_Build!BG10&gt;=Assumptions!$F$251*Assumptions!$B$51)),Assumptions!$D$251,0)</f>
        <v/>
      </c>
      <c r="BH36" s="41">
        <f>IF(OR(BG36&gt;0,AND(BH$3&gt;=Assumptions!$E$251,BH$3&gt;=Assumptions!$B$14,Revenue_Build!BH10&gt;=Assumptions!$F$251*Assumptions!$B$51)),Assumptions!$D$251,0)</f>
        <v/>
      </c>
      <c r="BI36" s="41">
        <f>IF(OR(BH36&gt;0,AND(BI$3&gt;=Assumptions!$E$251,BI$3&gt;=Assumptions!$B$14,Revenue_Build!BI10&gt;=Assumptions!$F$251*Assumptions!$B$51)),Assumptions!$D$251,0)</f>
        <v/>
      </c>
      <c r="BJ36" s="41">
        <f>IF(OR(BI36&gt;0,AND(BJ$3&gt;=Assumptions!$E$251,BJ$3&gt;=Assumptions!$B$14,Revenue_Build!BJ10&gt;=Assumptions!$F$251*Assumptions!$B$51)),Assumptions!$D$251,0)</f>
        <v/>
      </c>
    </row>
    <row r="37">
      <c r="A37" s="4" t="inlineStr">
        <is>
          <t>Partnerships managers (scale-up II)</t>
        </is>
      </c>
      <c r="B37" s="17" t="inlineStr">
        <is>
          <t>FTE</t>
        </is>
      </c>
      <c r="C37" s="41">
        <f>IF(AND(C$3&gt;=Assumptions!$E$252,C$3&gt;=Assumptions!$B$14,Revenue_Build!C10&gt;=Assumptions!$F$252*Assumptions!$B$51),Assumptions!$D$252,0)</f>
        <v/>
      </c>
      <c r="D37" s="41">
        <f>IF(OR(C37&gt;0,AND(D$3&gt;=Assumptions!$E$252,D$3&gt;=Assumptions!$B$14,Revenue_Build!D10&gt;=Assumptions!$F$252*Assumptions!$B$51)),Assumptions!$D$252,0)</f>
        <v/>
      </c>
      <c r="E37" s="41">
        <f>IF(OR(D37&gt;0,AND(E$3&gt;=Assumptions!$E$252,E$3&gt;=Assumptions!$B$14,Revenue_Build!E10&gt;=Assumptions!$F$252*Assumptions!$B$51)),Assumptions!$D$252,0)</f>
        <v/>
      </c>
      <c r="F37" s="41">
        <f>IF(OR(E37&gt;0,AND(F$3&gt;=Assumptions!$E$252,F$3&gt;=Assumptions!$B$14,Revenue_Build!F10&gt;=Assumptions!$F$252*Assumptions!$B$51)),Assumptions!$D$252,0)</f>
        <v/>
      </c>
      <c r="G37" s="41">
        <f>IF(OR(F37&gt;0,AND(G$3&gt;=Assumptions!$E$252,G$3&gt;=Assumptions!$B$14,Revenue_Build!G10&gt;=Assumptions!$F$252*Assumptions!$B$51)),Assumptions!$D$252,0)</f>
        <v/>
      </c>
      <c r="H37" s="41">
        <f>IF(OR(G37&gt;0,AND(H$3&gt;=Assumptions!$E$252,H$3&gt;=Assumptions!$B$14,Revenue_Build!H10&gt;=Assumptions!$F$252*Assumptions!$B$51)),Assumptions!$D$252,0)</f>
        <v/>
      </c>
      <c r="I37" s="41">
        <f>IF(OR(H37&gt;0,AND(I$3&gt;=Assumptions!$E$252,I$3&gt;=Assumptions!$B$14,Revenue_Build!I10&gt;=Assumptions!$F$252*Assumptions!$B$51)),Assumptions!$D$252,0)</f>
        <v/>
      </c>
      <c r="J37" s="41">
        <f>IF(OR(I37&gt;0,AND(J$3&gt;=Assumptions!$E$252,J$3&gt;=Assumptions!$B$14,Revenue_Build!J10&gt;=Assumptions!$F$252*Assumptions!$B$51)),Assumptions!$D$252,0)</f>
        <v/>
      </c>
      <c r="K37" s="41">
        <f>IF(OR(J37&gt;0,AND(K$3&gt;=Assumptions!$E$252,K$3&gt;=Assumptions!$B$14,Revenue_Build!K10&gt;=Assumptions!$F$252*Assumptions!$B$51)),Assumptions!$D$252,0)</f>
        <v/>
      </c>
      <c r="L37" s="41">
        <f>IF(OR(K37&gt;0,AND(L$3&gt;=Assumptions!$E$252,L$3&gt;=Assumptions!$B$14,Revenue_Build!L10&gt;=Assumptions!$F$252*Assumptions!$B$51)),Assumptions!$D$252,0)</f>
        <v/>
      </c>
      <c r="M37" s="41">
        <f>IF(OR(L37&gt;0,AND(M$3&gt;=Assumptions!$E$252,M$3&gt;=Assumptions!$B$14,Revenue_Build!M10&gt;=Assumptions!$F$252*Assumptions!$B$51)),Assumptions!$D$252,0)</f>
        <v/>
      </c>
      <c r="N37" s="41">
        <f>IF(OR(M37&gt;0,AND(N$3&gt;=Assumptions!$E$252,N$3&gt;=Assumptions!$B$14,Revenue_Build!N10&gt;=Assumptions!$F$252*Assumptions!$B$51)),Assumptions!$D$252,0)</f>
        <v/>
      </c>
      <c r="O37" s="41">
        <f>IF(OR(N37&gt;0,AND(O$3&gt;=Assumptions!$E$252,O$3&gt;=Assumptions!$B$14,Revenue_Build!O10&gt;=Assumptions!$F$252*Assumptions!$B$51)),Assumptions!$D$252,0)</f>
        <v/>
      </c>
      <c r="P37" s="41">
        <f>IF(OR(O37&gt;0,AND(P$3&gt;=Assumptions!$E$252,P$3&gt;=Assumptions!$B$14,Revenue_Build!P10&gt;=Assumptions!$F$252*Assumptions!$B$51)),Assumptions!$D$252,0)</f>
        <v/>
      </c>
      <c r="Q37" s="41">
        <f>IF(OR(P37&gt;0,AND(Q$3&gt;=Assumptions!$E$252,Q$3&gt;=Assumptions!$B$14,Revenue_Build!Q10&gt;=Assumptions!$F$252*Assumptions!$B$51)),Assumptions!$D$252,0)</f>
        <v/>
      </c>
      <c r="R37" s="41">
        <f>IF(OR(Q37&gt;0,AND(R$3&gt;=Assumptions!$E$252,R$3&gt;=Assumptions!$B$14,Revenue_Build!R10&gt;=Assumptions!$F$252*Assumptions!$B$51)),Assumptions!$D$252,0)</f>
        <v/>
      </c>
      <c r="S37" s="41">
        <f>IF(OR(R37&gt;0,AND(S$3&gt;=Assumptions!$E$252,S$3&gt;=Assumptions!$B$14,Revenue_Build!S10&gt;=Assumptions!$F$252*Assumptions!$B$51)),Assumptions!$D$252,0)</f>
        <v/>
      </c>
      <c r="T37" s="41">
        <f>IF(OR(S37&gt;0,AND(T$3&gt;=Assumptions!$E$252,T$3&gt;=Assumptions!$B$14,Revenue_Build!T10&gt;=Assumptions!$F$252*Assumptions!$B$51)),Assumptions!$D$252,0)</f>
        <v/>
      </c>
      <c r="U37" s="41">
        <f>IF(OR(T37&gt;0,AND(U$3&gt;=Assumptions!$E$252,U$3&gt;=Assumptions!$B$14,Revenue_Build!U10&gt;=Assumptions!$F$252*Assumptions!$B$51)),Assumptions!$D$252,0)</f>
        <v/>
      </c>
      <c r="V37" s="41">
        <f>IF(OR(U37&gt;0,AND(V$3&gt;=Assumptions!$E$252,V$3&gt;=Assumptions!$B$14,Revenue_Build!V10&gt;=Assumptions!$F$252*Assumptions!$B$51)),Assumptions!$D$252,0)</f>
        <v/>
      </c>
      <c r="W37" s="41">
        <f>IF(OR(V37&gt;0,AND(W$3&gt;=Assumptions!$E$252,W$3&gt;=Assumptions!$B$14,Revenue_Build!W10&gt;=Assumptions!$F$252*Assumptions!$B$51)),Assumptions!$D$252,0)</f>
        <v/>
      </c>
      <c r="X37" s="41">
        <f>IF(OR(W37&gt;0,AND(X$3&gt;=Assumptions!$E$252,X$3&gt;=Assumptions!$B$14,Revenue_Build!X10&gt;=Assumptions!$F$252*Assumptions!$B$51)),Assumptions!$D$252,0)</f>
        <v/>
      </c>
      <c r="Y37" s="41">
        <f>IF(OR(X37&gt;0,AND(Y$3&gt;=Assumptions!$E$252,Y$3&gt;=Assumptions!$B$14,Revenue_Build!Y10&gt;=Assumptions!$F$252*Assumptions!$B$51)),Assumptions!$D$252,0)</f>
        <v/>
      </c>
      <c r="Z37" s="41">
        <f>IF(OR(Y37&gt;0,AND(Z$3&gt;=Assumptions!$E$252,Z$3&gt;=Assumptions!$B$14,Revenue_Build!Z10&gt;=Assumptions!$F$252*Assumptions!$B$51)),Assumptions!$D$252,0)</f>
        <v/>
      </c>
      <c r="AA37" s="41">
        <f>IF(OR(Z37&gt;0,AND(AA$3&gt;=Assumptions!$E$252,AA$3&gt;=Assumptions!$B$14,Revenue_Build!AA10&gt;=Assumptions!$F$252*Assumptions!$B$51)),Assumptions!$D$252,0)</f>
        <v/>
      </c>
      <c r="AB37" s="41">
        <f>IF(OR(AA37&gt;0,AND(AB$3&gt;=Assumptions!$E$252,AB$3&gt;=Assumptions!$B$14,Revenue_Build!AB10&gt;=Assumptions!$F$252*Assumptions!$B$51)),Assumptions!$D$252,0)</f>
        <v/>
      </c>
      <c r="AC37" s="41">
        <f>IF(OR(AB37&gt;0,AND(AC$3&gt;=Assumptions!$E$252,AC$3&gt;=Assumptions!$B$14,Revenue_Build!AC10&gt;=Assumptions!$F$252*Assumptions!$B$51)),Assumptions!$D$252,0)</f>
        <v/>
      </c>
      <c r="AD37" s="41">
        <f>IF(OR(AC37&gt;0,AND(AD$3&gt;=Assumptions!$E$252,AD$3&gt;=Assumptions!$B$14,Revenue_Build!AD10&gt;=Assumptions!$F$252*Assumptions!$B$51)),Assumptions!$D$252,0)</f>
        <v/>
      </c>
      <c r="AE37" s="41">
        <f>IF(OR(AD37&gt;0,AND(AE$3&gt;=Assumptions!$E$252,AE$3&gt;=Assumptions!$B$14,Revenue_Build!AE10&gt;=Assumptions!$F$252*Assumptions!$B$51)),Assumptions!$D$252,0)</f>
        <v/>
      </c>
      <c r="AF37" s="41">
        <f>IF(OR(AE37&gt;0,AND(AF$3&gt;=Assumptions!$E$252,AF$3&gt;=Assumptions!$B$14,Revenue_Build!AF10&gt;=Assumptions!$F$252*Assumptions!$B$51)),Assumptions!$D$252,0)</f>
        <v/>
      </c>
      <c r="AG37" s="41">
        <f>IF(OR(AF37&gt;0,AND(AG$3&gt;=Assumptions!$E$252,AG$3&gt;=Assumptions!$B$14,Revenue_Build!AG10&gt;=Assumptions!$F$252*Assumptions!$B$51)),Assumptions!$D$252,0)</f>
        <v/>
      </c>
      <c r="AH37" s="41">
        <f>IF(OR(AG37&gt;0,AND(AH$3&gt;=Assumptions!$E$252,AH$3&gt;=Assumptions!$B$14,Revenue_Build!AH10&gt;=Assumptions!$F$252*Assumptions!$B$51)),Assumptions!$D$252,0)</f>
        <v/>
      </c>
      <c r="AI37" s="41">
        <f>IF(OR(AH37&gt;0,AND(AI$3&gt;=Assumptions!$E$252,AI$3&gt;=Assumptions!$B$14,Revenue_Build!AI10&gt;=Assumptions!$F$252*Assumptions!$B$51)),Assumptions!$D$252,0)</f>
        <v/>
      </c>
      <c r="AJ37" s="41">
        <f>IF(OR(AI37&gt;0,AND(AJ$3&gt;=Assumptions!$E$252,AJ$3&gt;=Assumptions!$B$14,Revenue_Build!AJ10&gt;=Assumptions!$F$252*Assumptions!$B$51)),Assumptions!$D$252,0)</f>
        <v/>
      </c>
      <c r="AK37" s="41">
        <f>IF(OR(AJ37&gt;0,AND(AK$3&gt;=Assumptions!$E$252,AK$3&gt;=Assumptions!$B$14,Revenue_Build!AK10&gt;=Assumptions!$F$252*Assumptions!$B$51)),Assumptions!$D$252,0)</f>
        <v/>
      </c>
      <c r="AL37" s="41">
        <f>IF(OR(AK37&gt;0,AND(AL$3&gt;=Assumptions!$E$252,AL$3&gt;=Assumptions!$B$14,Revenue_Build!AL10&gt;=Assumptions!$F$252*Assumptions!$B$51)),Assumptions!$D$252,0)</f>
        <v/>
      </c>
      <c r="AM37" s="41">
        <f>IF(OR(AL37&gt;0,AND(AM$3&gt;=Assumptions!$E$252,AM$3&gt;=Assumptions!$B$14,Revenue_Build!AM10&gt;=Assumptions!$F$252*Assumptions!$B$51)),Assumptions!$D$252,0)</f>
        <v/>
      </c>
      <c r="AN37" s="41">
        <f>IF(OR(AM37&gt;0,AND(AN$3&gt;=Assumptions!$E$252,AN$3&gt;=Assumptions!$B$14,Revenue_Build!AN10&gt;=Assumptions!$F$252*Assumptions!$B$51)),Assumptions!$D$252,0)</f>
        <v/>
      </c>
      <c r="AO37" s="41">
        <f>IF(OR(AN37&gt;0,AND(AO$3&gt;=Assumptions!$E$252,AO$3&gt;=Assumptions!$B$14,Revenue_Build!AO10&gt;=Assumptions!$F$252*Assumptions!$B$51)),Assumptions!$D$252,0)</f>
        <v/>
      </c>
      <c r="AP37" s="41">
        <f>IF(OR(AO37&gt;0,AND(AP$3&gt;=Assumptions!$E$252,AP$3&gt;=Assumptions!$B$14,Revenue_Build!AP10&gt;=Assumptions!$F$252*Assumptions!$B$51)),Assumptions!$D$252,0)</f>
        <v/>
      </c>
      <c r="AQ37" s="41">
        <f>IF(OR(AP37&gt;0,AND(AQ$3&gt;=Assumptions!$E$252,AQ$3&gt;=Assumptions!$B$14,Revenue_Build!AQ10&gt;=Assumptions!$F$252*Assumptions!$B$51)),Assumptions!$D$252,0)</f>
        <v/>
      </c>
      <c r="AR37" s="41">
        <f>IF(OR(AQ37&gt;0,AND(AR$3&gt;=Assumptions!$E$252,AR$3&gt;=Assumptions!$B$14,Revenue_Build!AR10&gt;=Assumptions!$F$252*Assumptions!$B$51)),Assumptions!$D$252,0)</f>
        <v/>
      </c>
      <c r="AS37" s="41">
        <f>IF(OR(AR37&gt;0,AND(AS$3&gt;=Assumptions!$E$252,AS$3&gt;=Assumptions!$B$14,Revenue_Build!AS10&gt;=Assumptions!$F$252*Assumptions!$B$51)),Assumptions!$D$252,0)</f>
        <v/>
      </c>
      <c r="AT37" s="41">
        <f>IF(OR(AS37&gt;0,AND(AT$3&gt;=Assumptions!$E$252,AT$3&gt;=Assumptions!$B$14,Revenue_Build!AT10&gt;=Assumptions!$F$252*Assumptions!$B$51)),Assumptions!$D$252,0)</f>
        <v/>
      </c>
      <c r="AU37" s="41">
        <f>IF(OR(AT37&gt;0,AND(AU$3&gt;=Assumptions!$E$252,AU$3&gt;=Assumptions!$B$14,Revenue_Build!AU10&gt;=Assumptions!$F$252*Assumptions!$B$51)),Assumptions!$D$252,0)</f>
        <v/>
      </c>
      <c r="AV37" s="41">
        <f>IF(OR(AU37&gt;0,AND(AV$3&gt;=Assumptions!$E$252,AV$3&gt;=Assumptions!$B$14,Revenue_Build!AV10&gt;=Assumptions!$F$252*Assumptions!$B$51)),Assumptions!$D$252,0)</f>
        <v/>
      </c>
      <c r="AW37" s="41">
        <f>IF(OR(AV37&gt;0,AND(AW$3&gt;=Assumptions!$E$252,AW$3&gt;=Assumptions!$B$14,Revenue_Build!AW10&gt;=Assumptions!$F$252*Assumptions!$B$51)),Assumptions!$D$252,0)</f>
        <v/>
      </c>
      <c r="AX37" s="41">
        <f>IF(OR(AW37&gt;0,AND(AX$3&gt;=Assumptions!$E$252,AX$3&gt;=Assumptions!$B$14,Revenue_Build!AX10&gt;=Assumptions!$F$252*Assumptions!$B$51)),Assumptions!$D$252,0)</f>
        <v/>
      </c>
      <c r="AY37" s="41">
        <f>IF(OR(AX37&gt;0,AND(AY$3&gt;=Assumptions!$E$252,AY$3&gt;=Assumptions!$B$14,Revenue_Build!AY10&gt;=Assumptions!$F$252*Assumptions!$B$51)),Assumptions!$D$252,0)</f>
        <v/>
      </c>
      <c r="AZ37" s="41">
        <f>IF(OR(AY37&gt;0,AND(AZ$3&gt;=Assumptions!$E$252,AZ$3&gt;=Assumptions!$B$14,Revenue_Build!AZ10&gt;=Assumptions!$F$252*Assumptions!$B$51)),Assumptions!$D$252,0)</f>
        <v/>
      </c>
      <c r="BA37" s="41">
        <f>IF(OR(AZ37&gt;0,AND(BA$3&gt;=Assumptions!$E$252,BA$3&gt;=Assumptions!$B$14,Revenue_Build!BA10&gt;=Assumptions!$F$252*Assumptions!$B$51)),Assumptions!$D$252,0)</f>
        <v/>
      </c>
      <c r="BB37" s="41">
        <f>IF(OR(BA37&gt;0,AND(BB$3&gt;=Assumptions!$E$252,BB$3&gt;=Assumptions!$B$14,Revenue_Build!BB10&gt;=Assumptions!$F$252*Assumptions!$B$51)),Assumptions!$D$252,0)</f>
        <v/>
      </c>
      <c r="BC37" s="41">
        <f>IF(OR(BB37&gt;0,AND(BC$3&gt;=Assumptions!$E$252,BC$3&gt;=Assumptions!$B$14,Revenue_Build!BC10&gt;=Assumptions!$F$252*Assumptions!$B$51)),Assumptions!$D$252,0)</f>
        <v/>
      </c>
      <c r="BD37" s="41">
        <f>IF(OR(BC37&gt;0,AND(BD$3&gt;=Assumptions!$E$252,BD$3&gt;=Assumptions!$B$14,Revenue_Build!BD10&gt;=Assumptions!$F$252*Assumptions!$B$51)),Assumptions!$D$252,0)</f>
        <v/>
      </c>
      <c r="BE37" s="41">
        <f>IF(OR(BD37&gt;0,AND(BE$3&gt;=Assumptions!$E$252,BE$3&gt;=Assumptions!$B$14,Revenue_Build!BE10&gt;=Assumptions!$F$252*Assumptions!$B$51)),Assumptions!$D$252,0)</f>
        <v/>
      </c>
      <c r="BF37" s="41">
        <f>IF(OR(BE37&gt;0,AND(BF$3&gt;=Assumptions!$E$252,BF$3&gt;=Assumptions!$B$14,Revenue_Build!BF10&gt;=Assumptions!$F$252*Assumptions!$B$51)),Assumptions!$D$252,0)</f>
        <v/>
      </c>
      <c r="BG37" s="41">
        <f>IF(OR(BF37&gt;0,AND(BG$3&gt;=Assumptions!$E$252,BG$3&gt;=Assumptions!$B$14,Revenue_Build!BG10&gt;=Assumptions!$F$252*Assumptions!$B$51)),Assumptions!$D$252,0)</f>
        <v/>
      </c>
      <c r="BH37" s="41">
        <f>IF(OR(BG37&gt;0,AND(BH$3&gt;=Assumptions!$E$252,BH$3&gt;=Assumptions!$B$14,Revenue_Build!BH10&gt;=Assumptions!$F$252*Assumptions!$B$51)),Assumptions!$D$252,0)</f>
        <v/>
      </c>
      <c r="BI37" s="41">
        <f>IF(OR(BH37&gt;0,AND(BI$3&gt;=Assumptions!$E$252,BI$3&gt;=Assumptions!$B$14,Revenue_Build!BI10&gt;=Assumptions!$F$252*Assumptions!$B$51)),Assumptions!$D$252,0)</f>
        <v/>
      </c>
      <c r="BJ37" s="41">
        <f>IF(OR(BI37&gt;0,AND(BJ$3&gt;=Assumptions!$E$252,BJ$3&gt;=Assumptions!$B$14,Revenue_Build!BJ10&gt;=Assumptions!$F$252*Assumptions!$B$51)),Assumptions!$D$252,0)</f>
        <v/>
      </c>
    </row>
    <row r="38">
      <c r="A38" s="4" t="inlineStr">
        <is>
          <t>SME onboarding &amp; sales-assist</t>
        </is>
      </c>
      <c r="B38" s="17" t="inlineStr">
        <is>
          <t>FTE</t>
        </is>
      </c>
      <c r="C38" s="41">
        <f>IF(AND(C$3&gt;=Assumptions!$E$253,C$3&gt;=Assumptions!$B$14,Revenue_Build!C10&gt;=Assumptions!$F$253*Assumptions!$B$51),Assumptions!$D$253,0)</f>
        <v/>
      </c>
      <c r="D38" s="41">
        <f>IF(OR(C38&gt;0,AND(D$3&gt;=Assumptions!$E$253,D$3&gt;=Assumptions!$B$14,Revenue_Build!D10&gt;=Assumptions!$F$253*Assumptions!$B$51)),Assumptions!$D$253,0)</f>
        <v/>
      </c>
      <c r="E38" s="41">
        <f>IF(OR(D38&gt;0,AND(E$3&gt;=Assumptions!$E$253,E$3&gt;=Assumptions!$B$14,Revenue_Build!E10&gt;=Assumptions!$F$253*Assumptions!$B$51)),Assumptions!$D$253,0)</f>
        <v/>
      </c>
      <c r="F38" s="41">
        <f>IF(OR(E38&gt;0,AND(F$3&gt;=Assumptions!$E$253,F$3&gt;=Assumptions!$B$14,Revenue_Build!F10&gt;=Assumptions!$F$253*Assumptions!$B$51)),Assumptions!$D$253,0)</f>
        <v/>
      </c>
      <c r="G38" s="41">
        <f>IF(OR(F38&gt;0,AND(G$3&gt;=Assumptions!$E$253,G$3&gt;=Assumptions!$B$14,Revenue_Build!G10&gt;=Assumptions!$F$253*Assumptions!$B$51)),Assumptions!$D$253,0)</f>
        <v/>
      </c>
      <c r="H38" s="41">
        <f>IF(OR(G38&gt;0,AND(H$3&gt;=Assumptions!$E$253,H$3&gt;=Assumptions!$B$14,Revenue_Build!H10&gt;=Assumptions!$F$253*Assumptions!$B$51)),Assumptions!$D$253,0)</f>
        <v/>
      </c>
      <c r="I38" s="41">
        <f>IF(OR(H38&gt;0,AND(I$3&gt;=Assumptions!$E$253,I$3&gt;=Assumptions!$B$14,Revenue_Build!I10&gt;=Assumptions!$F$253*Assumptions!$B$51)),Assumptions!$D$253,0)</f>
        <v/>
      </c>
      <c r="J38" s="41">
        <f>IF(OR(I38&gt;0,AND(J$3&gt;=Assumptions!$E$253,J$3&gt;=Assumptions!$B$14,Revenue_Build!J10&gt;=Assumptions!$F$253*Assumptions!$B$51)),Assumptions!$D$253,0)</f>
        <v/>
      </c>
      <c r="K38" s="41">
        <f>IF(OR(J38&gt;0,AND(K$3&gt;=Assumptions!$E$253,K$3&gt;=Assumptions!$B$14,Revenue_Build!K10&gt;=Assumptions!$F$253*Assumptions!$B$51)),Assumptions!$D$253,0)</f>
        <v/>
      </c>
      <c r="L38" s="41">
        <f>IF(OR(K38&gt;0,AND(L$3&gt;=Assumptions!$E$253,L$3&gt;=Assumptions!$B$14,Revenue_Build!L10&gt;=Assumptions!$F$253*Assumptions!$B$51)),Assumptions!$D$253,0)</f>
        <v/>
      </c>
      <c r="M38" s="41">
        <f>IF(OR(L38&gt;0,AND(M$3&gt;=Assumptions!$E$253,M$3&gt;=Assumptions!$B$14,Revenue_Build!M10&gt;=Assumptions!$F$253*Assumptions!$B$51)),Assumptions!$D$253,0)</f>
        <v/>
      </c>
      <c r="N38" s="41">
        <f>IF(OR(M38&gt;0,AND(N$3&gt;=Assumptions!$E$253,N$3&gt;=Assumptions!$B$14,Revenue_Build!N10&gt;=Assumptions!$F$253*Assumptions!$B$51)),Assumptions!$D$253,0)</f>
        <v/>
      </c>
      <c r="O38" s="41">
        <f>IF(OR(N38&gt;0,AND(O$3&gt;=Assumptions!$E$253,O$3&gt;=Assumptions!$B$14,Revenue_Build!O10&gt;=Assumptions!$F$253*Assumptions!$B$51)),Assumptions!$D$253,0)</f>
        <v/>
      </c>
      <c r="P38" s="41">
        <f>IF(OR(O38&gt;0,AND(P$3&gt;=Assumptions!$E$253,P$3&gt;=Assumptions!$B$14,Revenue_Build!P10&gt;=Assumptions!$F$253*Assumptions!$B$51)),Assumptions!$D$253,0)</f>
        <v/>
      </c>
      <c r="Q38" s="41">
        <f>IF(OR(P38&gt;0,AND(Q$3&gt;=Assumptions!$E$253,Q$3&gt;=Assumptions!$B$14,Revenue_Build!Q10&gt;=Assumptions!$F$253*Assumptions!$B$51)),Assumptions!$D$253,0)</f>
        <v/>
      </c>
      <c r="R38" s="41">
        <f>IF(OR(Q38&gt;0,AND(R$3&gt;=Assumptions!$E$253,R$3&gt;=Assumptions!$B$14,Revenue_Build!R10&gt;=Assumptions!$F$253*Assumptions!$B$51)),Assumptions!$D$253,0)</f>
        <v/>
      </c>
      <c r="S38" s="41">
        <f>IF(OR(R38&gt;0,AND(S$3&gt;=Assumptions!$E$253,S$3&gt;=Assumptions!$B$14,Revenue_Build!S10&gt;=Assumptions!$F$253*Assumptions!$B$51)),Assumptions!$D$253,0)</f>
        <v/>
      </c>
      <c r="T38" s="41">
        <f>IF(OR(S38&gt;0,AND(T$3&gt;=Assumptions!$E$253,T$3&gt;=Assumptions!$B$14,Revenue_Build!T10&gt;=Assumptions!$F$253*Assumptions!$B$51)),Assumptions!$D$253,0)</f>
        <v/>
      </c>
      <c r="U38" s="41">
        <f>IF(OR(T38&gt;0,AND(U$3&gt;=Assumptions!$E$253,U$3&gt;=Assumptions!$B$14,Revenue_Build!U10&gt;=Assumptions!$F$253*Assumptions!$B$51)),Assumptions!$D$253,0)</f>
        <v/>
      </c>
      <c r="V38" s="41">
        <f>IF(OR(U38&gt;0,AND(V$3&gt;=Assumptions!$E$253,V$3&gt;=Assumptions!$B$14,Revenue_Build!V10&gt;=Assumptions!$F$253*Assumptions!$B$51)),Assumptions!$D$253,0)</f>
        <v/>
      </c>
      <c r="W38" s="41">
        <f>IF(OR(V38&gt;0,AND(W$3&gt;=Assumptions!$E$253,W$3&gt;=Assumptions!$B$14,Revenue_Build!W10&gt;=Assumptions!$F$253*Assumptions!$B$51)),Assumptions!$D$253,0)</f>
        <v/>
      </c>
      <c r="X38" s="41">
        <f>IF(OR(W38&gt;0,AND(X$3&gt;=Assumptions!$E$253,X$3&gt;=Assumptions!$B$14,Revenue_Build!X10&gt;=Assumptions!$F$253*Assumptions!$B$51)),Assumptions!$D$253,0)</f>
        <v/>
      </c>
      <c r="Y38" s="41">
        <f>IF(OR(X38&gt;0,AND(Y$3&gt;=Assumptions!$E$253,Y$3&gt;=Assumptions!$B$14,Revenue_Build!Y10&gt;=Assumptions!$F$253*Assumptions!$B$51)),Assumptions!$D$253,0)</f>
        <v/>
      </c>
      <c r="Z38" s="41">
        <f>IF(OR(Y38&gt;0,AND(Z$3&gt;=Assumptions!$E$253,Z$3&gt;=Assumptions!$B$14,Revenue_Build!Z10&gt;=Assumptions!$F$253*Assumptions!$B$51)),Assumptions!$D$253,0)</f>
        <v/>
      </c>
      <c r="AA38" s="41">
        <f>IF(OR(Z38&gt;0,AND(AA$3&gt;=Assumptions!$E$253,AA$3&gt;=Assumptions!$B$14,Revenue_Build!AA10&gt;=Assumptions!$F$253*Assumptions!$B$51)),Assumptions!$D$253,0)</f>
        <v/>
      </c>
      <c r="AB38" s="41">
        <f>IF(OR(AA38&gt;0,AND(AB$3&gt;=Assumptions!$E$253,AB$3&gt;=Assumptions!$B$14,Revenue_Build!AB10&gt;=Assumptions!$F$253*Assumptions!$B$51)),Assumptions!$D$253,0)</f>
        <v/>
      </c>
      <c r="AC38" s="41">
        <f>IF(OR(AB38&gt;0,AND(AC$3&gt;=Assumptions!$E$253,AC$3&gt;=Assumptions!$B$14,Revenue_Build!AC10&gt;=Assumptions!$F$253*Assumptions!$B$51)),Assumptions!$D$253,0)</f>
        <v/>
      </c>
      <c r="AD38" s="41">
        <f>IF(OR(AC38&gt;0,AND(AD$3&gt;=Assumptions!$E$253,AD$3&gt;=Assumptions!$B$14,Revenue_Build!AD10&gt;=Assumptions!$F$253*Assumptions!$B$51)),Assumptions!$D$253,0)</f>
        <v/>
      </c>
      <c r="AE38" s="41">
        <f>IF(OR(AD38&gt;0,AND(AE$3&gt;=Assumptions!$E$253,AE$3&gt;=Assumptions!$B$14,Revenue_Build!AE10&gt;=Assumptions!$F$253*Assumptions!$B$51)),Assumptions!$D$253,0)</f>
        <v/>
      </c>
      <c r="AF38" s="41">
        <f>IF(OR(AE38&gt;0,AND(AF$3&gt;=Assumptions!$E$253,AF$3&gt;=Assumptions!$B$14,Revenue_Build!AF10&gt;=Assumptions!$F$253*Assumptions!$B$51)),Assumptions!$D$253,0)</f>
        <v/>
      </c>
      <c r="AG38" s="41">
        <f>IF(OR(AF38&gt;0,AND(AG$3&gt;=Assumptions!$E$253,AG$3&gt;=Assumptions!$B$14,Revenue_Build!AG10&gt;=Assumptions!$F$253*Assumptions!$B$51)),Assumptions!$D$253,0)</f>
        <v/>
      </c>
      <c r="AH38" s="41">
        <f>IF(OR(AG38&gt;0,AND(AH$3&gt;=Assumptions!$E$253,AH$3&gt;=Assumptions!$B$14,Revenue_Build!AH10&gt;=Assumptions!$F$253*Assumptions!$B$51)),Assumptions!$D$253,0)</f>
        <v/>
      </c>
      <c r="AI38" s="41">
        <f>IF(OR(AH38&gt;0,AND(AI$3&gt;=Assumptions!$E$253,AI$3&gt;=Assumptions!$B$14,Revenue_Build!AI10&gt;=Assumptions!$F$253*Assumptions!$B$51)),Assumptions!$D$253,0)</f>
        <v/>
      </c>
      <c r="AJ38" s="41">
        <f>IF(OR(AI38&gt;0,AND(AJ$3&gt;=Assumptions!$E$253,AJ$3&gt;=Assumptions!$B$14,Revenue_Build!AJ10&gt;=Assumptions!$F$253*Assumptions!$B$51)),Assumptions!$D$253,0)</f>
        <v/>
      </c>
      <c r="AK38" s="41">
        <f>IF(OR(AJ38&gt;0,AND(AK$3&gt;=Assumptions!$E$253,AK$3&gt;=Assumptions!$B$14,Revenue_Build!AK10&gt;=Assumptions!$F$253*Assumptions!$B$51)),Assumptions!$D$253,0)</f>
        <v/>
      </c>
      <c r="AL38" s="41">
        <f>IF(OR(AK38&gt;0,AND(AL$3&gt;=Assumptions!$E$253,AL$3&gt;=Assumptions!$B$14,Revenue_Build!AL10&gt;=Assumptions!$F$253*Assumptions!$B$51)),Assumptions!$D$253,0)</f>
        <v/>
      </c>
      <c r="AM38" s="41">
        <f>IF(OR(AL38&gt;0,AND(AM$3&gt;=Assumptions!$E$253,AM$3&gt;=Assumptions!$B$14,Revenue_Build!AM10&gt;=Assumptions!$F$253*Assumptions!$B$51)),Assumptions!$D$253,0)</f>
        <v/>
      </c>
      <c r="AN38" s="41">
        <f>IF(OR(AM38&gt;0,AND(AN$3&gt;=Assumptions!$E$253,AN$3&gt;=Assumptions!$B$14,Revenue_Build!AN10&gt;=Assumptions!$F$253*Assumptions!$B$51)),Assumptions!$D$253,0)</f>
        <v/>
      </c>
      <c r="AO38" s="41">
        <f>IF(OR(AN38&gt;0,AND(AO$3&gt;=Assumptions!$E$253,AO$3&gt;=Assumptions!$B$14,Revenue_Build!AO10&gt;=Assumptions!$F$253*Assumptions!$B$51)),Assumptions!$D$253,0)</f>
        <v/>
      </c>
      <c r="AP38" s="41">
        <f>IF(OR(AO38&gt;0,AND(AP$3&gt;=Assumptions!$E$253,AP$3&gt;=Assumptions!$B$14,Revenue_Build!AP10&gt;=Assumptions!$F$253*Assumptions!$B$51)),Assumptions!$D$253,0)</f>
        <v/>
      </c>
      <c r="AQ38" s="41">
        <f>IF(OR(AP38&gt;0,AND(AQ$3&gt;=Assumptions!$E$253,AQ$3&gt;=Assumptions!$B$14,Revenue_Build!AQ10&gt;=Assumptions!$F$253*Assumptions!$B$51)),Assumptions!$D$253,0)</f>
        <v/>
      </c>
      <c r="AR38" s="41">
        <f>IF(OR(AQ38&gt;0,AND(AR$3&gt;=Assumptions!$E$253,AR$3&gt;=Assumptions!$B$14,Revenue_Build!AR10&gt;=Assumptions!$F$253*Assumptions!$B$51)),Assumptions!$D$253,0)</f>
        <v/>
      </c>
      <c r="AS38" s="41">
        <f>IF(OR(AR38&gt;0,AND(AS$3&gt;=Assumptions!$E$253,AS$3&gt;=Assumptions!$B$14,Revenue_Build!AS10&gt;=Assumptions!$F$253*Assumptions!$B$51)),Assumptions!$D$253,0)</f>
        <v/>
      </c>
      <c r="AT38" s="41">
        <f>IF(OR(AS38&gt;0,AND(AT$3&gt;=Assumptions!$E$253,AT$3&gt;=Assumptions!$B$14,Revenue_Build!AT10&gt;=Assumptions!$F$253*Assumptions!$B$51)),Assumptions!$D$253,0)</f>
        <v/>
      </c>
      <c r="AU38" s="41">
        <f>IF(OR(AT38&gt;0,AND(AU$3&gt;=Assumptions!$E$253,AU$3&gt;=Assumptions!$B$14,Revenue_Build!AU10&gt;=Assumptions!$F$253*Assumptions!$B$51)),Assumptions!$D$253,0)</f>
        <v/>
      </c>
      <c r="AV38" s="41">
        <f>IF(OR(AU38&gt;0,AND(AV$3&gt;=Assumptions!$E$253,AV$3&gt;=Assumptions!$B$14,Revenue_Build!AV10&gt;=Assumptions!$F$253*Assumptions!$B$51)),Assumptions!$D$253,0)</f>
        <v/>
      </c>
      <c r="AW38" s="41">
        <f>IF(OR(AV38&gt;0,AND(AW$3&gt;=Assumptions!$E$253,AW$3&gt;=Assumptions!$B$14,Revenue_Build!AW10&gt;=Assumptions!$F$253*Assumptions!$B$51)),Assumptions!$D$253,0)</f>
        <v/>
      </c>
      <c r="AX38" s="41">
        <f>IF(OR(AW38&gt;0,AND(AX$3&gt;=Assumptions!$E$253,AX$3&gt;=Assumptions!$B$14,Revenue_Build!AX10&gt;=Assumptions!$F$253*Assumptions!$B$51)),Assumptions!$D$253,0)</f>
        <v/>
      </c>
      <c r="AY38" s="41">
        <f>IF(OR(AX38&gt;0,AND(AY$3&gt;=Assumptions!$E$253,AY$3&gt;=Assumptions!$B$14,Revenue_Build!AY10&gt;=Assumptions!$F$253*Assumptions!$B$51)),Assumptions!$D$253,0)</f>
        <v/>
      </c>
      <c r="AZ38" s="41">
        <f>IF(OR(AY38&gt;0,AND(AZ$3&gt;=Assumptions!$E$253,AZ$3&gt;=Assumptions!$B$14,Revenue_Build!AZ10&gt;=Assumptions!$F$253*Assumptions!$B$51)),Assumptions!$D$253,0)</f>
        <v/>
      </c>
      <c r="BA38" s="41">
        <f>IF(OR(AZ38&gt;0,AND(BA$3&gt;=Assumptions!$E$253,BA$3&gt;=Assumptions!$B$14,Revenue_Build!BA10&gt;=Assumptions!$F$253*Assumptions!$B$51)),Assumptions!$D$253,0)</f>
        <v/>
      </c>
      <c r="BB38" s="41">
        <f>IF(OR(BA38&gt;0,AND(BB$3&gt;=Assumptions!$E$253,BB$3&gt;=Assumptions!$B$14,Revenue_Build!BB10&gt;=Assumptions!$F$253*Assumptions!$B$51)),Assumptions!$D$253,0)</f>
        <v/>
      </c>
      <c r="BC38" s="41">
        <f>IF(OR(BB38&gt;0,AND(BC$3&gt;=Assumptions!$E$253,BC$3&gt;=Assumptions!$B$14,Revenue_Build!BC10&gt;=Assumptions!$F$253*Assumptions!$B$51)),Assumptions!$D$253,0)</f>
        <v/>
      </c>
      <c r="BD38" s="41">
        <f>IF(OR(BC38&gt;0,AND(BD$3&gt;=Assumptions!$E$253,BD$3&gt;=Assumptions!$B$14,Revenue_Build!BD10&gt;=Assumptions!$F$253*Assumptions!$B$51)),Assumptions!$D$253,0)</f>
        <v/>
      </c>
      <c r="BE38" s="41">
        <f>IF(OR(BD38&gt;0,AND(BE$3&gt;=Assumptions!$E$253,BE$3&gt;=Assumptions!$B$14,Revenue_Build!BE10&gt;=Assumptions!$F$253*Assumptions!$B$51)),Assumptions!$D$253,0)</f>
        <v/>
      </c>
      <c r="BF38" s="41">
        <f>IF(OR(BE38&gt;0,AND(BF$3&gt;=Assumptions!$E$253,BF$3&gt;=Assumptions!$B$14,Revenue_Build!BF10&gt;=Assumptions!$F$253*Assumptions!$B$51)),Assumptions!$D$253,0)</f>
        <v/>
      </c>
      <c r="BG38" s="41">
        <f>IF(OR(BF38&gt;0,AND(BG$3&gt;=Assumptions!$E$253,BG$3&gt;=Assumptions!$B$14,Revenue_Build!BG10&gt;=Assumptions!$F$253*Assumptions!$B$51)),Assumptions!$D$253,0)</f>
        <v/>
      </c>
      <c r="BH38" s="41">
        <f>IF(OR(BG38&gt;0,AND(BH$3&gt;=Assumptions!$E$253,BH$3&gt;=Assumptions!$B$14,Revenue_Build!BH10&gt;=Assumptions!$F$253*Assumptions!$B$51)),Assumptions!$D$253,0)</f>
        <v/>
      </c>
      <c r="BI38" s="41">
        <f>IF(OR(BH38&gt;0,AND(BI$3&gt;=Assumptions!$E$253,BI$3&gt;=Assumptions!$B$14,Revenue_Build!BI10&gt;=Assumptions!$F$253*Assumptions!$B$51)),Assumptions!$D$253,0)</f>
        <v/>
      </c>
      <c r="BJ38" s="41">
        <f>IF(OR(BI38&gt;0,AND(BJ$3&gt;=Assumptions!$E$253,BJ$3&gt;=Assumptions!$B$14,Revenue_Build!BJ10&gt;=Assumptions!$F$253*Assumptions!$B$51)),Assumptions!$D$253,0)</f>
        <v/>
      </c>
    </row>
    <row r="39">
      <c r="A39" s="4" t="inlineStr">
        <is>
          <t>Head of Sales &amp; Partnerships</t>
        </is>
      </c>
      <c r="B39" s="17" t="inlineStr">
        <is>
          <t>FTE</t>
        </is>
      </c>
      <c r="C39" s="41">
        <f>IF(AND(C$3&gt;=Assumptions!$E$254,C$3&gt;=Assumptions!$B$14,Revenue_Build!C10&gt;=Assumptions!$F$254*Assumptions!$B$51),Assumptions!$D$254,0)</f>
        <v/>
      </c>
      <c r="D39" s="41">
        <f>IF(OR(C39&gt;0,AND(D$3&gt;=Assumptions!$E$254,D$3&gt;=Assumptions!$B$14,Revenue_Build!D10&gt;=Assumptions!$F$254*Assumptions!$B$51)),Assumptions!$D$254,0)</f>
        <v/>
      </c>
      <c r="E39" s="41">
        <f>IF(OR(D39&gt;0,AND(E$3&gt;=Assumptions!$E$254,E$3&gt;=Assumptions!$B$14,Revenue_Build!E10&gt;=Assumptions!$F$254*Assumptions!$B$51)),Assumptions!$D$254,0)</f>
        <v/>
      </c>
      <c r="F39" s="41">
        <f>IF(OR(E39&gt;0,AND(F$3&gt;=Assumptions!$E$254,F$3&gt;=Assumptions!$B$14,Revenue_Build!F10&gt;=Assumptions!$F$254*Assumptions!$B$51)),Assumptions!$D$254,0)</f>
        <v/>
      </c>
      <c r="G39" s="41">
        <f>IF(OR(F39&gt;0,AND(G$3&gt;=Assumptions!$E$254,G$3&gt;=Assumptions!$B$14,Revenue_Build!G10&gt;=Assumptions!$F$254*Assumptions!$B$51)),Assumptions!$D$254,0)</f>
        <v/>
      </c>
      <c r="H39" s="41">
        <f>IF(OR(G39&gt;0,AND(H$3&gt;=Assumptions!$E$254,H$3&gt;=Assumptions!$B$14,Revenue_Build!H10&gt;=Assumptions!$F$254*Assumptions!$B$51)),Assumptions!$D$254,0)</f>
        <v/>
      </c>
      <c r="I39" s="41">
        <f>IF(OR(H39&gt;0,AND(I$3&gt;=Assumptions!$E$254,I$3&gt;=Assumptions!$B$14,Revenue_Build!I10&gt;=Assumptions!$F$254*Assumptions!$B$51)),Assumptions!$D$254,0)</f>
        <v/>
      </c>
      <c r="J39" s="41">
        <f>IF(OR(I39&gt;0,AND(J$3&gt;=Assumptions!$E$254,J$3&gt;=Assumptions!$B$14,Revenue_Build!J10&gt;=Assumptions!$F$254*Assumptions!$B$51)),Assumptions!$D$254,0)</f>
        <v/>
      </c>
      <c r="K39" s="41">
        <f>IF(OR(J39&gt;0,AND(K$3&gt;=Assumptions!$E$254,K$3&gt;=Assumptions!$B$14,Revenue_Build!K10&gt;=Assumptions!$F$254*Assumptions!$B$51)),Assumptions!$D$254,0)</f>
        <v/>
      </c>
      <c r="L39" s="41">
        <f>IF(OR(K39&gt;0,AND(L$3&gt;=Assumptions!$E$254,L$3&gt;=Assumptions!$B$14,Revenue_Build!L10&gt;=Assumptions!$F$254*Assumptions!$B$51)),Assumptions!$D$254,0)</f>
        <v/>
      </c>
      <c r="M39" s="41">
        <f>IF(OR(L39&gt;0,AND(M$3&gt;=Assumptions!$E$254,M$3&gt;=Assumptions!$B$14,Revenue_Build!M10&gt;=Assumptions!$F$254*Assumptions!$B$51)),Assumptions!$D$254,0)</f>
        <v/>
      </c>
      <c r="N39" s="41">
        <f>IF(OR(M39&gt;0,AND(N$3&gt;=Assumptions!$E$254,N$3&gt;=Assumptions!$B$14,Revenue_Build!N10&gt;=Assumptions!$F$254*Assumptions!$B$51)),Assumptions!$D$254,0)</f>
        <v/>
      </c>
      <c r="O39" s="41">
        <f>IF(OR(N39&gt;0,AND(O$3&gt;=Assumptions!$E$254,O$3&gt;=Assumptions!$B$14,Revenue_Build!O10&gt;=Assumptions!$F$254*Assumptions!$B$51)),Assumptions!$D$254,0)</f>
        <v/>
      </c>
      <c r="P39" s="41">
        <f>IF(OR(O39&gt;0,AND(P$3&gt;=Assumptions!$E$254,P$3&gt;=Assumptions!$B$14,Revenue_Build!P10&gt;=Assumptions!$F$254*Assumptions!$B$51)),Assumptions!$D$254,0)</f>
        <v/>
      </c>
      <c r="Q39" s="41">
        <f>IF(OR(P39&gt;0,AND(Q$3&gt;=Assumptions!$E$254,Q$3&gt;=Assumptions!$B$14,Revenue_Build!Q10&gt;=Assumptions!$F$254*Assumptions!$B$51)),Assumptions!$D$254,0)</f>
        <v/>
      </c>
      <c r="R39" s="41">
        <f>IF(OR(Q39&gt;0,AND(R$3&gt;=Assumptions!$E$254,R$3&gt;=Assumptions!$B$14,Revenue_Build!R10&gt;=Assumptions!$F$254*Assumptions!$B$51)),Assumptions!$D$254,0)</f>
        <v/>
      </c>
      <c r="S39" s="41">
        <f>IF(OR(R39&gt;0,AND(S$3&gt;=Assumptions!$E$254,S$3&gt;=Assumptions!$B$14,Revenue_Build!S10&gt;=Assumptions!$F$254*Assumptions!$B$51)),Assumptions!$D$254,0)</f>
        <v/>
      </c>
      <c r="T39" s="41">
        <f>IF(OR(S39&gt;0,AND(T$3&gt;=Assumptions!$E$254,T$3&gt;=Assumptions!$B$14,Revenue_Build!T10&gt;=Assumptions!$F$254*Assumptions!$B$51)),Assumptions!$D$254,0)</f>
        <v/>
      </c>
      <c r="U39" s="41">
        <f>IF(OR(T39&gt;0,AND(U$3&gt;=Assumptions!$E$254,U$3&gt;=Assumptions!$B$14,Revenue_Build!U10&gt;=Assumptions!$F$254*Assumptions!$B$51)),Assumptions!$D$254,0)</f>
        <v/>
      </c>
      <c r="V39" s="41">
        <f>IF(OR(U39&gt;0,AND(V$3&gt;=Assumptions!$E$254,V$3&gt;=Assumptions!$B$14,Revenue_Build!V10&gt;=Assumptions!$F$254*Assumptions!$B$51)),Assumptions!$D$254,0)</f>
        <v/>
      </c>
      <c r="W39" s="41">
        <f>IF(OR(V39&gt;0,AND(W$3&gt;=Assumptions!$E$254,W$3&gt;=Assumptions!$B$14,Revenue_Build!W10&gt;=Assumptions!$F$254*Assumptions!$B$51)),Assumptions!$D$254,0)</f>
        <v/>
      </c>
      <c r="X39" s="41">
        <f>IF(OR(W39&gt;0,AND(X$3&gt;=Assumptions!$E$254,X$3&gt;=Assumptions!$B$14,Revenue_Build!X10&gt;=Assumptions!$F$254*Assumptions!$B$51)),Assumptions!$D$254,0)</f>
        <v/>
      </c>
      <c r="Y39" s="41">
        <f>IF(OR(X39&gt;0,AND(Y$3&gt;=Assumptions!$E$254,Y$3&gt;=Assumptions!$B$14,Revenue_Build!Y10&gt;=Assumptions!$F$254*Assumptions!$B$51)),Assumptions!$D$254,0)</f>
        <v/>
      </c>
      <c r="Z39" s="41">
        <f>IF(OR(Y39&gt;0,AND(Z$3&gt;=Assumptions!$E$254,Z$3&gt;=Assumptions!$B$14,Revenue_Build!Z10&gt;=Assumptions!$F$254*Assumptions!$B$51)),Assumptions!$D$254,0)</f>
        <v/>
      </c>
      <c r="AA39" s="41">
        <f>IF(OR(Z39&gt;0,AND(AA$3&gt;=Assumptions!$E$254,AA$3&gt;=Assumptions!$B$14,Revenue_Build!AA10&gt;=Assumptions!$F$254*Assumptions!$B$51)),Assumptions!$D$254,0)</f>
        <v/>
      </c>
      <c r="AB39" s="41">
        <f>IF(OR(AA39&gt;0,AND(AB$3&gt;=Assumptions!$E$254,AB$3&gt;=Assumptions!$B$14,Revenue_Build!AB10&gt;=Assumptions!$F$254*Assumptions!$B$51)),Assumptions!$D$254,0)</f>
        <v/>
      </c>
      <c r="AC39" s="41">
        <f>IF(OR(AB39&gt;0,AND(AC$3&gt;=Assumptions!$E$254,AC$3&gt;=Assumptions!$B$14,Revenue_Build!AC10&gt;=Assumptions!$F$254*Assumptions!$B$51)),Assumptions!$D$254,0)</f>
        <v/>
      </c>
      <c r="AD39" s="41">
        <f>IF(OR(AC39&gt;0,AND(AD$3&gt;=Assumptions!$E$254,AD$3&gt;=Assumptions!$B$14,Revenue_Build!AD10&gt;=Assumptions!$F$254*Assumptions!$B$51)),Assumptions!$D$254,0)</f>
        <v/>
      </c>
      <c r="AE39" s="41">
        <f>IF(OR(AD39&gt;0,AND(AE$3&gt;=Assumptions!$E$254,AE$3&gt;=Assumptions!$B$14,Revenue_Build!AE10&gt;=Assumptions!$F$254*Assumptions!$B$51)),Assumptions!$D$254,0)</f>
        <v/>
      </c>
      <c r="AF39" s="41">
        <f>IF(OR(AE39&gt;0,AND(AF$3&gt;=Assumptions!$E$254,AF$3&gt;=Assumptions!$B$14,Revenue_Build!AF10&gt;=Assumptions!$F$254*Assumptions!$B$51)),Assumptions!$D$254,0)</f>
        <v/>
      </c>
      <c r="AG39" s="41">
        <f>IF(OR(AF39&gt;0,AND(AG$3&gt;=Assumptions!$E$254,AG$3&gt;=Assumptions!$B$14,Revenue_Build!AG10&gt;=Assumptions!$F$254*Assumptions!$B$51)),Assumptions!$D$254,0)</f>
        <v/>
      </c>
      <c r="AH39" s="41">
        <f>IF(OR(AG39&gt;0,AND(AH$3&gt;=Assumptions!$E$254,AH$3&gt;=Assumptions!$B$14,Revenue_Build!AH10&gt;=Assumptions!$F$254*Assumptions!$B$51)),Assumptions!$D$254,0)</f>
        <v/>
      </c>
      <c r="AI39" s="41">
        <f>IF(OR(AH39&gt;0,AND(AI$3&gt;=Assumptions!$E$254,AI$3&gt;=Assumptions!$B$14,Revenue_Build!AI10&gt;=Assumptions!$F$254*Assumptions!$B$51)),Assumptions!$D$254,0)</f>
        <v/>
      </c>
      <c r="AJ39" s="41">
        <f>IF(OR(AI39&gt;0,AND(AJ$3&gt;=Assumptions!$E$254,AJ$3&gt;=Assumptions!$B$14,Revenue_Build!AJ10&gt;=Assumptions!$F$254*Assumptions!$B$51)),Assumptions!$D$254,0)</f>
        <v/>
      </c>
      <c r="AK39" s="41">
        <f>IF(OR(AJ39&gt;0,AND(AK$3&gt;=Assumptions!$E$254,AK$3&gt;=Assumptions!$B$14,Revenue_Build!AK10&gt;=Assumptions!$F$254*Assumptions!$B$51)),Assumptions!$D$254,0)</f>
        <v/>
      </c>
      <c r="AL39" s="41">
        <f>IF(OR(AK39&gt;0,AND(AL$3&gt;=Assumptions!$E$254,AL$3&gt;=Assumptions!$B$14,Revenue_Build!AL10&gt;=Assumptions!$F$254*Assumptions!$B$51)),Assumptions!$D$254,0)</f>
        <v/>
      </c>
      <c r="AM39" s="41">
        <f>IF(OR(AL39&gt;0,AND(AM$3&gt;=Assumptions!$E$254,AM$3&gt;=Assumptions!$B$14,Revenue_Build!AM10&gt;=Assumptions!$F$254*Assumptions!$B$51)),Assumptions!$D$254,0)</f>
        <v/>
      </c>
      <c r="AN39" s="41">
        <f>IF(OR(AM39&gt;0,AND(AN$3&gt;=Assumptions!$E$254,AN$3&gt;=Assumptions!$B$14,Revenue_Build!AN10&gt;=Assumptions!$F$254*Assumptions!$B$51)),Assumptions!$D$254,0)</f>
        <v/>
      </c>
      <c r="AO39" s="41">
        <f>IF(OR(AN39&gt;0,AND(AO$3&gt;=Assumptions!$E$254,AO$3&gt;=Assumptions!$B$14,Revenue_Build!AO10&gt;=Assumptions!$F$254*Assumptions!$B$51)),Assumptions!$D$254,0)</f>
        <v/>
      </c>
      <c r="AP39" s="41">
        <f>IF(OR(AO39&gt;0,AND(AP$3&gt;=Assumptions!$E$254,AP$3&gt;=Assumptions!$B$14,Revenue_Build!AP10&gt;=Assumptions!$F$254*Assumptions!$B$51)),Assumptions!$D$254,0)</f>
        <v/>
      </c>
      <c r="AQ39" s="41">
        <f>IF(OR(AP39&gt;0,AND(AQ$3&gt;=Assumptions!$E$254,AQ$3&gt;=Assumptions!$B$14,Revenue_Build!AQ10&gt;=Assumptions!$F$254*Assumptions!$B$51)),Assumptions!$D$254,0)</f>
        <v/>
      </c>
      <c r="AR39" s="41">
        <f>IF(OR(AQ39&gt;0,AND(AR$3&gt;=Assumptions!$E$254,AR$3&gt;=Assumptions!$B$14,Revenue_Build!AR10&gt;=Assumptions!$F$254*Assumptions!$B$51)),Assumptions!$D$254,0)</f>
        <v/>
      </c>
      <c r="AS39" s="41">
        <f>IF(OR(AR39&gt;0,AND(AS$3&gt;=Assumptions!$E$254,AS$3&gt;=Assumptions!$B$14,Revenue_Build!AS10&gt;=Assumptions!$F$254*Assumptions!$B$51)),Assumptions!$D$254,0)</f>
        <v/>
      </c>
      <c r="AT39" s="41">
        <f>IF(OR(AS39&gt;0,AND(AT$3&gt;=Assumptions!$E$254,AT$3&gt;=Assumptions!$B$14,Revenue_Build!AT10&gt;=Assumptions!$F$254*Assumptions!$B$51)),Assumptions!$D$254,0)</f>
        <v/>
      </c>
      <c r="AU39" s="41">
        <f>IF(OR(AT39&gt;0,AND(AU$3&gt;=Assumptions!$E$254,AU$3&gt;=Assumptions!$B$14,Revenue_Build!AU10&gt;=Assumptions!$F$254*Assumptions!$B$51)),Assumptions!$D$254,0)</f>
        <v/>
      </c>
      <c r="AV39" s="41">
        <f>IF(OR(AU39&gt;0,AND(AV$3&gt;=Assumptions!$E$254,AV$3&gt;=Assumptions!$B$14,Revenue_Build!AV10&gt;=Assumptions!$F$254*Assumptions!$B$51)),Assumptions!$D$254,0)</f>
        <v/>
      </c>
      <c r="AW39" s="41">
        <f>IF(OR(AV39&gt;0,AND(AW$3&gt;=Assumptions!$E$254,AW$3&gt;=Assumptions!$B$14,Revenue_Build!AW10&gt;=Assumptions!$F$254*Assumptions!$B$51)),Assumptions!$D$254,0)</f>
        <v/>
      </c>
      <c r="AX39" s="41">
        <f>IF(OR(AW39&gt;0,AND(AX$3&gt;=Assumptions!$E$254,AX$3&gt;=Assumptions!$B$14,Revenue_Build!AX10&gt;=Assumptions!$F$254*Assumptions!$B$51)),Assumptions!$D$254,0)</f>
        <v/>
      </c>
      <c r="AY39" s="41">
        <f>IF(OR(AX39&gt;0,AND(AY$3&gt;=Assumptions!$E$254,AY$3&gt;=Assumptions!$B$14,Revenue_Build!AY10&gt;=Assumptions!$F$254*Assumptions!$B$51)),Assumptions!$D$254,0)</f>
        <v/>
      </c>
      <c r="AZ39" s="41">
        <f>IF(OR(AY39&gt;0,AND(AZ$3&gt;=Assumptions!$E$254,AZ$3&gt;=Assumptions!$B$14,Revenue_Build!AZ10&gt;=Assumptions!$F$254*Assumptions!$B$51)),Assumptions!$D$254,0)</f>
        <v/>
      </c>
      <c r="BA39" s="41">
        <f>IF(OR(AZ39&gt;0,AND(BA$3&gt;=Assumptions!$E$254,BA$3&gt;=Assumptions!$B$14,Revenue_Build!BA10&gt;=Assumptions!$F$254*Assumptions!$B$51)),Assumptions!$D$254,0)</f>
        <v/>
      </c>
      <c r="BB39" s="41">
        <f>IF(OR(BA39&gt;0,AND(BB$3&gt;=Assumptions!$E$254,BB$3&gt;=Assumptions!$B$14,Revenue_Build!BB10&gt;=Assumptions!$F$254*Assumptions!$B$51)),Assumptions!$D$254,0)</f>
        <v/>
      </c>
      <c r="BC39" s="41">
        <f>IF(OR(BB39&gt;0,AND(BC$3&gt;=Assumptions!$E$254,BC$3&gt;=Assumptions!$B$14,Revenue_Build!BC10&gt;=Assumptions!$F$254*Assumptions!$B$51)),Assumptions!$D$254,0)</f>
        <v/>
      </c>
      <c r="BD39" s="41">
        <f>IF(OR(BC39&gt;0,AND(BD$3&gt;=Assumptions!$E$254,BD$3&gt;=Assumptions!$B$14,Revenue_Build!BD10&gt;=Assumptions!$F$254*Assumptions!$B$51)),Assumptions!$D$254,0)</f>
        <v/>
      </c>
      <c r="BE39" s="41">
        <f>IF(OR(BD39&gt;0,AND(BE$3&gt;=Assumptions!$E$254,BE$3&gt;=Assumptions!$B$14,Revenue_Build!BE10&gt;=Assumptions!$F$254*Assumptions!$B$51)),Assumptions!$D$254,0)</f>
        <v/>
      </c>
      <c r="BF39" s="41">
        <f>IF(OR(BE39&gt;0,AND(BF$3&gt;=Assumptions!$E$254,BF$3&gt;=Assumptions!$B$14,Revenue_Build!BF10&gt;=Assumptions!$F$254*Assumptions!$B$51)),Assumptions!$D$254,0)</f>
        <v/>
      </c>
      <c r="BG39" s="41">
        <f>IF(OR(BF39&gt;0,AND(BG$3&gt;=Assumptions!$E$254,BG$3&gt;=Assumptions!$B$14,Revenue_Build!BG10&gt;=Assumptions!$F$254*Assumptions!$B$51)),Assumptions!$D$254,0)</f>
        <v/>
      </c>
      <c r="BH39" s="41">
        <f>IF(OR(BG39&gt;0,AND(BH$3&gt;=Assumptions!$E$254,BH$3&gt;=Assumptions!$B$14,Revenue_Build!BH10&gt;=Assumptions!$F$254*Assumptions!$B$51)),Assumptions!$D$254,0)</f>
        <v/>
      </c>
      <c r="BI39" s="41">
        <f>IF(OR(BH39&gt;0,AND(BI$3&gt;=Assumptions!$E$254,BI$3&gt;=Assumptions!$B$14,Revenue_Build!BI10&gt;=Assumptions!$F$254*Assumptions!$B$51)),Assumptions!$D$254,0)</f>
        <v/>
      </c>
      <c r="BJ39" s="41">
        <f>IF(OR(BI39&gt;0,AND(BJ$3&gt;=Assumptions!$E$254,BJ$3&gt;=Assumptions!$B$14,Revenue_Build!BJ10&gt;=Assumptions!$F$254*Assumptions!$B$51)),Assumptions!$D$254,0)</f>
        <v/>
      </c>
    </row>
    <row r="40">
      <c r="A40" s="4" t="inlineStr">
        <is>
          <t>SME account managers</t>
        </is>
      </c>
      <c r="B40" s="17" t="inlineStr">
        <is>
          <t>FTE</t>
        </is>
      </c>
      <c r="C40" s="41">
        <f>IF(AND(C$3&gt;=Assumptions!$E$255,C$3&gt;=Assumptions!$B$14,Revenue_Build!C10&gt;=Assumptions!$F$255*Assumptions!$B$51),Assumptions!$D$255,0)</f>
        <v/>
      </c>
      <c r="D40" s="41">
        <f>IF(OR(C40&gt;0,AND(D$3&gt;=Assumptions!$E$255,D$3&gt;=Assumptions!$B$14,Revenue_Build!D10&gt;=Assumptions!$F$255*Assumptions!$B$51)),Assumptions!$D$255,0)</f>
        <v/>
      </c>
      <c r="E40" s="41">
        <f>IF(OR(D40&gt;0,AND(E$3&gt;=Assumptions!$E$255,E$3&gt;=Assumptions!$B$14,Revenue_Build!E10&gt;=Assumptions!$F$255*Assumptions!$B$51)),Assumptions!$D$255,0)</f>
        <v/>
      </c>
      <c r="F40" s="41">
        <f>IF(OR(E40&gt;0,AND(F$3&gt;=Assumptions!$E$255,F$3&gt;=Assumptions!$B$14,Revenue_Build!F10&gt;=Assumptions!$F$255*Assumptions!$B$51)),Assumptions!$D$255,0)</f>
        <v/>
      </c>
      <c r="G40" s="41">
        <f>IF(OR(F40&gt;0,AND(G$3&gt;=Assumptions!$E$255,G$3&gt;=Assumptions!$B$14,Revenue_Build!G10&gt;=Assumptions!$F$255*Assumptions!$B$51)),Assumptions!$D$255,0)</f>
        <v/>
      </c>
      <c r="H40" s="41">
        <f>IF(OR(G40&gt;0,AND(H$3&gt;=Assumptions!$E$255,H$3&gt;=Assumptions!$B$14,Revenue_Build!H10&gt;=Assumptions!$F$255*Assumptions!$B$51)),Assumptions!$D$255,0)</f>
        <v/>
      </c>
      <c r="I40" s="41">
        <f>IF(OR(H40&gt;0,AND(I$3&gt;=Assumptions!$E$255,I$3&gt;=Assumptions!$B$14,Revenue_Build!I10&gt;=Assumptions!$F$255*Assumptions!$B$51)),Assumptions!$D$255,0)</f>
        <v/>
      </c>
      <c r="J40" s="41">
        <f>IF(OR(I40&gt;0,AND(J$3&gt;=Assumptions!$E$255,J$3&gt;=Assumptions!$B$14,Revenue_Build!J10&gt;=Assumptions!$F$255*Assumptions!$B$51)),Assumptions!$D$255,0)</f>
        <v/>
      </c>
      <c r="K40" s="41">
        <f>IF(OR(J40&gt;0,AND(K$3&gt;=Assumptions!$E$255,K$3&gt;=Assumptions!$B$14,Revenue_Build!K10&gt;=Assumptions!$F$255*Assumptions!$B$51)),Assumptions!$D$255,0)</f>
        <v/>
      </c>
      <c r="L40" s="41">
        <f>IF(OR(K40&gt;0,AND(L$3&gt;=Assumptions!$E$255,L$3&gt;=Assumptions!$B$14,Revenue_Build!L10&gt;=Assumptions!$F$255*Assumptions!$B$51)),Assumptions!$D$255,0)</f>
        <v/>
      </c>
      <c r="M40" s="41">
        <f>IF(OR(L40&gt;0,AND(M$3&gt;=Assumptions!$E$255,M$3&gt;=Assumptions!$B$14,Revenue_Build!M10&gt;=Assumptions!$F$255*Assumptions!$B$51)),Assumptions!$D$255,0)</f>
        <v/>
      </c>
      <c r="N40" s="41">
        <f>IF(OR(M40&gt;0,AND(N$3&gt;=Assumptions!$E$255,N$3&gt;=Assumptions!$B$14,Revenue_Build!N10&gt;=Assumptions!$F$255*Assumptions!$B$51)),Assumptions!$D$255,0)</f>
        <v/>
      </c>
      <c r="O40" s="41">
        <f>IF(OR(N40&gt;0,AND(O$3&gt;=Assumptions!$E$255,O$3&gt;=Assumptions!$B$14,Revenue_Build!O10&gt;=Assumptions!$F$255*Assumptions!$B$51)),Assumptions!$D$255,0)</f>
        <v/>
      </c>
      <c r="P40" s="41">
        <f>IF(OR(O40&gt;0,AND(P$3&gt;=Assumptions!$E$255,P$3&gt;=Assumptions!$B$14,Revenue_Build!P10&gt;=Assumptions!$F$255*Assumptions!$B$51)),Assumptions!$D$255,0)</f>
        <v/>
      </c>
      <c r="Q40" s="41">
        <f>IF(OR(P40&gt;0,AND(Q$3&gt;=Assumptions!$E$255,Q$3&gt;=Assumptions!$B$14,Revenue_Build!Q10&gt;=Assumptions!$F$255*Assumptions!$B$51)),Assumptions!$D$255,0)</f>
        <v/>
      </c>
      <c r="R40" s="41">
        <f>IF(OR(Q40&gt;0,AND(R$3&gt;=Assumptions!$E$255,R$3&gt;=Assumptions!$B$14,Revenue_Build!R10&gt;=Assumptions!$F$255*Assumptions!$B$51)),Assumptions!$D$255,0)</f>
        <v/>
      </c>
      <c r="S40" s="41">
        <f>IF(OR(R40&gt;0,AND(S$3&gt;=Assumptions!$E$255,S$3&gt;=Assumptions!$B$14,Revenue_Build!S10&gt;=Assumptions!$F$255*Assumptions!$B$51)),Assumptions!$D$255,0)</f>
        <v/>
      </c>
      <c r="T40" s="41">
        <f>IF(OR(S40&gt;0,AND(T$3&gt;=Assumptions!$E$255,T$3&gt;=Assumptions!$B$14,Revenue_Build!T10&gt;=Assumptions!$F$255*Assumptions!$B$51)),Assumptions!$D$255,0)</f>
        <v/>
      </c>
      <c r="U40" s="41">
        <f>IF(OR(T40&gt;0,AND(U$3&gt;=Assumptions!$E$255,U$3&gt;=Assumptions!$B$14,Revenue_Build!U10&gt;=Assumptions!$F$255*Assumptions!$B$51)),Assumptions!$D$255,0)</f>
        <v/>
      </c>
      <c r="V40" s="41">
        <f>IF(OR(U40&gt;0,AND(V$3&gt;=Assumptions!$E$255,V$3&gt;=Assumptions!$B$14,Revenue_Build!V10&gt;=Assumptions!$F$255*Assumptions!$B$51)),Assumptions!$D$255,0)</f>
        <v/>
      </c>
      <c r="W40" s="41">
        <f>IF(OR(V40&gt;0,AND(W$3&gt;=Assumptions!$E$255,W$3&gt;=Assumptions!$B$14,Revenue_Build!W10&gt;=Assumptions!$F$255*Assumptions!$B$51)),Assumptions!$D$255,0)</f>
        <v/>
      </c>
      <c r="X40" s="41">
        <f>IF(OR(W40&gt;0,AND(X$3&gt;=Assumptions!$E$255,X$3&gt;=Assumptions!$B$14,Revenue_Build!X10&gt;=Assumptions!$F$255*Assumptions!$B$51)),Assumptions!$D$255,0)</f>
        <v/>
      </c>
      <c r="Y40" s="41">
        <f>IF(OR(X40&gt;0,AND(Y$3&gt;=Assumptions!$E$255,Y$3&gt;=Assumptions!$B$14,Revenue_Build!Y10&gt;=Assumptions!$F$255*Assumptions!$B$51)),Assumptions!$D$255,0)</f>
        <v/>
      </c>
      <c r="Z40" s="41">
        <f>IF(OR(Y40&gt;0,AND(Z$3&gt;=Assumptions!$E$255,Z$3&gt;=Assumptions!$B$14,Revenue_Build!Z10&gt;=Assumptions!$F$255*Assumptions!$B$51)),Assumptions!$D$255,0)</f>
        <v/>
      </c>
      <c r="AA40" s="41">
        <f>IF(OR(Z40&gt;0,AND(AA$3&gt;=Assumptions!$E$255,AA$3&gt;=Assumptions!$B$14,Revenue_Build!AA10&gt;=Assumptions!$F$255*Assumptions!$B$51)),Assumptions!$D$255,0)</f>
        <v/>
      </c>
      <c r="AB40" s="41">
        <f>IF(OR(AA40&gt;0,AND(AB$3&gt;=Assumptions!$E$255,AB$3&gt;=Assumptions!$B$14,Revenue_Build!AB10&gt;=Assumptions!$F$255*Assumptions!$B$51)),Assumptions!$D$255,0)</f>
        <v/>
      </c>
      <c r="AC40" s="41">
        <f>IF(OR(AB40&gt;0,AND(AC$3&gt;=Assumptions!$E$255,AC$3&gt;=Assumptions!$B$14,Revenue_Build!AC10&gt;=Assumptions!$F$255*Assumptions!$B$51)),Assumptions!$D$255,0)</f>
        <v/>
      </c>
      <c r="AD40" s="41">
        <f>IF(OR(AC40&gt;0,AND(AD$3&gt;=Assumptions!$E$255,AD$3&gt;=Assumptions!$B$14,Revenue_Build!AD10&gt;=Assumptions!$F$255*Assumptions!$B$51)),Assumptions!$D$255,0)</f>
        <v/>
      </c>
      <c r="AE40" s="41">
        <f>IF(OR(AD40&gt;0,AND(AE$3&gt;=Assumptions!$E$255,AE$3&gt;=Assumptions!$B$14,Revenue_Build!AE10&gt;=Assumptions!$F$255*Assumptions!$B$51)),Assumptions!$D$255,0)</f>
        <v/>
      </c>
      <c r="AF40" s="41">
        <f>IF(OR(AE40&gt;0,AND(AF$3&gt;=Assumptions!$E$255,AF$3&gt;=Assumptions!$B$14,Revenue_Build!AF10&gt;=Assumptions!$F$255*Assumptions!$B$51)),Assumptions!$D$255,0)</f>
        <v/>
      </c>
      <c r="AG40" s="41">
        <f>IF(OR(AF40&gt;0,AND(AG$3&gt;=Assumptions!$E$255,AG$3&gt;=Assumptions!$B$14,Revenue_Build!AG10&gt;=Assumptions!$F$255*Assumptions!$B$51)),Assumptions!$D$255,0)</f>
        <v/>
      </c>
      <c r="AH40" s="41">
        <f>IF(OR(AG40&gt;0,AND(AH$3&gt;=Assumptions!$E$255,AH$3&gt;=Assumptions!$B$14,Revenue_Build!AH10&gt;=Assumptions!$F$255*Assumptions!$B$51)),Assumptions!$D$255,0)</f>
        <v/>
      </c>
      <c r="AI40" s="41">
        <f>IF(OR(AH40&gt;0,AND(AI$3&gt;=Assumptions!$E$255,AI$3&gt;=Assumptions!$B$14,Revenue_Build!AI10&gt;=Assumptions!$F$255*Assumptions!$B$51)),Assumptions!$D$255,0)</f>
        <v/>
      </c>
      <c r="AJ40" s="41">
        <f>IF(OR(AI40&gt;0,AND(AJ$3&gt;=Assumptions!$E$255,AJ$3&gt;=Assumptions!$B$14,Revenue_Build!AJ10&gt;=Assumptions!$F$255*Assumptions!$B$51)),Assumptions!$D$255,0)</f>
        <v/>
      </c>
      <c r="AK40" s="41">
        <f>IF(OR(AJ40&gt;0,AND(AK$3&gt;=Assumptions!$E$255,AK$3&gt;=Assumptions!$B$14,Revenue_Build!AK10&gt;=Assumptions!$F$255*Assumptions!$B$51)),Assumptions!$D$255,0)</f>
        <v/>
      </c>
      <c r="AL40" s="41">
        <f>IF(OR(AK40&gt;0,AND(AL$3&gt;=Assumptions!$E$255,AL$3&gt;=Assumptions!$B$14,Revenue_Build!AL10&gt;=Assumptions!$F$255*Assumptions!$B$51)),Assumptions!$D$255,0)</f>
        <v/>
      </c>
      <c r="AM40" s="41">
        <f>IF(OR(AL40&gt;0,AND(AM$3&gt;=Assumptions!$E$255,AM$3&gt;=Assumptions!$B$14,Revenue_Build!AM10&gt;=Assumptions!$F$255*Assumptions!$B$51)),Assumptions!$D$255,0)</f>
        <v/>
      </c>
      <c r="AN40" s="41">
        <f>IF(OR(AM40&gt;0,AND(AN$3&gt;=Assumptions!$E$255,AN$3&gt;=Assumptions!$B$14,Revenue_Build!AN10&gt;=Assumptions!$F$255*Assumptions!$B$51)),Assumptions!$D$255,0)</f>
        <v/>
      </c>
      <c r="AO40" s="41">
        <f>IF(OR(AN40&gt;0,AND(AO$3&gt;=Assumptions!$E$255,AO$3&gt;=Assumptions!$B$14,Revenue_Build!AO10&gt;=Assumptions!$F$255*Assumptions!$B$51)),Assumptions!$D$255,0)</f>
        <v/>
      </c>
      <c r="AP40" s="41">
        <f>IF(OR(AO40&gt;0,AND(AP$3&gt;=Assumptions!$E$255,AP$3&gt;=Assumptions!$B$14,Revenue_Build!AP10&gt;=Assumptions!$F$255*Assumptions!$B$51)),Assumptions!$D$255,0)</f>
        <v/>
      </c>
      <c r="AQ40" s="41">
        <f>IF(OR(AP40&gt;0,AND(AQ$3&gt;=Assumptions!$E$255,AQ$3&gt;=Assumptions!$B$14,Revenue_Build!AQ10&gt;=Assumptions!$F$255*Assumptions!$B$51)),Assumptions!$D$255,0)</f>
        <v/>
      </c>
      <c r="AR40" s="41">
        <f>IF(OR(AQ40&gt;0,AND(AR$3&gt;=Assumptions!$E$255,AR$3&gt;=Assumptions!$B$14,Revenue_Build!AR10&gt;=Assumptions!$F$255*Assumptions!$B$51)),Assumptions!$D$255,0)</f>
        <v/>
      </c>
      <c r="AS40" s="41">
        <f>IF(OR(AR40&gt;0,AND(AS$3&gt;=Assumptions!$E$255,AS$3&gt;=Assumptions!$B$14,Revenue_Build!AS10&gt;=Assumptions!$F$255*Assumptions!$B$51)),Assumptions!$D$255,0)</f>
        <v/>
      </c>
      <c r="AT40" s="41">
        <f>IF(OR(AS40&gt;0,AND(AT$3&gt;=Assumptions!$E$255,AT$3&gt;=Assumptions!$B$14,Revenue_Build!AT10&gt;=Assumptions!$F$255*Assumptions!$B$51)),Assumptions!$D$255,0)</f>
        <v/>
      </c>
      <c r="AU40" s="41">
        <f>IF(OR(AT40&gt;0,AND(AU$3&gt;=Assumptions!$E$255,AU$3&gt;=Assumptions!$B$14,Revenue_Build!AU10&gt;=Assumptions!$F$255*Assumptions!$B$51)),Assumptions!$D$255,0)</f>
        <v/>
      </c>
      <c r="AV40" s="41">
        <f>IF(OR(AU40&gt;0,AND(AV$3&gt;=Assumptions!$E$255,AV$3&gt;=Assumptions!$B$14,Revenue_Build!AV10&gt;=Assumptions!$F$255*Assumptions!$B$51)),Assumptions!$D$255,0)</f>
        <v/>
      </c>
      <c r="AW40" s="41">
        <f>IF(OR(AV40&gt;0,AND(AW$3&gt;=Assumptions!$E$255,AW$3&gt;=Assumptions!$B$14,Revenue_Build!AW10&gt;=Assumptions!$F$255*Assumptions!$B$51)),Assumptions!$D$255,0)</f>
        <v/>
      </c>
      <c r="AX40" s="41">
        <f>IF(OR(AW40&gt;0,AND(AX$3&gt;=Assumptions!$E$255,AX$3&gt;=Assumptions!$B$14,Revenue_Build!AX10&gt;=Assumptions!$F$255*Assumptions!$B$51)),Assumptions!$D$255,0)</f>
        <v/>
      </c>
      <c r="AY40" s="41">
        <f>IF(OR(AX40&gt;0,AND(AY$3&gt;=Assumptions!$E$255,AY$3&gt;=Assumptions!$B$14,Revenue_Build!AY10&gt;=Assumptions!$F$255*Assumptions!$B$51)),Assumptions!$D$255,0)</f>
        <v/>
      </c>
      <c r="AZ40" s="41">
        <f>IF(OR(AY40&gt;0,AND(AZ$3&gt;=Assumptions!$E$255,AZ$3&gt;=Assumptions!$B$14,Revenue_Build!AZ10&gt;=Assumptions!$F$255*Assumptions!$B$51)),Assumptions!$D$255,0)</f>
        <v/>
      </c>
      <c r="BA40" s="41">
        <f>IF(OR(AZ40&gt;0,AND(BA$3&gt;=Assumptions!$E$255,BA$3&gt;=Assumptions!$B$14,Revenue_Build!BA10&gt;=Assumptions!$F$255*Assumptions!$B$51)),Assumptions!$D$255,0)</f>
        <v/>
      </c>
      <c r="BB40" s="41">
        <f>IF(OR(BA40&gt;0,AND(BB$3&gt;=Assumptions!$E$255,BB$3&gt;=Assumptions!$B$14,Revenue_Build!BB10&gt;=Assumptions!$F$255*Assumptions!$B$51)),Assumptions!$D$255,0)</f>
        <v/>
      </c>
      <c r="BC40" s="41">
        <f>IF(OR(BB40&gt;0,AND(BC$3&gt;=Assumptions!$E$255,BC$3&gt;=Assumptions!$B$14,Revenue_Build!BC10&gt;=Assumptions!$F$255*Assumptions!$B$51)),Assumptions!$D$255,0)</f>
        <v/>
      </c>
      <c r="BD40" s="41">
        <f>IF(OR(BC40&gt;0,AND(BD$3&gt;=Assumptions!$E$255,BD$3&gt;=Assumptions!$B$14,Revenue_Build!BD10&gt;=Assumptions!$F$255*Assumptions!$B$51)),Assumptions!$D$255,0)</f>
        <v/>
      </c>
      <c r="BE40" s="41">
        <f>IF(OR(BD40&gt;0,AND(BE$3&gt;=Assumptions!$E$255,BE$3&gt;=Assumptions!$B$14,Revenue_Build!BE10&gt;=Assumptions!$F$255*Assumptions!$B$51)),Assumptions!$D$255,0)</f>
        <v/>
      </c>
      <c r="BF40" s="41">
        <f>IF(OR(BE40&gt;0,AND(BF$3&gt;=Assumptions!$E$255,BF$3&gt;=Assumptions!$B$14,Revenue_Build!BF10&gt;=Assumptions!$F$255*Assumptions!$B$51)),Assumptions!$D$255,0)</f>
        <v/>
      </c>
      <c r="BG40" s="41">
        <f>IF(OR(BF40&gt;0,AND(BG$3&gt;=Assumptions!$E$255,BG$3&gt;=Assumptions!$B$14,Revenue_Build!BG10&gt;=Assumptions!$F$255*Assumptions!$B$51)),Assumptions!$D$255,0)</f>
        <v/>
      </c>
      <c r="BH40" s="41">
        <f>IF(OR(BG40&gt;0,AND(BH$3&gt;=Assumptions!$E$255,BH$3&gt;=Assumptions!$B$14,Revenue_Build!BH10&gt;=Assumptions!$F$255*Assumptions!$B$51)),Assumptions!$D$255,0)</f>
        <v/>
      </c>
      <c r="BI40" s="41">
        <f>IF(OR(BH40&gt;0,AND(BI$3&gt;=Assumptions!$E$255,BI$3&gt;=Assumptions!$B$14,Revenue_Build!BI10&gt;=Assumptions!$F$255*Assumptions!$B$51)),Assumptions!$D$255,0)</f>
        <v/>
      </c>
      <c r="BJ40" s="41">
        <f>IF(OR(BI40&gt;0,AND(BJ$3&gt;=Assumptions!$E$255,BJ$3&gt;=Assumptions!$B$14,Revenue_Build!BJ10&gt;=Assumptions!$F$255*Assumptions!$B$51)),Assumptions!$D$255,0)</f>
        <v/>
      </c>
    </row>
    <row r="41">
      <c r="A41" s="4" t="inlineStr">
        <is>
          <t>Partnerships managers (scale-up III)</t>
        </is>
      </c>
      <c r="B41" s="17" t="inlineStr">
        <is>
          <t>FTE</t>
        </is>
      </c>
      <c r="C41" s="41">
        <f>IF(AND(C$3&gt;=Assumptions!$E$256,C$3&gt;=Assumptions!$B$14,Revenue_Build!C10&gt;=Assumptions!$F$256*Assumptions!$B$51),Assumptions!$D$256,0)</f>
        <v/>
      </c>
      <c r="D41" s="41">
        <f>IF(OR(C41&gt;0,AND(D$3&gt;=Assumptions!$E$256,D$3&gt;=Assumptions!$B$14,Revenue_Build!D10&gt;=Assumptions!$F$256*Assumptions!$B$51)),Assumptions!$D$256,0)</f>
        <v/>
      </c>
      <c r="E41" s="41">
        <f>IF(OR(D41&gt;0,AND(E$3&gt;=Assumptions!$E$256,E$3&gt;=Assumptions!$B$14,Revenue_Build!E10&gt;=Assumptions!$F$256*Assumptions!$B$51)),Assumptions!$D$256,0)</f>
        <v/>
      </c>
      <c r="F41" s="41">
        <f>IF(OR(E41&gt;0,AND(F$3&gt;=Assumptions!$E$256,F$3&gt;=Assumptions!$B$14,Revenue_Build!F10&gt;=Assumptions!$F$256*Assumptions!$B$51)),Assumptions!$D$256,0)</f>
        <v/>
      </c>
      <c r="G41" s="41">
        <f>IF(OR(F41&gt;0,AND(G$3&gt;=Assumptions!$E$256,G$3&gt;=Assumptions!$B$14,Revenue_Build!G10&gt;=Assumptions!$F$256*Assumptions!$B$51)),Assumptions!$D$256,0)</f>
        <v/>
      </c>
      <c r="H41" s="41">
        <f>IF(OR(G41&gt;0,AND(H$3&gt;=Assumptions!$E$256,H$3&gt;=Assumptions!$B$14,Revenue_Build!H10&gt;=Assumptions!$F$256*Assumptions!$B$51)),Assumptions!$D$256,0)</f>
        <v/>
      </c>
      <c r="I41" s="41">
        <f>IF(OR(H41&gt;0,AND(I$3&gt;=Assumptions!$E$256,I$3&gt;=Assumptions!$B$14,Revenue_Build!I10&gt;=Assumptions!$F$256*Assumptions!$B$51)),Assumptions!$D$256,0)</f>
        <v/>
      </c>
      <c r="J41" s="41">
        <f>IF(OR(I41&gt;0,AND(J$3&gt;=Assumptions!$E$256,J$3&gt;=Assumptions!$B$14,Revenue_Build!J10&gt;=Assumptions!$F$256*Assumptions!$B$51)),Assumptions!$D$256,0)</f>
        <v/>
      </c>
      <c r="K41" s="41">
        <f>IF(OR(J41&gt;0,AND(K$3&gt;=Assumptions!$E$256,K$3&gt;=Assumptions!$B$14,Revenue_Build!K10&gt;=Assumptions!$F$256*Assumptions!$B$51)),Assumptions!$D$256,0)</f>
        <v/>
      </c>
      <c r="L41" s="41">
        <f>IF(OR(K41&gt;0,AND(L$3&gt;=Assumptions!$E$256,L$3&gt;=Assumptions!$B$14,Revenue_Build!L10&gt;=Assumptions!$F$256*Assumptions!$B$51)),Assumptions!$D$256,0)</f>
        <v/>
      </c>
      <c r="M41" s="41">
        <f>IF(OR(L41&gt;0,AND(M$3&gt;=Assumptions!$E$256,M$3&gt;=Assumptions!$B$14,Revenue_Build!M10&gt;=Assumptions!$F$256*Assumptions!$B$51)),Assumptions!$D$256,0)</f>
        <v/>
      </c>
      <c r="N41" s="41">
        <f>IF(OR(M41&gt;0,AND(N$3&gt;=Assumptions!$E$256,N$3&gt;=Assumptions!$B$14,Revenue_Build!N10&gt;=Assumptions!$F$256*Assumptions!$B$51)),Assumptions!$D$256,0)</f>
        <v/>
      </c>
      <c r="O41" s="41">
        <f>IF(OR(N41&gt;0,AND(O$3&gt;=Assumptions!$E$256,O$3&gt;=Assumptions!$B$14,Revenue_Build!O10&gt;=Assumptions!$F$256*Assumptions!$B$51)),Assumptions!$D$256,0)</f>
        <v/>
      </c>
      <c r="P41" s="41">
        <f>IF(OR(O41&gt;0,AND(P$3&gt;=Assumptions!$E$256,P$3&gt;=Assumptions!$B$14,Revenue_Build!P10&gt;=Assumptions!$F$256*Assumptions!$B$51)),Assumptions!$D$256,0)</f>
        <v/>
      </c>
      <c r="Q41" s="41">
        <f>IF(OR(P41&gt;0,AND(Q$3&gt;=Assumptions!$E$256,Q$3&gt;=Assumptions!$B$14,Revenue_Build!Q10&gt;=Assumptions!$F$256*Assumptions!$B$51)),Assumptions!$D$256,0)</f>
        <v/>
      </c>
      <c r="R41" s="41">
        <f>IF(OR(Q41&gt;0,AND(R$3&gt;=Assumptions!$E$256,R$3&gt;=Assumptions!$B$14,Revenue_Build!R10&gt;=Assumptions!$F$256*Assumptions!$B$51)),Assumptions!$D$256,0)</f>
        <v/>
      </c>
      <c r="S41" s="41">
        <f>IF(OR(R41&gt;0,AND(S$3&gt;=Assumptions!$E$256,S$3&gt;=Assumptions!$B$14,Revenue_Build!S10&gt;=Assumptions!$F$256*Assumptions!$B$51)),Assumptions!$D$256,0)</f>
        <v/>
      </c>
      <c r="T41" s="41">
        <f>IF(OR(S41&gt;0,AND(T$3&gt;=Assumptions!$E$256,T$3&gt;=Assumptions!$B$14,Revenue_Build!T10&gt;=Assumptions!$F$256*Assumptions!$B$51)),Assumptions!$D$256,0)</f>
        <v/>
      </c>
      <c r="U41" s="41">
        <f>IF(OR(T41&gt;0,AND(U$3&gt;=Assumptions!$E$256,U$3&gt;=Assumptions!$B$14,Revenue_Build!U10&gt;=Assumptions!$F$256*Assumptions!$B$51)),Assumptions!$D$256,0)</f>
        <v/>
      </c>
      <c r="V41" s="41">
        <f>IF(OR(U41&gt;0,AND(V$3&gt;=Assumptions!$E$256,V$3&gt;=Assumptions!$B$14,Revenue_Build!V10&gt;=Assumptions!$F$256*Assumptions!$B$51)),Assumptions!$D$256,0)</f>
        <v/>
      </c>
      <c r="W41" s="41">
        <f>IF(OR(V41&gt;0,AND(W$3&gt;=Assumptions!$E$256,W$3&gt;=Assumptions!$B$14,Revenue_Build!W10&gt;=Assumptions!$F$256*Assumptions!$B$51)),Assumptions!$D$256,0)</f>
        <v/>
      </c>
      <c r="X41" s="41">
        <f>IF(OR(W41&gt;0,AND(X$3&gt;=Assumptions!$E$256,X$3&gt;=Assumptions!$B$14,Revenue_Build!X10&gt;=Assumptions!$F$256*Assumptions!$B$51)),Assumptions!$D$256,0)</f>
        <v/>
      </c>
      <c r="Y41" s="41">
        <f>IF(OR(X41&gt;0,AND(Y$3&gt;=Assumptions!$E$256,Y$3&gt;=Assumptions!$B$14,Revenue_Build!Y10&gt;=Assumptions!$F$256*Assumptions!$B$51)),Assumptions!$D$256,0)</f>
        <v/>
      </c>
      <c r="Z41" s="41">
        <f>IF(OR(Y41&gt;0,AND(Z$3&gt;=Assumptions!$E$256,Z$3&gt;=Assumptions!$B$14,Revenue_Build!Z10&gt;=Assumptions!$F$256*Assumptions!$B$51)),Assumptions!$D$256,0)</f>
        <v/>
      </c>
      <c r="AA41" s="41">
        <f>IF(OR(Z41&gt;0,AND(AA$3&gt;=Assumptions!$E$256,AA$3&gt;=Assumptions!$B$14,Revenue_Build!AA10&gt;=Assumptions!$F$256*Assumptions!$B$51)),Assumptions!$D$256,0)</f>
        <v/>
      </c>
      <c r="AB41" s="41">
        <f>IF(OR(AA41&gt;0,AND(AB$3&gt;=Assumptions!$E$256,AB$3&gt;=Assumptions!$B$14,Revenue_Build!AB10&gt;=Assumptions!$F$256*Assumptions!$B$51)),Assumptions!$D$256,0)</f>
        <v/>
      </c>
      <c r="AC41" s="41">
        <f>IF(OR(AB41&gt;0,AND(AC$3&gt;=Assumptions!$E$256,AC$3&gt;=Assumptions!$B$14,Revenue_Build!AC10&gt;=Assumptions!$F$256*Assumptions!$B$51)),Assumptions!$D$256,0)</f>
        <v/>
      </c>
      <c r="AD41" s="41">
        <f>IF(OR(AC41&gt;0,AND(AD$3&gt;=Assumptions!$E$256,AD$3&gt;=Assumptions!$B$14,Revenue_Build!AD10&gt;=Assumptions!$F$256*Assumptions!$B$51)),Assumptions!$D$256,0)</f>
        <v/>
      </c>
      <c r="AE41" s="41">
        <f>IF(OR(AD41&gt;0,AND(AE$3&gt;=Assumptions!$E$256,AE$3&gt;=Assumptions!$B$14,Revenue_Build!AE10&gt;=Assumptions!$F$256*Assumptions!$B$51)),Assumptions!$D$256,0)</f>
        <v/>
      </c>
      <c r="AF41" s="41">
        <f>IF(OR(AE41&gt;0,AND(AF$3&gt;=Assumptions!$E$256,AF$3&gt;=Assumptions!$B$14,Revenue_Build!AF10&gt;=Assumptions!$F$256*Assumptions!$B$51)),Assumptions!$D$256,0)</f>
        <v/>
      </c>
      <c r="AG41" s="41">
        <f>IF(OR(AF41&gt;0,AND(AG$3&gt;=Assumptions!$E$256,AG$3&gt;=Assumptions!$B$14,Revenue_Build!AG10&gt;=Assumptions!$F$256*Assumptions!$B$51)),Assumptions!$D$256,0)</f>
        <v/>
      </c>
      <c r="AH41" s="41">
        <f>IF(OR(AG41&gt;0,AND(AH$3&gt;=Assumptions!$E$256,AH$3&gt;=Assumptions!$B$14,Revenue_Build!AH10&gt;=Assumptions!$F$256*Assumptions!$B$51)),Assumptions!$D$256,0)</f>
        <v/>
      </c>
      <c r="AI41" s="41">
        <f>IF(OR(AH41&gt;0,AND(AI$3&gt;=Assumptions!$E$256,AI$3&gt;=Assumptions!$B$14,Revenue_Build!AI10&gt;=Assumptions!$F$256*Assumptions!$B$51)),Assumptions!$D$256,0)</f>
        <v/>
      </c>
      <c r="AJ41" s="41">
        <f>IF(OR(AI41&gt;0,AND(AJ$3&gt;=Assumptions!$E$256,AJ$3&gt;=Assumptions!$B$14,Revenue_Build!AJ10&gt;=Assumptions!$F$256*Assumptions!$B$51)),Assumptions!$D$256,0)</f>
        <v/>
      </c>
      <c r="AK41" s="41">
        <f>IF(OR(AJ41&gt;0,AND(AK$3&gt;=Assumptions!$E$256,AK$3&gt;=Assumptions!$B$14,Revenue_Build!AK10&gt;=Assumptions!$F$256*Assumptions!$B$51)),Assumptions!$D$256,0)</f>
        <v/>
      </c>
      <c r="AL41" s="41">
        <f>IF(OR(AK41&gt;0,AND(AL$3&gt;=Assumptions!$E$256,AL$3&gt;=Assumptions!$B$14,Revenue_Build!AL10&gt;=Assumptions!$F$256*Assumptions!$B$51)),Assumptions!$D$256,0)</f>
        <v/>
      </c>
      <c r="AM41" s="41">
        <f>IF(OR(AL41&gt;0,AND(AM$3&gt;=Assumptions!$E$256,AM$3&gt;=Assumptions!$B$14,Revenue_Build!AM10&gt;=Assumptions!$F$256*Assumptions!$B$51)),Assumptions!$D$256,0)</f>
        <v/>
      </c>
      <c r="AN41" s="41">
        <f>IF(OR(AM41&gt;0,AND(AN$3&gt;=Assumptions!$E$256,AN$3&gt;=Assumptions!$B$14,Revenue_Build!AN10&gt;=Assumptions!$F$256*Assumptions!$B$51)),Assumptions!$D$256,0)</f>
        <v/>
      </c>
      <c r="AO41" s="41">
        <f>IF(OR(AN41&gt;0,AND(AO$3&gt;=Assumptions!$E$256,AO$3&gt;=Assumptions!$B$14,Revenue_Build!AO10&gt;=Assumptions!$F$256*Assumptions!$B$51)),Assumptions!$D$256,0)</f>
        <v/>
      </c>
      <c r="AP41" s="41">
        <f>IF(OR(AO41&gt;0,AND(AP$3&gt;=Assumptions!$E$256,AP$3&gt;=Assumptions!$B$14,Revenue_Build!AP10&gt;=Assumptions!$F$256*Assumptions!$B$51)),Assumptions!$D$256,0)</f>
        <v/>
      </c>
      <c r="AQ41" s="41">
        <f>IF(OR(AP41&gt;0,AND(AQ$3&gt;=Assumptions!$E$256,AQ$3&gt;=Assumptions!$B$14,Revenue_Build!AQ10&gt;=Assumptions!$F$256*Assumptions!$B$51)),Assumptions!$D$256,0)</f>
        <v/>
      </c>
      <c r="AR41" s="41">
        <f>IF(OR(AQ41&gt;0,AND(AR$3&gt;=Assumptions!$E$256,AR$3&gt;=Assumptions!$B$14,Revenue_Build!AR10&gt;=Assumptions!$F$256*Assumptions!$B$51)),Assumptions!$D$256,0)</f>
        <v/>
      </c>
      <c r="AS41" s="41">
        <f>IF(OR(AR41&gt;0,AND(AS$3&gt;=Assumptions!$E$256,AS$3&gt;=Assumptions!$B$14,Revenue_Build!AS10&gt;=Assumptions!$F$256*Assumptions!$B$51)),Assumptions!$D$256,0)</f>
        <v/>
      </c>
      <c r="AT41" s="41">
        <f>IF(OR(AS41&gt;0,AND(AT$3&gt;=Assumptions!$E$256,AT$3&gt;=Assumptions!$B$14,Revenue_Build!AT10&gt;=Assumptions!$F$256*Assumptions!$B$51)),Assumptions!$D$256,0)</f>
        <v/>
      </c>
      <c r="AU41" s="41">
        <f>IF(OR(AT41&gt;0,AND(AU$3&gt;=Assumptions!$E$256,AU$3&gt;=Assumptions!$B$14,Revenue_Build!AU10&gt;=Assumptions!$F$256*Assumptions!$B$51)),Assumptions!$D$256,0)</f>
        <v/>
      </c>
      <c r="AV41" s="41">
        <f>IF(OR(AU41&gt;0,AND(AV$3&gt;=Assumptions!$E$256,AV$3&gt;=Assumptions!$B$14,Revenue_Build!AV10&gt;=Assumptions!$F$256*Assumptions!$B$51)),Assumptions!$D$256,0)</f>
        <v/>
      </c>
      <c r="AW41" s="41">
        <f>IF(OR(AV41&gt;0,AND(AW$3&gt;=Assumptions!$E$256,AW$3&gt;=Assumptions!$B$14,Revenue_Build!AW10&gt;=Assumptions!$F$256*Assumptions!$B$51)),Assumptions!$D$256,0)</f>
        <v/>
      </c>
      <c r="AX41" s="41">
        <f>IF(OR(AW41&gt;0,AND(AX$3&gt;=Assumptions!$E$256,AX$3&gt;=Assumptions!$B$14,Revenue_Build!AX10&gt;=Assumptions!$F$256*Assumptions!$B$51)),Assumptions!$D$256,0)</f>
        <v/>
      </c>
      <c r="AY41" s="41">
        <f>IF(OR(AX41&gt;0,AND(AY$3&gt;=Assumptions!$E$256,AY$3&gt;=Assumptions!$B$14,Revenue_Build!AY10&gt;=Assumptions!$F$256*Assumptions!$B$51)),Assumptions!$D$256,0)</f>
        <v/>
      </c>
      <c r="AZ41" s="41">
        <f>IF(OR(AY41&gt;0,AND(AZ$3&gt;=Assumptions!$E$256,AZ$3&gt;=Assumptions!$B$14,Revenue_Build!AZ10&gt;=Assumptions!$F$256*Assumptions!$B$51)),Assumptions!$D$256,0)</f>
        <v/>
      </c>
      <c r="BA41" s="41">
        <f>IF(OR(AZ41&gt;0,AND(BA$3&gt;=Assumptions!$E$256,BA$3&gt;=Assumptions!$B$14,Revenue_Build!BA10&gt;=Assumptions!$F$256*Assumptions!$B$51)),Assumptions!$D$256,0)</f>
        <v/>
      </c>
      <c r="BB41" s="41">
        <f>IF(OR(BA41&gt;0,AND(BB$3&gt;=Assumptions!$E$256,BB$3&gt;=Assumptions!$B$14,Revenue_Build!BB10&gt;=Assumptions!$F$256*Assumptions!$B$51)),Assumptions!$D$256,0)</f>
        <v/>
      </c>
      <c r="BC41" s="41">
        <f>IF(OR(BB41&gt;0,AND(BC$3&gt;=Assumptions!$E$256,BC$3&gt;=Assumptions!$B$14,Revenue_Build!BC10&gt;=Assumptions!$F$256*Assumptions!$B$51)),Assumptions!$D$256,0)</f>
        <v/>
      </c>
      <c r="BD41" s="41">
        <f>IF(OR(BC41&gt;0,AND(BD$3&gt;=Assumptions!$E$256,BD$3&gt;=Assumptions!$B$14,Revenue_Build!BD10&gt;=Assumptions!$F$256*Assumptions!$B$51)),Assumptions!$D$256,0)</f>
        <v/>
      </c>
      <c r="BE41" s="41">
        <f>IF(OR(BD41&gt;0,AND(BE$3&gt;=Assumptions!$E$256,BE$3&gt;=Assumptions!$B$14,Revenue_Build!BE10&gt;=Assumptions!$F$256*Assumptions!$B$51)),Assumptions!$D$256,0)</f>
        <v/>
      </c>
      <c r="BF41" s="41">
        <f>IF(OR(BE41&gt;0,AND(BF$3&gt;=Assumptions!$E$256,BF$3&gt;=Assumptions!$B$14,Revenue_Build!BF10&gt;=Assumptions!$F$256*Assumptions!$B$51)),Assumptions!$D$256,0)</f>
        <v/>
      </c>
      <c r="BG41" s="41">
        <f>IF(OR(BF41&gt;0,AND(BG$3&gt;=Assumptions!$E$256,BG$3&gt;=Assumptions!$B$14,Revenue_Build!BG10&gt;=Assumptions!$F$256*Assumptions!$B$51)),Assumptions!$D$256,0)</f>
        <v/>
      </c>
      <c r="BH41" s="41">
        <f>IF(OR(BG41&gt;0,AND(BH$3&gt;=Assumptions!$E$256,BH$3&gt;=Assumptions!$B$14,Revenue_Build!BH10&gt;=Assumptions!$F$256*Assumptions!$B$51)),Assumptions!$D$256,0)</f>
        <v/>
      </c>
      <c r="BI41" s="41">
        <f>IF(OR(BH41&gt;0,AND(BI$3&gt;=Assumptions!$E$256,BI$3&gt;=Assumptions!$B$14,Revenue_Build!BI10&gt;=Assumptions!$F$256*Assumptions!$B$51)),Assumptions!$D$256,0)</f>
        <v/>
      </c>
      <c r="BJ41" s="41">
        <f>IF(OR(BI41&gt;0,AND(BJ$3&gt;=Assumptions!$E$256,BJ$3&gt;=Assumptions!$B$14,Revenue_Build!BJ10&gt;=Assumptions!$F$256*Assumptions!$B$51)),Assumptions!$D$256,0)</f>
        <v/>
      </c>
    </row>
    <row r="42">
      <c r="A42" s="4" t="inlineStr">
        <is>
          <t>SME account managers II</t>
        </is>
      </c>
      <c r="B42" s="17" t="inlineStr">
        <is>
          <t>FTE</t>
        </is>
      </c>
      <c r="C42" s="41">
        <f>IF(AND(C$3&gt;=Assumptions!$E$257,C$3&gt;=Assumptions!$B$14,Revenue_Build!C10&gt;=Assumptions!$F$257*Assumptions!$B$51),Assumptions!$D$257,0)</f>
        <v/>
      </c>
      <c r="D42" s="41">
        <f>IF(OR(C42&gt;0,AND(D$3&gt;=Assumptions!$E$257,D$3&gt;=Assumptions!$B$14,Revenue_Build!D10&gt;=Assumptions!$F$257*Assumptions!$B$51)),Assumptions!$D$257,0)</f>
        <v/>
      </c>
      <c r="E42" s="41">
        <f>IF(OR(D42&gt;0,AND(E$3&gt;=Assumptions!$E$257,E$3&gt;=Assumptions!$B$14,Revenue_Build!E10&gt;=Assumptions!$F$257*Assumptions!$B$51)),Assumptions!$D$257,0)</f>
        <v/>
      </c>
      <c r="F42" s="41">
        <f>IF(OR(E42&gt;0,AND(F$3&gt;=Assumptions!$E$257,F$3&gt;=Assumptions!$B$14,Revenue_Build!F10&gt;=Assumptions!$F$257*Assumptions!$B$51)),Assumptions!$D$257,0)</f>
        <v/>
      </c>
      <c r="G42" s="41">
        <f>IF(OR(F42&gt;0,AND(G$3&gt;=Assumptions!$E$257,G$3&gt;=Assumptions!$B$14,Revenue_Build!G10&gt;=Assumptions!$F$257*Assumptions!$B$51)),Assumptions!$D$257,0)</f>
        <v/>
      </c>
      <c r="H42" s="41">
        <f>IF(OR(G42&gt;0,AND(H$3&gt;=Assumptions!$E$257,H$3&gt;=Assumptions!$B$14,Revenue_Build!H10&gt;=Assumptions!$F$257*Assumptions!$B$51)),Assumptions!$D$257,0)</f>
        <v/>
      </c>
      <c r="I42" s="41">
        <f>IF(OR(H42&gt;0,AND(I$3&gt;=Assumptions!$E$257,I$3&gt;=Assumptions!$B$14,Revenue_Build!I10&gt;=Assumptions!$F$257*Assumptions!$B$51)),Assumptions!$D$257,0)</f>
        <v/>
      </c>
      <c r="J42" s="41">
        <f>IF(OR(I42&gt;0,AND(J$3&gt;=Assumptions!$E$257,J$3&gt;=Assumptions!$B$14,Revenue_Build!J10&gt;=Assumptions!$F$257*Assumptions!$B$51)),Assumptions!$D$257,0)</f>
        <v/>
      </c>
      <c r="K42" s="41">
        <f>IF(OR(J42&gt;0,AND(K$3&gt;=Assumptions!$E$257,K$3&gt;=Assumptions!$B$14,Revenue_Build!K10&gt;=Assumptions!$F$257*Assumptions!$B$51)),Assumptions!$D$257,0)</f>
        <v/>
      </c>
      <c r="L42" s="41">
        <f>IF(OR(K42&gt;0,AND(L$3&gt;=Assumptions!$E$257,L$3&gt;=Assumptions!$B$14,Revenue_Build!L10&gt;=Assumptions!$F$257*Assumptions!$B$51)),Assumptions!$D$257,0)</f>
        <v/>
      </c>
      <c r="M42" s="41">
        <f>IF(OR(L42&gt;0,AND(M$3&gt;=Assumptions!$E$257,M$3&gt;=Assumptions!$B$14,Revenue_Build!M10&gt;=Assumptions!$F$257*Assumptions!$B$51)),Assumptions!$D$257,0)</f>
        <v/>
      </c>
      <c r="N42" s="41">
        <f>IF(OR(M42&gt;0,AND(N$3&gt;=Assumptions!$E$257,N$3&gt;=Assumptions!$B$14,Revenue_Build!N10&gt;=Assumptions!$F$257*Assumptions!$B$51)),Assumptions!$D$257,0)</f>
        <v/>
      </c>
      <c r="O42" s="41">
        <f>IF(OR(N42&gt;0,AND(O$3&gt;=Assumptions!$E$257,O$3&gt;=Assumptions!$B$14,Revenue_Build!O10&gt;=Assumptions!$F$257*Assumptions!$B$51)),Assumptions!$D$257,0)</f>
        <v/>
      </c>
      <c r="P42" s="41">
        <f>IF(OR(O42&gt;0,AND(P$3&gt;=Assumptions!$E$257,P$3&gt;=Assumptions!$B$14,Revenue_Build!P10&gt;=Assumptions!$F$257*Assumptions!$B$51)),Assumptions!$D$257,0)</f>
        <v/>
      </c>
      <c r="Q42" s="41">
        <f>IF(OR(P42&gt;0,AND(Q$3&gt;=Assumptions!$E$257,Q$3&gt;=Assumptions!$B$14,Revenue_Build!Q10&gt;=Assumptions!$F$257*Assumptions!$B$51)),Assumptions!$D$257,0)</f>
        <v/>
      </c>
      <c r="R42" s="41">
        <f>IF(OR(Q42&gt;0,AND(R$3&gt;=Assumptions!$E$257,R$3&gt;=Assumptions!$B$14,Revenue_Build!R10&gt;=Assumptions!$F$257*Assumptions!$B$51)),Assumptions!$D$257,0)</f>
        <v/>
      </c>
      <c r="S42" s="41">
        <f>IF(OR(R42&gt;0,AND(S$3&gt;=Assumptions!$E$257,S$3&gt;=Assumptions!$B$14,Revenue_Build!S10&gt;=Assumptions!$F$257*Assumptions!$B$51)),Assumptions!$D$257,0)</f>
        <v/>
      </c>
      <c r="T42" s="41">
        <f>IF(OR(S42&gt;0,AND(T$3&gt;=Assumptions!$E$257,T$3&gt;=Assumptions!$B$14,Revenue_Build!T10&gt;=Assumptions!$F$257*Assumptions!$B$51)),Assumptions!$D$257,0)</f>
        <v/>
      </c>
      <c r="U42" s="41">
        <f>IF(OR(T42&gt;0,AND(U$3&gt;=Assumptions!$E$257,U$3&gt;=Assumptions!$B$14,Revenue_Build!U10&gt;=Assumptions!$F$257*Assumptions!$B$51)),Assumptions!$D$257,0)</f>
        <v/>
      </c>
      <c r="V42" s="41">
        <f>IF(OR(U42&gt;0,AND(V$3&gt;=Assumptions!$E$257,V$3&gt;=Assumptions!$B$14,Revenue_Build!V10&gt;=Assumptions!$F$257*Assumptions!$B$51)),Assumptions!$D$257,0)</f>
        <v/>
      </c>
      <c r="W42" s="41">
        <f>IF(OR(V42&gt;0,AND(W$3&gt;=Assumptions!$E$257,W$3&gt;=Assumptions!$B$14,Revenue_Build!W10&gt;=Assumptions!$F$257*Assumptions!$B$51)),Assumptions!$D$257,0)</f>
        <v/>
      </c>
      <c r="X42" s="41">
        <f>IF(OR(W42&gt;0,AND(X$3&gt;=Assumptions!$E$257,X$3&gt;=Assumptions!$B$14,Revenue_Build!X10&gt;=Assumptions!$F$257*Assumptions!$B$51)),Assumptions!$D$257,0)</f>
        <v/>
      </c>
      <c r="Y42" s="41">
        <f>IF(OR(X42&gt;0,AND(Y$3&gt;=Assumptions!$E$257,Y$3&gt;=Assumptions!$B$14,Revenue_Build!Y10&gt;=Assumptions!$F$257*Assumptions!$B$51)),Assumptions!$D$257,0)</f>
        <v/>
      </c>
      <c r="Z42" s="41">
        <f>IF(OR(Y42&gt;0,AND(Z$3&gt;=Assumptions!$E$257,Z$3&gt;=Assumptions!$B$14,Revenue_Build!Z10&gt;=Assumptions!$F$257*Assumptions!$B$51)),Assumptions!$D$257,0)</f>
        <v/>
      </c>
      <c r="AA42" s="41">
        <f>IF(OR(Z42&gt;0,AND(AA$3&gt;=Assumptions!$E$257,AA$3&gt;=Assumptions!$B$14,Revenue_Build!AA10&gt;=Assumptions!$F$257*Assumptions!$B$51)),Assumptions!$D$257,0)</f>
        <v/>
      </c>
      <c r="AB42" s="41">
        <f>IF(OR(AA42&gt;0,AND(AB$3&gt;=Assumptions!$E$257,AB$3&gt;=Assumptions!$B$14,Revenue_Build!AB10&gt;=Assumptions!$F$257*Assumptions!$B$51)),Assumptions!$D$257,0)</f>
        <v/>
      </c>
      <c r="AC42" s="41">
        <f>IF(OR(AB42&gt;0,AND(AC$3&gt;=Assumptions!$E$257,AC$3&gt;=Assumptions!$B$14,Revenue_Build!AC10&gt;=Assumptions!$F$257*Assumptions!$B$51)),Assumptions!$D$257,0)</f>
        <v/>
      </c>
      <c r="AD42" s="41">
        <f>IF(OR(AC42&gt;0,AND(AD$3&gt;=Assumptions!$E$257,AD$3&gt;=Assumptions!$B$14,Revenue_Build!AD10&gt;=Assumptions!$F$257*Assumptions!$B$51)),Assumptions!$D$257,0)</f>
        <v/>
      </c>
      <c r="AE42" s="41">
        <f>IF(OR(AD42&gt;0,AND(AE$3&gt;=Assumptions!$E$257,AE$3&gt;=Assumptions!$B$14,Revenue_Build!AE10&gt;=Assumptions!$F$257*Assumptions!$B$51)),Assumptions!$D$257,0)</f>
        <v/>
      </c>
      <c r="AF42" s="41">
        <f>IF(OR(AE42&gt;0,AND(AF$3&gt;=Assumptions!$E$257,AF$3&gt;=Assumptions!$B$14,Revenue_Build!AF10&gt;=Assumptions!$F$257*Assumptions!$B$51)),Assumptions!$D$257,0)</f>
        <v/>
      </c>
      <c r="AG42" s="41">
        <f>IF(OR(AF42&gt;0,AND(AG$3&gt;=Assumptions!$E$257,AG$3&gt;=Assumptions!$B$14,Revenue_Build!AG10&gt;=Assumptions!$F$257*Assumptions!$B$51)),Assumptions!$D$257,0)</f>
        <v/>
      </c>
      <c r="AH42" s="41">
        <f>IF(OR(AG42&gt;0,AND(AH$3&gt;=Assumptions!$E$257,AH$3&gt;=Assumptions!$B$14,Revenue_Build!AH10&gt;=Assumptions!$F$257*Assumptions!$B$51)),Assumptions!$D$257,0)</f>
        <v/>
      </c>
      <c r="AI42" s="41">
        <f>IF(OR(AH42&gt;0,AND(AI$3&gt;=Assumptions!$E$257,AI$3&gt;=Assumptions!$B$14,Revenue_Build!AI10&gt;=Assumptions!$F$257*Assumptions!$B$51)),Assumptions!$D$257,0)</f>
        <v/>
      </c>
      <c r="AJ42" s="41">
        <f>IF(OR(AI42&gt;0,AND(AJ$3&gt;=Assumptions!$E$257,AJ$3&gt;=Assumptions!$B$14,Revenue_Build!AJ10&gt;=Assumptions!$F$257*Assumptions!$B$51)),Assumptions!$D$257,0)</f>
        <v/>
      </c>
      <c r="AK42" s="41">
        <f>IF(OR(AJ42&gt;0,AND(AK$3&gt;=Assumptions!$E$257,AK$3&gt;=Assumptions!$B$14,Revenue_Build!AK10&gt;=Assumptions!$F$257*Assumptions!$B$51)),Assumptions!$D$257,0)</f>
        <v/>
      </c>
      <c r="AL42" s="41">
        <f>IF(OR(AK42&gt;0,AND(AL$3&gt;=Assumptions!$E$257,AL$3&gt;=Assumptions!$B$14,Revenue_Build!AL10&gt;=Assumptions!$F$257*Assumptions!$B$51)),Assumptions!$D$257,0)</f>
        <v/>
      </c>
      <c r="AM42" s="41">
        <f>IF(OR(AL42&gt;0,AND(AM$3&gt;=Assumptions!$E$257,AM$3&gt;=Assumptions!$B$14,Revenue_Build!AM10&gt;=Assumptions!$F$257*Assumptions!$B$51)),Assumptions!$D$257,0)</f>
        <v/>
      </c>
      <c r="AN42" s="41">
        <f>IF(OR(AM42&gt;0,AND(AN$3&gt;=Assumptions!$E$257,AN$3&gt;=Assumptions!$B$14,Revenue_Build!AN10&gt;=Assumptions!$F$257*Assumptions!$B$51)),Assumptions!$D$257,0)</f>
        <v/>
      </c>
      <c r="AO42" s="41">
        <f>IF(OR(AN42&gt;0,AND(AO$3&gt;=Assumptions!$E$257,AO$3&gt;=Assumptions!$B$14,Revenue_Build!AO10&gt;=Assumptions!$F$257*Assumptions!$B$51)),Assumptions!$D$257,0)</f>
        <v/>
      </c>
      <c r="AP42" s="41">
        <f>IF(OR(AO42&gt;0,AND(AP$3&gt;=Assumptions!$E$257,AP$3&gt;=Assumptions!$B$14,Revenue_Build!AP10&gt;=Assumptions!$F$257*Assumptions!$B$51)),Assumptions!$D$257,0)</f>
        <v/>
      </c>
      <c r="AQ42" s="41">
        <f>IF(OR(AP42&gt;0,AND(AQ$3&gt;=Assumptions!$E$257,AQ$3&gt;=Assumptions!$B$14,Revenue_Build!AQ10&gt;=Assumptions!$F$257*Assumptions!$B$51)),Assumptions!$D$257,0)</f>
        <v/>
      </c>
      <c r="AR42" s="41">
        <f>IF(OR(AQ42&gt;0,AND(AR$3&gt;=Assumptions!$E$257,AR$3&gt;=Assumptions!$B$14,Revenue_Build!AR10&gt;=Assumptions!$F$257*Assumptions!$B$51)),Assumptions!$D$257,0)</f>
        <v/>
      </c>
      <c r="AS42" s="41">
        <f>IF(OR(AR42&gt;0,AND(AS$3&gt;=Assumptions!$E$257,AS$3&gt;=Assumptions!$B$14,Revenue_Build!AS10&gt;=Assumptions!$F$257*Assumptions!$B$51)),Assumptions!$D$257,0)</f>
        <v/>
      </c>
      <c r="AT42" s="41">
        <f>IF(OR(AS42&gt;0,AND(AT$3&gt;=Assumptions!$E$257,AT$3&gt;=Assumptions!$B$14,Revenue_Build!AT10&gt;=Assumptions!$F$257*Assumptions!$B$51)),Assumptions!$D$257,0)</f>
        <v/>
      </c>
      <c r="AU42" s="41">
        <f>IF(OR(AT42&gt;0,AND(AU$3&gt;=Assumptions!$E$257,AU$3&gt;=Assumptions!$B$14,Revenue_Build!AU10&gt;=Assumptions!$F$257*Assumptions!$B$51)),Assumptions!$D$257,0)</f>
        <v/>
      </c>
      <c r="AV42" s="41">
        <f>IF(OR(AU42&gt;0,AND(AV$3&gt;=Assumptions!$E$257,AV$3&gt;=Assumptions!$B$14,Revenue_Build!AV10&gt;=Assumptions!$F$257*Assumptions!$B$51)),Assumptions!$D$257,0)</f>
        <v/>
      </c>
      <c r="AW42" s="41">
        <f>IF(OR(AV42&gt;0,AND(AW$3&gt;=Assumptions!$E$257,AW$3&gt;=Assumptions!$B$14,Revenue_Build!AW10&gt;=Assumptions!$F$257*Assumptions!$B$51)),Assumptions!$D$257,0)</f>
        <v/>
      </c>
      <c r="AX42" s="41">
        <f>IF(OR(AW42&gt;0,AND(AX$3&gt;=Assumptions!$E$257,AX$3&gt;=Assumptions!$B$14,Revenue_Build!AX10&gt;=Assumptions!$F$257*Assumptions!$B$51)),Assumptions!$D$257,0)</f>
        <v/>
      </c>
      <c r="AY42" s="41">
        <f>IF(OR(AX42&gt;0,AND(AY$3&gt;=Assumptions!$E$257,AY$3&gt;=Assumptions!$B$14,Revenue_Build!AY10&gt;=Assumptions!$F$257*Assumptions!$B$51)),Assumptions!$D$257,0)</f>
        <v/>
      </c>
      <c r="AZ42" s="41">
        <f>IF(OR(AY42&gt;0,AND(AZ$3&gt;=Assumptions!$E$257,AZ$3&gt;=Assumptions!$B$14,Revenue_Build!AZ10&gt;=Assumptions!$F$257*Assumptions!$B$51)),Assumptions!$D$257,0)</f>
        <v/>
      </c>
      <c r="BA42" s="41">
        <f>IF(OR(AZ42&gt;0,AND(BA$3&gt;=Assumptions!$E$257,BA$3&gt;=Assumptions!$B$14,Revenue_Build!BA10&gt;=Assumptions!$F$257*Assumptions!$B$51)),Assumptions!$D$257,0)</f>
        <v/>
      </c>
      <c r="BB42" s="41">
        <f>IF(OR(BA42&gt;0,AND(BB$3&gt;=Assumptions!$E$257,BB$3&gt;=Assumptions!$B$14,Revenue_Build!BB10&gt;=Assumptions!$F$257*Assumptions!$B$51)),Assumptions!$D$257,0)</f>
        <v/>
      </c>
      <c r="BC42" s="41">
        <f>IF(OR(BB42&gt;0,AND(BC$3&gt;=Assumptions!$E$257,BC$3&gt;=Assumptions!$B$14,Revenue_Build!BC10&gt;=Assumptions!$F$257*Assumptions!$B$51)),Assumptions!$D$257,0)</f>
        <v/>
      </c>
      <c r="BD42" s="41">
        <f>IF(OR(BC42&gt;0,AND(BD$3&gt;=Assumptions!$E$257,BD$3&gt;=Assumptions!$B$14,Revenue_Build!BD10&gt;=Assumptions!$F$257*Assumptions!$B$51)),Assumptions!$D$257,0)</f>
        <v/>
      </c>
      <c r="BE42" s="41">
        <f>IF(OR(BD42&gt;0,AND(BE$3&gt;=Assumptions!$E$257,BE$3&gt;=Assumptions!$B$14,Revenue_Build!BE10&gt;=Assumptions!$F$257*Assumptions!$B$51)),Assumptions!$D$257,0)</f>
        <v/>
      </c>
      <c r="BF42" s="41">
        <f>IF(OR(BE42&gt;0,AND(BF$3&gt;=Assumptions!$E$257,BF$3&gt;=Assumptions!$B$14,Revenue_Build!BF10&gt;=Assumptions!$F$257*Assumptions!$B$51)),Assumptions!$D$257,0)</f>
        <v/>
      </c>
      <c r="BG42" s="41">
        <f>IF(OR(BF42&gt;0,AND(BG$3&gt;=Assumptions!$E$257,BG$3&gt;=Assumptions!$B$14,Revenue_Build!BG10&gt;=Assumptions!$F$257*Assumptions!$B$51)),Assumptions!$D$257,0)</f>
        <v/>
      </c>
      <c r="BH42" s="41">
        <f>IF(OR(BG42&gt;0,AND(BH$3&gt;=Assumptions!$E$257,BH$3&gt;=Assumptions!$B$14,Revenue_Build!BH10&gt;=Assumptions!$F$257*Assumptions!$B$51)),Assumptions!$D$257,0)</f>
        <v/>
      </c>
      <c r="BI42" s="41">
        <f>IF(OR(BH42&gt;0,AND(BI$3&gt;=Assumptions!$E$257,BI$3&gt;=Assumptions!$B$14,Revenue_Build!BI10&gt;=Assumptions!$F$257*Assumptions!$B$51)),Assumptions!$D$257,0)</f>
        <v/>
      </c>
      <c r="BJ42" s="41">
        <f>IF(OR(BI42&gt;0,AND(BJ$3&gt;=Assumptions!$E$257,BJ$3&gt;=Assumptions!$B$14,Revenue_Build!BJ10&gt;=Assumptions!$F$257*Assumptions!$B$51)),Assumptions!$D$257,0)</f>
        <v/>
      </c>
    </row>
    <row r="43">
      <c r="A43" s="4" t="inlineStr">
        <is>
          <t>Customer success lead</t>
        </is>
      </c>
      <c r="B43" s="17" t="inlineStr">
        <is>
          <t>FTE</t>
        </is>
      </c>
      <c r="C43" s="41">
        <f>IF(AND(C$3&gt;=Assumptions!$E$258,C$3&gt;=Assumptions!$B$14,Revenue_Build!C10&gt;=Assumptions!$F$258*Assumptions!$B$51),Assumptions!$D$258,0)</f>
        <v/>
      </c>
      <c r="D43" s="41">
        <f>IF(OR(C43&gt;0,AND(D$3&gt;=Assumptions!$E$258,D$3&gt;=Assumptions!$B$14,Revenue_Build!D10&gt;=Assumptions!$F$258*Assumptions!$B$51)),Assumptions!$D$258,0)</f>
        <v/>
      </c>
      <c r="E43" s="41">
        <f>IF(OR(D43&gt;0,AND(E$3&gt;=Assumptions!$E$258,E$3&gt;=Assumptions!$B$14,Revenue_Build!E10&gt;=Assumptions!$F$258*Assumptions!$B$51)),Assumptions!$D$258,0)</f>
        <v/>
      </c>
      <c r="F43" s="41">
        <f>IF(OR(E43&gt;0,AND(F$3&gt;=Assumptions!$E$258,F$3&gt;=Assumptions!$B$14,Revenue_Build!F10&gt;=Assumptions!$F$258*Assumptions!$B$51)),Assumptions!$D$258,0)</f>
        <v/>
      </c>
      <c r="G43" s="41">
        <f>IF(OR(F43&gt;0,AND(G$3&gt;=Assumptions!$E$258,G$3&gt;=Assumptions!$B$14,Revenue_Build!G10&gt;=Assumptions!$F$258*Assumptions!$B$51)),Assumptions!$D$258,0)</f>
        <v/>
      </c>
      <c r="H43" s="41">
        <f>IF(OR(G43&gt;0,AND(H$3&gt;=Assumptions!$E$258,H$3&gt;=Assumptions!$B$14,Revenue_Build!H10&gt;=Assumptions!$F$258*Assumptions!$B$51)),Assumptions!$D$258,0)</f>
        <v/>
      </c>
      <c r="I43" s="41">
        <f>IF(OR(H43&gt;0,AND(I$3&gt;=Assumptions!$E$258,I$3&gt;=Assumptions!$B$14,Revenue_Build!I10&gt;=Assumptions!$F$258*Assumptions!$B$51)),Assumptions!$D$258,0)</f>
        <v/>
      </c>
      <c r="J43" s="41">
        <f>IF(OR(I43&gt;0,AND(J$3&gt;=Assumptions!$E$258,J$3&gt;=Assumptions!$B$14,Revenue_Build!J10&gt;=Assumptions!$F$258*Assumptions!$B$51)),Assumptions!$D$258,0)</f>
        <v/>
      </c>
      <c r="K43" s="41">
        <f>IF(OR(J43&gt;0,AND(K$3&gt;=Assumptions!$E$258,K$3&gt;=Assumptions!$B$14,Revenue_Build!K10&gt;=Assumptions!$F$258*Assumptions!$B$51)),Assumptions!$D$258,0)</f>
        <v/>
      </c>
      <c r="L43" s="41">
        <f>IF(OR(K43&gt;0,AND(L$3&gt;=Assumptions!$E$258,L$3&gt;=Assumptions!$B$14,Revenue_Build!L10&gt;=Assumptions!$F$258*Assumptions!$B$51)),Assumptions!$D$258,0)</f>
        <v/>
      </c>
      <c r="M43" s="41">
        <f>IF(OR(L43&gt;0,AND(M$3&gt;=Assumptions!$E$258,M$3&gt;=Assumptions!$B$14,Revenue_Build!M10&gt;=Assumptions!$F$258*Assumptions!$B$51)),Assumptions!$D$258,0)</f>
        <v/>
      </c>
      <c r="N43" s="41">
        <f>IF(OR(M43&gt;0,AND(N$3&gt;=Assumptions!$E$258,N$3&gt;=Assumptions!$B$14,Revenue_Build!N10&gt;=Assumptions!$F$258*Assumptions!$B$51)),Assumptions!$D$258,0)</f>
        <v/>
      </c>
      <c r="O43" s="41">
        <f>IF(OR(N43&gt;0,AND(O$3&gt;=Assumptions!$E$258,O$3&gt;=Assumptions!$B$14,Revenue_Build!O10&gt;=Assumptions!$F$258*Assumptions!$B$51)),Assumptions!$D$258,0)</f>
        <v/>
      </c>
      <c r="P43" s="41">
        <f>IF(OR(O43&gt;0,AND(P$3&gt;=Assumptions!$E$258,P$3&gt;=Assumptions!$B$14,Revenue_Build!P10&gt;=Assumptions!$F$258*Assumptions!$B$51)),Assumptions!$D$258,0)</f>
        <v/>
      </c>
      <c r="Q43" s="41">
        <f>IF(OR(P43&gt;0,AND(Q$3&gt;=Assumptions!$E$258,Q$3&gt;=Assumptions!$B$14,Revenue_Build!Q10&gt;=Assumptions!$F$258*Assumptions!$B$51)),Assumptions!$D$258,0)</f>
        <v/>
      </c>
      <c r="R43" s="41">
        <f>IF(OR(Q43&gt;0,AND(R$3&gt;=Assumptions!$E$258,R$3&gt;=Assumptions!$B$14,Revenue_Build!R10&gt;=Assumptions!$F$258*Assumptions!$B$51)),Assumptions!$D$258,0)</f>
        <v/>
      </c>
      <c r="S43" s="41">
        <f>IF(OR(R43&gt;0,AND(S$3&gt;=Assumptions!$E$258,S$3&gt;=Assumptions!$B$14,Revenue_Build!S10&gt;=Assumptions!$F$258*Assumptions!$B$51)),Assumptions!$D$258,0)</f>
        <v/>
      </c>
      <c r="T43" s="41">
        <f>IF(OR(S43&gt;0,AND(T$3&gt;=Assumptions!$E$258,T$3&gt;=Assumptions!$B$14,Revenue_Build!T10&gt;=Assumptions!$F$258*Assumptions!$B$51)),Assumptions!$D$258,0)</f>
        <v/>
      </c>
      <c r="U43" s="41">
        <f>IF(OR(T43&gt;0,AND(U$3&gt;=Assumptions!$E$258,U$3&gt;=Assumptions!$B$14,Revenue_Build!U10&gt;=Assumptions!$F$258*Assumptions!$B$51)),Assumptions!$D$258,0)</f>
        <v/>
      </c>
      <c r="V43" s="41">
        <f>IF(OR(U43&gt;0,AND(V$3&gt;=Assumptions!$E$258,V$3&gt;=Assumptions!$B$14,Revenue_Build!V10&gt;=Assumptions!$F$258*Assumptions!$B$51)),Assumptions!$D$258,0)</f>
        <v/>
      </c>
      <c r="W43" s="41">
        <f>IF(OR(V43&gt;0,AND(W$3&gt;=Assumptions!$E$258,W$3&gt;=Assumptions!$B$14,Revenue_Build!W10&gt;=Assumptions!$F$258*Assumptions!$B$51)),Assumptions!$D$258,0)</f>
        <v/>
      </c>
      <c r="X43" s="41">
        <f>IF(OR(W43&gt;0,AND(X$3&gt;=Assumptions!$E$258,X$3&gt;=Assumptions!$B$14,Revenue_Build!X10&gt;=Assumptions!$F$258*Assumptions!$B$51)),Assumptions!$D$258,0)</f>
        <v/>
      </c>
      <c r="Y43" s="41">
        <f>IF(OR(X43&gt;0,AND(Y$3&gt;=Assumptions!$E$258,Y$3&gt;=Assumptions!$B$14,Revenue_Build!Y10&gt;=Assumptions!$F$258*Assumptions!$B$51)),Assumptions!$D$258,0)</f>
        <v/>
      </c>
      <c r="Z43" s="41">
        <f>IF(OR(Y43&gt;0,AND(Z$3&gt;=Assumptions!$E$258,Z$3&gt;=Assumptions!$B$14,Revenue_Build!Z10&gt;=Assumptions!$F$258*Assumptions!$B$51)),Assumptions!$D$258,0)</f>
        <v/>
      </c>
      <c r="AA43" s="41">
        <f>IF(OR(Z43&gt;0,AND(AA$3&gt;=Assumptions!$E$258,AA$3&gt;=Assumptions!$B$14,Revenue_Build!AA10&gt;=Assumptions!$F$258*Assumptions!$B$51)),Assumptions!$D$258,0)</f>
        <v/>
      </c>
      <c r="AB43" s="41">
        <f>IF(OR(AA43&gt;0,AND(AB$3&gt;=Assumptions!$E$258,AB$3&gt;=Assumptions!$B$14,Revenue_Build!AB10&gt;=Assumptions!$F$258*Assumptions!$B$51)),Assumptions!$D$258,0)</f>
        <v/>
      </c>
      <c r="AC43" s="41">
        <f>IF(OR(AB43&gt;0,AND(AC$3&gt;=Assumptions!$E$258,AC$3&gt;=Assumptions!$B$14,Revenue_Build!AC10&gt;=Assumptions!$F$258*Assumptions!$B$51)),Assumptions!$D$258,0)</f>
        <v/>
      </c>
      <c r="AD43" s="41">
        <f>IF(OR(AC43&gt;0,AND(AD$3&gt;=Assumptions!$E$258,AD$3&gt;=Assumptions!$B$14,Revenue_Build!AD10&gt;=Assumptions!$F$258*Assumptions!$B$51)),Assumptions!$D$258,0)</f>
        <v/>
      </c>
      <c r="AE43" s="41">
        <f>IF(OR(AD43&gt;0,AND(AE$3&gt;=Assumptions!$E$258,AE$3&gt;=Assumptions!$B$14,Revenue_Build!AE10&gt;=Assumptions!$F$258*Assumptions!$B$51)),Assumptions!$D$258,0)</f>
        <v/>
      </c>
      <c r="AF43" s="41">
        <f>IF(OR(AE43&gt;0,AND(AF$3&gt;=Assumptions!$E$258,AF$3&gt;=Assumptions!$B$14,Revenue_Build!AF10&gt;=Assumptions!$F$258*Assumptions!$B$51)),Assumptions!$D$258,0)</f>
        <v/>
      </c>
      <c r="AG43" s="41">
        <f>IF(OR(AF43&gt;0,AND(AG$3&gt;=Assumptions!$E$258,AG$3&gt;=Assumptions!$B$14,Revenue_Build!AG10&gt;=Assumptions!$F$258*Assumptions!$B$51)),Assumptions!$D$258,0)</f>
        <v/>
      </c>
      <c r="AH43" s="41">
        <f>IF(OR(AG43&gt;0,AND(AH$3&gt;=Assumptions!$E$258,AH$3&gt;=Assumptions!$B$14,Revenue_Build!AH10&gt;=Assumptions!$F$258*Assumptions!$B$51)),Assumptions!$D$258,0)</f>
        <v/>
      </c>
      <c r="AI43" s="41">
        <f>IF(OR(AH43&gt;0,AND(AI$3&gt;=Assumptions!$E$258,AI$3&gt;=Assumptions!$B$14,Revenue_Build!AI10&gt;=Assumptions!$F$258*Assumptions!$B$51)),Assumptions!$D$258,0)</f>
        <v/>
      </c>
      <c r="AJ43" s="41">
        <f>IF(OR(AI43&gt;0,AND(AJ$3&gt;=Assumptions!$E$258,AJ$3&gt;=Assumptions!$B$14,Revenue_Build!AJ10&gt;=Assumptions!$F$258*Assumptions!$B$51)),Assumptions!$D$258,0)</f>
        <v/>
      </c>
      <c r="AK43" s="41">
        <f>IF(OR(AJ43&gt;0,AND(AK$3&gt;=Assumptions!$E$258,AK$3&gt;=Assumptions!$B$14,Revenue_Build!AK10&gt;=Assumptions!$F$258*Assumptions!$B$51)),Assumptions!$D$258,0)</f>
        <v/>
      </c>
      <c r="AL43" s="41">
        <f>IF(OR(AK43&gt;0,AND(AL$3&gt;=Assumptions!$E$258,AL$3&gt;=Assumptions!$B$14,Revenue_Build!AL10&gt;=Assumptions!$F$258*Assumptions!$B$51)),Assumptions!$D$258,0)</f>
        <v/>
      </c>
      <c r="AM43" s="41">
        <f>IF(OR(AL43&gt;0,AND(AM$3&gt;=Assumptions!$E$258,AM$3&gt;=Assumptions!$B$14,Revenue_Build!AM10&gt;=Assumptions!$F$258*Assumptions!$B$51)),Assumptions!$D$258,0)</f>
        <v/>
      </c>
      <c r="AN43" s="41">
        <f>IF(OR(AM43&gt;0,AND(AN$3&gt;=Assumptions!$E$258,AN$3&gt;=Assumptions!$B$14,Revenue_Build!AN10&gt;=Assumptions!$F$258*Assumptions!$B$51)),Assumptions!$D$258,0)</f>
        <v/>
      </c>
      <c r="AO43" s="41">
        <f>IF(OR(AN43&gt;0,AND(AO$3&gt;=Assumptions!$E$258,AO$3&gt;=Assumptions!$B$14,Revenue_Build!AO10&gt;=Assumptions!$F$258*Assumptions!$B$51)),Assumptions!$D$258,0)</f>
        <v/>
      </c>
      <c r="AP43" s="41">
        <f>IF(OR(AO43&gt;0,AND(AP$3&gt;=Assumptions!$E$258,AP$3&gt;=Assumptions!$B$14,Revenue_Build!AP10&gt;=Assumptions!$F$258*Assumptions!$B$51)),Assumptions!$D$258,0)</f>
        <v/>
      </c>
      <c r="AQ43" s="41">
        <f>IF(OR(AP43&gt;0,AND(AQ$3&gt;=Assumptions!$E$258,AQ$3&gt;=Assumptions!$B$14,Revenue_Build!AQ10&gt;=Assumptions!$F$258*Assumptions!$B$51)),Assumptions!$D$258,0)</f>
        <v/>
      </c>
      <c r="AR43" s="41">
        <f>IF(OR(AQ43&gt;0,AND(AR$3&gt;=Assumptions!$E$258,AR$3&gt;=Assumptions!$B$14,Revenue_Build!AR10&gt;=Assumptions!$F$258*Assumptions!$B$51)),Assumptions!$D$258,0)</f>
        <v/>
      </c>
      <c r="AS43" s="41">
        <f>IF(OR(AR43&gt;0,AND(AS$3&gt;=Assumptions!$E$258,AS$3&gt;=Assumptions!$B$14,Revenue_Build!AS10&gt;=Assumptions!$F$258*Assumptions!$B$51)),Assumptions!$D$258,0)</f>
        <v/>
      </c>
      <c r="AT43" s="41">
        <f>IF(OR(AS43&gt;0,AND(AT$3&gt;=Assumptions!$E$258,AT$3&gt;=Assumptions!$B$14,Revenue_Build!AT10&gt;=Assumptions!$F$258*Assumptions!$B$51)),Assumptions!$D$258,0)</f>
        <v/>
      </c>
      <c r="AU43" s="41">
        <f>IF(OR(AT43&gt;0,AND(AU$3&gt;=Assumptions!$E$258,AU$3&gt;=Assumptions!$B$14,Revenue_Build!AU10&gt;=Assumptions!$F$258*Assumptions!$B$51)),Assumptions!$D$258,0)</f>
        <v/>
      </c>
      <c r="AV43" s="41">
        <f>IF(OR(AU43&gt;0,AND(AV$3&gt;=Assumptions!$E$258,AV$3&gt;=Assumptions!$B$14,Revenue_Build!AV10&gt;=Assumptions!$F$258*Assumptions!$B$51)),Assumptions!$D$258,0)</f>
        <v/>
      </c>
      <c r="AW43" s="41">
        <f>IF(OR(AV43&gt;0,AND(AW$3&gt;=Assumptions!$E$258,AW$3&gt;=Assumptions!$B$14,Revenue_Build!AW10&gt;=Assumptions!$F$258*Assumptions!$B$51)),Assumptions!$D$258,0)</f>
        <v/>
      </c>
      <c r="AX43" s="41">
        <f>IF(OR(AW43&gt;0,AND(AX$3&gt;=Assumptions!$E$258,AX$3&gt;=Assumptions!$B$14,Revenue_Build!AX10&gt;=Assumptions!$F$258*Assumptions!$B$51)),Assumptions!$D$258,0)</f>
        <v/>
      </c>
      <c r="AY43" s="41">
        <f>IF(OR(AX43&gt;0,AND(AY$3&gt;=Assumptions!$E$258,AY$3&gt;=Assumptions!$B$14,Revenue_Build!AY10&gt;=Assumptions!$F$258*Assumptions!$B$51)),Assumptions!$D$258,0)</f>
        <v/>
      </c>
      <c r="AZ43" s="41">
        <f>IF(OR(AY43&gt;0,AND(AZ$3&gt;=Assumptions!$E$258,AZ$3&gt;=Assumptions!$B$14,Revenue_Build!AZ10&gt;=Assumptions!$F$258*Assumptions!$B$51)),Assumptions!$D$258,0)</f>
        <v/>
      </c>
      <c r="BA43" s="41">
        <f>IF(OR(AZ43&gt;0,AND(BA$3&gt;=Assumptions!$E$258,BA$3&gt;=Assumptions!$B$14,Revenue_Build!BA10&gt;=Assumptions!$F$258*Assumptions!$B$51)),Assumptions!$D$258,0)</f>
        <v/>
      </c>
      <c r="BB43" s="41">
        <f>IF(OR(BA43&gt;0,AND(BB$3&gt;=Assumptions!$E$258,BB$3&gt;=Assumptions!$B$14,Revenue_Build!BB10&gt;=Assumptions!$F$258*Assumptions!$B$51)),Assumptions!$D$258,0)</f>
        <v/>
      </c>
      <c r="BC43" s="41">
        <f>IF(OR(BB43&gt;0,AND(BC$3&gt;=Assumptions!$E$258,BC$3&gt;=Assumptions!$B$14,Revenue_Build!BC10&gt;=Assumptions!$F$258*Assumptions!$B$51)),Assumptions!$D$258,0)</f>
        <v/>
      </c>
      <c r="BD43" s="41">
        <f>IF(OR(BC43&gt;0,AND(BD$3&gt;=Assumptions!$E$258,BD$3&gt;=Assumptions!$B$14,Revenue_Build!BD10&gt;=Assumptions!$F$258*Assumptions!$B$51)),Assumptions!$D$258,0)</f>
        <v/>
      </c>
      <c r="BE43" s="41">
        <f>IF(OR(BD43&gt;0,AND(BE$3&gt;=Assumptions!$E$258,BE$3&gt;=Assumptions!$B$14,Revenue_Build!BE10&gt;=Assumptions!$F$258*Assumptions!$B$51)),Assumptions!$D$258,0)</f>
        <v/>
      </c>
      <c r="BF43" s="41">
        <f>IF(OR(BE43&gt;0,AND(BF$3&gt;=Assumptions!$E$258,BF$3&gt;=Assumptions!$B$14,Revenue_Build!BF10&gt;=Assumptions!$F$258*Assumptions!$B$51)),Assumptions!$D$258,0)</f>
        <v/>
      </c>
      <c r="BG43" s="41">
        <f>IF(OR(BF43&gt;0,AND(BG$3&gt;=Assumptions!$E$258,BG$3&gt;=Assumptions!$B$14,Revenue_Build!BG10&gt;=Assumptions!$F$258*Assumptions!$B$51)),Assumptions!$D$258,0)</f>
        <v/>
      </c>
      <c r="BH43" s="41">
        <f>IF(OR(BG43&gt;0,AND(BH$3&gt;=Assumptions!$E$258,BH$3&gt;=Assumptions!$B$14,Revenue_Build!BH10&gt;=Assumptions!$F$258*Assumptions!$B$51)),Assumptions!$D$258,0)</f>
        <v/>
      </c>
      <c r="BI43" s="41">
        <f>IF(OR(BH43&gt;0,AND(BI$3&gt;=Assumptions!$E$258,BI$3&gt;=Assumptions!$B$14,Revenue_Build!BI10&gt;=Assumptions!$F$258*Assumptions!$B$51)),Assumptions!$D$258,0)</f>
        <v/>
      </c>
      <c r="BJ43" s="41">
        <f>IF(OR(BI43&gt;0,AND(BJ$3&gt;=Assumptions!$E$258,BJ$3&gt;=Assumptions!$B$14,Revenue_Build!BJ10&gt;=Assumptions!$F$258*Assumptions!$B$51)),Assumptions!$D$258,0)</f>
        <v/>
      </c>
    </row>
    <row r="44">
      <c r="A44" s="4" t="inlineStr">
        <is>
          <t>CS &amp; onboarding agents</t>
        </is>
      </c>
      <c r="B44" s="17" t="inlineStr">
        <is>
          <t>FTE</t>
        </is>
      </c>
      <c r="C44" s="41">
        <f>IF(AND(C$3&gt;=Assumptions!$E$259,C$3&gt;=Assumptions!$B$14,Revenue_Build!C10&gt;=Assumptions!$F$259*Assumptions!$B$51),Assumptions!$D$259,0)</f>
        <v/>
      </c>
      <c r="D44" s="41">
        <f>IF(OR(C44&gt;0,AND(D$3&gt;=Assumptions!$E$259,D$3&gt;=Assumptions!$B$14,Revenue_Build!D10&gt;=Assumptions!$F$259*Assumptions!$B$51)),Assumptions!$D$259,0)</f>
        <v/>
      </c>
      <c r="E44" s="41">
        <f>IF(OR(D44&gt;0,AND(E$3&gt;=Assumptions!$E$259,E$3&gt;=Assumptions!$B$14,Revenue_Build!E10&gt;=Assumptions!$F$259*Assumptions!$B$51)),Assumptions!$D$259,0)</f>
        <v/>
      </c>
      <c r="F44" s="41">
        <f>IF(OR(E44&gt;0,AND(F$3&gt;=Assumptions!$E$259,F$3&gt;=Assumptions!$B$14,Revenue_Build!F10&gt;=Assumptions!$F$259*Assumptions!$B$51)),Assumptions!$D$259,0)</f>
        <v/>
      </c>
      <c r="G44" s="41">
        <f>IF(OR(F44&gt;0,AND(G$3&gt;=Assumptions!$E$259,G$3&gt;=Assumptions!$B$14,Revenue_Build!G10&gt;=Assumptions!$F$259*Assumptions!$B$51)),Assumptions!$D$259,0)</f>
        <v/>
      </c>
      <c r="H44" s="41">
        <f>IF(OR(G44&gt;0,AND(H$3&gt;=Assumptions!$E$259,H$3&gt;=Assumptions!$B$14,Revenue_Build!H10&gt;=Assumptions!$F$259*Assumptions!$B$51)),Assumptions!$D$259,0)</f>
        <v/>
      </c>
      <c r="I44" s="41">
        <f>IF(OR(H44&gt;0,AND(I$3&gt;=Assumptions!$E$259,I$3&gt;=Assumptions!$B$14,Revenue_Build!I10&gt;=Assumptions!$F$259*Assumptions!$B$51)),Assumptions!$D$259,0)</f>
        <v/>
      </c>
      <c r="J44" s="41">
        <f>IF(OR(I44&gt;0,AND(J$3&gt;=Assumptions!$E$259,J$3&gt;=Assumptions!$B$14,Revenue_Build!J10&gt;=Assumptions!$F$259*Assumptions!$B$51)),Assumptions!$D$259,0)</f>
        <v/>
      </c>
      <c r="K44" s="41">
        <f>IF(OR(J44&gt;0,AND(K$3&gt;=Assumptions!$E$259,K$3&gt;=Assumptions!$B$14,Revenue_Build!K10&gt;=Assumptions!$F$259*Assumptions!$B$51)),Assumptions!$D$259,0)</f>
        <v/>
      </c>
      <c r="L44" s="41">
        <f>IF(OR(K44&gt;0,AND(L$3&gt;=Assumptions!$E$259,L$3&gt;=Assumptions!$B$14,Revenue_Build!L10&gt;=Assumptions!$F$259*Assumptions!$B$51)),Assumptions!$D$259,0)</f>
        <v/>
      </c>
      <c r="M44" s="41">
        <f>IF(OR(L44&gt;0,AND(M$3&gt;=Assumptions!$E$259,M$3&gt;=Assumptions!$B$14,Revenue_Build!M10&gt;=Assumptions!$F$259*Assumptions!$B$51)),Assumptions!$D$259,0)</f>
        <v/>
      </c>
      <c r="N44" s="41">
        <f>IF(OR(M44&gt;0,AND(N$3&gt;=Assumptions!$E$259,N$3&gt;=Assumptions!$B$14,Revenue_Build!N10&gt;=Assumptions!$F$259*Assumptions!$B$51)),Assumptions!$D$259,0)</f>
        <v/>
      </c>
      <c r="O44" s="41">
        <f>IF(OR(N44&gt;0,AND(O$3&gt;=Assumptions!$E$259,O$3&gt;=Assumptions!$B$14,Revenue_Build!O10&gt;=Assumptions!$F$259*Assumptions!$B$51)),Assumptions!$D$259,0)</f>
        <v/>
      </c>
      <c r="P44" s="41">
        <f>IF(OR(O44&gt;0,AND(P$3&gt;=Assumptions!$E$259,P$3&gt;=Assumptions!$B$14,Revenue_Build!P10&gt;=Assumptions!$F$259*Assumptions!$B$51)),Assumptions!$D$259,0)</f>
        <v/>
      </c>
      <c r="Q44" s="41">
        <f>IF(OR(P44&gt;0,AND(Q$3&gt;=Assumptions!$E$259,Q$3&gt;=Assumptions!$B$14,Revenue_Build!Q10&gt;=Assumptions!$F$259*Assumptions!$B$51)),Assumptions!$D$259,0)</f>
        <v/>
      </c>
      <c r="R44" s="41">
        <f>IF(OR(Q44&gt;0,AND(R$3&gt;=Assumptions!$E$259,R$3&gt;=Assumptions!$B$14,Revenue_Build!R10&gt;=Assumptions!$F$259*Assumptions!$B$51)),Assumptions!$D$259,0)</f>
        <v/>
      </c>
      <c r="S44" s="41">
        <f>IF(OR(R44&gt;0,AND(S$3&gt;=Assumptions!$E$259,S$3&gt;=Assumptions!$B$14,Revenue_Build!S10&gt;=Assumptions!$F$259*Assumptions!$B$51)),Assumptions!$D$259,0)</f>
        <v/>
      </c>
      <c r="T44" s="41">
        <f>IF(OR(S44&gt;0,AND(T$3&gt;=Assumptions!$E$259,T$3&gt;=Assumptions!$B$14,Revenue_Build!T10&gt;=Assumptions!$F$259*Assumptions!$B$51)),Assumptions!$D$259,0)</f>
        <v/>
      </c>
      <c r="U44" s="41">
        <f>IF(OR(T44&gt;0,AND(U$3&gt;=Assumptions!$E$259,U$3&gt;=Assumptions!$B$14,Revenue_Build!U10&gt;=Assumptions!$F$259*Assumptions!$B$51)),Assumptions!$D$259,0)</f>
        <v/>
      </c>
      <c r="V44" s="41">
        <f>IF(OR(U44&gt;0,AND(V$3&gt;=Assumptions!$E$259,V$3&gt;=Assumptions!$B$14,Revenue_Build!V10&gt;=Assumptions!$F$259*Assumptions!$B$51)),Assumptions!$D$259,0)</f>
        <v/>
      </c>
      <c r="W44" s="41">
        <f>IF(OR(V44&gt;0,AND(W$3&gt;=Assumptions!$E$259,W$3&gt;=Assumptions!$B$14,Revenue_Build!W10&gt;=Assumptions!$F$259*Assumptions!$B$51)),Assumptions!$D$259,0)</f>
        <v/>
      </c>
      <c r="X44" s="41">
        <f>IF(OR(W44&gt;0,AND(X$3&gt;=Assumptions!$E$259,X$3&gt;=Assumptions!$B$14,Revenue_Build!X10&gt;=Assumptions!$F$259*Assumptions!$B$51)),Assumptions!$D$259,0)</f>
        <v/>
      </c>
      <c r="Y44" s="41">
        <f>IF(OR(X44&gt;0,AND(Y$3&gt;=Assumptions!$E$259,Y$3&gt;=Assumptions!$B$14,Revenue_Build!Y10&gt;=Assumptions!$F$259*Assumptions!$B$51)),Assumptions!$D$259,0)</f>
        <v/>
      </c>
      <c r="Z44" s="41">
        <f>IF(OR(Y44&gt;0,AND(Z$3&gt;=Assumptions!$E$259,Z$3&gt;=Assumptions!$B$14,Revenue_Build!Z10&gt;=Assumptions!$F$259*Assumptions!$B$51)),Assumptions!$D$259,0)</f>
        <v/>
      </c>
      <c r="AA44" s="41">
        <f>IF(OR(Z44&gt;0,AND(AA$3&gt;=Assumptions!$E$259,AA$3&gt;=Assumptions!$B$14,Revenue_Build!AA10&gt;=Assumptions!$F$259*Assumptions!$B$51)),Assumptions!$D$259,0)</f>
        <v/>
      </c>
      <c r="AB44" s="41">
        <f>IF(OR(AA44&gt;0,AND(AB$3&gt;=Assumptions!$E$259,AB$3&gt;=Assumptions!$B$14,Revenue_Build!AB10&gt;=Assumptions!$F$259*Assumptions!$B$51)),Assumptions!$D$259,0)</f>
        <v/>
      </c>
      <c r="AC44" s="41">
        <f>IF(OR(AB44&gt;0,AND(AC$3&gt;=Assumptions!$E$259,AC$3&gt;=Assumptions!$B$14,Revenue_Build!AC10&gt;=Assumptions!$F$259*Assumptions!$B$51)),Assumptions!$D$259,0)</f>
        <v/>
      </c>
      <c r="AD44" s="41">
        <f>IF(OR(AC44&gt;0,AND(AD$3&gt;=Assumptions!$E$259,AD$3&gt;=Assumptions!$B$14,Revenue_Build!AD10&gt;=Assumptions!$F$259*Assumptions!$B$51)),Assumptions!$D$259,0)</f>
        <v/>
      </c>
      <c r="AE44" s="41">
        <f>IF(OR(AD44&gt;0,AND(AE$3&gt;=Assumptions!$E$259,AE$3&gt;=Assumptions!$B$14,Revenue_Build!AE10&gt;=Assumptions!$F$259*Assumptions!$B$51)),Assumptions!$D$259,0)</f>
        <v/>
      </c>
      <c r="AF44" s="41">
        <f>IF(OR(AE44&gt;0,AND(AF$3&gt;=Assumptions!$E$259,AF$3&gt;=Assumptions!$B$14,Revenue_Build!AF10&gt;=Assumptions!$F$259*Assumptions!$B$51)),Assumptions!$D$259,0)</f>
        <v/>
      </c>
      <c r="AG44" s="41">
        <f>IF(OR(AF44&gt;0,AND(AG$3&gt;=Assumptions!$E$259,AG$3&gt;=Assumptions!$B$14,Revenue_Build!AG10&gt;=Assumptions!$F$259*Assumptions!$B$51)),Assumptions!$D$259,0)</f>
        <v/>
      </c>
      <c r="AH44" s="41">
        <f>IF(OR(AG44&gt;0,AND(AH$3&gt;=Assumptions!$E$259,AH$3&gt;=Assumptions!$B$14,Revenue_Build!AH10&gt;=Assumptions!$F$259*Assumptions!$B$51)),Assumptions!$D$259,0)</f>
        <v/>
      </c>
      <c r="AI44" s="41">
        <f>IF(OR(AH44&gt;0,AND(AI$3&gt;=Assumptions!$E$259,AI$3&gt;=Assumptions!$B$14,Revenue_Build!AI10&gt;=Assumptions!$F$259*Assumptions!$B$51)),Assumptions!$D$259,0)</f>
        <v/>
      </c>
      <c r="AJ44" s="41">
        <f>IF(OR(AI44&gt;0,AND(AJ$3&gt;=Assumptions!$E$259,AJ$3&gt;=Assumptions!$B$14,Revenue_Build!AJ10&gt;=Assumptions!$F$259*Assumptions!$B$51)),Assumptions!$D$259,0)</f>
        <v/>
      </c>
      <c r="AK44" s="41">
        <f>IF(OR(AJ44&gt;0,AND(AK$3&gt;=Assumptions!$E$259,AK$3&gt;=Assumptions!$B$14,Revenue_Build!AK10&gt;=Assumptions!$F$259*Assumptions!$B$51)),Assumptions!$D$259,0)</f>
        <v/>
      </c>
      <c r="AL44" s="41">
        <f>IF(OR(AK44&gt;0,AND(AL$3&gt;=Assumptions!$E$259,AL$3&gt;=Assumptions!$B$14,Revenue_Build!AL10&gt;=Assumptions!$F$259*Assumptions!$B$51)),Assumptions!$D$259,0)</f>
        <v/>
      </c>
      <c r="AM44" s="41">
        <f>IF(OR(AL44&gt;0,AND(AM$3&gt;=Assumptions!$E$259,AM$3&gt;=Assumptions!$B$14,Revenue_Build!AM10&gt;=Assumptions!$F$259*Assumptions!$B$51)),Assumptions!$D$259,0)</f>
        <v/>
      </c>
      <c r="AN44" s="41">
        <f>IF(OR(AM44&gt;0,AND(AN$3&gt;=Assumptions!$E$259,AN$3&gt;=Assumptions!$B$14,Revenue_Build!AN10&gt;=Assumptions!$F$259*Assumptions!$B$51)),Assumptions!$D$259,0)</f>
        <v/>
      </c>
      <c r="AO44" s="41">
        <f>IF(OR(AN44&gt;0,AND(AO$3&gt;=Assumptions!$E$259,AO$3&gt;=Assumptions!$B$14,Revenue_Build!AO10&gt;=Assumptions!$F$259*Assumptions!$B$51)),Assumptions!$D$259,0)</f>
        <v/>
      </c>
      <c r="AP44" s="41">
        <f>IF(OR(AO44&gt;0,AND(AP$3&gt;=Assumptions!$E$259,AP$3&gt;=Assumptions!$B$14,Revenue_Build!AP10&gt;=Assumptions!$F$259*Assumptions!$B$51)),Assumptions!$D$259,0)</f>
        <v/>
      </c>
      <c r="AQ44" s="41">
        <f>IF(OR(AP44&gt;0,AND(AQ$3&gt;=Assumptions!$E$259,AQ$3&gt;=Assumptions!$B$14,Revenue_Build!AQ10&gt;=Assumptions!$F$259*Assumptions!$B$51)),Assumptions!$D$259,0)</f>
        <v/>
      </c>
      <c r="AR44" s="41">
        <f>IF(OR(AQ44&gt;0,AND(AR$3&gt;=Assumptions!$E$259,AR$3&gt;=Assumptions!$B$14,Revenue_Build!AR10&gt;=Assumptions!$F$259*Assumptions!$B$51)),Assumptions!$D$259,0)</f>
        <v/>
      </c>
      <c r="AS44" s="41">
        <f>IF(OR(AR44&gt;0,AND(AS$3&gt;=Assumptions!$E$259,AS$3&gt;=Assumptions!$B$14,Revenue_Build!AS10&gt;=Assumptions!$F$259*Assumptions!$B$51)),Assumptions!$D$259,0)</f>
        <v/>
      </c>
      <c r="AT44" s="41">
        <f>IF(OR(AS44&gt;0,AND(AT$3&gt;=Assumptions!$E$259,AT$3&gt;=Assumptions!$B$14,Revenue_Build!AT10&gt;=Assumptions!$F$259*Assumptions!$B$51)),Assumptions!$D$259,0)</f>
        <v/>
      </c>
      <c r="AU44" s="41">
        <f>IF(OR(AT44&gt;0,AND(AU$3&gt;=Assumptions!$E$259,AU$3&gt;=Assumptions!$B$14,Revenue_Build!AU10&gt;=Assumptions!$F$259*Assumptions!$B$51)),Assumptions!$D$259,0)</f>
        <v/>
      </c>
      <c r="AV44" s="41">
        <f>IF(OR(AU44&gt;0,AND(AV$3&gt;=Assumptions!$E$259,AV$3&gt;=Assumptions!$B$14,Revenue_Build!AV10&gt;=Assumptions!$F$259*Assumptions!$B$51)),Assumptions!$D$259,0)</f>
        <v/>
      </c>
      <c r="AW44" s="41">
        <f>IF(OR(AV44&gt;0,AND(AW$3&gt;=Assumptions!$E$259,AW$3&gt;=Assumptions!$B$14,Revenue_Build!AW10&gt;=Assumptions!$F$259*Assumptions!$B$51)),Assumptions!$D$259,0)</f>
        <v/>
      </c>
      <c r="AX44" s="41">
        <f>IF(OR(AW44&gt;0,AND(AX$3&gt;=Assumptions!$E$259,AX$3&gt;=Assumptions!$B$14,Revenue_Build!AX10&gt;=Assumptions!$F$259*Assumptions!$B$51)),Assumptions!$D$259,0)</f>
        <v/>
      </c>
      <c r="AY44" s="41">
        <f>IF(OR(AX44&gt;0,AND(AY$3&gt;=Assumptions!$E$259,AY$3&gt;=Assumptions!$B$14,Revenue_Build!AY10&gt;=Assumptions!$F$259*Assumptions!$B$51)),Assumptions!$D$259,0)</f>
        <v/>
      </c>
      <c r="AZ44" s="41">
        <f>IF(OR(AY44&gt;0,AND(AZ$3&gt;=Assumptions!$E$259,AZ$3&gt;=Assumptions!$B$14,Revenue_Build!AZ10&gt;=Assumptions!$F$259*Assumptions!$B$51)),Assumptions!$D$259,0)</f>
        <v/>
      </c>
      <c r="BA44" s="41">
        <f>IF(OR(AZ44&gt;0,AND(BA$3&gt;=Assumptions!$E$259,BA$3&gt;=Assumptions!$B$14,Revenue_Build!BA10&gt;=Assumptions!$F$259*Assumptions!$B$51)),Assumptions!$D$259,0)</f>
        <v/>
      </c>
      <c r="BB44" s="41">
        <f>IF(OR(BA44&gt;0,AND(BB$3&gt;=Assumptions!$E$259,BB$3&gt;=Assumptions!$B$14,Revenue_Build!BB10&gt;=Assumptions!$F$259*Assumptions!$B$51)),Assumptions!$D$259,0)</f>
        <v/>
      </c>
      <c r="BC44" s="41">
        <f>IF(OR(BB44&gt;0,AND(BC$3&gt;=Assumptions!$E$259,BC$3&gt;=Assumptions!$B$14,Revenue_Build!BC10&gt;=Assumptions!$F$259*Assumptions!$B$51)),Assumptions!$D$259,0)</f>
        <v/>
      </c>
      <c r="BD44" s="41">
        <f>IF(OR(BC44&gt;0,AND(BD$3&gt;=Assumptions!$E$259,BD$3&gt;=Assumptions!$B$14,Revenue_Build!BD10&gt;=Assumptions!$F$259*Assumptions!$B$51)),Assumptions!$D$259,0)</f>
        <v/>
      </c>
      <c r="BE44" s="41">
        <f>IF(OR(BD44&gt;0,AND(BE$3&gt;=Assumptions!$E$259,BE$3&gt;=Assumptions!$B$14,Revenue_Build!BE10&gt;=Assumptions!$F$259*Assumptions!$B$51)),Assumptions!$D$259,0)</f>
        <v/>
      </c>
      <c r="BF44" s="41">
        <f>IF(OR(BE44&gt;0,AND(BF$3&gt;=Assumptions!$E$259,BF$3&gt;=Assumptions!$B$14,Revenue_Build!BF10&gt;=Assumptions!$F$259*Assumptions!$B$51)),Assumptions!$D$259,0)</f>
        <v/>
      </c>
      <c r="BG44" s="41">
        <f>IF(OR(BF44&gt;0,AND(BG$3&gt;=Assumptions!$E$259,BG$3&gt;=Assumptions!$B$14,Revenue_Build!BG10&gt;=Assumptions!$F$259*Assumptions!$B$51)),Assumptions!$D$259,0)</f>
        <v/>
      </c>
      <c r="BH44" s="41">
        <f>IF(OR(BG44&gt;0,AND(BH$3&gt;=Assumptions!$E$259,BH$3&gt;=Assumptions!$B$14,Revenue_Build!BH10&gt;=Assumptions!$F$259*Assumptions!$B$51)),Assumptions!$D$259,0)</f>
        <v/>
      </c>
      <c r="BI44" s="41">
        <f>IF(OR(BH44&gt;0,AND(BI$3&gt;=Assumptions!$E$259,BI$3&gt;=Assumptions!$B$14,Revenue_Build!BI10&gt;=Assumptions!$F$259*Assumptions!$B$51)),Assumptions!$D$259,0)</f>
        <v/>
      </c>
      <c r="BJ44" s="41">
        <f>IF(OR(BI44&gt;0,AND(BJ$3&gt;=Assumptions!$E$259,BJ$3&gt;=Assumptions!$B$14,Revenue_Build!BJ10&gt;=Assumptions!$F$259*Assumptions!$B$51)),Assumptions!$D$259,0)</f>
        <v/>
      </c>
    </row>
    <row r="45">
      <c r="A45" s="4" t="inlineStr">
        <is>
          <t>CS agents II</t>
        </is>
      </c>
      <c r="B45" s="17" t="inlineStr">
        <is>
          <t>FTE</t>
        </is>
      </c>
      <c r="C45" s="41">
        <f>IF(AND(C$3&gt;=Assumptions!$E$260,C$3&gt;=Assumptions!$B$14,Revenue_Build!C10&gt;=Assumptions!$F$260*Assumptions!$B$51),Assumptions!$D$260,0)</f>
        <v/>
      </c>
      <c r="D45" s="41">
        <f>IF(OR(C45&gt;0,AND(D$3&gt;=Assumptions!$E$260,D$3&gt;=Assumptions!$B$14,Revenue_Build!D10&gt;=Assumptions!$F$260*Assumptions!$B$51)),Assumptions!$D$260,0)</f>
        <v/>
      </c>
      <c r="E45" s="41">
        <f>IF(OR(D45&gt;0,AND(E$3&gt;=Assumptions!$E$260,E$3&gt;=Assumptions!$B$14,Revenue_Build!E10&gt;=Assumptions!$F$260*Assumptions!$B$51)),Assumptions!$D$260,0)</f>
        <v/>
      </c>
      <c r="F45" s="41">
        <f>IF(OR(E45&gt;0,AND(F$3&gt;=Assumptions!$E$260,F$3&gt;=Assumptions!$B$14,Revenue_Build!F10&gt;=Assumptions!$F$260*Assumptions!$B$51)),Assumptions!$D$260,0)</f>
        <v/>
      </c>
      <c r="G45" s="41">
        <f>IF(OR(F45&gt;0,AND(G$3&gt;=Assumptions!$E$260,G$3&gt;=Assumptions!$B$14,Revenue_Build!G10&gt;=Assumptions!$F$260*Assumptions!$B$51)),Assumptions!$D$260,0)</f>
        <v/>
      </c>
      <c r="H45" s="41">
        <f>IF(OR(G45&gt;0,AND(H$3&gt;=Assumptions!$E$260,H$3&gt;=Assumptions!$B$14,Revenue_Build!H10&gt;=Assumptions!$F$260*Assumptions!$B$51)),Assumptions!$D$260,0)</f>
        <v/>
      </c>
      <c r="I45" s="41">
        <f>IF(OR(H45&gt;0,AND(I$3&gt;=Assumptions!$E$260,I$3&gt;=Assumptions!$B$14,Revenue_Build!I10&gt;=Assumptions!$F$260*Assumptions!$B$51)),Assumptions!$D$260,0)</f>
        <v/>
      </c>
      <c r="J45" s="41">
        <f>IF(OR(I45&gt;0,AND(J$3&gt;=Assumptions!$E$260,J$3&gt;=Assumptions!$B$14,Revenue_Build!J10&gt;=Assumptions!$F$260*Assumptions!$B$51)),Assumptions!$D$260,0)</f>
        <v/>
      </c>
      <c r="K45" s="41">
        <f>IF(OR(J45&gt;0,AND(K$3&gt;=Assumptions!$E$260,K$3&gt;=Assumptions!$B$14,Revenue_Build!K10&gt;=Assumptions!$F$260*Assumptions!$B$51)),Assumptions!$D$260,0)</f>
        <v/>
      </c>
      <c r="L45" s="41">
        <f>IF(OR(K45&gt;0,AND(L$3&gt;=Assumptions!$E$260,L$3&gt;=Assumptions!$B$14,Revenue_Build!L10&gt;=Assumptions!$F$260*Assumptions!$B$51)),Assumptions!$D$260,0)</f>
        <v/>
      </c>
      <c r="M45" s="41">
        <f>IF(OR(L45&gt;0,AND(M$3&gt;=Assumptions!$E$260,M$3&gt;=Assumptions!$B$14,Revenue_Build!M10&gt;=Assumptions!$F$260*Assumptions!$B$51)),Assumptions!$D$260,0)</f>
        <v/>
      </c>
      <c r="N45" s="41">
        <f>IF(OR(M45&gt;0,AND(N$3&gt;=Assumptions!$E$260,N$3&gt;=Assumptions!$B$14,Revenue_Build!N10&gt;=Assumptions!$F$260*Assumptions!$B$51)),Assumptions!$D$260,0)</f>
        <v/>
      </c>
      <c r="O45" s="41">
        <f>IF(OR(N45&gt;0,AND(O$3&gt;=Assumptions!$E$260,O$3&gt;=Assumptions!$B$14,Revenue_Build!O10&gt;=Assumptions!$F$260*Assumptions!$B$51)),Assumptions!$D$260,0)</f>
        <v/>
      </c>
      <c r="P45" s="41">
        <f>IF(OR(O45&gt;0,AND(P$3&gt;=Assumptions!$E$260,P$3&gt;=Assumptions!$B$14,Revenue_Build!P10&gt;=Assumptions!$F$260*Assumptions!$B$51)),Assumptions!$D$260,0)</f>
        <v/>
      </c>
      <c r="Q45" s="41">
        <f>IF(OR(P45&gt;0,AND(Q$3&gt;=Assumptions!$E$260,Q$3&gt;=Assumptions!$B$14,Revenue_Build!Q10&gt;=Assumptions!$F$260*Assumptions!$B$51)),Assumptions!$D$260,0)</f>
        <v/>
      </c>
      <c r="R45" s="41">
        <f>IF(OR(Q45&gt;0,AND(R$3&gt;=Assumptions!$E$260,R$3&gt;=Assumptions!$B$14,Revenue_Build!R10&gt;=Assumptions!$F$260*Assumptions!$B$51)),Assumptions!$D$260,0)</f>
        <v/>
      </c>
      <c r="S45" s="41">
        <f>IF(OR(R45&gt;0,AND(S$3&gt;=Assumptions!$E$260,S$3&gt;=Assumptions!$B$14,Revenue_Build!S10&gt;=Assumptions!$F$260*Assumptions!$B$51)),Assumptions!$D$260,0)</f>
        <v/>
      </c>
      <c r="T45" s="41">
        <f>IF(OR(S45&gt;0,AND(T$3&gt;=Assumptions!$E$260,T$3&gt;=Assumptions!$B$14,Revenue_Build!T10&gt;=Assumptions!$F$260*Assumptions!$B$51)),Assumptions!$D$260,0)</f>
        <v/>
      </c>
      <c r="U45" s="41">
        <f>IF(OR(T45&gt;0,AND(U$3&gt;=Assumptions!$E$260,U$3&gt;=Assumptions!$B$14,Revenue_Build!U10&gt;=Assumptions!$F$260*Assumptions!$B$51)),Assumptions!$D$260,0)</f>
        <v/>
      </c>
      <c r="V45" s="41">
        <f>IF(OR(U45&gt;0,AND(V$3&gt;=Assumptions!$E$260,V$3&gt;=Assumptions!$B$14,Revenue_Build!V10&gt;=Assumptions!$F$260*Assumptions!$B$51)),Assumptions!$D$260,0)</f>
        <v/>
      </c>
      <c r="W45" s="41">
        <f>IF(OR(V45&gt;0,AND(W$3&gt;=Assumptions!$E$260,W$3&gt;=Assumptions!$B$14,Revenue_Build!W10&gt;=Assumptions!$F$260*Assumptions!$B$51)),Assumptions!$D$260,0)</f>
        <v/>
      </c>
      <c r="X45" s="41">
        <f>IF(OR(W45&gt;0,AND(X$3&gt;=Assumptions!$E$260,X$3&gt;=Assumptions!$B$14,Revenue_Build!X10&gt;=Assumptions!$F$260*Assumptions!$B$51)),Assumptions!$D$260,0)</f>
        <v/>
      </c>
      <c r="Y45" s="41">
        <f>IF(OR(X45&gt;0,AND(Y$3&gt;=Assumptions!$E$260,Y$3&gt;=Assumptions!$B$14,Revenue_Build!Y10&gt;=Assumptions!$F$260*Assumptions!$B$51)),Assumptions!$D$260,0)</f>
        <v/>
      </c>
      <c r="Z45" s="41">
        <f>IF(OR(Y45&gt;0,AND(Z$3&gt;=Assumptions!$E$260,Z$3&gt;=Assumptions!$B$14,Revenue_Build!Z10&gt;=Assumptions!$F$260*Assumptions!$B$51)),Assumptions!$D$260,0)</f>
        <v/>
      </c>
      <c r="AA45" s="41">
        <f>IF(OR(Z45&gt;0,AND(AA$3&gt;=Assumptions!$E$260,AA$3&gt;=Assumptions!$B$14,Revenue_Build!AA10&gt;=Assumptions!$F$260*Assumptions!$B$51)),Assumptions!$D$260,0)</f>
        <v/>
      </c>
      <c r="AB45" s="41">
        <f>IF(OR(AA45&gt;0,AND(AB$3&gt;=Assumptions!$E$260,AB$3&gt;=Assumptions!$B$14,Revenue_Build!AB10&gt;=Assumptions!$F$260*Assumptions!$B$51)),Assumptions!$D$260,0)</f>
        <v/>
      </c>
      <c r="AC45" s="41">
        <f>IF(OR(AB45&gt;0,AND(AC$3&gt;=Assumptions!$E$260,AC$3&gt;=Assumptions!$B$14,Revenue_Build!AC10&gt;=Assumptions!$F$260*Assumptions!$B$51)),Assumptions!$D$260,0)</f>
        <v/>
      </c>
      <c r="AD45" s="41">
        <f>IF(OR(AC45&gt;0,AND(AD$3&gt;=Assumptions!$E$260,AD$3&gt;=Assumptions!$B$14,Revenue_Build!AD10&gt;=Assumptions!$F$260*Assumptions!$B$51)),Assumptions!$D$260,0)</f>
        <v/>
      </c>
      <c r="AE45" s="41">
        <f>IF(OR(AD45&gt;0,AND(AE$3&gt;=Assumptions!$E$260,AE$3&gt;=Assumptions!$B$14,Revenue_Build!AE10&gt;=Assumptions!$F$260*Assumptions!$B$51)),Assumptions!$D$260,0)</f>
        <v/>
      </c>
      <c r="AF45" s="41">
        <f>IF(OR(AE45&gt;0,AND(AF$3&gt;=Assumptions!$E$260,AF$3&gt;=Assumptions!$B$14,Revenue_Build!AF10&gt;=Assumptions!$F$260*Assumptions!$B$51)),Assumptions!$D$260,0)</f>
        <v/>
      </c>
      <c r="AG45" s="41">
        <f>IF(OR(AF45&gt;0,AND(AG$3&gt;=Assumptions!$E$260,AG$3&gt;=Assumptions!$B$14,Revenue_Build!AG10&gt;=Assumptions!$F$260*Assumptions!$B$51)),Assumptions!$D$260,0)</f>
        <v/>
      </c>
      <c r="AH45" s="41">
        <f>IF(OR(AG45&gt;0,AND(AH$3&gt;=Assumptions!$E$260,AH$3&gt;=Assumptions!$B$14,Revenue_Build!AH10&gt;=Assumptions!$F$260*Assumptions!$B$51)),Assumptions!$D$260,0)</f>
        <v/>
      </c>
      <c r="AI45" s="41">
        <f>IF(OR(AH45&gt;0,AND(AI$3&gt;=Assumptions!$E$260,AI$3&gt;=Assumptions!$B$14,Revenue_Build!AI10&gt;=Assumptions!$F$260*Assumptions!$B$51)),Assumptions!$D$260,0)</f>
        <v/>
      </c>
      <c r="AJ45" s="41">
        <f>IF(OR(AI45&gt;0,AND(AJ$3&gt;=Assumptions!$E$260,AJ$3&gt;=Assumptions!$B$14,Revenue_Build!AJ10&gt;=Assumptions!$F$260*Assumptions!$B$51)),Assumptions!$D$260,0)</f>
        <v/>
      </c>
      <c r="AK45" s="41">
        <f>IF(OR(AJ45&gt;0,AND(AK$3&gt;=Assumptions!$E$260,AK$3&gt;=Assumptions!$B$14,Revenue_Build!AK10&gt;=Assumptions!$F$260*Assumptions!$B$51)),Assumptions!$D$260,0)</f>
        <v/>
      </c>
      <c r="AL45" s="41">
        <f>IF(OR(AK45&gt;0,AND(AL$3&gt;=Assumptions!$E$260,AL$3&gt;=Assumptions!$B$14,Revenue_Build!AL10&gt;=Assumptions!$F$260*Assumptions!$B$51)),Assumptions!$D$260,0)</f>
        <v/>
      </c>
      <c r="AM45" s="41">
        <f>IF(OR(AL45&gt;0,AND(AM$3&gt;=Assumptions!$E$260,AM$3&gt;=Assumptions!$B$14,Revenue_Build!AM10&gt;=Assumptions!$F$260*Assumptions!$B$51)),Assumptions!$D$260,0)</f>
        <v/>
      </c>
      <c r="AN45" s="41">
        <f>IF(OR(AM45&gt;0,AND(AN$3&gt;=Assumptions!$E$260,AN$3&gt;=Assumptions!$B$14,Revenue_Build!AN10&gt;=Assumptions!$F$260*Assumptions!$B$51)),Assumptions!$D$260,0)</f>
        <v/>
      </c>
      <c r="AO45" s="41">
        <f>IF(OR(AN45&gt;0,AND(AO$3&gt;=Assumptions!$E$260,AO$3&gt;=Assumptions!$B$14,Revenue_Build!AO10&gt;=Assumptions!$F$260*Assumptions!$B$51)),Assumptions!$D$260,0)</f>
        <v/>
      </c>
      <c r="AP45" s="41">
        <f>IF(OR(AO45&gt;0,AND(AP$3&gt;=Assumptions!$E$260,AP$3&gt;=Assumptions!$B$14,Revenue_Build!AP10&gt;=Assumptions!$F$260*Assumptions!$B$51)),Assumptions!$D$260,0)</f>
        <v/>
      </c>
      <c r="AQ45" s="41">
        <f>IF(OR(AP45&gt;0,AND(AQ$3&gt;=Assumptions!$E$260,AQ$3&gt;=Assumptions!$B$14,Revenue_Build!AQ10&gt;=Assumptions!$F$260*Assumptions!$B$51)),Assumptions!$D$260,0)</f>
        <v/>
      </c>
      <c r="AR45" s="41">
        <f>IF(OR(AQ45&gt;0,AND(AR$3&gt;=Assumptions!$E$260,AR$3&gt;=Assumptions!$B$14,Revenue_Build!AR10&gt;=Assumptions!$F$260*Assumptions!$B$51)),Assumptions!$D$260,0)</f>
        <v/>
      </c>
      <c r="AS45" s="41">
        <f>IF(OR(AR45&gt;0,AND(AS$3&gt;=Assumptions!$E$260,AS$3&gt;=Assumptions!$B$14,Revenue_Build!AS10&gt;=Assumptions!$F$260*Assumptions!$B$51)),Assumptions!$D$260,0)</f>
        <v/>
      </c>
      <c r="AT45" s="41">
        <f>IF(OR(AS45&gt;0,AND(AT$3&gt;=Assumptions!$E$260,AT$3&gt;=Assumptions!$B$14,Revenue_Build!AT10&gt;=Assumptions!$F$260*Assumptions!$B$51)),Assumptions!$D$260,0)</f>
        <v/>
      </c>
      <c r="AU45" s="41">
        <f>IF(OR(AT45&gt;0,AND(AU$3&gt;=Assumptions!$E$260,AU$3&gt;=Assumptions!$B$14,Revenue_Build!AU10&gt;=Assumptions!$F$260*Assumptions!$B$51)),Assumptions!$D$260,0)</f>
        <v/>
      </c>
      <c r="AV45" s="41">
        <f>IF(OR(AU45&gt;0,AND(AV$3&gt;=Assumptions!$E$260,AV$3&gt;=Assumptions!$B$14,Revenue_Build!AV10&gt;=Assumptions!$F$260*Assumptions!$B$51)),Assumptions!$D$260,0)</f>
        <v/>
      </c>
      <c r="AW45" s="41">
        <f>IF(OR(AV45&gt;0,AND(AW$3&gt;=Assumptions!$E$260,AW$3&gt;=Assumptions!$B$14,Revenue_Build!AW10&gt;=Assumptions!$F$260*Assumptions!$B$51)),Assumptions!$D$260,0)</f>
        <v/>
      </c>
      <c r="AX45" s="41">
        <f>IF(OR(AW45&gt;0,AND(AX$3&gt;=Assumptions!$E$260,AX$3&gt;=Assumptions!$B$14,Revenue_Build!AX10&gt;=Assumptions!$F$260*Assumptions!$B$51)),Assumptions!$D$260,0)</f>
        <v/>
      </c>
      <c r="AY45" s="41">
        <f>IF(OR(AX45&gt;0,AND(AY$3&gt;=Assumptions!$E$260,AY$3&gt;=Assumptions!$B$14,Revenue_Build!AY10&gt;=Assumptions!$F$260*Assumptions!$B$51)),Assumptions!$D$260,0)</f>
        <v/>
      </c>
      <c r="AZ45" s="41">
        <f>IF(OR(AY45&gt;0,AND(AZ$3&gt;=Assumptions!$E$260,AZ$3&gt;=Assumptions!$B$14,Revenue_Build!AZ10&gt;=Assumptions!$F$260*Assumptions!$B$51)),Assumptions!$D$260,0)</f>
        <v/>
      </c>
      <c r="BA45" s="41">
        <f>IF(OR(AZ45&gt;0,AND(BA$3&gt;=Assumptions!$E$260,BA$3&gt;=Assumptions!$B$14,Revenue_Build!BA10&gt;=Assumptions!$F$260*Assumptions!$B$51)),Assumptions!$D$260,0)</f>
        <v/>
      </c>
      <c r="BB45" s="41">
        <f>IF(OR(BA45&gt;0,AND(BB$3&gt;=Assumptions!$E$260,BB$3&gt;=Assumptions!$B$14,Revenue_Build!BB10&gt;=Assumptions!$F$260*Assumptions!$B$51)),Assumptions!$D$260,0)</f>
        <v/>
      </c>
      <c r="BC45" s="41">
        <f>IF(OR(BB45&gt;0,AND(BC$3&gt;=Assumptions!$E$260,BC$3&gt;=Assumptions!$B$14,Revenue_Build!BC10&gt;=Assumptions!$F$260*Assumptions!$B$51)),Assumptions!$D$260,0)</f>
        <v/>
      </c>
      <c r="BD45" s="41">
        <f>IF(OR(BC45&gt;0,AND(BD$3&gt;=Assumptions!$E$260,BD$3&gt;=Assumptions!$B$14,Revenue_Build!BD10&gt;=Assumptions!$F$260*Assumptions!$B$51)),Assumptions!$D$260,0)</f>
        <v/>
      </c>
      <c r="BE45" s="41">
        <f>IF(OR(BD45&gt;0,AND(BE$3&gt;=Assumptions!$E$260,BE$3&gt;=Assumptions!$B$14,Revenue_Build!BE10&gt;=Assumptions!$F$260*Assumptions!$B$51)),Assumptions!$D$260,0)</f>
        <v/>
      </c>
      <c r="BF45" s="41">
        <f>IF(OR(BE45&gt;0,AND(BF$3&gt;=Assumptions!$E$260,BF$3&gt;=Assumptions!$B$14,Revenue_Build!BF10&gt;=Assumptions!$F$260*Assumptions!$B$51)),Assumptions!$D$260,0)</f>
        <v/>
      </c>
      <c r="BG45" s="41">
        <f>IF(OR(BF45&gt;0,AND(BG$3&gt;=Assumptions!$E$260,BG$3&gt;=Assumptions!$B$14,Revenue_Build!BG10&gt;=Assumptions!$F$260*Assumptions!$B$51)),Assumptions!$D$260,0)</f>
        <v/>
      </c>
      <c r="BH45" s="41">
        <f>IF(OR(BG45&gt;0,AND(BH$3&gt;=Assumptions!$E$260,BH$3&gt;=Assumptions!$B$14,Revenue_Build!BH10&gt;=Assumptions!$F$260*Assumptions!$B$51)),Assumptions!$D$260,0)</f>
        <v/>
      </c>
      <c r="BI45" s="41">
        <f>IF(OR(BH45&gt;0,AND(BI$3&gt;=Assumptions!$E$260,BI$3&gt;=Assumptions!$B$14,Revenue_Build!BI10&gt;=Assumptions!$F$260*Assumptions!$B$51)),Assumptions!$D$260,0)</f>
        <v/>
      </c>
      <c r="BJ45" s="41">
        <f>IF(OR(BI45&gt;0,AND(BJ$3&gt;=Assumptions!$E$260,BJ$3&gt;=Assumptions!$B$14,Revenue_Build!BJ10&gt;=Assumptions!$F$260*Assumptions!$B$51)),Assumptions!$D$260,0)</f>
        <v/>
      </c>
    </row>
    <row r="46">
      <c r="A46" s="4" t="inlineStr">
        <is>
          <t>CS agents III</t>
        </is>
      </c>
      <c r="B46" s="17" t="inlineStr">
        <is>
          <t>FTE</t>
        </is>
      </c>
      <c r="C46" s="41">
        <f>IF(AND(C$3&gt;=Assumptions!$E$261,C$3&gt;=Assumptions!$B$14,Revenue_Build!C10&gt;=Assumptions!$F$261*Assumptions!$B$51),Assumptions!$D$261,0)</f>
        <v/>
      </c>
      <c r="D46" s="41">
        <f>IF(OR(C46&gt;0,AND(D$3&gt;=Assumptions!$E$261,D$3&gt;=Assumptions!$B$14,Revenue_Build!D10&gt;=Assumptions!$F$261*Assumptions!$B$51)),Assumptions!$D$261,0)</f>
        <v/>
      </c>
      <c r="E46" s="41">
        <f>IF(OR(D46&gt;0,AND(E$3&gt;=Assumptions!$E$261,E$3&gt;=Assumptions!$B$14,Revenue_Build!E10&gt;=Assumptions!$F$261*Assumptions!$B$51)),Assumptions!$D$261,0)</f>
        <v/>
      </c>
      <c r="F46" s="41">
        <f>IF(OR(E46&gt;0,AND(F$3&gt;=Assumptions!$E$261,F$3&gt;=Assumptions!$B$14,Revenue_Build!F10&gt;=Assumptions!$F$261*Assumptions!$B$51)),Assumptions!$D$261,0)</f>
        <v/>
      </c>
      <c r="G46" s="41">
        <f>IF(OR(F46&gt;0,AND(G$3&gt;=Assumptions!$E$261,G$3&gt;=Assumptions!$B$14,Revenue_Build!G10&gt;=Assumptions!$F$261*Assumptions!$B$51)),Assumptions!$D$261,0)</f>
        <v/>
      </c>
      <c r="H46" s="41">
        <f>IF(OR(G46&gt;0,AND(H$3&gt;=Assumptions!$E$261,H$3&gt;=Assumptions!$B$14,Revenue_Build!H10&gt;=Assumptions!$F$261*Assumptions!$B$51)),Assumptions!$D$261,0)</f>
        <v/>
      </c>
      <c r="I46" s="41">
        <f>IF(OR(H46&gt;0,AND(I$3&gt;=Assumptions!$E$261,I$3&gt;=Assumptions!$B$14,Revenue_Build!I10&gt;=Assumptions!$F$261*Assumptions!$B$51)),Assumptions!$D$261,0)</f>
        <v/>
      </c>
      <c r="J46" s="41">
        <f>IF(OR(I46&gt;0,AND(J$3&gt;=Assumptions!$E$261,J$3&gt;=Assumptions!$B$14,Revenue_Build!J10&gt;=Assumptions!$F$261*Assumptions!$B$51)),Assumptions!$D$261,0)</f>
        <v/>
      </c>
      <c r="K46" s="41">
        <f>IF(OR(J46&gt;0,AND(K$3&gt;=Assumptions!$E$261,K$3&gt;=Assumptions!$B$14,Revenue_Build!K10&gt;=Assumptions!$F$261*Assumptions!$B$51)),Assumptions!$D$261,0)</f>
        <v/>
      </c>
      <c r="L46" s="41">
        <f>IF(OR(K46&gt;0,AND(L$3&gt;=Assumptions!$E$261,L$3&gt;=Assumptions!$B$14,Revenue_Build!L10&gt;=Assumptions!$F$261*Assumptions!$B$51)),Assumptions!$D$261,0)</f>
        <v/>
      </c>
      <c r="M46" s="41">
        <f>IF(OR(L46&gt;0,AND(M$3&gt;=Assumptions!$E$261,M$3&gt;=Assumptions!$B$14,Revenue_Build!M10&gt;=Assumptions!$F$261*Assumptions!$B$51)),Assumptions!$D$261,0)</f>
        <v/>
      </c>
      <c r="N46" s="41">
        <f>IF(OR(M46&gt;0,AND(N$3&gt;=Assumptions!$E$261,N$3&gt;=Assumptions!$B$14,Revenue_Build!N10&gt;=Assumptions!$F$261*Assumptions!$B$51)),Assumptions!$D$261,0)</f>
        <v/>
      </c>
      <c r="O46" s="41">
        <f>IF(OR(N46&gt;0,AND(O$3&gt;=Assumptions!$E$261,O$3&gt;=Assumptions!$B$14,Revenue_Build!O10&gt;=Assumptions!$F$261*Assumptions!$B$51)),Assumptions!$D$261,0)</f>
        <v/>
      </c>
      <c r="P46" s="41">
        <f>IF(OR(O46&gt;0,AND(P$3&gt;=Assumptions!$E$261,P$3&gt;=Assumptions!$B$14,Revenue_Build!P10&gt;=Assumptions!$F$261*Assumptions!$B$51)),Assumptions!$D$261,0)</f>
        <v/>
      </c>
      <c r="Q46" s="41">
        <f>IF(OR(P46&gt;0,AND(Q$3&gt;=Assumptions!$E$261,Q$3&gt;=Assumptions!$B$14,Revenue_Build!Q10&gt;=Assumptions!$F$261*Assumptions!$B$51)),Assumptions!$D$261,0)</f>
        <v/>
      </c>
      <c r="R46" s="41">
        <f>IF(OR(Q46&gt;0,AND(R$3&gt;=Assumptions!$E$261,R$3&gt;=Assumptions!$B$14,Revenue_Build!R10&gt;=Assumptions!$F$261*Assumptions!$B$51)),Assumptions!$D$261,0)</f>
        <v/>
      </c>
      <c r="S46" s="41">
        <f>IF(OR(R46&gt;0,AND(S$3&gt;=Assumptions!$E$261,S$3&gt;=Assumptions!$B$14,Revenue_Build!S10&gt;=Assumptions!$F$261*Assumptions!$B$51)),Assumptions!$D$261,0)</f>
        <v/>
      </c>
      <c r="T46" s="41">
        <f>IF(OR(S46&gt;0,AND(T$3&gt;=Assumptions!$E$261,T$3&gt;=Assumptions!$B$14,Revenue_Build!T10&gt;=Assumptions!$F$261*Assumptions!$B$51)),Assumptions!$D$261,0)</f>
        <v/>
      </c>
      <c r="U46" s="41">
        <f>IF(OR(T46&gt;0,AND(U$3&gt;=Assumptions!$E$261,U$3&gt;=Assumptions!$B$14,Revenue_Build!U10&gt;=Assumptions!$F$261*Assumptions!$B$51)),Assumptions!$D$261,0)</f>
        <v/>
      </c>
      <c r="V46" s="41">
        <f>IF(OR(U46&gt;0,AND(V$3&gt;=Assumptions!$E$261,V$3&gt;=Assumptions!$B$14,Revenue_Build!V10&gt;=Assumptions!$F$261*Assumptions!$B$51)),Assumptions!$D$261,0)</f>
        <v/>
      </c>
      <c r="W46" s="41">
        <f>IF(OR(V46&gt;0,AND(W$3&gt;=Assumptions!$E$261,W$3&gt;=Assumptions!$B$14,Revenue_Build!W10&gt;=Assumptions!$F$261*Assumptions!$B$51)),Assumptions!$D$261,0)</f>
        <v/>
      </c>
      <c r="X46" s="41">
        <f>IF(OR(W46&gt;0,AND(X$3&gt;=Assumptions!$E$261,X$3&gt;=Assumptions!$B$14,Revenue_Build!X10&gt;=Assumptions!$F$261*Assumptions!$B$51)),Assumptions!$D$261,0)</f>
        <v/>
      </c>
      <c r="Y46" s="41">
        <f>IF(OR(X46&gt;0,AND(Y$3&gt;=Assumptions!$E$261,Y$3&gt;=Assumptions!$B$14,Revenue_Build!Y10&gt;=Assumptions!$F$261*Assumptions!$B$51)),Assumptions!$D$261,0)</f>
        <v/>
      </c>
      <c r="Z46" s="41">
        <f>IF(OR(Y46&gt;0,AND(Z$3&gt;=Assumptions!$E$261,Z$3&gt;=Assumptions!$B$14,Revenue_Build!Z10&gt;=Assumptions!$F$261*Assumptions!$B$51)),Assumptions!$D$261,0)</f>
        <v/>
      </c>
      <c r="AA46" s="41">
        <f>IF(OR(Z46&gt;0,AND(AA$3&gt;=Assumptions!$E$261,AA$3&gt;=Assumptions!$B$14,Revenue_Build!AA10&gt;=Assumptions!$F$261*Assumptions!$B$51)),Assumptions!$D$261,0)</f>
        <v/>
      </c>
      <c r="AB46" s="41">
        <f>IF(OR(AA46&gt;0,AND(AB$3&gt;=Assumptions!$E$261,AB$3&gt;=Assumptions!$B$14,Revenue_Build!AB10&gt;=Assumptions!$F$261*Assumptions!$B$51)),Assumptions!$D$261,0)</f>
        <v/>
      </c>
      <c r="AC46" s="41">
        <f>IF(OR(AB46&gt;0,AND(AC$3&gt;=Assumptions!$E$261,AC$3&gt;=Assumptions!$B$14,Revenue_Build!AC10&gt;=Assumptions!$F$261*Assumptions!$B$51)),Assumptions!$D$261,0)</f>
        <v/>
      </c>
      <c r="AD46" s="41">
        <f>IF(OR(AC46&gt;0,AND(AD$3&gt;=Assumptions!$E$261,AD$3&gt;=Assumptions!$B$14,Revenue_Build!AD10&gt;=Assumptions!$F$261*Assumptions!$B$51)),Assumptions!$D$261,0)</f>
        <v/>
      </c>
      <c r="AE46" s="41">
        <f>IF(OR(AD46&gt;0,AND(AE$3&gt;=Assumptions!$E$261,AE$3&gt;=Assumptions!$B$14,Revenue_Build!AE10&gt;=Assumptions!$F$261*Assumptions!$B$51)),Assumptions!$D$261,0)</f>
        <v/>
      </c>
      <c r="AF46" s="41">
        <f>IF(OR(AE46&gt;0,AND(AF$3&gt;=Assumptions!$E$261,AF$3&gt;=Assumptions!$B$14,Revenue_Build!AF10&gt;=Assumptions!$F$261*Assumptions!$B$51)),Assumptions!$D$261,0)</f>
        <v/>
      </c>
      <c r="AG46" s="41">
        <f>IF(OR(AF46&gt;0,AND(AG$3&gt;=Assumptions!$E$261,AG$3&gt;=Assumptions!$B$14,Revenue_Build!AG10&gt;=Assumptions!$F$261*Assumptions!$B$51)),Assumptions!$D$261,0)</f>
        <v/>
      </c>
      <c r="AH46" s="41">
        <f>IF(OR(AG46&gt;0,AND(AH$3&gt;=Assumptions!$E$261,AH$3&gt;=Assumptions!$B$14,Revenue_Build!AH10&gt;=Assumptions!$F$261*Assumptions!$B$51)),Assumptions!$D$261,0)</f>
        <v/>
      </c>
      <c r="AI46" s="41">
        <f>IF(OR(AH46&gt;0,AND(AI$3&gt;=Assumptions!$E$261,AI$3&gt;=Assumptions!$B$14,Revenue_Build!AI10&gt;=Assumptions!$F$261*Assumptions!$B$51)),Assumptions!$D$261,0)</f>
        <v/>
      </c>
      <c r="AJ46" s="41">
        <f>IF(OR(AI46&gt;0,AND(AJ$3&gt;=Assumptions!$E$261,AJ$3&gt;=Assumptions!$B$14,Revenue_Build!AJ10&gt;=Assumptions!$F$261*Assumptions!$B$51)),Assumptions!$D$261,0)</f>
        <v/>
      </c>
      <c r="AK46" s="41">
        <f>IF(OR(AJ46&gt;0,AND(AK$3&gt;=Assumptions!$E$261,AK$3&gt;=Assumptions!$B$14,Revenue_Build!AK10&gt;=Assumptions!$F$261*Assumptions!$B$51)),Assumptions!$D$261,0)</f>
        <v/>
      </c>
      <c r="AL46" s="41">
        <f>IF(OR(AK46&gt;0,AND(AL$3&gt;=Assumptions!$E$261,AL$3&gt;=Assumptions!$B$14,Revenue_Build!AL10&gt;=Assumptions!$F$261*Assumptions!$B$51)),Assumptions!$D$261,0)</f>
        <v/>
      </c>
      <c r="AM46" s="41">
        <f>IF(OR(AL46&gt;0,AND(AM$3&gt;=Assumptions!$E$261,AM$3&gt;=Assumptions!$B$14,Revenue_Build!AM10&gt;=Assumptions!$F$261*Assumptions!$B$51)),Assumptions!$D$261,0)</f>
        <v/>
      </c>
      <c r="AN46" s="41">
        <f>IF(OR(AM46&gt;0,AND(AN$3&gt;=Assumptions!$E$261,AN$3&gt;=Assumptions!$B$14,Revenue_Build!AN10&gt;=Assumptions!$F$261*Assumptions!$B$51)),Assumptions!$D$261,0)</f>
        <v/>
      </c>
      <c r="AO46" s="41">
        <f>IF(OR(AN46&gt;0,AND(AO$3&gt;=Assumptions!$E$261,AO$3&gt;=Assumptions!$B$14,Revenue_Build!AO10&gt;=Assumptions!$F$261*Assumptions!$B$51)),Assumptions!$D$261,0)</f>
        <v/>
      </c>
      <c r="AP46" s="41">
        <f>IF(OR(AO46&gt;0,AND(AP$3&gt;=Assumptions!$E$261,AP$3&gt;=Assumptions!$B$14,Revenue_Build!AP10&gt;=Assumptions!$F$261*Assumptions!$B$51)),Assumptions!$D$261,0)</f>
        <v/>
      </c>
      <c r="AQ46" s="41">
        <f>IF(OR(AP46&gt;0,AND(AQ$3&gt;=Assumptions!$E$261,AQ$3&gt;=Assumptions!$B$14,Revenue_Build!AQ10&gt;=Assumptions!$F$261*Assumptions!$B$51)),Assumptions!$D$261,0)</f>
        <v/>
      </c>
      <c r="AR46" s="41">
        <f>IF(OR(AQ46&gt;0,AND(AR$3&gt;=Assumptions!$E$261,AR$3&gt;=Assumptions!$B$14,Revenue_Build!AR10&gt;=Assumptions!$F$261*Assumptions!$B$51)),Assumptions!$D$261,0)</f>
        <v/>
      </c>
      <c r="AS46" s="41">
        <f>IF(OR(AR46&gt;0,AND(AS$3&gt;=Assumptions!$E$261,AS$3&gt;=Assumptions!$B$14,Revenue_Build!AS10&gt;=Assumptions!$F$261*Assumptions!$B$51)),Assumptions!$D$261,0)</f>
        <v/>
      </c>
      <c r="AT46" s="41">
        <f>IF(OR(AS46&gt;0,AND(AT$3&gt;=Assumptions!$E$261,AT$3&gt;=Assumptions!$B$14,Revenue_Build!AT10&gt;=Assumptions!$F$261*Assumptions!$B$51)),Assumptions!$D$261,0)</f>
        <v/>
      </c>
      <c r="AU46" s="41">
        <f>IF(OR(AT46&gt;0,AND(AU$3&gt;=Assumptions!$E$261,AU$3&gt;=Assumptions!$B$14,Revenue_Build!AU10&gt;=Assumptions!$F$261*Assumptions!$B$51)),Assumptions!$D$261,0)</f>
        <v/>
      </c>
      <c r="AV46" s="41">
        <f>IF(OR(AU46&gt;0,AND(AV$3&gt;=Assumptions!$E$261,AV$3&gt;=Assumptions!$B$14,Revenue_Build!AV10&gt;=Assumptions!$F$261*Assumptions!$B$51)),Assumptions!$D$261,0)</f>
        <v/>
      </c>
      <c r="AW46" s="41">
        <f>IF(OR(AV46&gt;0,AND(AW$3&gt;=Assumptions!$E$261,AW$3&gt;=Assumptions!$B$14,Revenue_Build!AW10&gt;=Assumptions!$F$261*Assumptions!$B$51)),Assumptions!$D$261,0)</f>
        <v/>
      </c>
      <c r="AX46" s="41">
        <f>IF(OR(AW46&gt;0,AND(AX$3&gt;=Assumptions!$E$261,AX$3&gt;=Assumptions!$B$14,Revenue_Build!AX10&gt;=Assumptions!$F$261*Assumptions!$B$51)),Assumptions!$D$261,0)</f>
        <v/>
      </c>
      <c r="AY46" s="41">
        <f>IF(OR(AX46&gt;0,AND(AY$3&gt;=Assumptions!$E$261,AY$3&gt;=Assumptions!$B$14,Revenue_Build!AY10&gt;=Assumptions!$F$261*Assumptions!$B$51)),Assumptions!$D$261,0)</f>
        <v/>
      </c>
      <c r="AZ46" s="41">
        <f>IF(OR(AY46&gt;0,AND(AZ$3&gt;=Assumptions!$E$261,AZ$3&gt;=Assumptions!$B$14,Revenue_Build!AZ10&gt;=Assumptions!$F$261*Assumptions!$B$51)),Assumptions!$D$261,0)</f>
        <v/>
      </c>
      <c r="BA46" s="41">
        <f>IF(OR(AZ46&gt;0,AND(BA$3&gt;=Assumptions!$E$261,BA$3&gt;=Assumptions!$B$14,Revenue_Build!BA10&gt;=Assumptions!$F$261*Assumptions!$B$51)),Assumptions!$D$261,0)</f>
        <v/>
      </c>
      <c r="BB46" s="41">
        <f>IF(OR(BA46&gt;0,AND(BB$3&gt;=Assumptions!$E$261,BB$3&gt;=Assumptions!$B$14,Revenue_Build!BB10&gt;=Assumptions!$F$261*Assumptions!$B$51)),Assumptions!$D$261,0)</f>
        <v/>
      </c>
      <c r="BC46" s="41">
        <f>IF(OR(BB46&gt;0,AND(BC$3&gt;=Assumptions!$E$261,BC$3&gt;=Assumptions!$B$14,Revenue_Build!BC10&gt;=Assumptions!$F$261*Assumptions!$B$51)),Assumptions!$D$261,0)</f>
        <v/>
      </c>
      <c r="BD46" s="41">
        <f>IF(OR(BC46&gt;0,AND(BD$3&gt;=Assumptions!$E$261,BD$3&gt;=Assumptions!$B$14,Revenue_Build!BD10&gt;=Assumptions!$F$261*Assumptions!$B$51)),Assumptions!$D$261,0)</f>
        <v/>
      </c>
      <c r="BE46" s="41">
        <f>IF(OR(BD46&gt;0,AND(BE$3&gt;=Assumptions!$E$261,BE$3&gt;=Assumptions!$B$14,Revenue_Build!BE10&gt;=Assumptions!$F$261*Assumptions!$B$51)),Assumptions!$D$261,0)</f>
        <v/>
      </c>
      <c r="BF46" s="41">
        <f>IF(OR(BE46&gt;0,AND(BF$3&gt;=Assumptions!$E$261,BF$3&gt;=Assumptions!$B$14,Revenue_Build!BF10&gt;=Assumptions!$F$261*Assumptions!$B$51)),Assumptions!$D$261,0)</f>
        <v/>
      </c>
      <c r="BG46" s="41">
        <f>IF(OR(BF46&gt;0,AND(BG$3&gt;=Assumptions!$E$261,BG$3&gt;=Assumptions!$B$14,Revenue_Build!BG10&gt;=Assumptions!$F$261*Assumptions!$B$51)),Assumptions!$D$261,0)</f>
        <v/>
      </c>
      <c r="BH46" s="41">
        <f>IF(OR(BG46&gt;0,AND(BH$3&gt;=Assumptions!$E$261,BH$3&gt;=Assumptions!$B$14,Revenue_Build!BH10&gt;=Assumptions!$F$261*Assumptions!$B$51)),Assumptions!$D$261,0)</f>
        <v/>
      </c>
      <c r="BI46" s="41">
        <f>IF(OR(BH46&gt;0,AND(BI$3&gt;=Assumptions!$E$261,BI$3&gt;=Assumptions!$B$14,Revenue_Build!BI10&gt;=Assumptions!$F$261*Assumptions!$B$51)),Assumptions!$D$261,0)</f>
        <v/>
      </c>
      <c r="BJ46" s="41">
        <f>IF(OR(BI46&gt;0,AND(BJ$3&gt;=Assumptions!$E$261,BJ$3&gt;=Assumptions!$B$14,Revenue_Build!BJ10&gt;=Assumptions!$F$261*Assumptions!$B$51)),Assumptions!$D$261,0)</f>
        <v/>
      </c>
    </row>
    <row r="47">
      <c r="A47" s="4" t="inlineStr">
        <is>
          <t>CS agents IV</t>
        </is>
      </c>
      <c r="B47" s="17" t="inlineStr">
        <is>
          <t>FTE</t>
        </is>
      </c>
      <c r="C47" s="41">
        <f>IF(AND(C$3&gt;=Assumptions!$E$262,C$3&gt;=Assumptions!$B$14,Revenue_Build!C10&gt;=Assumptions!$F$262*Assumptions!$B$51),Assumptions!$D$262,0)</f>
        <v/>
      </c>
      <c r="D47" s="41">
        <f>IF(OR(C47&gt;0,AND(D$3&gt;=Assumptions!$E$262,D$3&gt;=Assumptions!$B$14,Revenue_Build!D10&gt;=Assumptions!$F$262*Assumptions!$B$51)),Assumptions!$D$262,0)</f>
        <v/>
      </c>
      <c r="E47" s="41">
        <f>IF(OR(D47&gt;0,AND(E$3&gt;=Assumptions!$E$262,E$3&gt;=Assumptions!$B$14,Revenue_Build!E10&gt;=Assumptions!$F$262*Assumptions!$B$51)),Assumptions!$D$262,0)</f>
        <v/>
      </c>
      <c r="F47" s="41">
        <f>IF(OR(E47&gt;0,AND(F$3&gt;=Assumptions!$E$262,F$3&gt;=Assumptions!$B$14,Revenue_Build!F10&gt;=Assumptions!$F$262*Assumptions!$B$51)),Assumptions!$D$262,0)</f>
        <v/>
      </c>
      <c r="G47" s="41">
        <f>IF(OR(F47&gt;0,AND(G$3&gt;=Assumptions!$E$262,G$3&gt;=Assumptions!$B$14,Revenue_Build!G10&gt;=Assumptions!$F$262*Assumptions!$B$51)),Assumptions!$D$262,0)</f>
        <v/>
      </c>
      <c r="H47" s="41">
        <f>IF(OR(G47&gt;0,AND(H$3&gt;=Assumptions!$E$262,H$3&gt;=Assumptions!$B$14,Revenue_Build!H10&gt;=Assumptions!$F$262*Assumptions!$B$51)),Assumptions!$D$262,0)</f>
        <v/>
      </c>
      <c r="I47" s="41">
        <f>IF(OR(H47&gt;0,AND(I$3&gt;=Assumptions!$E$262,I$3&gt;=Assumptions!$B$14,Revenue_Build!I10&gt;=Assumptions!$F$262*Assumptions!$B$51)),Assumptions!$D$262,0)</f>
        <v/>
      </c>
      <c r="J47" s="41">
        <f>IF(OR(I47&gt;0,AND(J$3&gt;=Assumptions!$E$262,J$3&gt;=Assumptions!$B$14,Revenue_Build!J10&gt;=Assumptions!$F$262*Assumptions!$B$51)),Assumptions!$D$262,0)</f>
        <v/>
      </c>
      <c r="K47" s="41">
        <f>IF(OR(J47&gt;0,AND(K$3&gt;=Assumptions!$E$262,K$3&gt;=Assumptions!$B$14,Revenue_Build!K10&gt;=Assumptions!$F$262*Assumptions!$B$51)),Assumptions!$D$262,0)</f>
        <v/>
      </c>
      <c r="L47" s="41">
        <f>IF(OR(K47&gt;0,AND(L$3&gt;=Assumptions!$E$262,L$3&gt;=Assumptions!$B$14,Revenue_Build!L10&gt;=Assumptions!$F$262*Assumptions!$B$51)),Assumptions!$D$262,0)</f>
        <v/>
      </c>
      <c r="M47" s="41">
        <f>IF(OR(L47&gt;0,AND(M$3&gt;=Assumptions!$E$262,M$3&gt;=Assumptions!$B$14,Revenue_Build!M10&gt;=Assumptions!$F$262*Assumptions!$B$51)),Assumptions!$D$262,0)</f>
        <v/>
      </c>
      <c r="N47" s="41">
        <f>IF(OR(M47&gt;0,AND(N$3&gt;=Assumptions!$E$262,N$3&gt;=Assumptions!$B$14,Revenue_Build!N10&gt;=Assumptions!$F$262*Assumptions!$B$51)),Assumptions!$D$262,0)</f>
        <v/>
      </c>
      <c r="O47" s="41">
        <f>IF(OR(N47&gt;0,AND(O$3&gt;=Assumptions!$E$262,O$3&gt;=Assumptions!$B$14,Revenue_Build!O10&gt;=Assumptions!$F$262*Assumptions!$B$51)),Assumptions!$D$262,0)</f>
        <v/>
      </c>
      <c r="P47" s="41">
        <f>IF(OR(O47&gt;0,AND(P$3&gt;=Assumptions!$E$262,P$3&gt;=Assumptions!$B$14,Revenue_Build!P10&gt;=Assumptions!$F$262*Assumptions!$B$51)),Assumptions!$D$262,0)</f>
        <v/>
      </c>
      <c r="Q47" s="41">
        <f>IF(OR(P47&gt;0,AND(Q$3&gt;=Assumptions!$E$262,Q$3&gt;=Assumptions!$B$14,Revenue_Build!Q10&gt;=Assumptions!$F$262*Assumptions!$B$51)),Assumptions!$D$262,0)</f>
        <v/>
      </c>
      <c r="R47" s="41">
        <f>IF(OR(Q47&gt;0,AND(R$3&gt;=Assumptions!$E$262,R$3&gt;=Assumptions!$B$14,Revenue_Build!R10&gt;=Assumptions!$F$262*Assumptions!$B$51)),Assumptions!$D$262,0)</f>
        <v/>
      </c>
      <c r="S47" s="41">
        <f>IF(OR(R47&gt;0,AND(S$3&gt;=Assumptions!$E$262,S$3&gt;=Assumptions!$B$14,Revenue_Build!S10&gt;=Assumptions!$F$262*Assumptions!$B$51)),Assumptions!$D$262,0)</f>
        <v/>
      </c>
      <c r="T47" s="41">
        <f>IF(OR(S47&gt;0,AND(T$3&gt;=Assumptions!$E$262,T$3&gt;=Assumptions!$B$14,Revenue_Build!T10&gt;=Assumptions!$F$262*Assumptions!$B$51)),Assumptions!$D$262,0)</f>
        <v/>
      </c>
      <c r="U47" s="41">
        <f>IF(OR(T47&gt;0,AND(U$3&gt;=Assumptions!$E$262,U$3&gt;=Assumptions!$B$14,Revenue_Build!U10&gt;=Assumptions!$F$262*Assumptions!$B$51)),Assumptions!$D$262,0)</f>
        <v/>
      </c>
      <c r="V47" s="41">
        <f>IF(OR(U47&gt;0,AND(V$3&gt;=Assumptions!$E$262,V$3&gt;=Assumptions!$B$14,Revenue_Build!V10&gt;=Assumptions!$F$262*Assumptions!$B$51)),Assumptions!$D$262,0)</f>
        <v/>
      </c>
      <c r="W47" s="41">
        <f>IF(OR(V47&gt;0,AND(W$3&gt;=Assumptions!$E$262,W$3&gt;=Assumptions!$B$14,Revenue_Build!W10&gt;=Assumptions!$F$262*Assumptions!$B$51)),Assumptions!$D$262,0)</f>
        <v/>
      </c>
      <c r="X47" s="41">
        <f>IF(OR(W47&gt;0,AND(X$3&gt;=Assumptions!$E$262,X$3&gt;=Assumptions!$B$14,Revenue_Build!X10&gt;=Assumptions!$F$262*Assumptions!$B$51)),Assumptions!$D$262,0)</f>
        <v/>
      </c>
      <c r="Y47" s="41">
        <f>IF(OR(X47&gt;0,AND(Y$3&gt;=Assumptions!$E$262,Y$3&gt;=Assumptions!$B$14,Revenue_Build!Y10&gt;=Assumptions!$F$262*Assumptions!$B$51)),Assumptions!$D$262,0)</f>
        <v/>
      </c>
      <c r="Z47" s="41">
        <f>IF(OR(Y47&gt;0,AND(Z$3&gt;=Assumptions!$E$262,Z$3&gt;=Assumptions!$B$14,Revenue_Build!Z10&gt;=Assumptions!$F$262*Assumptions!$B$51)),Assumptions!$D$262,0)</f>
        <v/>
      </c>
      <c r="AA47" s="41">
        <f>IF(OR(Z47&gt;0,AND(AA$3&gt;=Assumptions!$E$262,AA$3&gt;=Assumptions!$B$14,Revenue_Build!AA10&gt;=Assumptions!$F$262*Assumptions!$B$51)),Assumptions!$D$262,0)</f>
        <v/>
      </c>
      <c r="AB47" s="41">
        <f>IF(OR(AA47&gt;0,AND(AB$3&gt;=Assumptions!$E$262,AB$3&gt;=Assumptions!$B$14,Revenue_Build!AB10&gt;=Assumptions!$F$262*Assumptions!$B$51)),Assumptions!$D$262,0)</f>
        <v/>
      </c>
      <c r="AC47" s="41">
        <f>IF(OR(AB47&gt;0,AND(AC$3&gt;=Assumptions!$E$262,AC$3&gt;=Assumptions!$B$14,Revenue_Build!AC10&gt;=Assumptions!$F$262*Assumptions!$B$51)),Assumptions!$D$262,0)</f>
        <v/>
      </c>
      <c r="AD47" s="41">
        <f>IF(OR(AC47&gt;0,AND(AD$3&gt;=Assumptions!$E$262,AD$3&gt;=Assumptions!$B$14,Revenue_Build!AD10&gt;=Assumptions!$F$262*Assumptions!$B$51)),Assumptions!$D$262,0)</f>
        <v/>
      </c>
      <c r="AE47" s="41">
        <f>IF(OR(AD47&gt;0,AND(AE$3&gt;=Assumptions!$E$262,AE$3&gt;=Assumptions!$B$14,Revenue_Build!AE10&gt;=Assumptions!$F$262*Assumptions!$B$51)),Assumptions!$D$262,0)</f>
        <v/>
      </c>
      <c r="AF47" s="41">
        <f>IF(OR(AE47&gt;0,AND(AF$3&gt;=Assumptions!$E$262,AF$3&gt;=Assumptions!$B$14,Revenue_Build!AF10&gt;=Assumptions!$F$262*Assumptions!$B$51)),Assumptions!$D$262,0)</f>
        <v/>
      </c>
      <c r="AG47" s="41">
        <f>IF(OR(AF47&gt;0,AND(AG$3&gt;=Assumptions!$E$262,AG$3&gt;=Assumptions!$B$14,Revenue_Build!AG10&gt;=Assumptions!$F$262*Assumptions!$B$51)),Assumptions!$D$262,0)</f>
        <v/>
      </c>
      <c r="AH47" s="41">
        <f>IF(OR(AG47&gt;0,AND(AH$3&gt;=Assumptions!$E$262,AH$3&gt;=Assumptions!$B$14,Revenue_Build!AH10&gt;=Assumptions!$F$262*Assumptions!$B$51)),Assumptions!$D$262,0)</f>
        <v/>
      </c>
      <c r="AI47" s="41">
        <f>IF(OR(AH47&gt;0,AND(AI$3&gt;=Assumptions!$E$262,AI$3&gt;=Assumptions!$B$14,Revenue_Build!AI10&gt;=Assumptions!$F$262*Assumptions!$B$51)),Assumptions!$D$262,0)</f>
        <v/>
      </c>
      <c r="AJ47" s="41">
        <f>IF(OR(AI47&gt;0,AND(AJ$3&gt;=Assumptions!$E$262,AJ$3&gt;=Assumptions!$B$14,Revenue_Build!AJ10&gt;=Assumptions!$F$262*Assumptions!$B$51)),Assumptions!$D$262,0)</f>
        <v/>
      </c>
      <c r="AK47" s="41">
        <f>IF(OR(AJ47&gt;0,AND(AK$3&gt;=Assumptions!$E$262,AK$3&gt;=Assumptions!$B$14,Revenue_Build!AK10&gt;=Assumptions!$F$262*Assumptions!$B$51)),Assumptions!$D$262,0)</f>
        <v/>
      </c>
      <c r="AL47" s="41">
        <f>IF(OR(AK47&gt;0,AND(AL$3&gt;=Assumptions!$E$262,AL$3&gt;=Assumptions!$B$14,Revenue_Build!AL10&gt;=Assumptions!$F$262*Assumptions!$B$51)),Assumptions!$D$262,0)</f>
        <v/>
      </c>
      <c r="AM47" s="41">
        <f>IF(OR(AL47&gt;0,AND(AM$3&gt;=Assumptions!$E$262,AM$3&gt;=Assumptions!$B$14,Revenue_Build!AM10&gt;=Assumptions!$F$262*Assumptions!$B$51)),Assumptions!$D$262,0)</f>
        <v/>
      </c>
      <c r="AN47" s="41">
        <f>IF(OR(AM47&gt;0,AND(AN$3&gt;=Assumptions!$E$262,AN$3&gt;=Assumptions!$B$14,Revenue_Build!AN10&gt;=Assumptions!$F$262*Assumptions!$B$51)),Assumptions!$D$262,0)</f>
        <v/>
      </c>
      <c r="AO47" s="41">
        <f>IF(OR(AN47&gt;0,AND(AO$3&gt;=Assumptions!$E$262,AO$3&gt;=Assumptions!$B$14,Revenue_Build!AO10&gt;=Assumptions!$F$262*Assumptions!$B$51)),Assumptions!$D$262,0)</f>
        <v/>
      </c>
      <c r="AP47" s="41">
        <f>IF(OR(AO47&gt;0,AND(AP$3&gt;=Assumptions!$E$262,AP$3&gt;=Assumptions!$B$14,Revenue_Build!AP10&gt;=Assumptions!$F$262*Assumptions!$B$51)),Assumptions!$D$262,0)</f>
        <v/>
      </c>
      <c r="AQ47" s="41">
        <f>IF(OR(AP47&gt;0,AND(AQ$3&gt;=Assumptions!$E$262,AQ$3&gt;=Assumptions!$B$14,Revenue_Build!AQ10&gt;=Assumptions!$F$262*Assumptions!$B$51)),Assumptions!$D$262,0)</f>
        <v/>
      </c>
      <c r="AR47" s="41">
        <f>IF(OR(AQ47&gt;0,AND(AR$3&gt;=Assumptions!$E$262,AR$3&gt;=Assumptions!$B$14,Revenue_Build!AR10&gt;=Assumptions!$F$262*Assumptions!$B$51)),Assumptions!$D$262,0)</f>
        <v/>
      </c>
      <c r="AS47" s="41">
        <f>IF(OR(AR47&gt;0,AND(AS$3&gt;=Assumptions!$E$262,AS$3&gt;=Assumptions!$B$14,Revenue_Build!AS10&gt;=Assumptions!$F$262*Assumptions!$B$51)),Assumptions!$D$262,0)</f>
        <v/>
      </c>
      <c r="AT47" s="41">
        <f>IF(OR(AS47&gt;0,AND(AT$3&gt;=Assumptions!$E$262,AT$3&gt;=Assumptions!$B$14,Revenue_Build!AT10&gt;=Assumptions!$F$262*Assumptions!$B$51)),Assumptions!$D$262,0)</f>
        <v/>
      </c>
      <c r="AU47" s="41">
        <f>IF(OR(AT47&gt;0,AND(AU$3&gt;=Assumptions!$E$262,AU$3&gt;=Assumptions!$B$14,Revenue_Build!AU10&gt;=Assumptions!$F$262*Assumptions!$B$51)),Assumptions!$D$262,0)</f>
        <v/>
      </c>
      <c r="AV47" s="41">
        <f>IF(OR(AU47&gt;0,AND(AV$3&gt;=Assumptions!$E$262,AV$3&gt;=Assumptions!$B$14,Revenue_Build!AV10&gt;=Assumptions!$F$262*Assumptions!$B$51)),Assumptions!$D$262,0)</f>
        <v/>
      </c>
      <c r="AW47" s="41">
        <f>IF(OR(AV47&gt;0,AND(AW$3&gt;=Assumptions!$E$262,AW$3&gt;=Assumptions!$B$14,Revenue_Build!AW10&gt;=Assumptions!$F$262*Assumptions!$B$51)),Assumptions!$D$262,0)</f>
        <v/>
      </c>
      <c r="AX47" s="41">
        <f>IF(OR(AW47&gt;0,AND(AX$3&gt;=Assumptions!$E$262,AX$3&gt;=Assumptions!$B$14,Revenue_Build!AX10&gt;=Assumptions!$F$262*Assumptions!$B$51)),Assumptions!$D$262,0)</f>
        <v/>
      </c>
      <c r="AY47" s="41">
        <f>IF(OR(AX47&gt;0,AND(AY$3&gt;=Assumptions!$E$262,AY$3&gt;=Assumptions!$B$14,Revenue_Build!AY10&gt;=Assumptions!$F$262*Assumptions!$B$51)),Assumptions!$D$262,0)</f>
        <v/>
      </c>
      <c r="AZ47" s="41">
        <f>IF(OR(AY47&gt;0,AND(AZ$3&gt;=Assumptions!$E$262,AZ$3&gt;=Assumptions!$B$14,Revenue_Build!AZ10&gt;=Assumptions!$F$262*Assumptions!$B$51)),Assumptions!$D$262,0)</f>
        <v/>
      </c>
      <c r="BA47" s="41">
        <f>IF(OR(AZ47&gt;0,AND(BA$3&gt;=Assumptions!$E$262,BA$3&gt;=Assumptions!$B$14,Revenue_Build!BA10&gt;=Assumptions!$F$262*Assumptions!$B$51)),Assumptions!$D$262,0)</f>
        <v/>
      </c>
      <c r="BB47" s="41">
        <f>IF(OR(BA47&gt;0,AND(BB$3&gt;=Assumptions!$E$262,BB$3&gt;=Assumptions!$B$14,Revenue_Build!BB10&gt;=Assumptions!$F$262*Assumptions!$B$51)),Assumptions!$D$262,0)</f>
        <v/>
      </c>
      <c r="BC47" s="41">
        <f>IF(OR(BB47&gt;0,AND(BC$3&gt;=Assumptions!$E$262,BC$3&gt;=Assumptions!$B$14,Revenue_Build!BC10&gt;=Assumptions!$F$262*Assumptions!$B$51)),Assumptions!$D$262,0)</f>
        <v/>
      </c>
      <c r="BD47" s="41">
        <f>IF(OR(BC47&gt;0,AND(BD$3&gt;=Assumptions!$E$262,BD$3&gt;=Assumptions!$B$14,Revenue_Build!BD10&gt;=Assumptions!$F$262*Assumptions!$B$51)),Assumptions!$D$262,0)</f>
        <v/>
      </c>
      <c r="BE47" s="41">
        <f>IF(OR(BD47&gt;0,AND(BE$3&gt;=Assumptions!$E$262,BE$3&gt;=Assumptions!$B$14,Revenue_Build!BE10&gt;=Assumptions!$F$262*Assumptions!$B$51)),Assumptions!$D$262,0)</f>
        <v/>
      </c>
      <c r="BF47" s="41">
        <f>IF(OR(BE47&gt;0,AND(BF$3&gt;=Assumptions!$E$262,BF$3&gt;=Assumptions!$B$14,Revenue_Build!BF10&gt;=Assumptions!$F$262*Assumptions!$B$51)),Assumptions!$D$262,0)</f>
        <v/>
      </c>
      <c r="BG47" s="41">
        <f>IF(OR(BF47&gt;0,AND(BG$3&gt;=Assumptions!$E$262,BG$3&gt;=Assumptions!$B$14,Revenue_Build!BG10&gt;=Assumptions!$F$262*Assumptions!$B$51)),Assumptions!$D$262,0)</f>
        <v/>
      </c>
      <c r="BH47" s="41">
        <f>IF(OR(BG47&gt;0,AND(BH$3&gt;=Assumptions!$E$262,BH$3&gt;=Assumptions!$B$14,Revenue_Build!BH10&gt;=Assumptions!$F$262*Assumptions!$B$51)),Assumptions!$D$262,0)</f>
        <v/>
      </c>
      <c r="BI47" s="41">
        <f>IF(OR(BH47&gt;0,AND(BI$3&gt;=Assumptions!$E$262,BI$3&gt;=Assumptions!$B$14,Revenue_Build!BI10&gt;=Assumptions!$F$262*Assumptions!$B$51)),Assumptions!$D$262,0)</f>
        <v/>
      </c>
      <c r="BJ47" s="41">
        <f>IF(OR(BI47&gt;0,AND(BJ$3&gt;=Assumptions!$E$262,BJ$3&gt;=Assumptions!$B$14,Revenue_Build!BJ10&gt;=Assumptions!$F$262*Assumptions!$B$51)),Assumptions!$D$262,0)</f>
        <v/>
      </c>
    </row>
    <row r="48">
      <c r="A48" s="4" t="inlineStr">
        <is>
          <t>CS agents V</t>
        </is>
      </c>
      <c r="B48" s="17" t="inlineStr">
        <is>
          <t>FTE</t>
        </is>
      </c>
      <c r="C48" s="41">
        <f>IF(AND(C$3&gt;=Assumptions!$E$263,C$3&gt;=Assumptions!$B$14,Revenue_Build!C10&gt;=Assumptions!$F$263*Assumptions!$B$51),Assumptions!$D$263,0)</f>
        <v/>
      </c>
      <c r="D48" s="41">
        <f>IF(OR(C48&gt;0,AND(D$3&gt;=Assumptions!$E$263,D$3&gt;=Assumptions!$B$14,Revenue_Build!D10&gt;=Assumptions!$F$263*Assumptions!$B$51)),Assumptions!$D$263,0)</f>
        <v/>
      </c>
      <c r="E48" s="41">
        <f>IF(OR(D48&gt;0,AND(E$3&gt;=Assumptions!$E$263,E$3&gt;=Assumptions!$B$14,Revenue_Build!E10&gt;=Assumptions!$F$263*Assumptions!$B$51)),Assumptions!$D$263,0)</f>
        <v/>
      </c>
      <c r="F48" s="41">
        <f>IF(OR(E48&gt;0,AND(F$3&gt;=Assumptions!$E$263,F$3&gt;=Assumptions!$B$14,Revenue_Build!F10&gt;=Assumptions!$F$263*Assumptions!$B$51)),Assumptions!$D$263,0)</f>
        <v/>
      </c>
      <c r="G48" s="41">
        <f>IF(OR(F48&gt;0,AND(G$3&gt;=Assumptions!$E$263,G$3&gt;=Assumptions!$B$14,Revenue_Build!G10&gt;=Assumptions!$F$263*Assumptions!$B$51)),Assumptions!$D$263,0)</f>
        <v/>
      </c>
      <c r="H48" s="41">
        <f>IF(OR(G48&gt;0,AND(H$3&gt;=Assumptions!$E$263,H$3&gt;=Assumptions!$B$14,Revenue_Build!H10&gt;=Assumptions!$F$263*Assumptions!$B$51)),Assumptions!$D$263,0)</f>
        <v/>
      </c>
      <c r="I48" s="41">
        <f>IF(OR(H48&gt;0,AND(I$3&gt;=Assumptions!$E$263,I$3&gt;=Assumptions!$B$14,Revenue_Build!I10&gt;=Assumptions!$F$263*Assumptions!$B$51)),Assumptions!$D$263,0)</f>
        <v/>
      </c>
      <c r="J48" s="41">
        <f>IF(OR(I48&gt;0,AND(J$3&gt;=Assumptions!$E$263,J$3&gt;=Assumptions!$B$14,Revenue_Build!J10&gt;=Assumptions!$F$263*Assumptions!$B$51)),Assumptions!$D$263,0)</f>
        <v/>
      </c>
      <c r="K48" s="41">
        <f>IF(OR(J48&gt;0,AND(K$3&gt;=Assumptions!$E$263,K$3&gt;=Assumptions!$B$14,Revenue_Build!K10&gt;=Assumptions!$F$263*Assumptions!$B$51)),Assumptions!$D$263,0)</f>
        <v/>
      </c>
      <c r="L48" s="41">
        <f>IF(OR(K48&gt;0,AND(L$3&gt;=Assumptions!$E$263,L$3&gt;=Assumptions!$B$14,Revenue_Build!L10&gt;=Assumptions!$F$263*Assumptions!$B$51)),Assumptions!$D$263,0)</f>
        <v/>
      </c>
      <c r="M48" s="41">
        <f>IF(OR(L48&gt;0,AND(M$3&gt;=Assumptions!$E$263,M$3&gt;=Assumptions!$B$14,Revenue_Build!M10&gt;=Assumptions!$F$263*Assumptions!$B$51)),Assumptions!$D$263,0)</f>
        <v/>
      </c>
      <c r="N48" s="41">
        <f>IF(OR(M48&gt;0,AND(N$3&gt;=Assumptions!$E$263,N$3&gt;=Assumptions!$B$14,Revenue_Build!N10&gt;=Assumptions!$F$263*Assumptions!$B$51)),Assumptions!$D$263,0)</f>
        <v/>
      </c>
      <c r="O48" s="41">
        <f>IF(OR(N48&gt;0,AND(O$3&gt;=Assumptions!$E$263,O$3&gt;=Assumptions!$B$14,Revenue_Build!O10&gt;=Assumptions!$F$263*Assumptions!$B$51)),Assumptions!$D$263,0)</f>
        <v/>
      </c>
      <c r="P48" s="41">
        <f>IF(OR(O48&gt;0,AND(P$3&gt;=Assumptions!$E$263,P$3&gt;=Assumptions!$B$14,Revenue_Build!P10&gt;=Assumptions!$F$263*Assumptions!$B$51)),Assumptions!$D$263,0)</f>
        <v/>
      </c>
      <c r="Q48" s="41">
        <f>IF(OR(P48&gt;0,AND(Q$3&gt;=Assumptions!$E$263,Q$3&gt;=Assumptions!$B$14,Revenue_Build!Q10&gt;=Assumptions!$F$263*Assumptions!$B$51)),Assumptions!$D$263,0)</f>
        <v/>
      </c>
      <c r="R48" s="41">
        <f>IF(OR(Q48&gt;0,AND(R$3&gt;=Assumptions!$E$263,R$3&gt;=Assumptions!$B$14,Revenue_Build!R10&gt;=Assumptions!$F$263*Assumptions!$B$51)),Assumptions!$D$263,0)</f>
        <v/>
      </c>
      <c r="S48" s="41">
        <f>IF(OR(R48&gt;0,AND(S$3&gt;=Assumptions!$E$263,S$3&gt;=Assumptions!$B$14,Revenue_Build!S10&gt;=Assumptions!$F$263*Assumptions!$B$51)),Assumptions!$D$263,0)</f>
        <v/>
      </c>
      <c r="T48" s="41">
        <f>IF(OR(S48&gt;0,AND(T$3&gt;=Assumptions!$E$263,T$3&gt;=Assumptions!$B$14,Revenue_Build!T10&gt;=Assumptions!$F$263*Assumptions!$B$51)),Assumptions!$D$263,0)</f>
        <v/>
      </c>
      <c r="U48" s="41">
        <f>IF(OR(T48&gt;0,AND(U$3&gt;=Assumptions!$E$263,U$3&gt;=Assumptions!$B$14,Revenue_Build!U10&gt;=Assumptions!$F$263*Assumptions!$B$51)),Assumptions!$D$263,0)</f>
        <v/>
      </c>
      <c r="V48" s="41">
        <f>IF(OR(U48&gt;0,AND(V$3&gt;=Assumptions!$E$263,V$3&gt;=Assumptions!$B$14,Revenue_Build!V10&gt;=Assumptions!$F$263*Assumptions!$B$51)),Assumptions!$D$263,0)</f>
        <v/>
      </c>
      <c r="W48" s="41">
        <f>IF(OR(V48&gt;0,AND(W$3&gt;=Assumptions!$E$263,W$3&gt;=Assumptions!$B$14,Revenue_Build!W10&gt;=Assumptions!$F$263*Assumptions!$B$51)),Assumptions!$D$263,0)</f>
        <v/>
      </c>
      <c r="X48" s="41">
        <f>IF(OR(W48&gt;0,AND(X$3&gt;=Assumptions!$E$263,X$3&gt;=Assumptions!$B$14,Revenue_Build!X10&gt;=Assumptions!$F$263*Assumptions!$B$51)),Assumptions!$D$263,0)</f>
        <v/>
      </c>
      <c r="Y48" s="41">
        <f>IF(OR(X48&gt;0,AND(Y$3&gt;=Assumptions!$E$263,Y$3&gt;=Assumptions!$B$14,Revenue_Build!Y10&gt;=Assumptions!$F$263*Assumptions!$B$51)),Assumptions!$D$263,0)</f>
        <v/>
      </c>
      <c r="Z48" s="41">
        <f>IF(OR(Y48&gt;0,AND(Z$3&gt;=Assumptions!$E$263,Z$3&gt;=Assumptions!$B$14,Revenue_Build!Z10&gt;=Assumptions!$F$263*Assumptions!$B$51)),Assumptions!$D$263,0)</f>
        <v/>
      </c>
      <c r="AA48" s="41">
        <f>IF(OR(Z48&gt;0,AND(AA$3&gt;=Assumptions!$E$263,AA$3&gt;=Assumptions!$B$14,Revenue_Build!AA10&gt;=Assumptions!$F$263*Assumptions!$B$51)),Assumptions!$D$263,0)</f>
        <v/>
      </c>
      <c r="AB48" s="41">
        <f>IF(OR(AA48&gt;0,AND(AB$3&gt;=Assumptions!$E$263,AB$3&gt;=Assumptions!$B$14,Revenue_Build!AB10&gt;=Assumptions!$F$263*Assumptions!$B$51)),Assumptions!$D$263,0)</f>
        <v/>
      </c>
      <c r="AC48" s="41">
        <f>IF(OR(AB48&gt;0,AND(AC$3&gt;=Assumptions!$E$263,AC$3&gt;=Assumptions!$B$14,Revenue_Build!AC10&gt;=Assumptions!$F$263*Assumptions!$B$51)),Assumptions!$D$263,0)</f>
        <v/>
      </c>
      <c r="AD48" s="41">
        <f>IF(OR(AC48&gt;0,AND(AD$3&gt;=Assumptions!$E$263,AD$3&gt;=Assumptions!$B$14,Revenue_Build!AD10&gt;=Assumptions!$F$263*Assumptions!$B$51)),Assumptions!$D$263,0)</f>
        <v/>
      </c>
      <c r="AE48" s="41">
        <f>IF(OR(AD48&gt;0,AND(AE$3&gt;=Assumptions!$E$263,AE$3&gt;=Assumptions!$B$14,Revenue_Build!AE10&gt;=Assumptions!$F$263*Assumptions!$B$51)),Assumptions!$D$263,0)</f>
        <v/>
      </c>
      <c r="AF48" s="41">
        <f>IF(OR(AE48&gt;0,AND(AF$3&gt;=Assumptions!$E$263,AF$3&gt;=Assumptions!$B$14,Revenue_Build!AF10&gt;=Assumptions!$F$263*Assumptions!$B$51)),Assumptions!$D$263,0)</f>
        <v/>
      </c>
      <c r="AG48" s="41">
        <f>IF(OR(AF48&gt;0,AND(AG$3&gt;=Assumptions!$E$263,AG$3&gt;=Assumptions!$B$14,Revenue_Build!AG10&gt;=Assumptions!$F$263*Assumptions!$B$51)),Assumptions!$D$263,0)</f>
        <v/>
      </c>
      <c r="AH48" s="41">
        <f>IF(OR(AG48&gt;0,AND(AH$3&gt;=Assumptions!$E$263,AH$3&gt;=Assumptions!$B$14,Revenue_Build!AH10&gt;=Assumptions!$F$263*Assumptions!$B$51)),Assumptions!$D$263,0)</f>
        <v/>
      </c>
      <c r="AI48" s="41">
        <f>IF(OR(AH48&gt;0,AND(AI$3&gt;=Assumptions!$E$263,AI$3&gt;=Assumptions!$B$14,Revenue_Build!AI10&gt;=Assumptions!$F$263*Assumptions!$B$51)),Assumptions!$D$263,0)</f>
        <v/>
      </c>
      <c r="AJ48" s="41">
        <f>IF(OR(AI48&gt;0,AND(AJ$3&gt;=Assumptions!$E$263,AJ$3&gt;=Assumptions!$B$14,Revenue_Build!AJ10&gt;=Assumptions!$F$263*Assumptions!$B$51)),Assumptions!$D$263,0)</f>
        <v/>
      </c>
      <c r="AK48" s="41">
        <f>IF(OR(AJ48&gt;0,AND(AK$3&gt;=Assumptions!$E$263,AK$3&gt;=Assumptions!$B$14,Revenue_Build!AK10&gt;=Assumptions!$F$263*Assumptions!$B$51)),Assumptions!$D$263,0)</f>
        <v/>
      </c>
      <c r="AL48" s="41">
        <f>IF(OR(AK48&gt;0,AND(AL$3&gt;=Assumptions!$E$263,AL$3&gt;=Assumptions!$B$14,Revenue_Build!AL10&gt;=Assumptions!$F$263*Assumptions!$B$51)),Assumptions!$D$263,0)</f>
        <v/>
      </c>
      <c r="AM48" s="41">
        <f>IF(OR(AL48&gt;0,AND(AM$3&gt;=Assumptions!$E$263,AM$3&gt;=Assumptions!$B$14,Revenue_Build!AM10&gt;=Assumptions!$F$263*Assumptions!$B$51)),Assumptions!$D$263,0)</f>
        <v/>
      </c>
      <c r="AN48" s="41">
        <f>IF(OR(AM48&gt;0,AND(AN$3&gt;=Assumptions!$E$263,AN$3&gt;=Assumptions!$B$14,Revenue_Build!AN10&gt;=Assumptions!$F$263*Assumptions!$B$51)),Assumptions!$D$263,0)</f>
        <v/>
      </c>
      <c r="AO48" s="41">
        <f>IF(OR(AN48&gt;0,AND(AO$3&gt;=Assumptions!$E$263,AO$3&gt;=Assumptions!$B$14,Revenue_Build!AO10&gt;=Assumptions!$F$263*Assumptions!$B$51)),Assumptions!$D$263,0)</f>
        <v/>
      </c>
      <c r="AP48" s="41">
        <f>IF(OR(AO48&gt;0,AND(AP$3&gt;=Assumptions!$E$263,AP$3&gt;=Assumptions!$B$14,Revenue_Build!AP10&gt;=Assumptions!$F$263*Assumptions!$B$51)),Assumptions!$D$263,0)</f>
        <v/>
      </c>
      <c r="AQ48" s="41">
        <f>IF(OR(AP48&gt;0,AND(AQ$3&gt;=Assumptions!$E$263,AQ$3&gt;=Assumptions!$B$14,Revenue_Build!AQ10&gt;=Assumptions!$F$263*Assumptions!$B$51)),Assumptions!$D$263,0)</f>
        <v/>
      </c>
      <c r="AR48" s="41">
        <f>IF(OR(AQ48&gt;0,AND(AR$3&gt;=Assumptions!$E$263,AR$3&gt;=Assumptions!$B$14,Revenue_Build!AR10&gt;=Assumptions!$F$263*Assumptions!$B$51)),Assumptions!$D$263,0)</f>
        <v/>
      </c>
      <c r="AS48" s="41">
        <f>IF(OR(AR48&gt;0,AND(AS$3&gt;=Assumptions!$E$263,AS$3&gt;=Assumptions!$B$14,Revenue_Build!AS10&gt;=Assumptions!$F$263*Assumptions!$B$51)),Assumptions!$D$263,0)</f>
        <v/>
      </c>
      <c r="AT48" s="41">
        <f>IF(OR(AS48&gt;0,AND(AT$3&gt;=Assumptions!$E$263,AT$3&gt;=Assumptions!$B$14,Revenue_Build!AT10&gt;=Assumptions!$F$263*Assumptions!$B$51)),Assumptions!$D$263,0)</f>
        <v/>
      </c>
      <c r="AU48" s="41">
        <f>IF(OR(AT48&gt;0,AND(AU$3&gt;=Assumptions!$E$263,AU$3&gt;=Assumptions!$B$14,Revenue_Build!AU10&gt;=Assumptions!$F$263*Assumptions!$B$51)),Assumptions!$D$263,0)</f>
        <v/>
      </c>
      <c r="AV48" s="41">
        <f>IF(OR(AU48&gt;0,AND(AV$3&gt;=Assumptions!$E$263,AV$3&gt;=Assumptions!$B$14,Revenue_Build!AV10&gt;=Assumptions!$F$263*Assumptions!$B$51)),Assumptions!$D$263,0)</f>
        <v/>
      </c>
      <c r="AW48" s="41">
        <f>IF(OR(AV48&gt;0,AND(AW$3&gt;=Assumptions!$E$263,AW$3&gt;=Assumptions!$B$14,Revenue_Build!AW10&gt;=Assumptions!$F$263*Assumptions!$B$51)),Assumptions!$D$263,0)</f>
        <v/>
      </c>
      <c r="AX48" s="41">
        <f>IF(OR(AW48&gt;0,AND(AX$3&gt;=Assumptions!$E$263,AX$3&gt;=Assumptions!$B$14,Revenue_Build!AX10&gt;=Assumptions!$F$263*Assumptions!$B$51)),Assumptions!$D$263,0)</f>
        <v/>
      </c>
      <c r="AY48" s="41">
        <f>IF(OR(AX48&gt;0,AND(AY$3&gt;=Assumptions!$E$263,AY$3&gt;=Assumptions!$B$14,Revenue_Build!AY10&gt;=Assumptions!$F$263*Assumptions!$B$51)),Assumptions!$D$263,0)</f>
        <v/>
      </c>
      <c r="AZ48" s="41">
        <f>IF(OR(AY48&gt;0,AND(AZ$3&gt;=Assumptions!$E$263,AZ$3&gt;=Assumptions!$B$14,Revenue_Build!AZ10&gt;=Assumptions!$F$263*Assumptions!$B$51)),Assumptions!$D$263,0)</f>
        <v/>
      </c>
      <c r="BA48" s="41">
        <f>IF(OR(AZ48&gt;0,AND(BA$3&gt;=Assumptions!$E$263,BA$3&gt;=Assumptions!$B$14,Revenue_Build!BA10&gt;=Assumptions!$F$263*Assumptions!$B$51)),Assumptions!$D$263,0)</f>
        <v/>
      </c>
      <c r="BB48" s="41">
        <f>IF(OR(BA48&gt;0,AND(BB$3&gt;=Assumptions!$E$263,BB$3&gt;=Assumptions!$B$14,Revenue_Build!BB10&gt;=Assumptions!$F$263*Assumptions!$B$51)),Assumptions!$D$263,0)</f>
        <v/>
      </c>
      <c r="BC48" s="41">
        <f>IF(OR(BB48&gt;0,AND(BC$3&gt;=Assumptions!$E$263,BC$3&gt;=Assumptions!$B$14,Revenue_Build!BC10&gt;=Assumptions!$F$263*Assumptions!$B$51)),Assumptions!$D$263,0)</f>
        <v/>
      </c>
      <c r="BD48" s="41">
        <f>IF(OR(BC48&gt;0,AND(BD$3&gt;=Assumptions!$E$263,BD$3&gt;=Assumptions!$B$14,Revenue_Build!BD10&gt;=Assumptions!$F$263*Assumptions!$B$51)),Assumptions!$D$263,0)</f>
        <v/>
      </c>
      <c r="BE48" s="41">
        <f>IF(OR(BD48&gt;0,AND(BE$3&gt;=Assumptions!$E$263,BE$3&gt;=Assumptions!$B$14,Revenue_Build!BE10&gt;=Assumptions!$F$263*Assumptions!$B$51)),Assumptions!$D$263,0)</f>
        <v/>
      </c>
      <c r="BF48" s="41">
        <f>IF(OR(BE48&gt;0,AND(BF$3&gt;=Assumptions!$E$263,BF$3&gt;=Assumptions!$B$14,Revenue_Build!BF10&gt;=Assumptions!$F$263*Assumptions!$B$51)),Assumptions!$D$263,0)</f>
        <v/>
      </c>
      <c r="BG48" s="41">
        <f>IF(OR(BF48&gt;0,AND(BG$3&gt;=Assumptions!$E$263,BG$3&gt;=Assumptions!$B$14,Revenue_Build!BG10&gt;=Assumptions!$F$263*Assumptions!$B$51)),Assumptions!$D$263,0)</f>
        <v/>
      </c>
      <c r="BH48" s="41">
        <f>IF(OR(BG48&gt;0,AND(BH$3&gt;=Assumptions!$E$263,BH$3&gt;=Assumptions!$B$14,Revenue_Build!BH10&gt;=Assumptions!$F$263*Assumptions!$B$51)),Assumptions!$D$263,0)</f>
        <v/>
      </c>
      <c r="BI48" s="41">
        <f>IF(OR(BH48&gt;0,AND(BI$3&gt;=Assumptions!$E$263,BI$3&gt;=Assumptions!$B$14,Revenue_Build!BI10&gt;=Assumptions!$F$263*Assumptions!$B$51)),Assumptions!$D$263,0)</f>
        <v/>
      </c>
      <c r="BJ48" s="41">
        <f>IF(OR(BI48&gt;0,AND(BJ$3&gt;=Assumptions!$E$263,BJ$3&gt;=Assumptions!$B$14,Revenue_Build!BJ10&gt;=Assumptions!$F$263*Assumptions!$B$51)),Assumptions!$D$263,0)</f>
        <v/>
      </c>
    </row>
    <row r="49">
      <c r="A49" s="4" t="inlineStr">
        <is>
          <t>Finance &amp; compliance manager</t>
        </is>
      </c>
      <c r="B49" s="17" t="inlineStr">
        <is>
          <t>FTE</t>
        </is>
      </c>
      <c r="C49" s="41">
        <f>IF(AND(C$3&gt;=Assumptions!$E$264,C$3&gt;=Assumptions!$B$14,Revenue_Build!C10&gt;=Assumptions!$F$264*Assumptions!$B$51),Assumptions!$D$264,0)</f>
        <v/>
      </c>
      <c r="D49" s="41">
        <f>IF(OR(C49&gt;0,AND(D$3&gt;=Assumptions!$E$264,D$3&gt;=Assumptions!$B$14,Revenue_Build!D10&gt;=Assumptions!$F$264*Assumptions!$B$51)),Assumptions!$D$264,0)</f>
        <v/>
      </c>
      <c r="E49" s="41">
        <f>IF(OR(D49&gt;0,AND(E$3&gt;=Assumptions!$E$264,E$3&gt;=Assumptions!$B$14,Revenue_Build!E10&gt;=Assumptions!$F$264*Assumptions!$B$51)),Assumptions!$D$264,0)</f>
        <v/>
      </c>
      <c r="F49" s="41">
        <f>IF(OR(E49&gt;0,AND(F$3&gt;=Assumptions!$E$264,F$3&gt;=Assumptions!$B$14,Revenue_Build!F10&gt;=Assumptions!$F$264*Assumptions!$B$51)),Assumptions!$D$264,0)</f>
        <v/>
      </c>
      <c r="G49" s="41">
        <f>IF(OR(F49&gt;0,AND(G$3&gt;=Assumptions!$E$264,G$3&gt;=Assumptions!$B$14,Revenue_Build!G10&gt;=Assumptions!$F$264*Assumptions!$B$51)),Assumptions!$D$264,0)</f>
        <v/>
      </c>
      <c r="H49" s="41">
        <f>IF(OR(G49&gt;0,AND(H$3&gt;=Assumptions!$E$264,H$3&gt;=Assumptions!$B$14,Revenue_Build!H10&gt;=Assumptions!$F$264*Assumptions!$B$51)),Assumptions!$D$264,0)</f>
        <v/>
      </c>
      <c r="I49" s="41">
        <f>IF(OR(H49&gt;0,AND(I$3&gt;=Assumptions!$E$264,I$3&gt;=Assumptions!$B$14,Revenue_Build!I10&gt;=Assumptions!$F$264*Assumptions!$B$51)),Assumptions!$D$264,0)</f>
        <v/>
      </c>
      <c r="J49" s="41">
        <f>IF(OR(I49&gt;0,AND(J$3&gt;=Assumptions!$E$264,J$3&gt;=Assumptions!$B$14,Revenue_Build!J10&gt;=Assumptions!$F$264*Assumptions!$B$51)),Assumptions!$D$264,0)</f>
        <v/>
      </c>
      <c r="K49" s="41">
        <f>IF(OR(J49&gt;0,AND(K$3&gt;=Assumptions!$E$264,K$3&gt;=Assumptions!$B$14,Revenue_Build!K10&gt;=Assumptions!$F$264*Assumptions!$B$51)),Assumptions!$D$264,0)</f>
        <v/>
      </c>
      <c r="L49" s="41">
        <f>IF(OR(K49&gt;0,AND(L$3&gt;=Assumptions!$E$264,L$3&gt;=Assumptions!$B$14,Revenue_Build!L10&gt;=Assumptions!$F$264*Assumptions!$B$51)),Assumptions!$D$264,0)</f>
        <v/>
      </c>
      <c r="M49" s="41">
        <f>IF(OR(L49&gt;0,AND(M$3&gt;=Assumptions!$E$264,M$3&gt;=Assumptions!$B$14,Revenue_Build!M10&gt;=Assumptions!$F$264*Assumptions!$B$51)),Assumptions!$D$264,0)</f>
        <v/>
      </c>
      <c r="N49" s="41">
        <f>IF(OR(M49&gt;0,AND(N$3&gt;=Assumptions!$E$264,N$3&gt;=Assumptions!$B$14,Revenue_Build!N10&gt;=Assumptions!$F$264*Assumptions!$B$51)),Assumptions!$D$264,0)</f>
        <v/>
      </c>
      <c r="O49" s="41">
        <f>IF(OR(N49&gt;0,AND(O$3&gt;=Assumptions!$E$264,O$3&gt;=Assumptions!$B$14,Revenue_Build!O10&gt;=Assumptions!$F$264*Assumptions!$B$51)),Assumptions!$D$264,0)</f>
        <v/>
      </c>
      <c r="P49" s="41">
        <f>IF(OR(O49&gt;0,AND(P$3&gt;=Assumptions!$E$264,P$3&gt;=Assumptions!$B$14,Revenue_Build!P10&gt;=Assumptions!$F$264*Assumptions!$B$51)),Assumptions!$D$264,0)</f>
        <v/>
      </c>
      <c r="Q49" s="41">
        <f>IF(OR(P49&gt;0,AND(Q$3&gt;=Assumptions!$E$264,Q$3&gt;=Assumptions!$B$14,Revenue_Build!Q10&gt;=Assumptions!$F$264*Assumptions!$B$51)),Assumptions!$D$264,0)</f>
        <v/>
      </c>
      <c r="R49" s="41">
        <f>IF(OR(Q49&gt;0,AND(R$3&gt;=Assumptions!$E$264,R$3&gt;=Assumptions!$B$14,Revenue_Build!R10&gt;=Assumptions!$F$264*Assumptions!$B$51)),Assumptions!$D$264,0)</f>
        <v/>
      </c>
      <c r="S49" s="41">
        <f>IF(OR(R49&gt;0,AND(S$3&gt;=Assumptions!$E$264,S$3&gt;=Assumptions!$B$14,Revenue_Build!S10&gt;=Assumptions!$F$264*Assumptions!$B$51)),Assumptions!$D$264,0)</f>
        <v/>
      </c>
      <c r="T49" s="41">
        <f>IF(OR(S49&gt;0,AND(T$3&gt;=Assumptions!$E$264,T$3&gt;=Assumptions!$B$14,Revenue_Build!T10&gt;=Assumptions!$F$264*Assumptions!$B$51)),Assumptions!$D$264,0)</f>
        <v/>
      </c>
      <c r="U49" s="41">
        <f>IF(OR(T49&gt;0,AND(U$3&gt;=Assumptions!$E$264,U$3&gt;=Assumptions!$B$14,Revenue_Build!U10&gt;=Assumptions!$F$264*Assumptions!$B$51)),Assumptions!$D$264,0)</f>
        <v/>
      </c>
      <c r="V49" s="41">
        <f>IF(OR(U49&gt;0,AND(V$3&gt;=Assumptions!$E$264,V$3&gt;=Assumptions!$B$14,Revenue_Build!V10&gt;=Assumptions!$F$264*Assumptions!$B$51)),Assumptions!$D$264,0)</f>
        <v/>
      </c>
      <c r="W49" s="41">
        <f>IF(OR(V49&gt;0,AND(W$3&gt;=Assumptions!$E$264,W$3&gt;=Assumptions!$B$14,Revenue_Build!W10&gt;=Assumptions!$F$264*Assumptions!$B$51)),Assumptions!$D$264,0)</f>
        <v/>
      </c>
      <c r="X49" s="41">
        <f>IF(OR(W49&gt;0,AND(X$3&gt;=Assumptions!$E$264,X$3&gt;=Assumptions!$B$14,Revenue_Build!X10&gt;=Assumptions!$F$264*Assumptions!$B$51)),Assumptions!$D$264,0)</f>
        <v/>
      </c>
      <c r="Y49" s="41">
        <f>IF(OR(X49&gt;0,AND(Y$3&gt;=Assumptions!$E$264,Y$3&gt;=Assumptions!$B$14,Revenue_Build!Y10&gt;=Assumptions!$F$264*Assumptions!$B$51)),Assumptions!$D$264,0)</f>
        <v/>
      </c>
      <c r="Z49" s="41">
        <f>IF(OR(Y49&gt;0,AND(Z$3&gt;=Assumptions!$E$264,Z$3&gt;=Assumptions!$B$14,Revenue_Build!Z10&gt;=Assumptions!$F$264*Assumptions!$B$51)),Assumptions!$D$264,0)</f>
        <v/>
      </c>
      <c r="AA49" s="41">
        <f>IF(OR(Z49&gt;0,AND(AA$3&gt;=Assumptions!$E$264,AA$3&gt;=Assumptions!$B$14,Revenue_Build!AA10&gt;=Assumptions!$F$264*Assumptions!$B$51)),Assumptions!$D$264,0)</f>
        <v/>
      </c>
      <c r="AB49" s="41">
        <f>IF(OR(AA49&gt;0,AND(AB$3&gt;=Assumptions!$E$264,AB$3&gt;=Assumptions!$B$14,Revenue_Build!AB10&gt;=Assumptions!$F$264*Assumptions!$B$51)),Assumptions!$D$264,0)</f>
        <v/>
      </c>
      <c r="AC49" s="41">
        <f>IF(OR(AB49&gt;0,AND(AC$3&gt;=Assumptions!$E$264,AC$3&gt;=Assumptions!$B$14,Revenue_Build!AC10&gt;=Assumptions!$F$264*Assumptions!$B$51)),Assumptions!$D$264,0)</f>
        <v/>
      </c>
      <c r="AD49" s="41">
        <f>IF(OR(AC49&gt;0,AND(AD$3&gt;=Assumptions!$E$264,AD$3&gt;=Assumptions!$B$14,Revenue_Build!AD10&gt;=Assumptions!$F$264*Assumptions!$B$51)),Assumptions!$D$264,0)</f>
        <v/>
      </c>
      <c r="AE49" s="41">
        <f>IF(OR(AD49&gt;0,AND(AE$3&gt;=Assumptions!$E$264,AE$3&gt;=Assumptions!$B$14,Revenue_Build!AE10&gt;=Assumptions!$F$264*Assumptions!$B$51)),Assumptions!$D$264,0)</f>
        <v/>
      </c>
      <c r="AF49" s="41">
        <f>IF(OR(AE49&gt;0,AND(AF$3&gt;=Assumptions!$E$264,AF$3&gt;=Assumptions!$B$14,Revenue_Build!AF10&gt;=Assumptions!$F$264*Assumptions!$B$51)),Assumptions!$D$264,0)</f>
        <v/>
      </c>
      <c r="AG49" s="41">
        <f>IF(OR(AF49&gt;0,AND(AG$3&gt;=Assumptions!$E$264,AG$3&gt;=Assumptions!$B$14,Revenue_Build!AG10&gt;=Assumptions!$F$264*Assumptions!$B$51)),Assumptions!$D$264,0)</f>
        <v/>
      </c>
      <c r="AH49" s="41">
        <f>IF(OR(AG49&gt;0,AND(AH$3&gt;=Assumptions!$E$264,AH$3&gt;=Assumptions!$B$14,Revenue_Build!AH10&gt;=Assumptions!$F$264*Assumptions!$B$51)),Assumptions!$D$264,0)</f>
        <v/>
      </c>
      <c r="AI49" s="41">
        <f>IF(OR(AH49&gt;0,AND(AI$3&gt;=Assumptions!$E$264,AI$3&gt;=Assumptions!$B$14,Revenue_Build!AI10&gt;=Assumptions!$F$264*Assumptions!$B$51)),Assumptions!$D$264,0)</f>
        <v/>
      </c>
      <c r="AJ49" s="41">
        <f>IF(OR(AI49&gt;0,AND(AJ$3&gt;=Assumptions!$E$264,AJ$3&gt;=Assumptions!$B$14,Revenue_Build!AJ10&gt;=Assumptions!$F$264*Assumptions!$B$51)),Assumptions!$D$264,0)</f>
        <v/>
      </c>
      <c r="AK49" s="41">
        <f>IF(OR(AJ49&gt;0,AND(AK$3&gt;=Assumptions!$E$264,AK$3&gt;=Assumptions!$B$14,Revenue_Build!AK10&gt;=Assumptions!$F$264*Assumptions!$B$51)),Assumptions!$D$264,0)</f>
        <v/>
      </c>
      <c r="AL49" s="41">
        <f>IF(OR(AK49&gt;0,AND(AL$3&gt;=Assumptions!$E$264,AL$3&gt;=Assumptions!$B$14,Revenue_Build!AL10&gt;=Assumptions!$F$264*Assumptions!$B$51)),Assumptions!$D$264,0)</f>
        <v/>
      </c>
      <c r="AM49" s="41">
        <f>IF(OR(AL49&gt;0,AND(AM$3&gt;=Assumptions!$E$264,AM$3&gt;=Assumptions!$B$14,Revenue_Build!AM10&gt;=Assumptions!$F$264*Assumptions!$B$51)),Assumptions!$D$264,0)</f>
        <v/>
      </c>
      <c r="AN49" s="41">
        <f>IF(OR(AM49&gt;0,AND(AN$3&gt;=Assumptions!$E$264,AN$3&gt;=Assumptions!$B$14,Revenue_Build!AN10&gt;=Assumptions!$F$264*Assumptions!$B$51)),Assumptions!$D$264,0)</f>
        <v/>
      </c>
      <c r="AO49" s="41">
        <f>IF(OR(AN49&gt;0,AND(AO$3&gt;=Assumptions!$E$264,AO$3&gt;=Assumptions!$B$14,Revenue_Build!AO10&gt;=Assumptions!$F$264*Assumptions!$B$51)),Assumptions!$D$264,0)</f>
        <v/>
      </c>
      <c r="AP49" s="41">
        <f>IF(OR(AO49&gt;0,AND(AP$3&gt;=Assumptions!$E$264,AP$3&gt;=Assumptions!$B$14,Revenue_Build!AP10&gt;=Assumptions!$F$264*Assumptions!$B$51)),Assumptions!$D$264,0)</f>
        <v/>
      </c>
      <c r="AQ49" s="41">
        <f>IF(OR(AP49&gt;0,AND(AQ$3&gt;=Assumptions!$E$264,AQ$3&gt;=Assumptions!$B$14,Revenue_Build!AQ10&gt;=Assumptions!$F$264*Assumptions!$B$51)),Assumptions!$D$264,0)</f>
        <v/>
      </c>
      <c r="AR49" s="41">
        <f>IF(OR(AQ49&gt;0,AND(AR$3&gt;=Assumptions!$E$264,AR$3&gt;=Assumptions!$B$14,Revenue_Build!AR10&gt;=Assumptions!$F$264*Assumptions!$B$51)),Assumptions!$D$264,0)</f>
        <v/>
      </c>
      <c r="AS49" s="41">
        <f>IF(OR(AR49&gt;0,AND(AS$3&gt;=Assumptions!$E$264,AS$3&gt;=Assumptions!$B$14,Revenue_Build!AS10&gt;=Assumptions!$F$264*Assumptions!$B$51)),Assumptions!$D$264,0)</f>
        <v/>
      </c>
      <c r="AT49" s="41">
        <f>IF(OR(AS49&gt;0,AND(AT$3&gt;=Assumptions!$E$264,AT$3&gt;=Assumptions!$B$14,Revenue_Build!AT10&gt;=Assumptions!$F$264*Assumptions!$B$51)),Assumptions!$D$264,0)</f>
        <v/>
      </c>
      <c r="AU49" s="41">
        <f>IF(OR(AT49&gt;0,AND(AU$3&gt;=Assumptions!$E$264,AU$3&gt;=Assumptions!$B$14,Revenue_Build!AU10&gt;=Assumptions!$F$264*Assumptions!$B$51)),Assumptions!$D$264,0)</f>
        <v/>
      </c>
      <c r="AV49" s="41">
        <f>IF(OR(AU49&gt;0,AND(AV$3&gt;=Assumptions!$E$264,AV$3&gt;=Assumptions!$B$14,Revenue_Build!AV10&gt;=Assumptions!$F$264*Assumptions!$B$51)),Assumptions!$D$264,0)</f>
        <v/>
      </c>
      <c r="AW49" s="41">
        <f>IF(OR(AV49&gt;0,AND(AW$3&gt;=Assumptions!$E$264,AW$3&gt;=Assumptions!$B$14,Revenue_Build!AW10&gt;=Assumptions!$F$264*Assumptions!$B$51)),Assumptions!$D$264,0)</f>
        <v/>
      </c>
      <c r="AX49" s="41">
        <f>IF(OR(AW49&gt;0,AND(AX$3&gt;=Assumptions!$E$264,AX$3&gt;=Assumptions!$B$14,Revenue_Build!AX10&gt;=Assumptions!$F$264*Assumptions!$B$51)),Assumptions!$D$264,0)</f>
        <v/>
      </c>
      <c r="AY49" s="41">
        <f>IF(OR(AX49&gt;0,AND(AY$3&gt;=Assumptions!$E$264,AY$3&gt;=Assumptions!$B$14,Revenue_Build!AY10&gt;=Assumptions!$F$264*Assumptions!$B$51)),Assumptions!$D$264,0)</f>
        <v/>
      </c>
      <c r="AZ49" s="41">
        <f>IF(OR(AY49&gt;0,AND(AZ$3&gt;=Assumptions!$E$264,AZ$3&gt;=Assumptions!$B$14,Revenue_Build!AZ10&gt;=Assumptions!$F$264*Assumptions!$B$51)),Assumptions!$D$264,0)</f>
        <v/>
      </c>
      <c r="BA49" s="41">
        <f>IF(OR(AZ49&gt;0,AND(BA$3&gt;=Assumptions!$E$264,BA$3&gt;=Assumptions!$B$14,Revenue_Build!BA10&gt;=Assumptions!$F$264*Assumptions!$B$51)),Assumptions!$D$264,0)</f>
        <v/>
      </c>
      <c r="BB49" s="41">
        <f>IF(OR(BA49&gt;0,AND(BB$3&gt;=Assumptions!$E$264,BB$3&gt;=Assumptions!$B$14,Revenue_Build!BB10&gt;=Assumptions!$F$264*Assumptions!$B$51)),Assumptions!$D$264,0)</f>
        <v/>
      </c>
      <c r="BC49" s="41">
        <f>IF(OR(BB49&gt;0,AND(BC$3&gt;=Assumptions!$E$264,BC$3&gt;=Assumptions!$B$14,Revenue_Build!BC10&gt;=Assumptions!$F$264*Assumptions!$B$51)),Assumptions!$D$264,0)</f>
        <v/>
      </c>
      <c r="BD49" s="41">
        <f>IF(OR(BC49&gt;0,AND(BD$3&gt;=Assumptions!$E$264,BD$3&gt;=Assumptions!$B$14,Revenue_Build!BD10&gt;=Assumptions!$F$264*Assumptions!$B$51)),Assumptions!$D$264,0)</f>
        <v/>
      </c>
      <c r="BE49" s="41">
        <f>IF(OR(BD49&gt;0,AND(BE$3&gt;=Assumptions!$E$264,BE$3&gt;=Assumptions!$B$14,Revenue_Build!BE10&gt;=Assumptions!$F$264*Assumptions!$B$51)),Assumptions!$D$264,0)</f>
        <v/>
      </c>
      <c r="BF49" s="41">
        <f>IF(OR(BE49&gt;0,AND(BF$3&gt;=Assumptions!$E$264,BF$3&gt;=Assumptions!$B$14,Revenue_Build!BF10&gt;=Assumptions!$F$264*Assumptions!$B$51)),Assumptions!$D$264,0)</f>
        <v/>
      </c>
      <c r="BG49" s="41">
        <f>IF(OR(BF49&gt;0,AND(BG$3&gt;=Assumptions!$E$264,BG$3&gt;=Assumptions!$B$14,Revenue_Build!BG10&gt;=Assumptions!$F$264*Assumptions!$B$51)),Assumptions!$D$264,0)</f>
        <v/>
      </c>
      <c r="BH49" s="41">
        <f>IF(OR(BG49&gt;0,AND(BH$3&gt;=Assumptions!$E$264,BH$3&gt;=Assumptions!$B$14,Revenue_Build!BH10&gt;=Assumptions!$F$264*Assumptions!$B$51)),Assumptions!$D$264,0)</f>
        <v/>
      </c>
      <c r="BI49" s="41">
        <f>IF(OR(BH49&gt;0,AND(BI$3&gt;=Assumptions!$E$264,BI$3&gt;=Assumptions!$B$14,Revenue_Build!BI10&gt;=Assumptions!$F$264*Assumptions!$B$51)),Assumptions!$D$264,0)</f>
        <v/>
      </c>
      <c r="BJ49" s="41">
        <f>IF(OR(BI49&gt;0,AND(BJ$3&gt;=Assumptions!$E$264,BJ$3&gt;=Assumptions!$B$14,Revenue_Build!BJ10&gt;=Assumptions!$F$264*Assumptions!$B$51)),Assumptions!$D$264,0)</f>
        <v/>
      </c>
    </row>
    <row r="50">
      <c r="A50" s="4" t="inlineStr">
        <is>
          <t>Operations &amp; admin</t>
        </is>
      </c>
      <c r="B50" s="17" t="inlineStr">
        <is>
          <t>FTE</t>
        </is>
      </c>
      <c r="C50" s="41">
        <f>IF(AND(C$3&gt;=Assumptions!$E$265,C$3&gt;=Assumptions!$B$14,Revenue_Build!C10&gt;=Assumptions!$F$265*Assumptions!$B$51),Assumptions!$D$265,0)</f>
        <v/>
      </c>
      <c r="D50" s="41">
        <f>IF(OR(C50&gt;0,AND(D$3&gt;=Assumptions!$E$265,D$3&gt;=Assumptions!$B$14,Revenue_Build!D10&gt;=Assumptions!$F$265*Assumptions!$B$51)),Assumptions!$D$265,0)</f>
        <v/>
      </c>
      <c r="E50" s="41">
        <f>IF(OR(D50&gt;0,AND(E$3&gt;=Assumptions!$E$265,E$3&gt;=Assumptions!$B$14,Revenue_Build!E10&gt;=Assumptions!$F$265*Assumptions!$B$51)),Assumptions!$D$265,0)</f>
        <v/>
      </c>
      <c r="F50" s="41">
        <f>IF(OR(E50&gt;0,AND(F$3&gt;=Assumptions!$E$265,F$3&gt;=Assumptions!$B$14,Revenue_Build!F10&gt;=Assumptions!$F$265*Assumptions!$B$51)),Assumptions!$D$265,0)</f>
        <v/>
      </c>
      <c r="G50" s="41">
        <f>IF(OR(F50&gt;0,AND(G$3&gt;=Assumptions!$E$265,G$3&gt;=Assumptions!$B$14,Revenue_Build!G10&gt;=Assumptions!$F$265*Assumptions!$B$51)),Assumptions!$D$265,0)</f>
        <v/>
      </c>
      <c r="H50" s="41">
        <f>IF(OR(G50&gt;0,AND(H$3&gt;=Assumptions!$E$265,H$3&gt;=Assumptions!$B$14,Revenue_Build!H10&gt;=Assumptions!$F$265*Assumptions!$B$51)),Assumptions!$D$265,0)</f>
        <v/>
      </c>
      <c r="I50" s="41">
        <f>IF(OR(H50&gt;0,AND(I$3&gt;=Assumptions!$E$265,I$3&gt;=Assumptions!$B$14,Revenue_Build!I10&gt;=Assumptions!$F$265*Assumptions!$B$51)),Assumptions!$D$265,0)</f>
        <v/>
      </c>
      <c r="J50" s="41">
        <f>IF(OR(I50&gt;0,AND(J$3&gt;=Assumptions!$E$265,J$3&gt;=Assumptions!$B$14,Revenue_Build!J10&gt;=Assumptions!$F$265*Assumptions!$B$51)),Assumptions!$D$265,0)</f>
        <v/>
      </c>
      <c r="K50" s="41">
        <f>IF(OR(J50&gt;0,AND(K$3&gt;=Assumptions!$E$265,K$3&gt;=Assumptions!$B$14,Revenue_Build!K10&gt;=Assumptions!$F$265*Assumptions!$B$51)),Assumptions!$D$265,0)</f>
        <v/>
      </c>
      <c r="L50" s="41">
        <f>IF(OR(K50&gt;0,AND(L$3&gt;=Assumptions!$E$265,L$3&gt;=Assumptions!$B$14,Revenue_Build!L10&gt;=Assumptions!$F$265*Assumptions!$B$51)),Assumptions!$D$265,0)</f>
        <v/>
      </c>
      <c r="M50" s="41">
        <f>IF(OR(L50&gt;0,AND(M$3&gt;=Assumptions!$E$265,M$3&gt;=Assumptions!$B$14,Revenue_Build!M10&gt;=Assumptions!$F$265*Assumptions!$B$51)),Assumptions!$D$265,0)</f>
        <v/>
      </c>
      <c r="N50" s="41">
        <f>IF(OR(M50&gt;0,AND(N$3&gt;=Assumptions!$E$265,N$3&gt;=Assumptions!$B$14,Revenue_Build!N10&gt;=Assumptions!$F$265*Assumptions!$B$51)),Assumptions!$D$265,0)</f>
        <v/>
      </c>
      <c r="O50" s="41">
        <f>IF(OR(N50&gt;0,AND(O$3&gt;=Assumptions!$E$265,O$3&gt;=Assumptions!$B$14,Revenue_Build!O10&gt;=Assumptions!$F$265*Assumptions!$B$51)),Assumptions!$D$265,0)</f>
        <v/>
      </c>
      <c r="P50" s="41">
        <f>IF(OR(O50&gt;0,AND(P$3&gt;=Assumptions!$E$265,P$3&gt;=Assumptions!$B$14,Revenue_Build!P10&gt;=Assumptions!$F$265*Assumptions!$B$51)),Assumptions!$D$265,0)</f>
        <v/>
      </c>
      <c r="Q50" s="41">
        <f>IF(OR(P50&gt;0,AND(Q$3&gt;=Assumptions!$E$265,Q$3&gt;=Assumptions!$B$14,Revenue_Build!Q10&gt;=Assumptions!$F$265*Assumptions!$B$51)),Assumptions!$D$265,0)</f>
        <v/>
      </c>
      <c r="R50" s="41">
        <f>IF(OR(Q50&gt;0,AND(R$3&gt;=Assumptions!$E$265,R$3&gt;=Assumptions!$B$14,Revenue_Build!R10&gt;=Assumptions!$F$265*Assumptions!$B$51)),Assumptions!$D$265,0)</f>
        <v/>
      </c>
      <c r="S50" s="41">
        <f>IF(OR(R50&gt;0,AND(S$3&gt;=Assumptions!$E$265,S$3&gt;=Assumptions!$B$14,Revenue_Build!S10&gt;=Assumptions!$F$265*Assumptions!$B$51)),Assumptions!$D$265,0)</f>
        <v/>
      </c>
      <c r="T50" s="41">
        <f>IF(OR(S50&gt;0,AND(T$3&gt;=Assumptions!$E$265,T$3&gt;=Assumptions!$B$14,Revenue_Build!T10&gt;=Assumptions!$F$265*Assumptions!$B$51)),Assumptions!$D$265,0)</f>
        <v/>
      </c>
      <c r="U50" s="41">
        <f>IF(OR(T50&gt;0,AND(U$3&gt;=Assumptions!$E$265,U$3&gt;=Assumptions!$B$14,Revenue_Build!U10&gt;=Assumptions!$F$265*Assumptions!$B$51)),Assumptions!$D$265,0)</f>
        <v/>
      </c>
      <c r="V50" s="41">
        <f>IF(OR(U50&gt;0,AND(V$3&gt;=Assumptions!$E$265,V$3&gt;=Assumptions!$B$14,Revenue_Build!V10&gt;=Assumptions!$F$265*Assumptions!$B$51)),Assumptions!$D$265,0)</f>
        <v/>
      </c>
      <c r="W50" s="41">
        <f>IF(OR(V50&gt;0,AND(W$3&gt;=Assumptions!$E$265,W$3&gt;=Assumptions!$B$14,Revenue_Build!W10&gt;=Assumptions!$F$265*Assumptions!$B$51)),Assumptions!$D$265,0)</f>
        <v/>
      </c>
      <c r="X50" s="41">
        <f>IF(OR(W50&gt;0,AND(X$3&gt;=Assumptions!$E$265,X$3&gt;=Assumptions!$B$14,Revenue_Build!X10&gt;=Assumptions!$F$265*Assumptions!$B$51)),Assumptions!$D$265,0)</f>
        <v/>
      </c>
      <c r="Y50" s="41">
        <f>IF(OR(X50&gt;0,AND(Y$3&gt;=Assumptions!$E$265,Y$3&gt;=Assumptions!$B$14,Revenue_Build!Y10&gt;=Assumptions!$F$265*Assumptions!$B$51)),Assumptions!$D$265,0)</f>
        <v/>
      </c>
      <c r="Z50" s="41">
        <f>IF(OR(Y50&gt;0,AND(Z$3&gt;=Assumptions!$E$265,Z$3&gt;=Assumptions!$B$14,Revenue_Build!Z10&gt;=Assumptions!$F$265*Assumptions!$B$51)),Assumptions!$D$265,0)</f>
        <v/>
      </c>
      <c r="AA50" s="41">
        <f>IF(OR(Z50&gt;0,AND(AA$3&gt;=Assumptions!$E$265,AA$3&gt;=Assumptions!$B$14,Revenue_Build!AA10&gt;=Assumptions!$F$265*Assumptions!$B$51)),Assumptions!$D$265,0)</f>
        <v/>
      </c>
      <c r="AB50" s="41">
        <f>IF(OR(AA50&gt;0,AND(AB$3&gt;=Assumptions!$E$265,AB$3&gt;=Assumptions!$B$14,Revenue_Build!AB10&gt;=Assumptions!$F$265*Assumptions!$B$51)),Assumptions!$D$265,0)</f>
        <v/>
      </c>
      <c r="AC50" s="41">
        <f>IF(OR(AB50&gt;0,AND(AC$3&gt;=Assumptions!$E$265,AC$3&gt;=Assumptions!$B$14,Revenue_Build!AC10&gt;=Assumptions!$F$265*Assumptions!$B$51)),Assumptions!$D$265,0)</f>
        <v/>
      </c>
      <c r="AD50" s="41">
        <f>IF(OR(AC50&gt;0,AND(AD$3&gt;=Assumptions!$E$265,AD$3&gt;=Assumptions!$B$14,Revenue_Build!AD10&gt;=Assumptions!$F$265*Assumptions!$B$51)),Assumptions!$D$265,0)</f>
        <v/>
      </c>
      <c r="AE50" s="41">
        <f>IF(OR(AD50&gt;0,AND(AE$3&gt;=Assumptions!$E$265,AE$3&gt;=Assumptions!$B$14,Revenue_Build!AE10&gt;=Assumptions!$F$265*Assumptions!$B$51)),Assumptions!$D$265,0)</f>
        <v/>
      </c>
      <c r="AF50" s="41">
        <f>IF(OR(AE50&gt;0,AND(AF$3&gt;=Assumptions!$E$265,AF$3&gt;=Assumptions!$B$14,Revenue_Build!AF10&gt;=Assumptions!$F$265*Assumptions!$B$51)),Assumptions!$D$265,0)</f>
        <v/>
      </c>
      <c r="AG50" s="41">
        <f>IF(OR(AF50&gt;0,AND(AG$3&gt;=Assumptions!$E$265,AG$3&gt;=Assumptions!$B$14,Revenue_Build!AG10&gt;=Assumptions!$F$265*Assumptions!$B$51)),Assumptions!$D$265,0)</f>
        <v/>
      </c>
      <c r="AH50" s="41">
        <f>IF(OR(AG50&gt;0,AND(AH$3&gt;=Assumptions!$E$265,AH$3&gt;=Assumptions!$B$14,Revenue_Build!AH10&gt;=Assumptions!$F$265*Assumptions!$B$51)),Assumptions!$D$265,0)</f>
        <v/>
      </c>
      <c r="AI50" s="41">
        <f>IF(OR(AH50&gt;0,AND(AI$3&gt;=Assumptions!$E$265,AI$3&gt;=Assumptions!$B$14,Revenue_Build!AI10&gt;=Assumptions!$F$265*Assumptions!$B$51)),Assumptions!$D$265,0)</f>
        <v/>
      </c>
      <c r="AJ50" s="41">
        <f>IF(OR(AI50&gt;0,AND(AJ$3&gt;=Assumptions!$E$265,AJ$3&gt;=Assumptions!$B$14,Revenue_Build!AJ10&gt;=Assumptions!$F$265*Assumptions!$B$51)),Assumptions!$D$265,0)</f>
        <v/>
      </c>
      <c r="AK50" s="41">
        <f>IF(OR(AJ50&gt;0,AND(AK$3&gt;=Assumptions!$E$265,AK$3&gt;=Assumptions!$B$14,Revenue_Build!AK10&gt;=Assumptions!$F$265*Assumptions!$B$51)),Assumptions!$D$265,0)</f>
        <v/>
      </c>
      <c r="AL50" s="41">
        <f>IF(OR(AK50&gt;0,AND(AL$3&gt;=Assumptions!$E$265,AL$3&gt;=Assumptions!$B$14,Revenue_Build!AL10&gt;=Assumptions!$F$265*Assumptions!$B$51)),Assumptions!$D$265,0)</f>
        <v/>
      </c>
      <c r="AM50" s="41">
        <f>IF(OR(AL50&gt;0,AND(AM$3&gt;=Assumptions!$E$265,AM$3&gt;=Assumptions!$B$14,Revenue_Build!AM10&gt;=Assumptions!$F$265*Assumptions!$B$51)),Assumptions!$D$265,0)</f>
        <v/>
      </c>
      <c r="AN50" s="41">
        <f>IF(OR(AM50&gt;0,AND(AN$3&gt;=Assumptions!$E$265,AN$3&gt;=Assumptions!$B$14,Revenue_Build!AN10&gt;=Assumptions!$F$265*Assumptions!$B$51)),Assumptions!$D$265,0)</f>
        <v/>
      </c>
      <c r="AO50" s="41">
        <f>IF(OR(AN50&gt;0,AND(AO$3&gt;=Assumptions!$E$265,AO$3&gt;=Assumptions!$B$14,Revenue_Build!AO10&gt;=Assumptions!$F$265*Assumptions!$B$51)),Assumptions!$D$265,0)</f>
        <v/>
      </c>
      <c r="AP50" s="41">
        <f>IF(OR(AO50&gt;0,AND(AP$3&gt;=Assumptions!$E$265,AP$3&gt;=Assumptions!$B$14,Revenue_Build!AP10&gt;=Assumptions!$F$265*Assumptions!$B$51)),Assumptions!$D$265,0)</f>
        <v/>
      </c>
      <c r="AQ50" s="41">
        <f>IF(OR(AP50&gt;0,AND(AQ$3&gt;=Assumptions!$E$265,AQ$3&gt;=Assumptions!$B$14,Revenue_Build!AQ10&gt;=Assumptions!$F$265*Assumptions!$B$51)),Assumptions!$D$265,0)</f>
        <v/>
      </c>
      <c r="AR50" s="41">
        <f>IF(OR(AQ50&gt;0,AND(AR$3&gt;=Assumptions!$E$265,AR$3&gt;=Assumptions!$B$14,Revenue_Build!AR10&gt;=Assumptions!$F$265*Assumptions!$B$51)),Assumptions!$D$265,0)</f>
        <v/>
      </c>
      <c r="AS50" s="41">
        <f>IF(OR(AR50&gt;0,AND(AS$3&gt;=Assumptions!$E$265,AS$3&gt;=Assumptions!$B$14,Revenue_Build!AS10&gt;=Assumptions!$F$265*Assumptions!$B$51)),Assumptions!$D$265,0)</f>
        <v/>
      </c>
      <c r="AT50" s="41">
        <f>IF(OR(AS50&gt;0,AND(AT$3&gt;=Assumptions!$E$265,AT$3&gt;=Assumptions!$B$14,Revenue_Build!AT10&gt;=Assumptions!$F$265*Assumptions!$B$51)),Assumptions!$D$265,0)</f>
        <v/>
      </c>
      <c r="AU50" s="41">
        <f>IF(OR(AT50&gt;0,AND(AU$3&gt;=Assumptions!$E$265,AU$3&gt;=Assumptions!$B$14,Revenue_Build!AU10&gt;=Assumptions!$F$265*Assumptions!$B$51)),Assumptions!$D$265,0)</f>
        <v/>
      </c>
      <c r="AV50" s="41">
        <f>IF(OR(AU50&gt;0,AND(AV$3&gt;=Assumptions!$E$265,AV$3&gt;=Assumptions!$B$14,Revenue_Build!AV10&gt;=Assumptions!$F$265*Assumptions!$B$51)),Assumptions!$D$265,0)</f>
        <v/>
      </c>
      <c r="AW50" s="41">
        <f>IF(OR(AV50&gt;0,AND(AW$3&gt;=Assumptions!$E$265,AW$3&gt;=Assumptions!$B$14,Revenue_Build!AW10&gt;=Assumptions!$F$265*Assumptions!$B$51)),Assumptions!$D$265,0)</f>
        <v/>
      </c>
      <c r="AX50" s="41">
        <f>IF(OR(AW50&gt;0,AND(AX$3&gt;=Assumptions!$E$265,AX$3&gt;=Assumptions!$B$14,Revenue_Build!AX10&gt;=Assumptions!$F$265*Assumptions!$B$51)),Assumptions!$D$265,0)</f>
        <v/>
      </c>
      <c r="AY50" s="41">
        <f>IF(OR(AX50&gt;0,AND(AY$3&gt;=Assumptions!$E$265,AY$3&gt;=Assumptions!$B$14,Revenue_Build!AY10&gt;=Assumptions!$F$265*Assumptions!$B$51)),Assumptions!$D$265,0)</f>
        <v/>
      </c>
      <c r="AZ50" s="41">
        <f>IF(OR(AY50&gt;0,AND(AZ$3&gt;=Assumptions!$E$265,AZ$3&gt;=Assumptions!$B$14,Revenue_Build!AZ10&gt;=Assumptions!$F$265*Assumptions!$B$51)),Assumptions!$D$265,0)</f>
        <v/>
      </c>
      <c r="BA50" s="41">
        <f>IF(OR(AZ50&gt;0,AND(BA$3&gt;=Assumptions!$E$265,BA$3&gt;=Assumptions!$B$14,Revenue_Build!BA10&gt;=Assumptions!$F$265*Assumptions!$B$51)),Assumptions!$D$265,0)</f>
        <v/>
      </c>
      <c r="BB50" s="41">
        <f>IF(OR(BA50&gt;0,AND(BB$3&gt;=Assumptions!$E$265,BB$3&gt;=Assumptions!$B$14,Revenue_Build!BB10&gt;=Assumptions!$F$265*Assumptions!$B$51)),Assumptions!$D$265,0)</f>
        <v/>
      </c>
      <c r="BC50" s="41">
        <f>IF(OR(BB50&gt;0,AND(BC$3&gt;=Assumptions!$E$265,BC$3&gt;=Assumptions!$B$14,Revenue_Build!BC10&gt;=Assumptions!$F$265*Assumptions!$B$51)),Assumptions!$D$265,0)</f>
        <v/>
      </c>
      <c r="BD50" s="41">
        <f>IF(OR(BC50&gt;0,AND(BD$3&gt;=Assumptions!$E$265,BD$3&gt;=Assumptions!$B$14,Revenue_Build!BD10&gt;=Assumptions!$F$265*Assumptions!$B$51)),Assumptions!$D$265,0)</f>
        <v/>
      </c>
      <c r="BE50" s="41">
        <f>IF(OR(BD50&gt;0,AND(BE$3&gt;=Assumptions!$E$265,BE$3&gt;=Assumptions!$B$14,Revenue_Build!BE10&gt;=Assumptions!$F$265*Assumptions!$B$51)),Assumptions!$D$265,0)</f>
        <v/>
      </c>
      <c r="BF50" s="41">
        <f>IF(OR(BE50&gt;0,AND(BF$3&gt;=Assumptions!$E$265,BF$3&gt;=Assumptions!$B$14,Revenue_Build!BF10&gt;=Assumptions!$F$265*Assumptions!$B$51)),Assumptions!$D$265,0)</f>
        <v/>
      </c>
      <c r="BG50" s="41">
        <f>IF(OR(BF50&gt;0,AND(BG$3&gt;=Assumptions!$E$265,BG$3&gt;=Assumptions!$B$14,Revenue_Build!BG10&gt;=Assumptions!$F$265*Assumptions!$B$51)),Assumptions!$D$265,0)</f>
        <v/>
      </c>
      <c r="BH50" s="41">
        <f>IF(OR(BG50&gt;0,AND(BH$3&gt;=Assumptions!$E$265,BH$3&gt;=Assumptions!$B$14,Revenue_Build!BH10&gt;=Assumptions!$F$265*Assumptions!$B$51)),Assumptions!$D$265,0)</f>
        <v/>
      </c>
      <c r="BI50" s="41">
        <f>IF(OR(BH50&gt;0,AND(BI$3&gt;=Assumptions!$E$265,BI$3&gt;=Assumptions!$B$14,Revenue_Build!BI10&gt;=Assumptions!$F$265*Assumptions!$B$51)),Assumptions!$D$265,0)</f>
        <v/>
      </c>
      <c r="BJ50" s="41">
        <f>IF(OR(BI50&gt;0,AND(BJ$3&gt;=Assumptions!$E$265,BJ$3&gt;=Assumptions!$B$14,Revenue_Build!BJ10&gt;=Assumptions!$F$265*Assumptions!$B$51)),Assumptions!$D$265,0)</f>
        <v/>
      </c>
    </row>
    <row r="51">
      <c r="A51" s="4" t="inlineStr">
        <is>
          <t>Legal &amp; data-protection counsel</t>
        </is>
      </c>
      <c r="B51" s="17" t="inlineStr">
        <is>
          <t>FTE</t>
        </is>
      </c>
      <c r="C51" s="41">
        <f>IF(AND(C$3&gt;=Assumptions!$E$266,C$3&gt;=Assumptions!$B$14,Revenue_Build!C10&gt;=Assumptions!$F$266*Assumptions!$B$51),Assumptions!$D$266,0)</f>
        <v/>
      </c>
      <c r="D51" s="41">
        <f>IF(OR(C51&gt;0,AND(D$3&gt;=Assumptions!$E$266,D$3&gt;=Assumptions!$B$14,Revenue_Build!D10&gt;=Assumptions!$F$266*Assumptions!$B$51)),Assumptions!$D$266,0)</f>
        <v/>
      </c>
      <c r="E51" s="41">
        <f>IF(OR(D51&gt;0,AND(E$3&gt;=Assumptions!$E$266,E$3&gt;=Assumptions!$B$14,Revenue_Build!E10&gt;=Assumptions!$F$266*Assumptions!$B$51)),Assumptions!$D$266,0)</f>
        <v/>
      </c>
      <c r="F51" s="41">
        <f>IF(OR(E51&gt;0,AND(F$3&gt;=Assumptions!$E$266,F$3&gt;=Assumptions!$B$14,Revenue_Build!F10&gt;=Assumptions!$F$266*Assumptions!$B$51)),Assumptions!$D$266,0)</f>
        <v/>
      </c>
      <c r="G51" s="41">
        <f>IF(OR(F51&gt;0,AND(G$3&gt;=Assumptions!$E$266,G$3&gt;=Assumptions!$B$14,Revenue_Build!G10&gt;=Assumptions!$F$266*Assumptions!$B$51)),Assumptions!$D$266,0)</f>
        <v/>
      </c>
      <c r="H51" s="41">
        <f>IF(OR(G51&gt;0,AND(H$3&gt;=Assumptions!$E$266,H$3&gt;=Assumptions!$B$14,Revenue_Build!H10&gt;=Assumptions!$F$266*Assumptions!$B$51)),Assumptions!$D$266,0)</f>
        <v/>
      </c>
      <c r="I51" s="41">
        <f>IF(OR(H51&gt;0,AND(I$3&gt;=Assumptions!$E$266,I$3&gt;=Assumptions!$B$14,Revenue_Build!I10&gt;=Assumptions!$F$266*Assumptions!$B$51)),Assumptions!$D$266,0)</f>
        <v/>
      </c>
      <c r="J51" s="41">
        <f>IF(OR(I51&gt;0,AND(J$3&gt;=Assumptions!$E$266,J$3&gt;=Assumptions!$B$14,Revenue_Build!J10&gt;=Assumptions!$F$266*Assumptions!$B$51)),Assumptions!$D$266,0)</f>
        <v/>
      </c>
      <c r="K51" s="41">
        <f>IF(OR(J51&gt;0,AND(K$3&gt;=Assumptions!$E$266,K$3&gt;=Assumptions!$B$14,Revenue_Build!K10&gt;=Assumptions!$F$266*Assumptions!$B$51)),Assumptions!$D$266,0)</f>
        <v/>
      </c>
      <c r="L51" s="41">
        <f>IF(OR(K51&gt;0,AND(L$3&gt;=Assumptions!$E$266,L$3&gt;=Assumptions!$B$14,Revenue_Build!L10&gt;=Assumptions!$F$266*Assumptions!$B$51)),Assumptions!$D$266,0)</f>
        <v/>
      </c>
      <c r="M51" s="41">
        <f>IF(OR(L51&gt;0,AND(M$3&gt;=Assumptions!$E$266,M$3&gt;=Assumptions!$B$14,Revenue_Build!M10&gt;=Assumptions!$F$266*Assumptions!$B$51)),Assumptions!$D$266,0)</f>
        <v/>
      </c>
      <c r="N51" s="41">
        <f>IF(OR(M51&gt;0,AND(N$3&gt;=Assumptions!$E$266,N$3&gt;=Assumptions!$B$14,Revenue_Build!N10&gt;=Assumptions!$F$266*Assumptions!$B$51)),Assumptions!$D$266,0)</f>
        <v/>
      </c>
      <c r="O51" s="41">
        <f>IF(OR(N51&gt;0,AND(O$3&gt;=Assumptions!$E$266,O$3&gt;=Assumptions!$B$14,Revenue_Build!O10&gt;=Assumptions!$F$266*Assumptions!$B$51)),Assumptions!$D$266,0)</f>
        <v/>
      </c>
      <c r="P51" s="41">
        <f>IF(OR(O51&gt;0,AND(P$3&gt;=Assumptions!$E$266,P$3&gt;=Assumptions!$B$14,Revenue_Build!P10&gt;=Assumptions!$F$266*Assumptions!$B$51)),Assumptions!$D$266,0)</f>
        <v/>
      </c>
      <c r="Q51" s="41">
        <f>IF(OR(P51&gt;0,AND(Q$3&gt;=Assumptions!$E$266,Q$3&gt;=Assumptions!$B$14,Revenue_Build!Q10&gt;=Assumptions!$F$266*Assumptions!$B$51)),Assumptions!$D$266,0)</f>
        <v/>
      </c>
      <c r="R51" s="41">
        <f>IF(OR(Q51&gt;0,AND(R$3&gt;=Assumptions!$E$266,R$3&gt;=Assumptions!$B$14,Revenue_Build!R10&gt;=Assumptions!$F$266*Assumptions!$B$51)),Assumptions!$D$266,0)</f>
        <v/>
      </c>
      <c r="S51" s="41">
        <f>IF(OR(R51&gt;0,AND(S$3&gt;=Assumptions!$E$266,S$3&gt;=Assumptions!$B$14,Revenue_Build!S10&gt;=Assumptions!$F$266*Assumptions!$B$51)),Assumptions!$D$266,0)</f>
        <v/>
      </c>
      <c r="T51" s="41">
        <f>IF(OR(S51&gt;0,AND(T$3&gt;=Assumptions!$E$266,T$3&gt;=Assumptions!$B$14,Revenue_Build!T10&gt;=Assumptions!$F$266*Assumptions!$B$51)),Assumptions!$D$266,0)</f>
        <v/>
      </c>
      <c r="U51" s="41">
        <f>IF(OR(T51&gt;0,AND(U$3&gt;=Assumptions!$E$266,U$3&gt;=Assumptions!$B$14,Revenue_Build!U10&gt;=Assumptions!$F$266*Assumptions!$B$51)),Assumptions!$D$266,0)</f>
        <v/>
      </c>
      <c r="V51" s="41">
        <f>IF(OR(U51&gt;0,AND(V$3&gt;=Assumptions!$E$266,V$3&gt;=Assumptions!$B$14,Revenue_Build!V10&gt;=Assumptions!$F$266*Assumptions!$B$51)),Assumptions!$D$266,0)</f>
        <v/>
      </c>
      <c r="W51" s="41">
        <f>IF(OR(V51&gt;0,AND(W$3&gt;=Assumptions!$E$266,W$3&gt;=Assumptions!$B$14,Revenue_Build!W10&gt;=Assumptions!$F$266*Assumptions!$B$51)),Assumptions!$D$266,0)</f>
        <v/>
      </c>
      <c r="X51" s="41">
        <f>IF(OR(W51&gt;0,AND(X$3&gt;=Assumptions!$E$266,X$3&gt;=Assumptions!$B$14,Revenue_Build!X10&gt;=Assumptions!$F$266*Assumptions!$B$51)),Assumptions!$D$266,0)</f>
        <v/>
      </c>
      <c r="Y51" s="41">
        <f>IF(OR(X51&gt;0,AND(Y$3&gt;=Assumptions!$E$266,Y$3&gt;=Assumptions!$B$14,Revenue_Build!Y10&gt;=Assumptions!$F$266*Assumptions!$B$51)),Assumptions!$D$266,0)</f>
        <v/>
      </c>
      <c r="Z51" s="41">
        <f>IF(OR(Y51&gt;0,AND(Z$3&gt;=Assumptions!$E$266,Z$3&gt;=Assumptions!$B$14,Revenue_Build!Z10&gt;=Assumptions!$F$266*Assumptions!$B$51)),Assumptions!$D$266,0)</f>
        <v/>
      </c>
      <c r="AA51" s="41">
        <f>IF(OR(Z51&gt;0,AND(AA$3&gt;=Assumptions!$E$266,AA$3&gt;=Assumptions!$B$14,Revenue_Build!AA10&gt;=Assumptions!$F$266*Assumptions!$B$51)),Assumptions!$D$266,0)</f>
        <v/>
      </c>
      <c r="AB51" s="41">
        <f>IF(OR(AA51&gt;0,AND(AB$3&gt;=Assumptions!$E$266,AB$3&gt;=Assumptions!$B$14,Revenue_Build!AB10&gt;=Assumptions!$F$266*Assumptions!$B$51)),Assumptions!$D$266,0)</f>
        <v/>
      </c>
      <c r="AC51" s="41">
        <f>IF(OR(AB51&gt;0,AND(AC$3&gt;=Assumptions!$E$266,AC$3&gt;=Assumptions!$B$14,Revenue_Build!AC10&gt;=Assumptions!$F$266*Assumptions!$B$51)),Assumptions!$D$266,0)</f>
        <v/>
      </c>
      <c r="AD51" s="41">
        <f>IF(OR(AC51&gt;0,AND(AD$3&gt;=Assumptions!$E$266,AD$3&gt;=Assumptions!$B$14,Revenue_Build!AD10&gt;=Assumptions!$F$266*Assumptions!$B$51)),Assumptions!$D$266,0)</f>
        <v/>
      </c>
      <c r="AE51" s="41">
        <f>IF(OR(AD51&gt;0,AND(AE$3&gt;=Assumptions!$E$266,AE$3&gt;=Assumptions!$B$14,Revenue_Build!AE10&gt;=Assumptions!$F$266*Assumptions!$B$51)),Assumptions!$D$266,0)</f>
        <v/>
      </c>
      <c r="AF51" s="41">
        <f>IF(OR(AE51&gt;0,AND(AF$3&gt;=Assumptions!$E$266,AF$3&gt;=Assumptions!$B$14,Revenue_Build!AF10&gt;=Assumptions!$F$266*Assumptions!$B$51)),Assumptions!$D$266,0)</f>
        <v/>
      </c>
      <c r="AG51" s="41">
        <f>IF(OR(AF51&gt;0,AND(AG$3&gt;=Assumptions!$E$266,AG$3&gt;=Assumptions!$B$14,Revenue_Build!AG10&gt;=Assumptions!$F$266*Assumptions!$B$51)),Assumptions!$D$266,0)</f>
        <v/>
      </c>
      <c r="AH51" s="41">
        <f>IF(OR(AG51&gt;0,AND(AH$3&gt;=Assumptions!$E$266,AH$3&gt;=Assumptions!$B$14,Revenue_Build!AH10&gt;=Assumptions!$F$266*Assumptions!$B$51)),Assumptions!$D$266,0)</f>
        <v/>
      </c>
      <c r="AI51" s="41">
        <f>IF(OR(AH51&gt;0,AND(AI$3&gt;=Assumptions!$E$266,AI$3&gt;=Assumptions!$B$14,Revenue_Build!AI10&gt;=Assumptions!$F$266*Assumptions!$B$51)),Assumptions!$D$266,0)</f>
        <v/>
      </c>
      <c r="AJ51" s="41">
        <f>IF(OR(AI51&gt;0,AND(AJ$3&gt;=Assumptions!$E$266,AJ$3&gt;=Assumptions!$B$14,Revenue_Build!AJ10&gt;=Assumptions!$F$266*Assumptions!$B$51)),Assumptions!$D$266,0)</f>
        <v/>
      </c>
      <c r="AK51" s="41">
        <f>IF(OR(AJ51&gt;0,AND(AK$3&gt;=Assumptions!$E$266,AK$3&gt;=Assumptions!$B$14,Revenue_Build!AK10&gt;=Assumptions!$F$266*Assumptions!$B$51)),Assumptions!$D$266,0)</f>
        <v/>
      </c>
      <c r="AL51" s="41">
        <f>IF(OR(AK51&gt;0,AND(AL$3&gt;=Assumptions!$E$266,AL$3&gt;=Assumptions!$B$14,Revenue_Build!AL10&gt;=Assumptions!$F$266*Assumptions!$B$51)),Assumptions!$D$266,0)</f>
        <v/>
      </c>
      <c r="AM51" s="41">
        <f>IF(OR(AL51&gt;0,AND(AM$3&gt;=Assumptions!$E$266,AM$3&gt;=Assumptions!$B$14,Revenue_Build!AM10&gt;=Assumptions!$F$266*Assumptions!$B$51)),Assumptions!$D$266,0)</f>
        <v/>
      </c>
      <c r="AN51" s="41">
        <f>IF(OR(AM51&gt;0,AND(AN$3&gt;=Assumptions!$E$266,AN$3&gt;=Assumptions!$B$14,Revenue_Build!AN10&gt;=Assumptions!$F$266*Assumptions!$B$51)),Assumptions!$D$266,0)</f>
        <v/>
      </c>
      <c r="AO51" s="41">
        <f>IF(OR(AN51&gt;0,AND(AO$3&gt;=Assumptions!$E$266,AO$3&gt;=Assumptions!$B$14,Revenue_Build!AO10&gt;=Assumptions!$F$266*Assumptions!$B$51)),Assumptions!$D$266,0)</f>
        <v/>
      </c>
      <c r="AP51" s="41">
        <f>IF(OR(AO51&gt;0,AND(AP$3&gt;=Assumptions!$E$266,AP$3&gt;=Assumptions!$B$14,Revenue_Build!AP10&gt;=Assumptions!$F$266*Assumptions!$B$51)),Assumptions!$D$266,0)</f>
        <v/>
      </c>
      <c r="AQ51" s="41">
        <f>IF(OR(AP51&gt;0,AND(AQ$3&gt;=Assumptions!$E$266,AQ$3&gt;=Assumptions!$B$14,Revenue_Build!AQ10&gt;=Assumptions!$F$266*Assumptions!$B$51)),Assumptions!$D$266,0)</f>
        <v/>
      </c>
      <c r="AR51" s="41">
        <f>IF(OR(AQ51&gt;0,AND(AR$3&gt;=Assumptions!$E$266,AR$3&gt;=Assumptions!$B$14,Revenue_Build!AR10&gt;=Assumptions!$F$266*Assumptions!$B$51)),Assumptions!$D$266,0)</f>
        <v/>
      </c>
      <c r="AS51" s="41">
        <f>IF(OR(AR51&gt;0,AND(AS$3&gt;=Assumptions!$E$266,AS$3&gt;=Assumptions!$B$14,Revenue_Build!AS10&gt;=Assumptions!$F$266*Assumptions!$B$51)),Assumptions!$D$266,0)</f>
        <v/>
      </c>
      <c r="AT51" s="41">
        <f>IF(OR(AS51&gt;0,AND(AT$3&gt;=Assumptions!$E$266,AT$3&gt;=Assumptions!$B$14,Revenue_Build!AT10&gt;=Assumptions!$F$266*Assumptions!$B$51)),Assumptions!$D$266,0)</f>
        <v/>
      </c>
      <c r="AU51" s="41">
        <f>IF(OR(AT51&gt;0,AND(AU$3&gt;=Assumptions!$E$266,AU$3&gt;=Assumptions!$B$14,Revenue_Build!AU10&gt;=Assumptions!$F$266*Assumptions!$B$51)),Assumptions!$D$266,0)</f>
        <v/>
      </c>
      <c r="AV51" s="41">
        <f>IF(OR(AU51&gt;0,AND(AV$3&gt;=Assumptions!$E$266,AV$3&gt;=Assumptions!$B$14,Revenue_Build!AV10&gt;=Assumptions!$F$266*Assumptions!$B$51)),Assumptions!$D$266,0)</f>
        <v/>
      </c>
      <c r="AW51" s="41">
        <f>IF(OR(AV51&gt;0,AND(AW$3&gt;=Assumptions!$E$266,AW$3&gt;=Assumptions!$B$14,Revenue_Build!AW10&gt;=Assumptions!$F$266*Assumptions!$B$51)),Assumptions!$D$266,0)</f>
        <v/>
      </c>
      <c r="AX51" s="41">
        <f>IF(OR(AW51&gt;0,AND(AX$3&gt;=Assumptions!$E$266,AX$3&gt;=Assumptions!$B$14,Revenue_Build!AX10&gt;=Assumptions!$F$266*Assumptions!$B$51)),Assumptions!$D$266,0)</f>
        <v/>
      </c>
      <c r="AY51" s="41">
        <f>IF(OR(AX51&gt;0,AND(AY$3&gt;=Assumptions!$E$266,AY$3&gt;=Assumptions!$B$14,Revenue_Build!AY10&gt;=Assumptions!$F$266*Assumptions!$B$51)),Assumptions!$D$266,0)</f>
        <v/>
      </c>
      <c r="AZ51" s="41">
        <f>IF(OR(AY51&gt;0,AND(AZ$3&gt;=Assumptions!$E$266,AZ$3&gt;=Assumptions!$B$14,Revenue_Build!AZ10&gt;=Assumptions!$F$266*Assumptions!$B$51)),Assumptions!$D$266,0)</f>
        <v/>
      </c>
      <c r="BA51" s="41">
        <f>IF(OR(AZ51&gt;0,AND(BA$3&gt;=Assumptions!$E$266,BA$3&gt;=Assumptions!$B$14,Revenue_Build!BA10&gt;=Assumptions!$F$266*Assumptions!$B$51)),Assumptions!$D$266,0)</f>
        <v/>
      </c>
      <c r="BB51" s="41">
        <f>IF(OR(BA51&gt;0,AND(BB$3&gt;=Assumptions!$E$266,BB$3&gt;=Assumptions!$B$14,Revenue_Build!BB10&gt;=Assumptions!$F$266*Assumptions!$B$51)),Assumptions!$D$266,0)</f>
        <v/>
      </c>
      <c r="BC51" s="41">
        <f>IF(OR(BB51&gt;0,AND(BC$3&gt;=Assumptions!$E$266,BC$3&gt;=Assumptions!$B$14,Revenue_Build!BC10&gt;=Assumptions!$F$266*Assumptions!$B$51)),Assumptions!$D$266,0)</f>
        <v/>
      </c>
      <c r="BD51" s="41">
        <f>IF(OR(BC51&gt;0,AND(BD$3&gt;=Assumptions!$E$266,BD$3&gt;=Assumptions!$B$14,Revenue_Build!BD10&gt;=Assumptions!$F$266*Assumptions!$B$51)),Assumptions!$D$266,0)</f>
        <v/>
      </c>
      <c r="BE51" s="41">
        <f>IF(OR(BD51&gt;0,AND(BE$3&gt;=Assumptions!$E$266,BE$3&gt;=Assumptions!$B$14,Revenue_Build!BE10&gt;=Assumptions!$F$266*Assumptions!$B$51)),Assumptions!$D$266,0)</f>
        <v/>
      </c>
      <c r="BF51" s="41">
        <f>IF(OR(BE51&gt;0,AND(BF$3&gt;=Assumptions!$E$266,BF$3&gt;=Assumptions!$B$14,Revenue_Build!BF10&gt;=Assumptions!$F$266*Assumptions!$B$51)),Assumptions!$D$266,0)</f>
        <v/>
      </c>
      <c r="BG51" s="41">
        <f>IF(OR(BF51&gt;0,AND(BG$3&gt;=Assumptions!$E$266,BG$3&gt;=Assumptions!$B$14,Revenue_Build!BG10&gt;=Assumptions!$F$266*Assumptions!$B$51)),Assumptions!$D$266,0)</f>
        <v/>
      </c>
      <c r="BH51" s="41">
        <f>IF(OR(BG51&gt;0,AND(BH$3&gt;=Assumptions!$E$266,BH$3&gt;=Assumptions!$B$14,Revenue_Build!BH10&gt;=Assumptions!$F$266*Assumptions!$B$51)),Assumptions!$D$266,0)</f>
        <v/>
      </c>
      <c r="BI51" s="41">
        <f>IF(OR(BH51&gt;0,AND(BI$3&gt;=Assumptions!$E$266,BI$3&gt;=Assumptions!$B$14,Revenue_Build!BI10&gt;=Assumptions!$F$266*Assumptions!$B$51)),Assumptions!$D$266,0)</f>
        <v/>
      </c>
      <c r="BJ51" s="41">
        <f>IF(OR(BI51&gt;0,AND(BJ$3&gt;=Assumptions!$E$266,BJ$3&gt;=Assumptions!$B$14,Revenue_Build!BJ10&gt;=Assumptions!$F$266*Assumptions!$B$51)),Assumptions!$D$266,0)</f>
        <v/>
      </c>
    </row>
    <row r="52">
      <c r="A52" s="4" t="inlineStr">
        <is>
          <t>People &amp; HR partner</t>
        </is>
      </c>
      <c r="B52" s="17" t="inlineStr">
        <is>
          <t>FTE</t>
        </is>
      </c>
      <c r="C52" s="41">
        <f>IF(AND(C$3&gt;=Assumptions!$E$267,C$3&gt;=Assumptions!$B$14,Revenue_Build!C10&gt;=Assumptions!$F$267*Assumptions!$B$51),Assumptions!$D$267,0)</f>
        <v/>
      </c>
      <c r="D52" s="41">
        <f>IF(OR(C52&gt;0,AND(D$3&gt;=Assumptions!$E$267,D$3&gt;=Assumptions!$B$14,Revenue_Build!D10&gt;=Assumptions!$F$267*Assumptions!$B$51)),Assumptions!$D$267,0)</f>
        <v/>
      </c>
      <c r="E52" s="41">
        <f>IF(OR(D52&gt;0,AND(E$3&gt;=Assumptions!$E$267,E$3&gt;=Assumptions!$B$14,Revenue_Build!E10&gt;=Assumptions!$F$267*Assumptions!$B$51)),Assumptions!$D$267,0)</f>
        <v/>
      </c>
      <c r="F52" s="41">
        <f>IF(OR(E52&gt;0,AND(F$3&gt;=Assumptions!$E$267,F$3&gt;=Assumptions!$B$14,Revenue_Build!F10&gt;=Assumptions!$F$267*Assumptions!$B$51)),Assumptions!$D$267,0)</f>
        <v/>
      </c>
      <c r="G52" s="41">
        <f>IF(OR(F52&gt;0,AND(G$3&gt;=Assumptions!$E$267,G$3&gt;=Assumptions!$B$14,Revenue_Build!G10&gt;=Assumptions!$F$267*Assumptions!$B$51)),Assumptions!$D$267,0)</f>
        <v/>
      </c>
      <c r="H52" s="41">
        <f>IF(OR(G52&gt;0,AND(H$3&gt;=Assumptions!$E$267,H$3&gt;=Assumptions!$B$14,Revenue_Build!H10&gt;=Assumptions!$F$267*Assumptions!$B$51)),Assumptions!$D$267,0)</f>
        <v/>
      </c>
      <c r="I52" s="41">
        <f>IF(OR(H52&gt;0,AND(I$3&gt;=Assumptions!$E$267,I$3&gt;=Assumptions!$B$14,Revenue_Build!I10&gt;=Assumptions!$F$267*Assumptions!$B$51)),Assumptions!$D$267,0)</f>
        <v/>
      </c>
      <c r="J52" s="41">
        <f>IF(OR(I52&gt;0,AND(J$3&gt;=Assumptions!$E$267,J$3&gt;=Assumptions!$B$14,Revenue_Build!J10&gt;=Assumptions!$F$267*Assumptions!$B$51)),Assumptions!$D$267,0)</f>
        <v/>
      </c>
      <c r="K52" s="41">
        <f>IF(OR(J52&gt;0,AND(K$3&gt;=Assumptions!$E$267,K$3&gt;=Assumptions!$B$14,Revenue_Build!K10&gt;=Assumptions!$F$267*Assumptions!$B$51)),Assumptions!$D$267,0)</f>
        <v/>
      </c>
      <c r="L52" s="41">
        <f>IF(OR(K52&gt;0,AND(L$3&gt;=Assumptions!$E$267,L$3&gt;=Assumptions!$B$14,Revenue_Build!L10&gt;=Assumptions!$F$267*Assumptions!$B$51)),Assumptions!$D$267,0)</f>
        <v/>
      </c>
      <c r="M52" s="41">
        <f>IF(OR(L52&gt;0,AND(M$3&gt;=Assumptions!$E$267,M$3&gt;=Assumptions!$B$14,Revenue_Build!M10&gt;=Assumptions!$F$267*Assumptions!$B$51)),Assumptions!$D$267,0)</f>
        <v/>
      </c>
      <c r="N52" s="41">
        <f>IF(OR(M52&gt;0,AND(N$3&gt;=Assumptions!$E$267,N$3&gt;=Assumptions!$B$14,Revenue_Build!N10&gt;=Assumptions!$F$267*Assumptions!$B$51)),Assumptions!$D$267,0)</f>
        <v/>
      </c>
      <c r="O52" s="41">
        <f>IF(OR(N52&gt;0,AND(O$3&gt;=Assumptions!$E$267,O$3&gt;=Assumptions!$B$14,Revenue_Build!O10&gt;=Assumptions!$F$267*Assumptions!$B$51)),Assumptions!$D$267,0)</f>
        <v/>
      </c>
      <c r="P52" s="41">
        <f>IF(OR(O52&gt;0,AND(P$3&gt;=Assumptions!$E$267,P$3&gt;=Assumptions!$B$14,Revenue_Build!P10&gt;=Assumptions!$F$267*Assumptions!$B$51)),Assumptions!$D$267,0)</f>
        <v/>
      </c>
      <c r="Q52" s="41">
        <f>IF(OR(P52&gt;0,AND(Q$3&gt;=Assumptions!$E$267,Q$3&gt;=Assumptions!$B$14,Revenue_Build!Q10&gt;=Assumptions!$F$267*Assumptions!$B$51)),Assumptions!$D$267,0)</f>
        <v/>
      </c>
      <c r="R52" s="41">
        <f>IF(OR(Q52&gt;0,AND(R$3&gt;=Assumptions!$E$267,R$3&gt;=Assumptions!$B$14,Revenue_Build!R10&gt;=Assumptions!$F$267*Assumptions!$B$51)),Assumptions!$D$267,0)</f>
        <v/>
      </c>
      <c r="S52" s="41">
        <f>IF(OR(R52&gt;0,AND(S$3&gt;=Assumptions!$E$267,S$3&gt;=Assumptions!$B$14,Revenue_Build!S10&gt;=Assumptions!$F$267*Assumptions!$B$51)),Assumptions!$D$267,0)</f>
        <v/>
      </c>
      <c r="T52" s="41">
        <f>IF(OR(S52&gt;0,AND(T$3&gt;=Assumptions!$E$267,T$3&gt;=Assumptions!$B$14,Revenue_Build!T10&gt;=Assumptions!$F$267*Assumptions!$B$51)),Assumptions!$D$267,0)</f>
        <v/>
      </c>
      <c r="U52" s="41">
        <f>IF(OR(T52&gt;0,AND(U$3&gt;=Assumptions!$E$267,U$3&gt;=Assumptions!$B$14,Revenue_Build!U10&gt;=Assumptions!$F$267*Assumptions!$B$51)),Assumptions!$D$267,0)</f>
        <v/>
      </c>
      <c r="V52" s="41">
        <f>IF(OR(U52&gt;0,AND(V$3&gt;=Assumptions!$E$267,V$3&gt;=Assumptions!$B$14,Revenue_Build!V10&gt;=Assumptions!$F$267*Assumptions!$B$51)),Assumptions!$D$267,0)</f>
        <v/>
      </c>
      <c r="W52" s="41">
        <f>IF(OR(V52&gt;0,AND(W$3&gt;=Assumptions!$E$267,W$3&gt;=Assumptions!$B$14,Revenue_Build!W10&gt;=Assumptions!$F$267*Assumptions!$B$51)),Assumptions!$D$267,0)</f>
        <v/>
      </c>
      <c r="X52" s="41">
        <f>IF(OR(W52&gt;0,AND(X$3&gt;=Assumptions!$E$267,X$3&gt;=Assumptions!$B$14,Revenue_Build!X10&gt;=Assumptions!$F$267*Assumptions!$B$51)),Assumptions!$D$267,0)</f>
        <v/>
      </c>
      <c r="Y52" s="41">
        <f>IF(OR(X52&gt;0,AND(Y$3&gt;=Assumptions!$E$267,Y$3&gt;=Assumptions!$B$14,Revenue_Build!Y10&gt;=Assumptions!$F$267*Assumptions!$B$51)),Assumptions!$D$267,0)</f>
        <v/>
      </c>
      <c r="Z52" s="41">
        <f>IF(OR(Y52&gt;0,AND(Z$3&gt;=Assumptions!$E$267,Z$3&gt;=Assumptions!$B$14,Revenue_Build!Z10&gt;=Assumptions!$F$267*Assumptions!$B$51)),Assumptions!$D$267,0)</f>
        <v/>
      </c>
      <c r="AA52" s="41">
        <f>IF(OR(Z52&gt;0,AND(AA$3&gt;=Assumptions!$E$267,AA$3&gt;=Assumptions!$B$14,Revenue_Build!AA10&gt;=Assumptions!$F$267*Assumptions!$B$51)),Assumptions!$D$267,0)</f>
        <v/>
      </c>
      <c r="AB52" s="41">
        <f>IF(OR(AA52&gt;0,AND(AB$3&gt;=Assumptions!$E$267,AB$3&gt;=Assumptions!$B$14,Revenue_Build!AB10&gt;=Assumptions!$F$267*Assumptions!$B$51)),Assumptions!$D$267,0)</f>
        <v/>
      </c>
      <c r="AC52" s="41">
        <f>IF(OR(AB52&gt;0,AND(AC$3&gt;=Assumptions!$E$267,AC$3&gt;=Assumptions!$B$14,Revenue_Build!AC10&gt;=Assumptions!$F$267*Assumptions!$B$51)),Assumptions!$D$267,0)</f>
        <v/>
      </c>
      <c r="AD52" s="41">
        <f>IF(OR(AC52&gt;0,AND(AD$3&gt;=Assumptions!$E$267,AD$3&gt;=Assumptions!$B$14,Revenue_Build!AD10&gt;=Assumptions!$F$267*Assumptions!$B$51)),Assumptions!$D$267,0)</f>
        <v/>
      </c>
      <c r="AE52" s="41">
        <f>IF(OR(AD52&gt;0,AND(AE$3&gt;=Assumptions!$E$267,AE$3&gt;=Assumptions!$B$14,Revenue_Build!AE10&gt;=Assumptions!$F$267*Assumptions!$B$51)),Assumptions!$D$267,0)</f>
        <v/>
      </c>
      <c r="AF52" s="41">
        <f>IF(OR(AE52&gt;0,AND(AF$3&gt;=Assumptions!$E$267,AF$3&gt;=Assumptions!$B$14,Revenue_Build!AF10&gt;=Assumptions!$F$267*Assumptions!$B$51)),Assumptions!$D$267,0)</f>
        <v/>
      </c>
      <c r="AG52" s="41">
        <f>IF(OR(AF52&gt;0,AND(AG$3&gt;=Assumptions!$E$267,AG$3&gt;=Assumptions!$B$14,Revenue_Build!AG10&gt;=Assumptions!$F$267*Assumptions!$B$51)),Assumptions!$D$267,0)</f>
        <v/>
      </c>
      <c r="AH52" s="41">
        <f>IF(OR(AG52&gt;0,AND(AH$3&gt;=Assumptions!$E$267,AH$3&gt;=Assumptions!$B$14,Revenue_Build!AH10&gt;=Assumptions!$F$267*Assumptions!$B$51)),Assumptions!$D$267,0)</f>
        <v/>
      </c>
      <c r="AI52" s="41">
        <f>IF(OR(AH52&gt;0,AND(AI$3&gt;=Assumptions!$E$267,AI$3&gt;=Assumptions!$B$14,Revenue_Build!AI10&gt;=Assumptions!$F$267*Assumptions!$B$51)),Assumptions!$D$267,0)</f>
        <v/>
      </c>
      <c r="AJ52" s="41">
        <f>IF(OR(AI52&gt;0,AND(AJ$3&gt;=Assumptions!$E$267,AJ$3&gt;=Assumptions!$B$14,Revenue_Build!AJ10&gt;=Assumptions!$F$267*Assumptions!$B$51)),Assumptions!$D$267,0)</f>
        <v/>
      </c>
      <c r="AK52" s="41">
        <f>IF(OR(AJ52&gt;0,AND(AK$3&gt;=Assumptions!$E$267,AK$3&gt;=Assumptions!$B$14,Revenue_Build!AK10&gt;=Assumptions!$F$267*Assumptions!$B$51)),Assumptions!$D$267,0)</f>
        <v/>
      </c>
      <c r="AL52" s="41">
        <f>IF(OR(AK52&gt;0,AND(AL$3&gt;=Assumptions!$E$267,AL$3&gt;=Assumptions!$B$14,Revenue_Build!AL10&gt;=Assumptions!$F$267*Assumptions!$B$51)),Assumptions!$D$267,0)</f>
        <v/>
      </c>
      <c r="AM52" s="41">
        <f>IF(OR(AL52&gt;0,AND(AM$3&gt;=Assumptions!$E$267,AM$3&gt;=Assumptions!$B$14,Revenue_Build!AM10&gt;=Assumptions!$F$267*Assumptions!$B$51)),Assumptions!$D$267,0)</f>
        <v/>
      </c>
      <c r="AN52" s="41">
        <f>IF(OR(AM52&gt;0,AND(AN$3&gt;=Assumptions!$E$267,AN$3&gt;=Assumptions!$B$14,Revenue_Build!AN10&gt;=Assumptions!$F$267*Assumptions!$B$51)),Assumptions!$D$267,0)</f>
        <v/>
      </c>
      <c r="AO52" s="41">
        <f>IF(OR(AN52&gt;0,AND(AO$3&gt;=Assumptions!$E$267,AO$3&gt;=Assumptions!$B$14,Revenue_Build!AO10&gt;=Assumptions!$F$267*Assumptions!$B$51)),Assumptions!$D$267,0)</f>
        <v/>
      </c>
      <c r="AP52" s="41">
        <f>IF(OR(AO52&gt;0,AND(AP$3&gt;=Assumptions!$E$267,AP$3&gt;=Assumptions!$B$14,Revenue_Build!AP10&gt;=Assumptions!$F$267*Assumptions!$B$51)),Assumptions!$D$267,0)</f>
        <v/>
      </c>
      <c r="AQ52" s="41">
        <f>IF(OR(AP52&gt;0,AND(AQ$3&gt;=Assumptions!$E$267,AQ$3&gt;=Assumptions!$B$14,Revenue_Build!AQ10&gt;=Assumptions!$F$267*Assumptions!$B$51)),Assumptions!$D$267,0)</f>
        <v/>
      </c>
      <c r="AR52" s="41">
        <f>IF(OR(AQ52&gt;0,AND(AR$3&gt;=Assumptions!$E$267,AR$3&gt;=Assumptions!$B$14,Revenue_Build!AR10&gt;=Assumptions!$F$267*Assumptions!$B$51)),Assumptions!$D$267,0)</f>
        <v/>
      </c>
      <c r="AS52" s="41">
        <f>IF(OR(AR52&gt;0,AND(AS$3&gt;=Assumptions!$E$267,AS$3&gt;=Assumptions!$B$14,Revenue_Build!AS10&gt;=Assumptions!$F$267*Assumptions!$B$51)),Assumptions!$D$267,0)</f>
        <v/>
      </c>
      <c r="AT52" s="41">
        <f>IF(OR(AS52&gt;0,AND(AT$3&gt;=Assumptions!$E$267,AT$3&gt;=Assumptions!$B$14,Revenue_Build!AT10&gt;=Assumptions!$F$267*Assumptions!$B$51)),Assumptions!$D$267,0)</f>
        <v/>
      </c>
      <c r="AU52" s="41">
        <f>IF(OR(AT52&gt;0,AND(AU$3&gt;=Assumptions!$E$267,AU$3&gt;=Assumptions!$B$14,Revenue_Build!AU10&gt;=Assumptions!$F$267*Assumptions!$B$51)),Assumptions!$D$267,0)</f>
        <v/>
      </c>
      <c r="AV52" s="41">
        <f>IF(OR(AU52&gt;0,AND(AV$3&gt;=Assumptions!$E$267,AV$3&gt;=Assumptions!$B$14,Revenue_Build!AV10&gt;=Assumptions!$F$267*Assumptions!$B$51)),Assumptions!$D$267,0)</f>
        <v/>
      </c>
      <c r="AW52" s="41">
        <f>IF(OR(AV52&gt;0,AND(AW$3&gt;=Assumptions!$E$267,AW$3&gt;=Assumptions!$B$14,Revenue_Build!AW10&gt;=Assumptions!$F$267*Assumptions!$B$51)),Assumptions!$D$267,0)</f>
        <v/>
      </c>
      <c r="AX52" s="41">
        <f>IF(OR(AW52&gt;0,AND(AX$3&gt;=Assumptions!$E$267,AX$3&gt;=Assumptions!$B$14,Revenue_Build!AX10&gt;=Assumptions!$F$267*Assumptions!$B$51)),Assumptions!$D$267,0)</f>
        <v/>
      </c>
      <c r="AY52" s="41">
        <f>IF(OR(AX52&gt;0,AND(AY$3&gt;=Assumptions!$E$267,AY$3&gt;=Assumptions!$B$14,Revenue_Build!AY10&gt;=Assumptions!$F$267*Assumptions!$B$51)),Assumptions!$D$267,0)</f>
        <v/>
      </c>
      <c r="AZ52" s="41">
        <f>IF(OR(AY52&gt;0,AND(AZ$3&gt;=Assumptions!$E$267,AZ$3&gt;=Assumptions!$B$14,Revenue_Build!AZ10&gt;=Assumptions!$F$267*Assumptions!$B$51)),Assumptions!$D$267,0)</f>
        <v/>
      </c>
      <c r="BA52" s="41">
        <f>IF(OR(AZ52&gt;0,AND(BA$3&gt;=Assumptions!$E$267,BA$3&gt;=Assumptions!$B$14,Revenue_Build!BA10&gt;=Assumptions!$F$267*Assumptions!$B$51)),Assumptions!$D$267,0)</f>
        <v/>
      </c>
      <c r="BB52" s="41">
        <f>IF(OR(BA52&gt;0,AND(BB$3&gt;=Assumptions!$E$267,BB$3&gt;=Assumptions!$B$14,Revenue_Build!BB10&gt;=Assumptions!$F$267*Assumptions!$B$51)),Assumptions!$D$267,0)</f>
        <v/>
      </c>
      <c r="BC52" s="41">
        <f>IF(OR(BB52&gt;0,AND(BC$3&gt;=Assumptions!$E$267,BC$3&gt;=Assumptions!$B$14,Revenue_Build!BC10&gt;=Assumptions!$F$267*Assumptions!$B$51)),Assumptions!$D$267,0)</f>
        <v/>
      </c>
      <c r="BD52" s="41">
        <f>IF(OR(BC52&gt;0,AND(BD$3&gt;=Assumptions!$E$267,BD$3&gt;=Assumptions!$B$14,Revenue_Build!BD10&gt;=Assumptions!$F$267*Assumptions!$B$51)),Assumptions!$D$267,0)</f>
        <v/>
      </c>
      <c r="BE52" s="41">
        <f>IF(OR(BD52&gt;0,AND(BE$3&gt;=Assumptions!$E$267,BE$3&gt;=Assumptions!$B$14,Revenue_Build!BE10&gt;=Assumptions!$F$267*Assumptions!$B$51)),Assumptions!$D$267,0)</f>
        <v/>
      </c>
      <c r="BF52" s="41">
        <f>IF(OR(BE52&gt;0,AND(BF$3&gt;=Assumptions!$E$267,BF$3&gt;=Assumptions!$B$14,Revenue_Build!BF10&gt;=Assumptions!$F$267*Assumptions!$B$51)),Assumptions!$D$267,0)</f>
        <v/>
      </c>
      <c r="BG52" s="41">
        <f>IF(OR(BF52&gt;0,AND(BG$3&gt;=Assumptions!$E$267,BG$3&gt;=Assumptions!$B$14,Revenue_Build!BG10&gt;=Assumptions!$F$267*Assumptions!$B$51)),Assumptions!$D$267,0)</f>
        <v/>
      </c>
      <c r="BH52" s="41">
        <f>IF(OR(BG52&gt;0,AND(BH$3&gt;=Assumptions!$E$267,BH$3&gt;=Assumptions!$B$14,Revenue_Build!BH10&gt;=Assumptions!$F$267*Assumptions!$B$51)),Assumptions!$D$267,0)</f>
        <v/>
      </c>
      <c r="BI52" s="41">
        <f>IF(OR(BH52&gt;0,AND(BI$3&gt;=Assumptions!$E$267,BI$3&gt;=Assumptions!$B$14,Revenue_Build!BI10&gt;=Assumptions!$F$267*Assumptions!$B$51)),Assumptions!$D$267,0)</f>
        <v/>
      </c>
      <c r="BJ52" s="41">
        <f>IF(OR(BI52&gt;0,AND(BJ$3&gt;=Assumptions!$E$267,BJ$3&gt;=Assumptions!$B$14,Revenue_Build!BJ10&gt;=Assumptions!$F$267*Assumptions!$B$51)),Assumptions!$D$267,0)</f>
        <v/>
      </c>
    </row>
    <row r="53">
      <c r="A53" s="4" t="inlineStr">
        <is>
          <t>Finance analyst</t>
        </is>
      </c>
      <c r="B53" s="17" t="inlineStr">
        <is>
          <t>FTE</t>
        </is>
      </c>
      <c r="C53" s="41">
        <f>IF(AND(C$3&gt;=Assumptions!$E$268,C$3&gt;=Assumptions!$B$14,Revenue_Build!C10&gt;=Assumptions!$F$268*Assumptions!$B$51),Assumptions!$D$268,0)</f>
        <v/>
      </c>
      <c r="D53" s="41">
        <f>IF(OR(C53&gt;0,AND(D$3&gt;=Assumptions!$E$268,D$3&gt;=Assumptions!$B$14,Revenue_Build!D10&gt;=Assumptions!$F$268*Assumptions!$B$51)),Assumptions!$D$268,0)</f>
        <v/>
      </c>
      <c r="E53" s="41">
        <f>IF(OR(D53&gt;0,AND(E$3&gt;=Assumptions!$E$268,E$3&gt;=Assumptions!$B$14,Revenue_Build!E10&gt;=Assumptions!$F$268*Assumptions!$B$51)),Assumptions!$D$268,0)</f>
        <v/>
      </c>
      <c r="F53" s="41">
        <f>IF(OR(E53&gt;0,AND(F$3&gt;=Assumptions!$E$268,F$3&gt;=Assumptions!$B$14,Revenue_Build!F10&gt;=Assumptions!$F$268*Assumptions!$B$51)),Assumptions!$D$268,0)</f>
        <v/>
      </c>
      <c r="G53" s="41">
        <f>IF(OR(F53&gt;0,AND(G$3&gt;=Assumptions!$E$268,G$3&gt;=Assumptions!$B$14,Revenue_Build!G10&gt;=Assumptions!$F$268*Assumptions!$B$51)),Assumptions!$D$268,0)</f>
        <v/>
      </c>
      <c r="H53" s="41">
        <f>IF(OR(G53&gt;0,AND(H$3&gt;=Assumptions!$E$268,H$3&gt;=Assumptions!$B$14,Revenue_Build!H10&gt;=Assumptions!$F$268*Assumptions!$B$51)),Assumptions!$D$268,0)</f>
        <v/>
      </c>
      <c r="I53" s="41">
        <f>IF(OR(H53&gt;0,AND(I$3&gt;=Assumptions!$E$268,I$3&gt;=Assumptions!$B$14,Revenue_Build!I10&gt;=Assumptions!$F$268*Assumptions!$B$51)),Assumptions!$D$268,0)</f>
        <v/>
      </c>
      <c r="J53" s="41">
        <f>IF(OR(I53&gt;0,AND(J$3&gt;=Assumptions!$E$268,J$3&gt;=Assumptions!$B$14,Revenue_Build!J10&gt;=Assumptions!$F$268*Assumptions!$B$51)),Assumptions!$D$268,0)</f>
        <v/>
      </c>
      <c r="K53" s="41">
        <f>IF(OR(J53&gt;0,AND(K$3&gt;=Assumptions!$E$268,K$3&gt;=Assumptions!$B$14,Revenue_Build!K10&gt;=Assumptions!$F$268*Assumptions!$B$51)),Assumptions!$D$268,0)</f>
        <v/>
      </c>
      <c r="L53" s="41">
        <f>IF(OR(K53&gt;0,AND(L$3&gt;=Assumptions!$E$268,L$3&gt;=Assumptions!$B$14,Revenue_Build!L10&gt;=Assumptions!$F$268*Assumptions!$B$51)),Assumptions!$D$268,0)</f>
        <v/>
      </c>
      <c r="M53" s="41">
        <f>IF(OR(L53&gt;0,AND(M$3&gt;=Assumptions!$E$268,M$3&gt;=Assumptions!$B$14,Revenue_Build!M10&gt;=Assumptions!$F$268*Assumptions!$B$51)),Assumptions!$D$268,0)</f>
        <v/>
      </c>
      <c r="N53" s="41">
        <f>IF(OR(M53&gt;0,AND(N$3&gt;=Assumptions!$E$268,N$3&gt;=Assumptions!$B$14,Revenue_Build!N10&gt;=Assumptions!$F$268*Assumptions!$B$51)),Assumptions!$D$268,0)</f>
        <v/>
      </c>
      <c r="O53" s="41">
        <f>IF(OR(N53&gt;0,AND(O$3&gt;=Assumptions!$E$268,O$3&gt;=Assumptions!$B$14,Revenue_Build!O10&gt;=Assumptions!$F$268*Assumptions!$B$51)),Assumptions!$D$268,0)</f>
        <v/>
      </c>
      <c r="P53" s="41">
        <f>IF(OR(O53&gt;0,AND(P$3&gt;=Assumptions!$E$268,P$3&gt;=Assumptions!$B$14,Revenue_Build!P10&gt;=Assumptions!$F$268*Assumptions!$B$51)),Assumptions!$D$268,0)</f>
        <v/>
      </c>
      <c r="Q53" s="41">
        <f>IF(OR(P53&gt;0,AND(Q$3&gt;=Assumptions!$E$268,Q$3&gt;=Assumptions!$B$14,Revenue_Build!Q10&gt;=Assumptions!$F$268*Assumptions!$B$51)),Assumptions!$D$268,0)</f>
        <v/>
      </c>
      <c r="R53" s="41">
        <f>IF(OR(Q53&gt;0,AND(R$3&gt;=Assumptions!$E$268,R$3&gt;=Assumptions!$B$14,Revenue_Build!R10&gt;=Assumptions!$F$268*Assumptions!$B$51)),Assumptions!$D$268,0)</f>
        <v/>
      </c>
      <c r="S53" s="41">
        <f>IF(OR(R53&gt;0,AND(S$3&gt;=Assumptions!$E$268,S$3&gt;=Assumptions!$B$14,Revenue_Build!S10&gt;=Assumptions!$F$268*Assumptions!$B$51)),Assumptions!$D$268,0)</f>
        <v/>
      </c>
      <c r="T53" s="41">
        <f>IF(OR(S53&gt;0,AND(T$3&gt;=Assumptions!$E$268,T$3&gt;=Assumptions!$B$14,Revenue_Build!T10&gt;=Assumptions!$F$268*Assumptions!$B$51)),Assumptions!$D$268,0)</f>
        <v/>
      </c>
      <c r="U53" s="41">
        <f>IF(OR(T53&gt;0,AND(U$3&gt;=Assumptions!$E$268,U$3&gt;=Assumptions!$B$14,Revenue_Build!U10&gt;=Assumptions!$F$268*Assumptions!$B$51)),Assumptions!$D$268,0)</f>
        <v/>
      </c>
      <c r="V53" s="41">
        <f>IF(OR(U53&gt;0,AND(V$3&gt;=Assumptions!$E$268,V$3&gt;=Assumptions!$B$14,Revenue_Build!V10&gt;=Assumptions!$F$268*Assumptions!$B$51)),Assumptions!$D$268,0)</f>
        <v/>
      </c>
      <c r="W53" s="41">
        <f>IF(OR(V53&gt;0,AND(W$3&gt;=Assumptions!$E$268,W$3&gt;=Assumptions!$B$14,Revenue_Build!W10&gt;=Assumptions!$F$268*Assumptions!$B$51)),Assumptions!$D$268,0)</f>
        <v/>
      </c>
      <c r="X53" s="41">
        <f>IF(OR(W53&gt;0,AND(X$3&gt;=Assumptions!$E$268,X$3&gt;=Assumptions!$B$14,Revenue_Build!X10&gt;=Assumptions!$F$268*Assumptions!$B$51)),Assumptions!$D$268,0)</f>
        <v/>
      </c>
      <c r="Y53" s="41">
        <f>IF(OR(X53&gt;0,AND(Y$3&gt;=Assumptions!$E$268,Y$3&gt;=Assumptions!$B$14,Revenue_Build!Y10&gt;=Assumptions!$F$268*Assumptions!$B$51)),Assumptions!$D$268,0)</f>
        <v/>
      </c>
      <c r="Z53" s="41">
        <f>IF(OR(Y53&gt;0,AND(Z$3&gt;=Assumptions!$E$268,Z$3&gt;=Assumptions!$B$14,Revenue_Build!Z10&gt;=Assumptions!$F$268*Assumptions!$B$51)),Assumptions!$D$268,0)</f>
        <v/>
      </c>
      <c r="AA53" s="41">
        <f>IF(OR(Z53&gt;0,AND(AA$3&gt;=Assumptions!$E$268,AA$3&gt;=Assumptions!$B$14,Revenue_Build!AA10&gt;=Assumptions!$F$268*Assumptions!$B$51)),Assumptions!$D$268,0)</f>
        <v/>
      </c>
      <c r="AB53" s="41">
        <f>IF(OR(AA53&gt;0,AND(AB$3&gt;=Assumptions!$E$268,AB$3&gt;=Assumptions!$B$14,Revenue_Build!AB10&gt;=Assumptions!$F$268*Assumptions!$B$51)),Assumptions!$D$268,0)</f>
        <v/>
      </c>
      <c r="AC53" s="41">
        <f>IF(OR(AB53&gt;0,AND(AC$3&gt;=Assumptions!$E$268,AC$3&gt;=Assumptions!$B$14,Revenue_Build!AC10&gt;=Assumptions!$F$268*Assumptions!$B$51)),Assumptions!$D$268,0)</f>
        <v/>
      </c>
      <c r="AD53" s="41">
        <f>IF(OR(AC53&gt;0,AND(AD$3&gt;=Assumptions!$E$268,AD$3&gt;=Assumptions!$B$14,Revenue_Build!AD10&gt;=Assumptions!$F$268*Assumptions!$B$51)),Assumptions!$D$268,0)</f>
        <v/>
      </c>
      <c r="AE53" s="41">
        <f>IF(OR(AD53&gt;0,AND(AE$3&gt;=Assumptions!$E$268,AE$3&gt;=Assumptions!$B$14,Revenue_Build!AE10&gt;=Assumptions!$F$268*Assumptions!$B$51)),Assumptions!$D$268,0)</f>
        <v/>
      </c>
      <c r="AF53" s="41">
        <f>IF(OR(AE53&gt;0,AND(AF$3&gt;=Assumptions!$E$268,AF$3&gt;=Assumptions!$B$14,Revenue_Build!AF10&gt;=Assumptions!$F$268*Assumptions!$B$51)),Assumptions!$D$268,0)</f>
        <v/>
      </c>
      <c r="AG53" s="41">
        <f>IF(OR(AF53&gt;0,AND(AG$3&gt;=Assumptions!$E$268,AG$3&gt;=Assumptions!$B$14,Revenue_Build!AG10&gt;=Assumptions!$F$268*Assumptions!$B$51)),Assumptions!$D$268,0)</f>
        <v/>
      </c>
      <c r="AH53" s="41">
        <f>IF(OR(AG53&gt;0,AND(AH$3&gt;=Assumptions!$E$268,AH$3&gt;=Assumptions!$B$14,Revenue_Build!AH10&gt;=Assumptions!$F$268*Assumptions!$B$51)),Assumptions!$D$268,0)</f>
        <v/>
      </c>
      <c r="AI53" s="41">
        <f>IF(OR(AH53&gt;0,AND(AI$3&gt;=Assumptions!$E$268,AI$3&gt;=Assumptions!$B$14,Revenue_Build!AI10&gt;=Assumptions!$F$268*Assumptions!$B$51)),Assumptions!$D$268,0)</f>
        <v/>
      </c>
      <c r="AJ53" s="41">
        <f>IF(OR(AI53&gt;0,AND(AJ$3&gt;=Assumptions!$E$268,AJ$3&gt;=Assumptions!$B$14,Revenue_Build!AJ10&gt;=Assumptions!$F$268*Assumptions!$B$51)),Assumptions!$D$268,0)</f>
        <v/>
      </c>
      <c r="AK53" s="41">
        <f>IF(OR(AJ53&gt;0,AND(AK$3&gt;=Assumptions!$E$268,AK$3&gt;=Assumptions!$B$14,Revenue_Build!AK10&gt;=Assumptions!$F$268*Assumptions!$B$51)),Assumptions!$D$268,0)</f>
        <v/>
      </c>
      <c r="AL53" s="41">
        <f>IF(OR(AK53&gt;0,AND(AL$3&gt;=Assumptions!$E$268,AL$3&gt;=Assumptions!$B$14,Revenue_Build!AL10&gt;=Assumptions!$F$268*Assumptions!$B$51)),Assumptions!$D$268,0)</f>
        <v/>
      </c>
      <c r="AM53" s="41">
        <f>IF(OR(AL53&gt;0,AND(AM$3&gt;=Assumptions!$E$268,AM$3&gt;=Assumptions!$B$14,Revenue_Build!AM10&gt;=Assumptions!$F$268*Assumptions!$B$51)),Assumptions!$D$268,0)</f>
        <v/>
      </c>
      <c r="AN53" s="41">
        <f>IF(OR(AM53&gt;0,AND(AN$3&gt;=Assumptions!$E$268,AN$3&gt;=Assumptions!$B$14,Revenue_Build!AN10&gt;=Assumptions!$F$268*Assumptions!$B$51)),Assumptions!$D$268,0)</f>
        <v/>
      </c>
      <c r="AO53" s="41">
        <f>IF(OR(AN53&gt;0,AND(AO$3&gt;=Assumptions!$E$268,AO$3&gt;=Assumptions!$B$14,Revenue_Build!AO10&gt;=Assumptions!$F$268*Assumptions!$B$51)),Assumptions!$D$268,0)</f>
        <v/>
      </c>
      <c r="AP53" s="41">
        <f>IF(OR(AO53&gt;0,AND(AP$3&gt;=Assumptions!$E$268,AP$3&gt;=Assumptions!$B$14,Revenue_Build!AP10&gt;=Assumptions!$F$268*Assumptions!$B$51)),Assumptions!$D$268,0)</f>
        <v/>
      </c>
      <c r="AQ53" s="41">
        <f>IF(OR(AP53&gt;0,AND(AQ$3&gt;=Assumptions!$E$268,AQ$3&gt;=Assumptions!$B$14,Revenue_Build!AQ10&gt;=Assumptions!$F$268*Assumptions!$B$51)),Assumptions!$D$268,0)</f>
        <v/>
      </c>
      <c r="AR53" s="41">
        <f>IF(OR(AQ53&gt;0,AND(AR$3&gt;=Assumptions!$E$268,AR$3&gt;=Assumptions!$B$14,Revenue_Build!AR10&gt;=Assumptions!$F$268*Assumptions!$B$51)),Assumptions!$D$268,0)</f>
        <v/>
      </c>
      <c r="AS53" s="41">
        <f>IF(OR(AR53&gt;0,AND(AS$3&gt;=Assumptions!$E$268,AS$3&gt;=Assumptions!$B$14,Revenue_Build!AS10&gt;=Assumptions!$F$268*Assumptions!$B$51)),Assumptions!$D$268,0)</f>
        <v/>
      </c>
      <c r="AT53" s="41">
        <f>IF(OR(AS53&gt;0,AND(AT$3&gt;=Assumptions!$E$268,AT$3&gt;=Assumptions!$B$14,Revenue_Build!AT10&gt;=Assumptions!$F$268*Assumptions!$B$51)),Assumptions!$D$268,0)</f>
        <v/>
      </c>
      <c r="AU53" s="41">
        <f>IF(OR(AT53&gt;0,AND(AU$3&gt;=Assumptions!$E$268,AU$3&gt;=Assumptions!$B$14,Revenue_Build!AU10&gt;=Assumptions!$F$268*Assumptions!$B$51)),Assumptions!$D$268,0)</f>
        <v/>
      </c>
      <c r="AV53" s="41">
        <f>IF(OR(AU53&gt;0,AND(AV$3&gt;=Assumptions!$E$268,AV$3&gt;=Assumptions!$B$14,Revenue_Build!AV10&gt;=Assumptions!$F$268*Assumptions!$B$51)),Assumptions!$D$268,0)</f>
        <v/>
      </c>
      <c r="AW53" s="41">
        <f>IF(OR(AV53&gt;0,AND(AW$3&gt;=Assumptions!$E$268,AW$3&gt;=Assumptions!$B$14,Revenue_Build!AW10&gt;=Assumptions!$F$268*Assumptions!$B$51)),Assumptions!$D$268,0)</f>
        <v/>
      </c>
      <c r="AX53" s="41">
        <f>IF(OR(AW53&gt;0,AND(AX$3&gt;=Assumptions!$E$268,AX$3&gt;=Assumptions!$B$14,Revenue_Build!AX10&gt;=Assumptions!$F$268*Assumptions!$B$51)),Assumptions!$D$268,0)</f>
        <v/>
      </c>
      <c r="AY53" s="41">
        <f>IF(OR(AX53&gt;0,AND(AY$3&gt;=Assumptions!$E$268,AY$3&gt;=Assumptions!$B$14,Revenue_Build!AY10&gt;=Assumptions!$F$268*Assumptions!$B$51)),Assumptions!$D$268,0)</f>
        <v/>
      </c>
      <c r="AZ53" s="41">
        <f>IF(OR(AY53&gt;0,AND(AZ$3&gt;=Assumptions!$E$268,AZ$3&gt;=Assumptions!$B$14,Revenue_Build!AZ10&gt;=Assumptions!$F$268*Assumptions!$B$51)),Assumptions!$D$268,0)</f>
        <v/>
      </c>
      <c r="BA53" s="41">
        <f>IF(OR(AZ53&gt;0,AND(BA$3&gt;=Assumptions!$E$268,BA$3&gt;=Assumptions!$B$14,Revenue_Build!BA10&gt;=Assumptions!$F$268*Assumptions!$B$51)),Assumptions!$D$268,0)</f>
        <v/>
      </c>
      <c r="BB53" s="41">
        <f>IF(OR(BA53&gt;0,AND(BB$3&gt;=Assumptions!$E$268,BB$3&gt;=Assumptions!$B$14,Revenue_Build!BB10&gt;=Assumptions!$F$268*Assumptions!$B$51)),Assumptions!$D$268,0)</f>
        <v/>
      </c>
      <c r="BC53" s="41">
        <f>IF(OR(BB53&gt;0,AND(BC$3&gt;=Assumptions!$E$268,BC$3&gt;=Assumptions!$B$14,Revenue_Build!BC10&gt;=Assumptions!$F$268*Assumptions!$B$51)),Assumptions!$D$268,0)</f>
        <v/>
      </c>
      <c r="BD53" s="41">
        <f>IF(OR(BC53&gt;0,AND(BD$3&gt;=Assumptions!$E$268,BD$3&gt;=Assumptions!$B$14,Revenue_Build!BD10&gt;=Assumptions!$F$268*Assumptions!$B$51)),Assumptions!$D$268,0)</f>
        <v/>
      </c>
      <c r="BE53" s="41">
        <f>IF(OR(BD53&gt;0,AND(BE$3&gt;=Assumptions!$E$268,BE$3&gt;=Assumptions!$B$14,Revenue_Build!BE10&gt;=Assumptions!$F$268*Assumptions!$B$51)),Assumptions!$D$268,0)</f>
        <v/>
      </c>
      <c r="BF53" s="41">
        <f>IF(OR(BE53&gt;0,AND(BF$3&gt;=Assumptions!$E$268,BF$3&gt;=Assumptions!$B$14,Revenue_Build!BF10&gt;=Assumptions!$F$268*Assumptions!$B$51)),Assumptions!$D$268,0)</f>
        <v/>
      </c>
      <c r="BG53" s="41">
        <f>IF(OR(BF53&gt;0,AND(BG$3&gt;=Assumptions!$E$268,BG$3&gt;=Assumptions!$B$14,Revenue_Build!BG10&gt;=Assumptions!$F$268*Assumptions!$B$51)),Assumptions!$D$268,0)</f>
        <v/>
      </c>
      <c r="BH53" s="41">
        <f>IF(OR(BG53&gt;0,AND(BH$3&gt;=Assumptions!$E$268,BH$3&gt;=Assumptions!$B$14,Revenue_Build!BH10&gt;=Assumptions!$F$268*Assumptions!$B$51)),Assumptions!$D$268,0)</f>
        <v/>
      </c>
      <c r="BI53" s="41">
        <f>IF(OR(BH53&gt;0,AND(BI$3&gt;=Assumptions!$E$268,BI$3&gt;=Assumptions!$B$14,Revenue_Build!BI10&gt;=Assumptions!$F$268*Assumptions!$B$51)),Assumptions!$D$268,0)</f>
        <v/>
      </c>
      <c r="BJ53" s="41">
        <f>IF(OR(BI53&gt;0,AND(BJ$3&gt;=Assumptions!$E$268,BJ$3&gt;=Assumptions!$B$14,Revenue_Build!BJ10&gt;=Assumptions!$F$268*Assumptions!$B$51)),Assumptions!$D$268,0)</f>
        <v/>
      </c>
    </row>
    <row r="54">
      <c r="A54" s="4" t="inlineStr">
        <is>
          <t>CFO</t>
        </is>
      </c>
      <c r="B54" s="17" t="inlineStr">
        <is>
          <t>FTE</t>
        </is>
      </c>
      <c r="C54" s="41">
        <f>IF(AND(C$3&gt;=Assumptions!$E$269,C$3&gt;=Assumptions!$B$14,Revenue_Build!C10&gt;=Assumptions!$F$269*Assumptions!$B$51),Assumptions!$D$269,0)</f>
        <v/>
      </c>
      <c r="D54" s="41">
        <f>IF(OR(C54&gt;0,AND(D$3&gt;=Assumptions!$E$269,D$3&gt;=Assumptions!$B$14,Revenue_Build!D10&gt;=Assumptions!$F$269*Assumptions!$B$51)),Assumptions!$D$269,0)</f>
        <v/>
      </c>
      <c r="E54" s="41">
        <f>IF(OR(D54&gt;0,AND(E$3&gt;=Assumptions!$E$269,E$3&gt;=Assumptions!$B$14,Revenue_Build!E10&gt;=Assumptions!$F$269*Assumptions!$B$51)),Assumptions!$D$269,0)</f>
        <v/>
      </c>
      <c r="F54" s="41">
        <f>IF(OR(E54&gt;0,AND(F$3&gt;=Assumptions!$E$269,F$3&gt;=Assumptions!$B$14,Revenue_Build!F10&gt;=Assumptions!$F$269*Assumptions!$B$51)),Assumptions!$D$269,0)</f>
        <v/>
      </c>
      <c r="G54" s="41">
        <f>IF(OR(F54&gt;0,AND(G$3&gt;=Assumptions!$E$269,G$3&gt;=Assumptions!$B$14,Revenue_Build!G10&gt;=Assumptions!$F$269*Assumptions!$B$51)),Assumptions!$D$269,0)</f>
        <v/>
      </c>
      <c r="H54" s="41">
        <f>IF(OR(G54&gt;0,AND(H$3&gt;=Assumptions!$E$269,H$3&gt;=Assumptions!$B$14,Revenue_Build!H10&gt;=Assumptions!$F$269*Assumptions!$B$51)),Assumptions!$D$269,0)</f>
        <v/>
      </c>
      <c r="I54" s="41">
        <f>IF(OR(H54&gt;0,AND(I$3&gt;=Assumptions!$E$269,I$3&gt;=Assumptions!$B$14,Revenue_Build!I10&gt;=Assumptions!$F$269*Assumptions!$B$51)),Assumptions!$D$269,0)</f>
        <v/>
      </c>
      <c r="J54" s="41">
        <f>IF(OR(I54&gt;0,AND(J$3&gt;=Assumptions!$E$269,J$3&gt;=Assumptions!$B$14,Revenue_Build!J10&gt;=Assumptions!$F$269*Assumptions!$B$51)),Assumptions!$D$269,0)</f>
        <v/>
      </c>
      <c r="K54" s="41">
        <f>IF(OR(J54&gt;0,AND(K$3&gt;=Assumptions!$E$269,K$3&gt;=Assumptions!$B$14,Revenue_Build!K10&gt;=Assumptions!$F$269*Assumptions!$B$51)),Assumptions!$D$269,0)</f>
        <v/>
      </c>
      <c r="L54" s="41">
        <f>IF(OR(K54&gt;0,AND(L$3&gt;=Assumptions!$E$269,L$3&gt;=Assumptions!$B$14,Revenue_Build!L10&gt;=Assumptions!$F$269*Assumptions!$B$51)),Assumptions!$D$269,0)</f>
        <v/>
      </c>
      <c r="M54" s="41">
        <f>IF(OR(L54&gt;0,AND(M$3&gt;=Assumptions!$E$269,M$3&gt;=Assumptions!$B$14,Revenue_Build!M10&gt;=Assumptions!$F$269*Assumptions!$B$51)),Assumptions!$D$269,0)</f>
        <v/>
      </c>
      <c r="N54" s="41">
        <f>IF(OR(M54&gt;0,AND(N$3&gt;=Assumptions!$E$269,N$3&gt;=Assumptions!$B$14,Revenue_Build!N10&gt;=Assumptions!$F$269*Assumptions!$B$51)),Assumptions!$D$269,0)</f>
        <v/>
      </c>
      <c r="O54" s="41">
        <f>IF(OR(N54&gt;0,AND(O$3&gt;=Assumptions!$E$269,O$3&gt;=Assumptions!$B$14,Revenue_Build!O10&gt;=Assumptions!$F$269*Assumptions!$B$51)),Assumptions!$D$269,0)</f>
        <v/>
      </c>
      <c r="P54" s="41">
        <f>IF(OR(O54&gt;0,AND(P$3&gt;=Assumptions!$E$269,P$3&gt;=Assumptions!$B$14,Revenue_Build!P10&gt;=Assumptions!$F$269*Assumptions!$B$51)),Assumptions!$D$269,0)</f>
        <v/>
      </c>
      <c r="Q54" s="41">
        <f>IF(OR(P54&gt;0,AND(Q$3&gt;=Assumptions!$E$269,Q$3&gt;=Assumptions!$B$14,Revenue_Build!Q10&gt;=Assumptions!$F$269*Assumptions!$B$51)),Assumptions!$D$269,0)</f>
        <v/>
      </c>
      <c r="R54" s="41">
        <f>IF(OR(Q54&gt;0,AND(R$3&gt;=Assumptions!$E$269,R$3&gt;=Assumptions!$B$14,Revenue_Build!R10&gt;=Assumptions!$F$269*Assumptions!$B$51)),Assumptions!$D$269,0)</f>
        <v/>
      </c>
      <c r="S54" s="41">
        <f>IF(OR(R54&gt;0,AND(S$3&gt;=Assumptions!$E$269,S$3&gt;=Assumptions!$B$14,Revenue_Build!S10&gt;=Assumptions!$F$269*Assumptions!$B$51)),Assumptions!$D$269,0)</f>
        <v/>
      </c>
      <c r="T54" s="41">
        <f>IF(OR(S54&gt;0,AND(T$3&gt;=Assumptions!$E$269,T$3&gt;=Assumptions!$B$14,Revenue_Build!T10&gt;=Assumptions!$F$269*Assumptions!$B$51)),Assumptions!$D$269,0)</f>
        <v/>
      </c>
      <c r="U54" s="41">
        <f>IF(OR(T54&gt;0,AND(U$3&gt;=Assumptions!$E$269,U$3&gt;=Assumptions!$B$14,Revenue_Build!U10&gt;=Assumptions!$F$269*Assumptions!$B$51)),Assumptions!$D$269,0)</f>
        <v/>
      </c>
      <c r="V54" s="41">
        <f>IF(OR(U54&gt;0,AND(V$3&gt;=Assumptions!$E$269,V$3&gt;=Assumptions!$B$14,Revenue_Build!V10&gt;=Assumptions!$F$269*Assumptions!$B$51)),Assumptions!$D$269,0)</f>
        <v/>
      </c>
      <c r="W54" s="41">
        <f>IF(OR(V54&gt;0,AND(W$3&gt;=Assumptions!$E$269,W$3&gt;=Assumptions!$B$14,Revenue_Build!W10&gt;=Assumptions!$F$269*Assumptions!$B$51)),Assumptions!$D$269,0)</f>
        <v/>
      </c>
      <c r="X54" s="41">
        <f>IF(OR(W54&gt;0,AND(X$3&gt;=Assumptions!$E$269,X$3&gt;=Assumptions!$B$14,Revenue_Build!X10&gt;=Assumptions!$F$269*Assumptions!$B$51)),Assumptions!$D$269,0)</f>
        <v/>
      </c>
      <c r="Y54" s="41">
        <f>IF(OR(X54&gt;0,AND(Y$3&gt;=Assumptions!$E$269,Y$3&gt;=Assumptions!$B$14,Revenue_Build!Y10&gt;=Assumptions!$F$269*Assumptions!$B$51)),Assumptions!$D$269,0)</f>
        <v/>
      </c>
      <c r="Z54" s="41">
        <f>IF(OR(Y54&gt;0,AND(Z$3&gt;=Assumptions!$E$269,Z$3&gt;=Assumptions!$B$14,Revenue_Build!Z10&gt;=Assumptions!$F$269*Assumptions!$B$51)),Assumptions!$D$269,0)</f>
        <v/>
      </c>
      <c r="AA54" s="41">
        <f>IF(OR(Z54&gt;0,AND(AA$3&gt;=Assumptions!$E$269,AA$3&gt;=Assumptions!$B$14,Revenue_Build!AA10&gt;=Assumptions!$F$269*Assumptions!$B$51)),Assumptions!$D$269,0)</f>
        <v/>
      </c>
      <c r="AB54" s="41">
        <f>IF(OR(AA54&gt;0,AND(AB$3&gt;=Assumptions!$E$269,AB$3&gt;=Assumptions!$B$14,Revenue_Build!AB10&gt;=Assumptions!$F$269*Assumptions!$B$51)),Assumptions!$D$269,0)</f>
        <v/>
      </c>
      <c r="AC54" s="41">
        <f>IF(OR(AB54&gt;0,AND(AC$3&gt;=Assumptions!$E$269,AC$3&gt;=Assumptions!$B$14,Revenue_Build!AC10&gt;=Assumptions!$F$269*Assumptions!$B$51)),Assumptions!$D$269,0)</f>
        <v/>
      </c>
      <c r="AD54" s="41">
        <f>IF(OR(AC54&gt;0,AND(AD$3&gt;=Assumptions!$E$269,AD$3&gt;=Assumptions!$B$14,Revenue_Build!AD10&gt;=Assumptions!$F$269*Assumptions!$B$51)),Assumptions!$D$269,0)</f>
        <v/>
      </c>
      <c r="AE54" s="41">
        <f>IF(OR(AD54&gt;0,AND(AE$3&gt;=Assumptions!$E$269,AE$3&gt;=Assumptions!$B$14,Revenue_Build!AE10&gt;=Assumptions!$F$269*Assumptions!$B$51)),Assumptions!$D$269,0)</f>
        <v/>
      </c>
      <c r="AF54" s="41">
        <f>IF(OR(AE54&gt;0,AND(AF$3&gt;=Assumptions!$E$269,AF$3&gt;=Assumptions!$B$14,Revenue_Build!AF10&gt;=Assumptions!$F$269*Assumptions!$B$51)),Assumptions!$D$269,0)</f>
        <v/>
      </c>
      <c r="AG54" s="41">
        <f>IF(OR(AF54&gt;0,AND(AG$3&gt;=Assumptions!$E$269,AG$3&gt;=Assumptions!$B$14,Revenue_Build!AG10&gt;=Assumptions!$F$269*Assumptions!$B$51)),Assumptions!$D$269,0)</f>
        <v/>
      </c>
      <c r="AH54" s="41">
        <f>IF(OR(AG54&gt;0,AND(AH$3&gt;=Assumptions!$E$269,AH$3&gt;=Assumptions!$B$14,Revenue_Build!AH10&gt;=Assumptions!$F$269*Assumptions!$B$51)),Assumptions!$D$269,0)</f>
        <v/>
      </c>
      <c r="AI54" s="41">
        <f>IF(OR(AH54&gt;0,AND(AI$3&gt;=Assumptions!$E$269,AI$3&gt;=Assumptions!$B$14,Revenue_Build!AI10&gt;=Assumptions!$F$269*Assumptions!$B$51)),Assumptions!$D$269,0)</f>
        <v/>
      </c>
      <c r="AJ54" s="41">
        <f>IF(OR(AI54&gt;0,AND(AJ$3&gt;=Assumptions!$E$269,AJ$3&gt;=Assumptions!$B$14,Revenue_Build!AJ10&gt;=Assumptions!$F$269*Assumptions!$B$51)),Assumptions!$D$269,0)</f>
        <v/>
      </c>
      <c r="AK54" s="41">
        <f>IF(OR(AJ54&gt;0,AND(AK$3&gt;=Assumptions!$E$269,AK$3&gt;=Assumptions!$B$14,Revenue_Build!AK10&gt;=Assumptions!$F$269*Assumptions!$B$51)),Assumptions!$D$269,0)</f>
        <v/>
      </c>
      <c r="AL54" s="41">
        <f>IF(OR(AK54&gt;0,AND(AL$3&gt;=Assumptions!$E$269,AL$3&gt;=Assumptions!$B$14,Revenue_Build!AL10&gt;=Assumptions!$F$269*Assumptions!$B$51)),Assumptions!$D$269,0)</f>
        <v/>
      </c>
      <c r="AM54" s="41">
        <f>IF(OR(AL54&gt;0,AND(AM$3&gt;=Assumptions!$E$269,AM$3&gt;=Assumptions!$B$14,Revenue_Build!AM10&gt;=Assumptions!$F$269*Assumptions!$B$51)),Assumptions!$D$269,0)</f>
        <v/>
      </c>
      <c r="AN54" s="41">
        <f>IF(OR(AM54&gt;0,AND(AN$3&gt;=Assumptions!$E$269,AN$3&gt;=Assumptions!$B$14,Revenue_Build!AN10&gt;=Assumptions!$F$269*Assumptions!$B$51)),Assumptions!$D$269,0)</f>
        <v/>
      </c>
      <c r="AO54" s="41">
        <f>IF(OR(AN54&gt;0,AND(AO$3&gt;=Assumptions!$E$269,AO$3&gt;=Assumptions!$B$14,Revenue_Build!AO10&gt;=Assumptions!$F$269*Assumptions!$B$51)),Assumptions!$D$269,0)</f>
        <v/>
      </c>
      <c r="AP54" s="41">
        <f>IF(OR(AO54&gt;0,AND(AP$3&gt;=Assumptions!$E$269,AP$3&gt;=Assumptions!$B$14,Revenue_Build!AP10&gt;=Assumptions!$F$269*Assumptions!$B$51)),Assumptions!$D$269,0)</f>
        <v/>
      </c>
      <c r="AQ54" s="41">
        <f>IF(OR(AP54&gt;0,AND(AQ$3&gt;=Assumptions!$E$269,AQ$3&gt;=Assumptions!$B$14,Revenue_Build!AQ10&gt;=Assumptions!$F$269*Assumptions!$B$51)),Assumptions!$D$269,0)</f>
        <v/>
      </c>
      <c r="AR54" s="41">
        <f>IF(OR(AQ54&gt;0,AND(AR$3&gt;=Assumptions!$E$269,AR$3&gt;=Assumptions!$B$14,Revenue_Build!AR10&gt;=Assumptions!$F$269*Assumptions!$B$51)),Assumptions!$D$269,0)</f>
        <v/>
      </c>
      <c r="AS54" s="41">
        <f>IF(OR(AR54&gt;0,AND(AS$3&gt;=Assumptions!$E$269,AS$3&gt;=Assumptions!$B$14,Revenue_Build!AS10&gt;=Assumptions!$F$269*Assumptions!$B$51)),Assumptions!$D$269,0)</f>
        <v/>
      </c>
      <c r="AT54" s="41">
        <f>IF(OR(AS54&gt;0,AND(AT$3&gt;=Assumptions!$E$269,AT$3&gt;=Assumptions!$B$14,Revenue_Build!AT10&gt;=Assumptions!$F$269*Assumptions!$B$51)),Assumptions!$D$269,0)</f>
        <v/>
      </c>
      <c r="AU54" s="41">
        <f>IF(OR(AT54&gt;0,AND(AU$3&gt;=Assumptions!$E$269,AU$3&gt;=Assumptions!$B$14,Revenue_Build!AU10&gt;=Assumptions!$F$269*Assumptions!$B$51)),Assumptions!$D$269,0)</f>
        <v/>
      </c>
      <c r="AV54" s="41">
        <f>IF(OR(AU54&gt;0,AND(AV$3&gt;=Assumptions!$E$269,AV$3&gt;=Assumptions!$B$14,Revenue_Build!AV10&gt;=Assumptions!$F$269*Assumptions!$B$51)),Assumptions!$D$269,0)</f>
        <v/>
      </c>
      <c r="AW54" s="41">
        <f>IF(OR(AV54&gt;0,AND(AW$3&gt;=Assumptions!$E$269,AW$3&gt;=Assumptions!$B$14,Revenue_Build!AW10&gt;=Assumptions!$F$269*Assumptions!$B$51)),Assumptions!$D$269,0)</f>
        <v/>
      </c>
      <c r="AX54" s="41">
        <f>IF(OR(AW54&gt;0,AND(AX$3&gt;=Assumptions!$E$269,AX$3&gt;=Assumptions!$B$14,Revenue_Build!AX10&gt;=Assumptions!$F$269*Assumptions!$B$51)),Assumptions!$D$269,0)</f>
        <v/>
      </c>
      <c r="AY54" s="41">
        <f>IF(OR(AX54&gt;0,AND(AY$3&gt;=Assumptions!$E$269,AY$3&gt;=Assumptions!$B$14,Revenue_Build!AY10&gt;=Assumptions!$F$269*Assumptions!$B$51)),Assumptions!$D$269,0)</f>
        <v/>
      </c>
      <c r="AZ54" s="41">
        <f>IF(OR(AY54&gt;0,AND(AZ$3&gt;=Assumptions!$E$269,AZ$3&gt;=Assumptions!$B$14,Revenue_Build!AZ10&gt;=Assumptions!$F$269*Assumptions!$B$51)),Assumptions!$D$269,0)</f>
        <v/>
      </c>
      <c r="BA54" s="41">
        <f>IF(OR(AZ54&gt;0,AND(BA$3&gt;=Assumptions!$E$269,BA$3&gt;=Assumptions!$B$14,Revenue_Build!BA10&gt;=Assumptions!$F$269*Assumptions!$B$51)),Assumptions!$D$269,0)</f>
        <v/>
      </c>
      <c r="BB54" s="41">
        <f>IF(OR(BA54&gt;0,AND(BB$3&gt;=Assumptions!$E$269,BB$3&gt;=Assumptions!$B$14,Revenue_Build!BB10&gt;=Assumptions!$F$269*Assumptions!$B$51)),Assumptions!$D$269,0)</f>
        <v/>
      </c>
      <c r="BC54" s="41">
        <f>IF(OR(BB54&gt;0,AND(BC$3&gt;=Assumptions!$E$269,BC$3&gt;=Assumptions!$B$14,Revenue_Build!BC10&gt;=Assumptions!$F$269*Assumptions!$B$51)),Assumptions!$D$269,0)</f>
        <v/>
      </c>
      <c r="BD54" s="41">
        <f>IF(OR(BC54&gt;0,AND(BD$3&gt;=Assumptions!$E$269,BD$3&gt;=Assumptions!$B$14,Revenue_Build!BD10&gt;=Assumptions!$F$269*Assumptions!$B$51)),Assumptions!$D$269,0)</f>
        <v/>
      </c>
      <c r="BE54" s="41">
        <f>IF(OR(BD54&gt;0,AND(BE$3&gt;=Assumptions!$E$269,BE$3&gt;=Assumptions!$B$14,Revenue_Build!BE10&gt;=Assumptions!$F$269*Assumptions!$B$51)),Assumptions!$D$269,0)</f>
        <v/>
      </c>
      <c r="BF54" s="41">
        <f>IF(OR(BE54&gt;0,AND(BF$3&gt;=Assumptions!$E$269,BF$3&gt;=Assumptions!$B$14,Revenue_Build!BF10&gt;=Assumptions!$F$269*Assumptions!$B$51)),Assumptions!$D$269,0)</f>
        <v/>
      </c>
      <c r="BG54" s="41">
        <f>IF(OR(BF54&gt;0,AND(BG$3&gt;=Assumptions!$E$269,BG$3&gt;=Assumptions!$B$14,Revenue_Build!BG10&gt;=Assumptions!$F$269*Assumptions!$B$51)),Assumptions!$D$269,0)</f>
        <v/>
      </c>
      <c r="BH54" s="41">
        <f>IF(OR(BG54&gt;0,AND(BH$3&gt;=Assumptions!$E$269,BH$3&gt;=Assumptions!$B$14,Revenue_Build!BH10&gt;=Assumptions!$F$269*Assumptions!$B$51)),Assumptions!$D$269,0)</f>
        <v/>
      </c>
      <c r="BI54" s="41">
        <f>IF(OR(BH54&gt;0,AND(BI$3&gt;=Assumptions!$E$269,BI$3&gt;=Assumptions!$B$14,Revenue_Build!BI10&gt;=Assumptions!$F$269*Assumptions!$B$51)),Assumptions!$D$269,0)</f>
        <v/>
      </c>
      <c r="BJ54" s="41">
        <f>IF(OR(BI54&gt;0,AND(BJ$3&gt;=Assumptions!$E$269,BJ$3&gt;=Assumptions!$B$14,Revenue_Build!BJ10&gt;=Assumptions!$F$269*Assumptions!$B$51)),Assumptions!$D$269,0)</f>
        <v/>
      </c>
    </row>
    <row r="55">
      <c r="A55" s="4" t="inlineStr">
        <is>
          <t>CS agents VI</t>
        </is>
      </c>
      <c r="B55" s="17" t="inlineStr">
        <is>
          <t>FTE</t>
        </is>
      </c>
      <c r="C55" s="41">
        <f>IF(AND(C$3&gt;=Assumptions!$E$270,C$3&gt;=Assumptions!$B$14,Revenue_Build!C10&gt;=Assumptions!$F$270*Assumptions!$B$51),Assumptions!$D$270,0)</f>
        <v/>
      </c>
      <c r="D55" s="41">
        <f>IF(OR(C55&gt;0,AND(D$3&gt;=Assumptions!$E$270,D$3&gt;=Assumptions!$B$14,Revenue_Build!D10&gt;=Assumptions!$F$270*Assumptions!$B$51)),Assumptions!$D$270,0)</f>
        <v/>
      </c>
      <c r="E55" s="41">
        <f>IF(OR(D55&gt;0,AND(E$3&gt;=Assumptions!$E$270,E$3&gt;=Assumptions!$B$14,Revenue_Build!E10&gt;=Assumptions!$F$270*Assumptions!$B$51)),Assumptions!$D$270,0)</f>
        <v/>
      </c>
      <c r="F55" s="41">
        <f>IF(OR(E55&gt;0,AND(F$3&gt;=Assumptions!$E$270,F$3&gt;=Assumptions!$B$14,Revenue_Build!F10&gt;=Assumptions!$F$270*Assumptions!$B$51)),Assumptions!$D$270,0)</f>
        <v/>
      </c>
      <c r="G55" s="41">
        <f>IF(OR(F55&gt;0,AND(G$3&gt;=Assumptions!$E$270,G$3&gt;=Assumptions!$B$14,Revenue_Build!G10&gt;=Assumptions!$F$270*Assumptions!$B$51)),Assumptions!$D$270,0)</f>
        <v/>
      </c>
      <c r="H55" s="41">
        <f>IF(OR(G55&gt;0,AND(H$3&gt;=Assumptions!$E$270,H$3&gt;=Assumptions!$B$14,Revenue_Build!H10&gt;=Assumptions!$F$270*Assumptions!$B$51)),Assumptions!$D$270,0)</f>
        <v/>
      </c>
      <c r="I55" s="41">
        <f>IF(OR(H55&gt;0,AND(I$3&gt;=Assumptions!$E$270,I$3&gt;=Assumptions!$B$14,Revenue_Build!I10&gt;=Assumptions!$F$270*Assumptions!$B$51)),Assumptions!$D$270,0)</f>
        <v/>
      </c>
      <c r="J55" s="41">
        <f>IF(OR(I55&gt;0,AND(J$3&gt;=Assumptions!$E$270,J$3&gt;=Assumptions!$B$14,Revenue_Build!J10&gt;=Assumptions!$F$270*Assumptions!$B$51)),Assumptions!$D$270,0)</f>
        <v/>
      </c>
      <c r="K55" s="41">
        <f>IF(OR(J55&gt;0,AND(K$3&gt;=Assumptions!$E$270,K$3&gt;=Assumptions!$B$14,Revenue_Build!K10&gt;=Assumptions!$F$270*Assumptions!$B$51)),Assumptions!$D$270,0)</f>
        <v/>
      </c>
      <c r="L55" s="41">
        <f>IF(OR(K55&gt;0,AND(L$3&gt;=Assumptions!$E$270,L$3&gt;=Assumptions!$B$14,Revenue_Build!L10&gt;=Assumptions!$F$270*Assumptions!$B$51)),Assumptions!$D$270,0)</f>
        <v/>
      </c>
      <c r="M55" s="41">
        <f>IF(OR(L55&gt;0,AND(M$3&gt;=Assumptions!$E$270,M$3&gt;=Assumptions!$B$14,Revenue_Build!M10&gt;=Assumptions!$F$270*Assumptions!$B$51)),Assumptions!$D$270,0)</f>
        <v/>
      </c>
      <c r="N55" s="41">
        <f>IF(OR(M55&gt;0,AND(N$3&gt;=Assumptions!$E$270,N$3&gt;=Assumptions!$B$14,Revenue_Build!N10&gt;=Assumptions!$F$270*Assumptions!$B$51)),Assumptions!$D$270,0)</f>
        <v/>
      </c>
      <c r="O55" s="41">
        <f>IF(OR(N55&gt;0,AND(O$3&gt;=Assumptions!$E$270,O$3&gt;=Assumptions!$B$14,Revenue_Build!O10&gt;=Assumptions!$F$270*Assumptions!$B$51)),Assumptions!$D$270,0)</f>
        <v/>
      </c>
      <c r="P55" s="41">
        <f>IF(OR(O55&gt;0,AND(P$3&gt;=Assumptions!$E$270,P$3&gt;=Assumptions!$B$14,Revenue_Build!P10&gt;=Assumptions!$F$270*Assumptions!$B$51)),Assumptions!$D$270,0)</f>
        <v/>
      </c>
      <c r="Q55" s="41">
        <f>IF(OR(P55&gt;0,AND(Q$3&gt;=Assumptions!$E$270,Q$3&gt;=Assumptions!$B$14,Revenue_Build!Q10&gt;=Assumptions!$F$270*Assumptions!$B$51)),Assumptions!$D$270,0)</f>
        <v/>
      </c>
      <c r="R55" s="41">
        <f>IF(OR(Q55&gt;0,AND(R$3&gt;=Assumptions!$E$270,R$3&gt;=Assumptions!$B$14,Revenue_Build!R10&gt;=Assumptions!$F$270*Assumptions!$B$51)),Assumptions!$D$270,0)</f>
        <v/>
      </c>
      <c r="S55" s="41">
        <f>IF(OR(R55&gt;0,AND(S$3&gt;=Assumptions!$E$270,S$3&gt;=Assumptions!$B$14,Revenue_Build!S10&gt;=Assumptions!$F$270*Assumptions!$B$51)),Assumptions!$D$270,0)</f>
        <v/>
      </c>
      <c r="T55" s="41">
        <f>IF(OR(S55&gt;0,AND(T$3&gt;=Assumptions!$E$270,T$3&gt;=Assumptions!$B$14,Revenue_Build!T10&gt;=Assumptions!$F$270*Assumptions!$B$51)),Assumptions!$D$270,0)</f>
        <v/>
      </c>
      <c r="U55" s="41">
        <f>IF(OR(T55&gt;0,AND(U$3&gt;=Assumptions!$E$270,U$3&gt;=Assumptions!$B$14,Revenue_Build!U10&gt;=Assumptions!$F$270*Assumptions!$B$51)),Assumptions!$D$270,0)</f>
        <v/>
      </c>
      <c r="V55" s="41">
        <f>IF(OR(U55&gt;0,AND(V$3&gt;=Assumptions!$E$270,V$3&gt;=Assumptions!$B$14,Revenue_Build!V10&gt;=Assumptions!$F$270*Assumptions!$B$51)),Assumptions!$D$270,0)</f>
        <v/>
      </c>
      <c r="W55" s="41">
        <f>IF(OR(V55&gt;0,AND(W$3&gt;=Assumptions!$E$270,W$3&gt;=Assumptions!$B$14,Revenue_Build!W10&gt;=Assumptions!$F$270*Assumptions!$B$51)),Assumptions!$D$270,0)</f>
        <v/>
      </c>
      <c r="X55" s="41">
        <f>IF(OR(W55&gt;0,AND(X$3&gt;=Assumptions!$E$270,X$3&gt;=Assumptions!$B$14,Revenue_Build!X10&gt;=Assumptions!$F$270*Assumptions!$B$51)),Assumptions!$D$270,0)</f>
        <v/>
      </c>
      <c r="Y55" s="41">
        <f>IF(OR(X55&gt;0,AND(Y$3&gt;=Assumptions!$E$270,Y$3&gt;=Assumptions!$B$14,Revenue_Build!Y10&gt;=Assumptions!$F$270*Assumptions!$B$51)),Assumptions!$D$270,0)</f>
        <v/>
      </c>
      <c r="Z55" s="41">
        <f>IF(OR(Y55&gt;0,AND(Z$3&gt;=Assumptions!$E$270,Z$3&gt;=Assumptions!$B$14,Revenue_Build!Z10&gt;=Assumptions!$F$270*Assumptions!$B$51)),Assumptions!$D$270,0)</f>
        <v/>
      </c>
      <c r="AA55" s="41">
        <f>IF(OR(Z55&gt;0,AND(AA$3&gt;=Assumptions!$E$270,AA$3&gt;=Assumptions!$B$14,Revenue_Build!AA10&gt;=Assumptions!$F$270*Assumptions!$B$51)),Assumptions!$D$270,0)</f>
        <v/>
      </c>
      <c r="AB55" s="41">
        <f>IF(OR(AA55&gt;0,AND(AB$3&gt;=Assumptions!$E$270,AB$3&gt;=Assumptions!$B$14,Revenue_Build!AB10&gt;=Assumptions!$F$270*Assumptions!$B$51)),Assumptions!$D$270,0)</f>
        <v/>
      </c>
      <c r="AC55" s="41">
        <f>IF(OR(AB55&gt;0,AND(AC$3&gt;=Assumptions!$E$270,AC$3&gt;=Assumptions!$B$14,Revenue_Build!AC10&gt;=Assumptions!$F$270*Assumptions!$B$51)),Assumptions!$D$270,0)</f>
        <v/>
      </c>
      <c r="AD55" s="41">
        <f>IF(OR(AC55&gt;0,AND(AD$3&gt;=Assumptions!$E$270,AD$3&gt;=Assumptions!$B$14,Revenue_Build!AD10&gt;=Assumptions!$F$270*Assumptions!$B$51)),Assumptions!$D$270,0)</f>
        <v/>
      </c>
      <c r="AE55" s="41">
        <f>IF(OR(AD55&gt;0,AND(AE$3&gt;=Assumptions!$E$270,AE$3&gt;=Assumptions!$B$14,Revenue_Build!AE10&gt;=Assumptions!$F$270*Assumptions!$B$51)),Assumptions!$D$270,0)</f>
        <v/>
      </c>
      <c r="AF55" s="41">
        <f>IF(OR(AE55&gt;0,AND(AF$3&gt;=Assumptions!$E$270,AF$3&gt;=Assumptions!$B$14,Revenue_Build!AF10&gt;=Assumptions!$F$270*Assumptions!$B$51)),Assumptions!$D$270,0)</f>
        <v/>
      </c>
      <c r="AG55" s="41">
        <f>IF(OR(AF55&gt;0,AND(AG$3&gt;=Assumptions!$E$270,AG$3&gt;=Assumptions!$B$14,Revenue_Build!AG10&gt;=Assumptions!$F$270*Assumptions!$B$51)),Assumptions!$D$270,0)</f>
        <v/>
      </c>
      <c r="AH55" s="41">
        <f>IF(OR(AG55&gt;0,AND(AH$3&gt;=Assumptions!$E$270,AH$3&gt;=Assumptions!$B$14,Revenue_Build!AH10&gt;=Assumptions!$F$270*Assumptions!$B$51)),Assumptions!$D$270,0)</f>
        <v/>
      </c>
      <c r="AI55" s="41">
        <f>IF(OR(AH55&gt;0,AND(AI$3&gt;=Assumptions!$E$270,AI$3&gt;=Assumptions!$B$14,Revenue_Build!AI10&gt;=Assumptions!$F$270*Assumptions!$B$51)),Assumptions!$D$270,0)</f>
        <v/>
      </c>
      <c r="AJ55" s="41">
        <f>IF(OR(AI55&gt;0,AND(AJ$3&gt;=Assumptions!$E$270,AJ$3&gt;=Assumptions!$B$14,Revenue_Build!AJ10&gt;=Assumptions!$F$270*Assumptions!$B$51)),Assumptions!$D$270,0)</f>
        <v/>
      </c>
      <c r="AK55" s="41">
        <f>IF(OR(AJ55&gt;0,AND(AK$3&gt;=Assumptions!$E$270,AK$3&gt;=Assumptions!$B$14,Revenue_Build!AK10&gt;=Assumptions!$F$270*Assumptions!$B$51)),Assumptions!$D$270,0)</f>
        <v/>
      </c>
      <c r="AL55" s="41">
        <f>IF(OR(AK55&gt;0,AND(AL$3&gt;=Assumptions!$E$270,AL$3&gt;=Assumptions!$B$14,Revenue_Build!AL10&gt;=Assumptions!$F$270*Assumptions!$B$51)),Assumptions!$D$270,0)</f>
        <v/>
      </c>
      <c r="AM55" s="41">
        <f>IF(OR(AL55&gt;0,AND(AM$3&gt;=Assumptions!$E$270,AM$3&gt;=Assumptions!$B$14,Revenue_Build!AM10&gt;=Assumptions!$F$270*Assumptions!$B$51)),Assumptions!$D$270,0)</f>
        <v/>
      </c>
      <c r="AN55" s="41">
        <f>IF(OR(AM55&gt;0,AND(AN$3&gt;=Assumptions!$E$270,AN$3&gt;=Assumptions!$B$14,Revenue_Build!AN10&gt;=Assumptions!$F$270*Assumptions!$B$51)),Assumptions!$D$270,0)</f>
        <v/>
      </c>
      <c r="AO55" s="41">
        <f>IF(OR(AN55&gt;0,AND(AO$3&gt;=Assumptions!$E$270,AO$3&gt;=Assumptions!$B$14,Revenue_Build!AO10&gt;=Assumptions!$F$270*Assumptions!$B$51)),Assumptions!$D$270,0)</f>
        <v/>
      </c>
      <c r="AP55" s="41">
        <f>IF(OR(AO55&gt;0,AND(AP$3&gt;=Assumptions!$E$270,AP$3&gt;=Assumptions!$B$14,Revenue_Build!AP10&gt;=Assumptions!$F$270*Assumptions!$B$51)),Assumptions!$D$270,0)</f>
        <v/>
      </c>
      <c r="AQ55" s="41">
        <f>IF(OR(AP55&gt;0,AND(AQ$3&gt;=Assumptions!$E$270,AQ$3&gt;=Assumptions!$B$14,Revenue_Build!AQ10&gt;=Assumptions!$F$270*Assumptions!$B$51)),Assumptions!$D$270,0)</f>
        <v/>
      </c>
      <c r="AR55" s="41">
        <f>IF(OR(AQ55&gt;0,AND(AR$3&gt;=Assumptions!$E$270,AR$3&gt;=Assumptions!$B$14,Revenue_Build!AR10&gt;=Assumptions!$F$270*Assumptions!$B$51)),Assumptions!$D$270,0)</f>
        <v/>
      </c>
      <c r="AS55" s="41">
        <f>IF(OR(AR55&gt;0,AND(AS$3&gt;=Assumptions!$E$270,AS$3&gt;=Assumptions!$B$14,Revenue_Build!AS10&gt;=Assumptions!$F$270*Assumptions!$B$51)),Assumptions!$D$270,0)</f>
        <v/>
      </c>
      <c r="AT55" s="41">
        <f>IF(OR(AS55&gt;0,AND(AT$3&gt;=Assumptions!$E$270,AT$3&gt;=Assumptions!$B$14,Revenue_Build!AT10&gt;=Assumptions!$F$270*Assumptions!$B$51)),Assumptions!$D$270,0)</f>
        <v/>
      </c>
      <c r="AU55" s="41">
        <f>IF(OR(AT55&gt;0,AND(AU$3&gt;=Assumptions!$E$270,AU$3&gt;=Assumptions!$B$14,Revenue_Build!AU10&gt;=Assumptions!$F$270*Assumptions!$B$51)),Assumptions!$D$270,0)</f>
        <v/>
      </c>
      <c r="AV55" s="41">
        <f>IF(OR(AU55&gt;0,AND(AV$3&gt;=Assumptions!$E$270,AV$3&gt;=Assumptions!$B$14,Revenue_Build!AV10&gt;=Assumptions!$F$270*Assumptions!$B$51)),Assumptions!$D$270,0)</f>
        <v/>
      </c>
      <c r="AW55" s="41">
        <f>IF(OR(AV55&gt;0,AND(AW$3&gt;=Assumptions!$E$270,AW$3&gt;=Assumptions!$B$14,Revenue_Build!AW10&gt;=Assumptions!$F$270*Assumptions!$B$51)),Assumptions!$D$270,0)</f>
        <v/>
      </c>
      <c r="AX55" s="41">
        <f>IF(OR(AW55&gt;0,AND(AX$3&gt;=Assumptions!$E$270,AX$3&gt;=Assumptions!$B$14,Revenue_Build!AX10&gt;=Assumptions!$F$270*Assumptions!$B$51)),Assumptions!$D$270,0)</f>
        <v/>
      </c>
      <c r="AY55" s="41">
        <f>IF(OR(AX55&gt;0,AND(AY$3&gt;=Assumptions!$E$270,AY$3&gt;=Assumptions!$B$14,Revenue_Build!AY10&gt;=Assumptions!$F$270*Assumptions!$B$51)),Assumptions!$D$270,0)</f>
        <v/>
      </c>
      <c r="AZ55" s="41">
        <f>IF(OR(AY55&gt;0,AND(AZ$3&gt;=Assumptions!$E$270,AZ$3&gt;=Assumptions!$B$14,Revenue_Build!AZ10&gt;=Assumptions!$F$270*Assumptions!$B$51)),Assumptions!$D$270,0)</f>
        <v/>
      </c>
      <c r="BA55" s="41">
        <f>IF(OR(AZ55&gt;0,AND(BA$3&gt;=Assumptions!$E$270,BA$3&gt;=Assumptions!$B$14,Revenue_Build!BA10&gt;=Assumptions!$F$270*Assumptions!$B$51)),Assumptions!$D$270,0)</f>
        <v/>
      </c>
      <c r="BB55" s="41">
        <f>IF(OR(BA55&gt;0,AND(BB$3&gt;=Assumptions!$E$270,BB$3&gt;=Assumptions!$B$14,Revenue_Build!BB10&gt;=Assumptions!$F$270*Assumptions!$B$51)),Assumptions!$D$270,0)</f>
        <v/>
      </c>
      <c r="BC55" s="41">
        <f>IF(OR(BB55&gt;0,AND(BC$3&gt;=Assumptions!$E$270,BC$3&gt;=Assumptions!$B$14,Revenue_Build!BC10&gt;=Assumptions!$F$270*Assumptions!$B$51)),Assumptions!$D$270,0)</f>
        <v/>
      </c>
      <c r="BD55" s="41">
        <f>IF(OR(BC55&gt;0,AND(BD$3&gt;=Assumptions!$E$270,BD$3&gt;=Assumptions!$B$14,Revenue_Build!BD10&gt;=Assumptions!$F$270*Assumptions!$B$51)),Assumptions!$D$270,0)</f>
        <v/>
      </c>
      <c r="BE55" s="41">
        <f>IF(OR(BD55&gt;0,AND(BE$3&gt;=Assumptions!$E$270,BE$3&gt;=Assumptions!$B$14,Revenue_Build!BE10&gt;=Assumptions!$F$270*Assumptions!$B$51)),Assumptions!$D$270,0)</f>
        <v/>
      </c>
      <c r="BF55" s="41">
        <f>IF(OR(BE55&gt;0,AND(BF$3&gt;=Assumptions!$E$270,BF$3&gt;=Assumptions!$B$14,Revenue_Build!BF10&gt;=Assumptions!$F$270*Assumptions!$B$51)),Assumptions!$D$270,0)</f>
        <v/>
      </c>
      <c r="BG55" s="41">
        <f>IF(OR(BF55&gt;0,AND(BG$3&gt;=Assumptions!$E$270,BG$3&gt;=Assumptions!$B$14,Revenue_Build!BG10&gt;=Assumptions!$F$270*Assumptions!$B$51)),Assumptions!$D$270,0)</f>
        <v/>
      </c>
      <c r="BH55" s="41">
        <f>IF(OR(BG55&gt;0,AND(BH$3&gt;=Assumptions!$E$270,BH$3&gt;=Assumptions!$B$14,Revenue_Build!BH10&gt;=Assumptions!$F$270*Assumptions!$B$51)),Assumptions!$D$270,0)</f>
        <v/>
      </c>
      <c r="BI55" s="41">
        <f>IF(OR(BH55&gt;0,AND(BI$3&gt;=Assumptions!$E$270,BI$3&gt;=Assumptions!$B$14,Revenue_Build!BI10&gt;=Assumptions!$F$270*Assumptions!$B$51)),Assumptions!$D$270,0)</f>
        <v/>
      </c>
      <c r="BJ55" s="41">
        <f>IF(OR(BI55&gt;0,AND(BJ$3&gt;=Assumptions!$E$270,BJ$3&gt;=Assumptions!$B$14,Revenue_Build!BJ10&gt;=Assumptions!$F$270*Assumptions!$B$51)),Assumptions!$D$270,0)</f>
        <v/>
      </c>
    </row>
    <row r="56">
      <c r="A56" s="4" t="inlineStr">
        <is>
          <t>Finance, legal &amp; people team expansion</t>
        </is>
      </c>
      <c r="B56" s="17" t="inlineStr">
        <is>
          <t>FTE</t>
        </is>
      </c>
      <c r="C56" s="41">
        <f>IF(AND(C$3&gt;=Assumptions!$E$271,C$3&gt;=Assumptions!$B$14,Revenue_Build!C10&gt;=Assumptions!$F$271*Assumptions!$B$51),Assumptions!$D$271,0)</f>
        <v/>
      </c>
      <c r="D56" s="41">
        <f>IF(OR(C56&gt;0,AND(D$3&gt;=Assumptions!$E$271,D$3&gt;=Assumptions!$B$14,Revenue_Build!D10&gt;=Assumptions!$F$271*Assumptions!$B$51)),Assumptions!$D$271,0)</f>
        <v/>
      </c>
      <c r="E56" s="41">
        <f>IF(OR(D56&gt;0,AND(E$3&gt;=Assumptions!$E$271,E$3&gt;=Assumptions!$B$14,Revenue_Build!E10&gt;=Assumptions!$F$271*Assumptions!$B$51)),Assumptions!$D$271,0)</f>
        <v/>
      </c>
      <c r="F56" s="41">
        <f>IF(OR(E56&gt;0,AND(F$3&gt;=Assumptions!$E$271,F$3&gt;=Assumptions!$B$14,Revenue_Build!F10&gt;=Assumptions!$F$271*Assumptions!$B$51)),Assumptions!$D$271,0)</f>
        <v/>
      </c>
      <c r="G56" s="41">
        <f>IF(OR(F56&gt;0,AND(G$3&gt;=Assumptions!$E$271,G$3&gt;=Assumptions!$B$14,Revenue_Build!G10&gt;=Assumptions!$F$271*Assumptions!$B$51)),Assumptions!$D$271,0)</f>
        <v/>
      </c>
      <c r="H56" s="41">
        <f>IF(OR(G56&gt;0,AND(H$3&gt;=Assumptions!$E$271,H$3&gt;=Assumptions!$B$14,Revenue_Build!H10&gt;=Assumptions!$F$271*Assumptions!$B$51)),Assumptions!$D$271,0)</f>
        <v/>
      </c>
      <c r="I56" s="41">
        <f>IF(OR(H56&gt;0,AND(I$3&gt;=Assumptions!$E$271,I$3&gt;=Assumptions!$B$14,Revenue_Build!I10&gt;=Assumptions!$F$271*Assumptions!$B$51)),Assumptions!$D$271,0)</f>
        <v/>
      </c>
      <c r="J56" s="41">
        <f>IF(OR(I56&gt;0,AND(J$3&gt;=Assumptions!$E$271,J$3&gt;=Assumptions!$B$14,Revenue_Build!J10&gt;=Assumptions!$F$271*Assumptions!$B$51)),Assumptions!$D$271,0)</f>
        <v/>
      </c>
      <c r="K56" s="41">
        <f>IF(OR(J56&gt;0,AND(K$3&gt;=Assumptions!$E$271,K$3&gt;=Assumptions!$B$14,Revenue_Build!K10&gt;=Assumptions!$F$271*Assumptions!$B$51)),Assumptions!$D$271,0)</f>
        <v/>
      </c>
      <c r="L56" s="41">
        <f>IF(OR(K56&gt;0,AND(L$3&gt;=Assumptions!$E$271,L$3&gt;=Assumptions!$B$14,Revenue_Build!L10&gt;=Assumptions!$F$271*Assumptions!$B$51)),Assumptions!$D$271,0)</f>
        <v/>
      </c>
      <c r="M56" s="41">
        <f>IF(OR(L56&gt;0,AND(M$3&gt;=Assumptions!$E$271,M$3&gt;=Assumptions!$B$14,Revenue_Build!M10&gt;=Assumptions!$F$271*Assumptions!$B$51)),Assumptions!$D$271,0)</f>
        <v/>
      </c>
      <c r="N56" s="41">
        <f>IF(OR(M56&gt;0,AND(N$3&gt;=Assumptions!$E$271,N$3&gt;=Assumptions!$B$14,Revenue_Build!N10&gt;=Assumptions!$F$271*Assumptions!$B$51)),Assumptions!$D$271,0)</f>
        <v/>
      </c>
      <c r="O56" s="41">
        <f>IF(OR(N56&gt;0,AND(O$3&gt;=Assumptions!$E$271,O$3&gt;=Assumptions!$B$14,Revenue_Build!O10&gt;=Assumptions!$F$271*Assumptions!$B$51)),Assumptions!$D$271,0)</f>
        <v/>
      </c>
      <c r="P56" s="41">
        <f>IF(OR(O56&gt;0,AND(P$3&gt;=Assumptions!$E$271,P$3&gt;=Assumptions!$B$14,Revenue_Build!P10&gt;=Assumptions!$F$271*Assumptions!$B$51)),Assumptions!$D$271,0)</f>
        <v/>
      </c>
      <c r="Q56" s="41">
        <f>IF(OR(P56&gt;0,AND(Q$3&gt;=Assumptions!$E$271,Q$3&gt;=Assumptions!$B$14,Revenue_Build!Q10&gt;=Assumptions!$F$271*Assumptions!$B$51)),Assumptions!$D$271,0)</f>
        <v/>
      </c>
      <c r="R56" s="41">
        <f>IF(OR(Q56&gt;0,AND(R$3&gt;=Assumptions!$E$271,R$3&gt;=Assumptions!$B$14,Revenue_Build!R10&gt;=Assumptions!$F$271*Assumptions!$B$51)),Assumptions!$D$271,0)</f>
        <v/>
      </c>
      <c r="S56" s="41">
        <f>IF(OR(R56&gt;0,AND(S$3&gt;=Assumptions!$E$271,S$3&gt;=Assumptions!$B$14,Revenue_Build!S10&gt;=Assumptions!$F$271*Assumptions!$B$51)),Assumptions!$D$271,0)</f>
        <v/>
      </c>
      <c r="T56" s="41">
        <f>IF(OR(S56&gt;0,AND(T$3&gt;=Assumptions!$E$271,T$3&gt;=Assumptions!$B$14,Revenue_Build!T10&gt;=Assumptions!$F$271*Assumptions!$B$51)),Assumptions!$D$271,0)</f>
        <v/>
      </c>
      <c r="U56" s="41">
        <f>IF(OR(T56&gt;0,AND(U$3&gt;=Assumptions!$E$271,U$3&gt;=Assumptions!$B$14,Revenue_Build!U10&gt;=Assumptions!$F$271*Assumptions!$B$51)),Assumptions!$D$271,0)</f>
        <v/>
      </c>
      <c r="V56" s="41">
        <f>IF(OR(U56&gt;0,AND(V$3&gt;=Assumptions!$E$271,V$3&gt;=Assumptions!$B$14,Revenue_Build!V10&gt;=Assumptions!$F$271*Assumptions!$B$51)),Assumptions!$D$271,0)</f>
        <v/>
      </c>
      <c r="W56" s="41">
        <f>IF(OR(V56&gt;0,AND(W$3&gt;=Assumptions!$E$271,W$3&gt;=Assumptions!$B$14,Revenue_Build!W10&gt;=Assumptions!$F$271*Assumptions!$B$51)),Assumptions!$D$271,0)</f>
        <v/>
      </c>
      <c r="X56" s="41">
        <f>IF(OR(W56&gt;0,AND(X$3&gt;=Assumptions!$E$271,X$3&gt;=Assumptions!$B$14,Revenue_Build!X10&gt;=Assumptions!$F$271*Assumptions!$B$51)),Assumptions!$D$271,0)</f>
        <v/>
      </c>
      <c r="Y56" s="41">
        <f>IF(OR(X56&gt;0,AND(Y$3&gt;=Assumptions!$E$271,Y$3&gt;=Assumptions!$B$14,Revenue_Build!Y10&gt;=Assumptions!$F$271*Assumptions!$B$51)),Assumptions!$D$271,0)</f>
        <v/>
      </c>
      <c r="Z56" s="41">
        <f>IF(OR(Y56&gt;0,AND(Z$3&gt;=Assumptions!$E$271,Z$3&gt;=Assumptions!$B$14,Revenue_Build!Z10&gt;=Assumptions!$F$271*Assumptions!$B$51)),Assumptions!$D$271,0)</f>
        <v/>
      </c>
      <c r="AA56" s="41">
        <f>IF(OR(Z56&gt;0,AND(AA$3&gt;=Assumptions!$E$271,AA$3&gt;=Assumptions!$B$14,Revenue_Build!AA10&gt;=Assumptions!$F$271*Assumptions!$B$51)),Assumptions!$D$271,0)</f>
        <v/>
      </c>
      <c r="AB56" s="41">
        <f>IF(OR(AA56&gt;0,AND(AB$3&gt;=Assumptions!$E$271,AB$3&gt;=Assumptions!$B$14,Revenue_Build!AB10&gt;=Assumptions!$F$271*Assumptions!$B$51)),Assumptions!$D$271,0)</f>
        <v/>
      </c>
      <c r="AC56" s="41">
        <f>IF(OR(AB56&gt;0,AND(AC$3&gt;=Assumptions!$E$271,AC$3&gt;=Assumptions!$B$14,Revenue_Build!AC10&gt;=Assumptions!$F$271*Assumptions!$B$51)),Assumptions!$D$271,0)</f>
        <v/>
      </c>
      <c r="AD56" s="41">
        <f>IF(OR(AC56&gt;0,AND(AD$3&gt;=Assumptions!$E$271,AD$3&gt;=Assumptions!$B$14,Revenue_Build!AD10&gt;=Assumptions!$F$271*Assumptions!$B$51)),Assumptions!$D$271,0)</f>
        <v/>
      </c>
      <c r="AE56" s="41">
        <f>IF(OR(AD56&gt;0,AND(AE$3&gt;=Assumptions!$E$271,AE$3&gt;=Assumptions!$B$14,Revenue_Build!AE10&gt;=Assumptions!$F$271*Assumptions!$B$51)),Assumptions!$D$271,0)</f>
        <v/>
      </c>
      <c r="AF56" s="41">
        <f>IF(OR(AE56&gt;0,AND(AF$3&gt;=Assumptions!$E$271,AF$3&gt;=Assumptions!$B$14,Revenue_Build!AF10&gt;=Assumptions!$F$271*Assumptions!$B$51)),Assumptions!$D$271,0)</f>
        <v/>
      </c>
      <c r="AG56" s="41">
        <f>IF(OR(AF56&gt;0,AND(AG$3&gt;=Assumptions!$E$271,AG$3&gt;=Assumptions!$B$14,Revenue_Build!AG10&gt;=Assumptions!$F$271*Assumptions!$B$51)),Assumptions!$D$271,0)</f>
        <v/>
      </c>
      <c r="AH56" s="41">
        <f>IF(OR(AG56&gt;0,AND(AH$3&gt;=Assumptions!$E$271,AH$3&gt;=Assumptions!$B$14,Revenue_Build!AH10&gt;=Assumptions!$F$271*Assumptions!$B$51)),Assumptions!$D$271,0)</f>
        <v/>
      </c>
      <c r="AI56" s="41">
        <f>IF(OR(AH56&gt;0,AND(AI$3&gt;=Assumptions!$E$271,AI$3&gt;=Assumptions!$B$14,Revenue_Build!AI10&gt;=Assumptions!$F$271*Assumptions!$B$51)),Assumptions!$D$271,0)</f>
        <v/>
      </c>
      <c r="AJ56" s="41">
        <f>IF(OR(AI56&gt;0,AND(AJ$3&gt;=Assumptions!$E$271,AJ$3&gt;=Assumptions!$B$14,Revenue_Build!AJ10&gt;=Assumptions!$F$271*Assumptions!$B$51)),Assumptions!$D$271,0)</f>
        <v/>
      </c>
      <c r="AK56" s="41">
        <f>IF(OR(AJ56&gt;0,AND(AK$3&gt;=Assumptions!$E$271,AK$3&gt;=Assumptions!$B$14,Revenue_Build!AK10&gt;=Assumptions!$F$271*Assumptions!$B$51)),Assumptions!$D$271,0)</f>
        <v/>
      </c>
      <c r="AL56" s="41">
        <f>IF(OR(AK56&gt;0,AND(AL$3&gt;=Assumptions!$E$271,AL$3&gt;=Assumptions!$B$14,Revenue_Build!AL10&gt;=Assumptions!$F$271*Assumptions!$B$51)),Assumptions!$D$271,0)</f>
        <v/>
      </c>
      <c r="AM56" s="41">
        <f>IF(OR(AL56&gt;0,AND(AM$3&gt;=Assumptions!$E$271,AM$3&gt;=Assumptions!$B$14,Revenue_Build!AM10&gt;=Assumptions!$F$271*Assumptions!$B$51)),Assumptions!$D$271,0)</f>
        <v/>
      </c>
      <c r="AN56" s="41">
        <f>IF(OR(AM56&gt;0,AND(AN$3&gt;=Assumptions!$E$271,AN$3&gt;=Assumptions!$B$14,Revenue_Build!AN10&gt;=Assumptions!$F$271*Assumptions!$B$51)),Assumptions!$D$271,0)</f>
        <v/>
      </c>
      <c r="AO56" s="41">
        <f>IF(OR(AN56&gt;0,AND(AO$3&gt;=Assumptions!$E$271,AO$3&gt;=Assumptions!$B$14,Revenue_Build!AO10&gt;=Assumptions!$F$271*Assumptions!$B$51)),Assumptions!$D$271,0)</f>
        <v/>
      </c>
      <c r="AP56" s="41">
        <f>IF(OR(AO56&gt;0,AND(AP$3&gt;=Assumptions!$E$271,AP$3&gt;=Assumptions!$B$14,Revenue_Build!AP10&gt;=Assumptions!$F$271*Assumptions!$B$51)),Assumptions!$D$271,0)</f>
        <v/>
      </c>
      <c r="AQ56" s="41">
        <f>IF(OR(AP56&gt;0,AND(AQ$3&gt;=Assumptions!$E$271,AQ$3&gt;=Assumptions!$B$14,Revenue_Build!AQ10&gt;=Assumptions!$F$271*Assumptions!$B$51)),Assumptions!$D$271,0)</f>
        <v/>
      </c>
      <c r="AR56" s="41">
        <f>IF(OR(AQ56&gt;0,AND(AR$3&gt;=Assumptions!$E$271,AR$3&gt;=Assumptions!$B$14,Revenue_Build!AR10&gt;=Assumptions!$F$271*Assumptions!$B$51)),Assumptions!$D$271,0)</f>
        <v/>
      </c>
      <c r="AS56" s="41">
        <f>IF(OR(AR56&gt;0,AND(AS$3&gt;=Assumptions!$E$271,AS$3&gt;=Assumptions!$B$14,Revenue_Build!AS10&gt;=Assumptions!$F$271*Assumptions!$B$51)),Assumptions!$D$271,0)</f>
        <v/>
      </c>
      <c r="AT56" s="41">
        <f>IF(OR(AS56&gt;0,AND(AT$3&gt;=Assumptions!$E$271,AT$3&gt;=Assumptions!$B$14,Revenue_Build!AT10&gt;=Assumptions!$F$271*Assumptions!$B$51)),Assumptions!$D$271,0)</f>
        <v/>
      </c>
      <c r="AU56" s="41">
        <f>IF(OR(AT56&gt;0,AND(AU$3&gt;=Assumptions!$E$271,AU$3&gt;=Assumptions!$B$14,Revenue_Build!AU10&gt;=Assumptions!$F$271*Assumptions!$B$51)),Assumptions!$D$271,0)</f>
        <v/>
      </c>
      <c r="AV56" s="41">
        <f>IF(OR(AU56&gt;0,AND(AV$3&gt;=Assumptions!$E$271,AV$3&gt;=Assumptions!$B$14,Revenue_Build!AV10&gt;=Assumptions!$F$271*Assumptions!$B$51)),Assumptions!$D$271,0)</f>
        <v/>
      </c>
      <c r="AW56" s="41">
        <f>IF(OR(AV56&gt;0,AND(AW$3&gt;=Assumptions!$E$271,AW$3&gt;=Assumptions!$B$14,Revenue_Build!AW10&gt;=Assumptions!$F$271*Assumptions!$B$51)),Assumptions!$D$271,0)</f>
        <v/>
      </c>
      <c r="AX56" s="41">
        <f>IF(OR(AW56&gt;0,AND(AX$3&gt;=Assumptions!$E$271,AX$3&gt;=Assumptions!$B$14,Revenue_Build!AX10&gt;=Assumptions!$F$271*Assumptions!$B$51)),Assumptions!$D$271,0)</f>
        <v/>
      </c>
      <c r="AY56" s="41">
        <f>IF(OR(AX56&gt;0,AND(AY$3&gt;=Assumptions!$E$271,AY$3&gt;=Assumptions!$B$14,Revenue_Build!AY10&gt;=Assumptions!$F$271*Assumptions!$B$51)),Assumptions!$D$271,0)</f>
        <v/>
      </c>
      <c r="AZ56" s="41">
        <f>IF(OR(AY56&gt;0,AND(AZ$3&gt;=Assumptions!$E$271,AZ$3&gt;=Assumptions!$B$14,Revenue_Build!AZ10&gt;=Assumptions!$F$271*Assumptions!$B$51)),Assumptions!$D$271,0)</f>
        <v/>
      </c>
      <c r="BA56" s="41">
        <f>IF(OR(AZ56&gt;0,AND(BA$3&gt;=Assumptions!$E$271,BA$3&gt;=Assumptions!$B$14,Revenue_Build!BA10&gt;=Assumptions!$F$271*Assumptions!$B$51)),Assumptions!$D$271,0)</f>
        <v/>
      </c>
      <c r="BB56" s="41">
        <f>IF(OR(BA56&gt;0,AND(BB$3&gt;=Assumptions!$E$271,BB$3&gt;=Assumptions!$B$14,Revenue_Build!BB10&gt;=Assumptions!$F$271*Assumptions!$B$51)),Assumptions!$D$271,0)</f>
        <v/>
      </c>
      <c r="BC56" s="41">
        <f>IF(OR(BB56&gt;0,AND(BC$3&gt;=Assumptions!$E$271,BC$3&gt;=Assumptions!$B$14,Revenue_Build!BC10&gt;=Assumptions!$F$271*Assumptions!$B$51)),Assumptions!$D$271,0)</f>
        <v/>
      </c>
      <c r="BD56" s="41">
        <f>IF(OR(BC56&gt;0,AND(BD$3&gt;=Assumptions!$E$271,BD$3&gt;=Assumptions!$B$14,Revenue_Build!BD10&gt;=Assumptions!$F$271*Assumptions!$B$51)),Assumptions!$D$271,0)</f>
        <v/>
      </c>
      <c r="BE56" s="41">
        <f>IF(OR(BD56&gt;0,AND(BE$3&gt;=Assumptions!$E$271,BE$3&gt;=Assumptions!$B$14,Revenue_Build!BE10&gt;=Assumptions!$F$271*Assumptions!$B$51)),Assumptions!$D$271,0)</f>
        <v/>
      </c>
      <c r="BF56" s="41">
        <f>IF(OR(BE56&gt;0,AND(BF$3&gt;=Assumptions!$E$271,BF$3&gt;=Assumptions!$B$14,Revenue_Build!BF10&gt;=Assumptions!$F$271*Assumptions!$B$51)),Assumptions!$D$271,0)</f>
        <v/>
      </c>
      <c r="BG56" s="41">
        <f>IF(OR(BF56&gt;0,AND(BG$3&gt;=Assumptions!$E$271,BG$3&gt;=Assumptions!$B$14,Revenue_Build!BG10&gt;=Assumptions!$F$271*Assumptions!$B$51)),Assumptions!$D$271,0)</f>
        <v/>
      </c>
      <c r="BH56" s="41">
        <f>IF(OR(BG56&gt;0,AND(BH$3&gt;=Assumptions!$E$271,BH$3&gt;=Assumptions!$B$14,Revenue_Build!BH10&gt;=Assumptions!$F$271*Assumptions!$B$51)),Assumptions!$D$271,0)</f>
        <v/>
      </c>
      <c r="BI56" s="41">
        <f>IF(OR(BH56&gt;0,AND(BI$3&gt;=Assumptions!$E$271,BI$3&gt;=Assumptions!$B$14,Revenue_Build!BI10&gt;=Assumptions!$F$271*Assumptions!$B$51)),Assumptions!$D$271,0)</f>
        <v/>
      </c>
      <c r="BJ56" s="41">
        <f>IF(OR(BI56&gt;0,AND(BJ$3&gt;=Assumptions!$E$271,BJ$3&gt;=Assumptions!$B$14,Revenue_Build!BJ10&gt;=Assumptions!$F$271*Assumptions!$B$51)),Assumptions!$D$271,0)</f>
        <v/>
      </c>
    </row>
    <row r="57">
      <c r="A57" s="4" t="inlineStr">
        <is>
          <t>Country lead: Nigeria</t>
        </is>
      </c>
      <c r="B57" s="17" t="inlineStr">
        <is>
          <t>FTE</t>
        </is>
      </c>
      <c r="C57" s="41">
        <f>IF(Revenue_Build!C14=1,Assumptions!$D$272,0)</f>
        <v/>
      </c>
      <c r="D57" s="41">
        <f>IF(Revenue_Build!D14=1,Assumptions!$D$272,0)</f>
        <v/>
      </c>
      <c r="E57" s="41">
        <f>IF(Revenue_Build!E14=1,Assumptions!$D$272,0)</f>
        <v/>
      </c>
      <c r="F57" s="41">
        <f>IF(Revenue_Build!F14=1,Assumptions!$D$272,0)</f>
        <v/>
      </c>
      <c r="G57" s="41">
        <f>IF(Revenue_Build!G14=1,Assumptions!$D$272,0)</f>
        <v/>
      </c>
      <c r="H57" s="41">
        <f>IF(Revenue_Build!H14=1,Assumptions!$D$272,0)</f>
        <v/>
      </c>
      <c r="I57" s="41">
        <f>IF(Revenue_Build!I14=1,Assumptions!$D$272,0)</f>
        <v/>
      </c>
      <c r="J57" s="41">
        <f>IF(Revenue_Build!J14=1,Assumptions!$D$272,0)</f>
        <v/>
      </c>
      <c r="K57" s="41">
        <f>IF(Revenue_Build!K14=1,Assumptions!$D$272,0)</f>
        <v/>
      </c>
      <c r="L57" s="41">
        <f>IF(Revenue_Build!L14=1,Assumptions!$D$272,0)</f>
        <v/>
      </c>
      <c r="M57" s="41">
        <f>IF(Revenue_Build!M14=1,Assumptions!$D$272,0)</f>
        <v/>
      </c>
      <c r="N57" s="41">
        <f>IF(Revenue_Build!N14=1,Assumptions!$D$272,0)</f>
        <v/>
      </c>
      <c r="O57" s="41">
        <f>IF(Revenue_Build!O14=1,Assumptions!$D$272,0)</f>
        <v/>
      </c>
      <c r="P57" s="41">
        <f>IF(Revenue_Build!P14=1,Assumptions!$D$272,0)</f>
        <v/>
      </c>
      <c r="Q57" s="41">
        <f>IF(Revenue_Build!Q14=1,Assumptions!$D$272,0)</f>
        <v/>
      </c>
      <c r="R57" s="41">
        <f>IF(Revenue_Build!R14=1,Assumptions!$D$272,0)</f>
        <v/>
      </c>
      <c r="S57" s="41">
        <f>IF(Revenue_Build!S14=1,Assumptions!$D$272,0)</f>
        <v/>
      </c>
      <c r="T57" s="41">
        <f>IF(Revenue_Build!T14=1,Assumptions!$D$272,0)</f>
        <v/>
      </c>
      <c r="U57" s="41">
        <f>IF(Revenue_Build!U14=1,Assumptions!$D$272,0)</f>
        <v/>
      </c>
      <c r="V57" s="41">
        <f>IF(Revenue_Build!V14=1,Assumptions!$D$272,0)</f>
        <v/>
      </c>
      <c r="W57" s="41">
        <f>IF(Revenue_Build!W14=1,Assumptions!$D$272,0)</f>
        <v/>
      </c>
      <c r="X57" s="41">
        <f>IF(Revenue_Build!X14=1,Assumptions!$D$272,0)</f>
        <v/>
      </c>
      <c r="Y57" s="41">
        <f>IF(Revenue_Build!Y14=1,Assumptions!$D$272,0)</f>
        <v/>
      </c>
      <c r="Z57" s="41">
        <f>IF(Revenue_Build!Z14=1,Assumptions!$D$272,0)</f>
        <v/>
      </c>
      <c r="AA57" s="41">
        <f>IF(Revenue_Build!AA14=1,Assumptions!$D$272,0)</f>
        <v/>
      </c>
      <c r="AB57" s="41">
        <f>IF(Revenue_Build!AB14=1,Assumptions!$D$272,0)</f>
        <v/>
      </c>
      <c r="AC57" s="41">
        <f>IF(Revenue_Build!AC14=1,Assumptions!$D$272,0)</f>
        <v/>
      </c>
      <c r="AD57" s="41">
        <f>IF(Revenue_Build!AD14=1,Assumptions!$D$272,0)</f>
        <v/>
      </c>
      <c r="AE57" s="41">
        <f>IF(Revenue_Build!AE14=1,Assumptions!$D$272,0)</f>
        <v/>
      </c>
      <c r="AF57" s="41">
        <f>IF(Revenue_Build!AF14=1,Assumptions!$D$272,0)</f>
        <v/>
      </c>
      <c r="AG57" s="41">
        <f>IF(Revenue_Build!AG14=1,Assumptions!$D$272,0)</f>
        <v/>
      </c>
      <c r="AH57" s="41">
        <f>IF(Revenue_Build!AH14=1,Assumptions!$D$272,0)</f>
        <v/>
      </c>
      <c r="AI57" s="41">
        <f>IF(Revenue_Build!AI14=1,Assumptions!$D$272,0)</f>
        <v/>
      </c>
      <c r="AJ57" s="41">
        <f>IF(Revenue_Build!AJ14=1,Assumptions!$D$272,0)</f>
        <v/>
      </c>
      <c r="AK57" s="41">
        <f>IF(Revenue_Build!AK14=1,Assumptions!$D$272,0)</f>
        <v/>
      </c>
      <c r="AL57" s="41">
        <f>IF(Revenue_Build!AL14=1,Assumptions!$D$272,0)</f>
        <v/>
      </c>
      <c r="AM57" s="41">
        <f>IF(Revenue_Build!AM14=1,Assumptions!$D$272,0)</f>
        <v/>
      </c>
      <c r="AN57" s="41">
        <f>IF(Revenue_Build!AN14=1,Assumptions!$D$272,0)</f>
        <v/>
      </c>
      <c r="AO57" s="41">
        <f>IF(Revenue_Build!AO14=1,Assumptions!$D$272,0)</f>
        <v/>
      </c>
      <c r="AP57" s="41">
        <f>IF(Revenue_Build!AP14=1,Assumptions!$D$272,0)</f>
        <v/>
      </c>
      <c r="AQ57" s="41">
        <f>IF(Revenue_Build!AQ14=1,Assumptions!$D$272,0)</f>
        <v/>
      </c>
      <c r="AR57" s="41">
        <f>IF(Revenue_Build!AR14=1,Assumptions!$D$272,0)</f>
        <v/>
      </c>
      <c r="AS57" s="41">
        <f>IF(Revenue_Build!AS14=1,Assumptions!$D$272,0)</f>
        <v/>
      </c>
      <c r="AT57" s="41">
        <f>IF(Revenue_Build!AT14=1,Assumptions!$D$272,0)</f>
        <v/>
      </c>
      <c r="AU57" s="41">
        <f>IF(Revenue_Build!AU14=1,Assumptions!$D$272,0)</f>
        <v/>
      </c>
      <c r="AV57" s="41">
        <f>IF(Revenue_Build!AV14=1,Assumptions!$D$272,0)</f>
        <v/>
      </c>
      <c r="AW57" s="41">
        <f>IF(Revenue_Build!AW14=1,Assumptions!$D$272,0)</f>
        <v/>
      </c>
      <c r="AX57" s="41">
        <f>IF(Revenue_Build!AX14=1,Assumptions!$D$272,0)</f>
        <v/>
      </c>
      <c r="AY57" s="41">
        <f>IF(Revenue_Build!AY14=1,Assumptions!$D$272,0)</f>
        <v/>
      </c>
      <c r="AZ57" s="41">
        <f>IF(Revenue_Build!AZ14=1,Assumptions!$D$272,0)</f>
        <v/>
      </c>
      <c r="BA57" s="41">
        <f>IF(Revenue_Build!BA14=1,Assumptions!$D$272,0)</f>
        <v/>
      </c>
      <c r="BB57" s="41">
        <f>IF(Revenue_Build!BB14=1,Assumptions!$D$272,0)</f>
        <v/>
      </c>
      <c r="BC57" s="41">
        <f>IF(Revenue_Build!BC14=1,Assumptions!$D$272,0)</f>
        <v/>
      </c>
      <c r="BD57" s="41">
        <f>IF(Revenue_Build!BD14=1,Assumptions!$D$272,0)</f>
        <v/>
      </c>
      <c r="BE57" s="41">
        <f>IF(Revenue_Build!BE14=1,Assumptions!$D$272,0)</f>
        <v/>
      </c>
      <c r="BF57" s="41">
        <f>IF(Revenue_Build!BF14=1,Assumptions!$D$272,0)</f>
        <v/>
      </c>
      <c r="BG57" s="41">
        <f>IF(Revenue_Build!BG14=1,Assumptions!$D$272,0)</f>
        <v/>
      </c>
      <c r="BH57" s="41">
        <f>IF(Revenue_Build!BH14=1,Assumptions!$D$272,0)</f>
        <v/>
      </c>
      <c r="BI57" s="41">
        <f>IF(Revenue_Build!BI14=1,Assumptions!$D$272,0)</f>
        <v/>
      </c>
      <c r="BJ57" s="41">
        <f>IF(Revenue_Build!BJ14=1,Assumptions!$D$272,0)</f>
        <v/>
      </c>
    </row>
    <row r="58">
      <c r="A58" s="4" t="inlineStr">
        <is>
          <t>Nigeria sales &amp; CS</t>
        </is>
      </c>
      <c r="B58" s="17" t="inlineStr">
        <is>
          <t>FTE</t>
        </is>
      </c>
      <c r="C58" s="41">
        <f>IF(Revenue_Build!C15=1,Assumptions!$D$273,0)</f>
        <v/>
      </c>
      <c r="D58" s="41">
        <f>IF(Revenue_Build!D15=1,Assumptions!$D$273,0)</f>
        <v/>
      </c>
      <c r="E58" s="41">
        <f>IF(Revenue_Build!E15=1,Assumptions!$D$273,0)</f>
        <v/>
      </c>
      <c r="F58" s="41">
        <f>IF(Revenue_Build!F15=1,Assumptions!$D$273,0)</f>
        <v/>
      </c>
      <c r="G58" s="41">
        <f>IF(Revenue_Build!G15=1,Assumptions!$D$273,0)</f>
        <v/>
      </c>
      <c r="H58" s="41">
        <f>IF(Revenue_Build!H15=1,Assumptions!$D$273,0)</f>
        <v/>
      </c>
      <c r="I58" s="41">
        <f>IF(Revenue_Build!I15=1,Assumptions!$D$273,0)</f>
        <v/>
      </c>
      <c r="J58" s="41">
        <f>IF(Revenue_Build!J15=1,Assumptions!$D$273,0)</f>
        <v/>
      </c>
      <c r="K58" s="41">
        <f>IF(Revenue_Build!K15=1,Assumptions!$D$273,0)</f>
        <v/>
      </c>
      <c r="L58" s="41">
        <f>IF(Revenue_Build!L15=1,Assumptions!$D$273,0)</f>
        <v/>
      </c>
      <c r="M58" s="41">
        <f>IF(Revenue_Build!M15=1,Assumptions!$D$273,0)</f>
        <v/>
      </c>
      <c r="N58" s="41">
        <f>IF(Revenue_Build!N15=1,Assumptions!$D$273,0)</f>
        <v/>
      </c>
      <c r="O58" s="41">
        <f>IF(Revenue_Build!O15=1,Assumptions!$D$273,0)</f>
        <v/>
      </c>
      <c r="P58" s="41">
        <f>IF(Revenue_Build!P15=1,Assumptions!$D$273,0)</f>
        <v/>
      </c>
      <c r="Q58" s="41">
        <f>IF(Revenue_Build!Q15=1,Assumptions!$D$273,0)</f>
        <v/>
      </c>
      <c r="R58" s="41">
        <f>IF(Revenue_Build!R15=1,Assumptions!$D$273,0)</f>
        <v/>
      </c>
      <c r="S58" s="41">
        <f>IF(Revenue_Build!S15=1,Assumptions!$D$273,0)</f>
        <v/>
      </c>
      <c r="T58" s="41">
        <f>IF(Revenue_Build!T15=1,Assumptions!$D$273,0)</f>
        <v/>
      </c>
      <c r="U58" s="41">
        <f>IF(Revenue_Build!U15=1,Assumptions!$D$273,0)</f>
        <v/>
      </c>
      <c r="V58" s="41">
        <f>IF(Revenue_Build!V15=1,Assumptions!$D$273,0)</f>
        <v/>
      </c>
      <c r="W58" s="41">
        <f>IF(Revenue_Build!W15=1,Assumptions!$D$273,0)</f>
        <v/>
      </c>
      <c r="X58" s="41">
        <f>IF(Revenue_Build!X15=1,Assumptions!$D$273,0)</f>
        <v/>
      </c>
      <c r="Y58" s="41">
        <f>IF(Revenue_Build!Y15=1,Assumptions!$D$273,0)</f>
        <v/>
      </c>
      <c r="Z58" s="41">
        <f>IF(Revenue_Build!Z15=1,Assumptions!$D$273,0)</f>
        <v/>
      </c>
      <c r="AA58" s="41">
        <f>IF(Revenue_Build!AA15=1,Assumptions!$D$273,0)</f>
        <v/>
      </c>
      <c r="AB58" s="41">
        <f>IF(Revenue_Build!AB15=1,Assumptions!$D$273,0)</f>
        <v/>
      </c>
      <c r="AC58" s="41">
        <f>IF(Revenue_Build!AC15=1,Assumptions!$D$273,0)</f>
        <v/>
      </c>
      <c r="AD58" s="41">
        <f>IF(Revenue_Build!AD15=1,Assumptions!$D$273,0)</f>
        <v/>
      </c>
      <c r="AE58" s="41">
        <f>IF(Revenue_Build!AE15=1,Assumptions!$D$273,0)</f>
        <v/>
      </c>
      <c r="AF58" s="41">
        <f>IF(Revenue_Build!AF15=1,Assumptions!$D$273,0)</f>
        <v/>
      </c>
      <c r="AG58" s="41">
        <f>IF(Revenue_Build!AG15=1,Assumptions!$D$273,0)</f>
        <v/>
      </c>
      <c r="AH58" s="41">
        <f>IF(Revenue_Build!AH15=1,Assumptions!$D$273,0)</f>
        <v/>
      </c>
      <c r="AI58" s="41">
        <f>IF(Revenue_Build!AI15=1,Assumptions!$D$273,0)</f>
        <v/>
      </c>
      <c r="AJ58" s="41">
        <f>IF(Revenue_Build!AJ15=1,Assumptions!$D$273,0)</f>
        <v/>
      </c>
      <c r="AK58" s="41">
        <f>IF(Revenue_Build!AK15=1,Assumptions!$D$273,0)</f>
        <v/>
      </c>
      <c r="AL58" s="41">
        <f>IF(Revenue_Build!AL15=1,Assumptions!$D$273,0)</f>
        <v/>
      </c>
      <c r="AM58" s="41">
        <f>IF(Revenue_Build!AM15=1,Assumptions!$D$273,0)</f>
        <v/>
      </c>
      <c r="AN58" s="41">
        <f>IF(Revenue_Build!AN15=1,Assumptions!$D$273,0)</f>
        <v/>
      </c>
      <c r="AO58" s="41">
        <f>IF(Revenue_Build!AO15=1,Assumptions!$D$273,0)</f>
        <v/>
      </c>
      <c r="AP58" s="41">
        <f>IF(Revenue_Build!AP15=1,Assumptions!$D$273,0)</f>
        <v/>
      </c>
      <c r="AQ58" s="41">
        <f>IF(Revenue_Build!AQ15=1,Assumptions!$D$273,0)</f>
        <v/>
      </c>
      <c r="AR58" s="41">
        <f>IF(Revenue_Build!AR15=1,Assumptions!$D$273,0)</f>
        <v/>
      </c>
      <c r="AS58" s="41">
        <f>IF(Revenue_Build!AS15=1,Assumptions!$D$273,0)</f>
        <v/>
      </c>
      <c r="AT58" s="41">
        <f>IF(Revenue_Build!AT15=1,Assumptions!$D$273,0)</f>
        <v/>
      </c>
      <c r="AU58" s="41">
        <f>IF(Revenue_Build!AU15=1,Assumptions!$D$273,0)</f>
        <v/>
      </c>
      <c r="AV58" s="41">
        <f>IF(Revenue_Build!AV15=1,Assumptions!$D$273,0)</f>
        <v/>
      </c>
      <c r="AW58" s="41">
        <f>IF(Revenue_Build!AW15=1,Assumptions!$D$273,0)</f>
        <v/>
      </c>
      <c r="AX58" s="41">
        <f>IF(Revenue_Build!AX15=1,Assumptions!$D$273,0)</f>
        <v/>
      </c>
      <c r="AY58" s="41">
        <f>IF(Revenue_Build!AY15=1,Assumptions!$D$273,0)</f>
        <v/>
      </c>
      <c r="AZ58" s="41">
        <f>IF(Revenue_Build!AZ15=1,Assumptions!$D$273,0)</f>
        <v/>
      </c>
      <c r="BA58" s="41">
        <f>IF(Revenue_Build!BA15=1,Assumptions!$D$273,0)</f>
        <v/>
      </c>
      <c r="BB58" s="41">
        <f>IF(Revenue_Build!BB15=1,Assumptions!$D$273,0)</f>
        <v/>
      </c>
      <c r="BC58" s="41">
        <f>IF(Revenue_Build!BC15=1,Assumptions!$D$273,0)</f>
        <v/>
      </c>
      <c r="BD58" s="41">
        <f>IF(Revenue_Build!BD15=1,Assumptions!$D$273,0)</f>
        <v/>
      </c>
      <c r="BE58" s="41">
        <f>IF(Revenue_Build!BE15=1,Assumptions!$D$273,0)</f>
        <v/>
      </c>
      <c r="BF58" s="41">
        <f>IF(Revenue_Build!BF15=1,Assumptions!$D$273,0)</f>
        <v/>
      </c>
      <c r="BG58" s="41">
        <f>IF(Revenue_Build!BG15=1,Assumptions!$D$273,0)</f>
        <v/>
      </c>
      <c r="BH58" s="41">
        <f>IF(Revenue_Build!BH15=1,Assumptions!$D$273,0)</f>
        <v/>
      </c>
      <c r="BI58" s="41">
        <f>IF(Revenue_Build!BI15=1,Assumptions!$D$273,0)</f>
        <v/>
      </c>
      <c r="BJ58" s="41">
        <f>IF(Revenue_Build!BJ15=1,Assumptions!$D$273,0)</f>
        <v/>
      </c>
    </row>
    <row r="59">
      <c r="A59" s="4" t="inlineStr">
        <is>
          <t>Nigeria team expansion</t>
        </is>
      </c>
      <c r="B59" s="17" t="inlineStr">
        <is>
          <t>FTE</t>
        </is>
      </c>
      <c r="C59" s="41">
        <f>0</f>
        <v/>
      </c>
      <c r="D59" s="41">
        <f>0</f>
        <v/>
      </c>
      <c r="E59" s="41">
        <f>0</f>
        <v/>
      </c>
      <c r="F59" s="41">
        <f>0</f>
        <v/>
      </c>
      <c r="G59" s="41">
        <f>0</f>
        <v/>
      </c>
      <c r="H59" s="41">
        <f>0</f>
        <v/>
      </c>
      <c r="I59" s="41">
        <f>0</f>
        <v/>
      </c>
      <c r="J59" s="41">
        <f>0</f>
        <v/>
      </c>
      <c r="K59" s="41">
        <f>0</f>
        <v/>
      </c>
      <c r="L59" s="41">
        <f>0</f>
        <v/>
      </c>
      <c r="M59" s="41">
        <f>0</f>
        <v/>
      </c>
      <c r="N59" s="41">
        <f>0</f>
        <v/>
      </c>
      <c r="O59" s="41">
        <f>IF(Revenue_Build!C15=1,Assumptions!$D$274,0)</f>
        <v/>
      </c>
      <c r="P59" s="41">
        <f>IF(Revenue_Build!D15=1,Assumptions!$D$274,0)</f>
        <v/>
      </c>
      <c r="Q59" s="41">
        <f>IF(Revenue_Build!E15=1,Assumptions!$D$274,0)</f>
        <v/>
      </c>
      <c r="R59" s="41">
        <f>IF(Revenue_Build!F15=1,Assumptions!$D$274,0)</f>
        <v/>
      </c>
      <c r="S59" s="41">
        <f>IF(Revenue_Build!G15=1,Assumptions!$D$274,0)</f>
        <v/>
      </c>
      <c r="T59" s="41">
        <f>IF(Revenue_Build!H15=1,Assumptions!$D$274,0)</f>
        <v/>
      </c>
      <c r="U59" s="41">
        <f>IF(Revenue_Build!I15=1,Assumptions!$D$274,0)</f>
        <v/>
      </c>
      <c r="V59" s="41">
        <f>IF(Revenue_Build!J15=1,Assumptions!$D$274,0)</f>
        <v/>
      </c>
      <c r="W59" s="41">
        <f>IF(Revenue_Build!K15=1,Assumptions!$D$274,0)</f>
        <v/>
      </c>
      <c r="X59" s="41">
        <f>IF(Revenue_Build!L15=1,Assumptions!$D$274,0)</f>
        <v/>
      </c>
      <c r="Y59" s="41">
        <f>IF(Revenue_Build!M15=1,Assumptions!$D$274,0)</f>
        <v/>
      </c>
      <c r="Z59" s="41">
        <f>IF(Revenue_Build!N15=1,Assumptions!$D$274,0)</f>
        <v/>
      </c>
      <c r="AA59" s="41">
        <f>IF(Revenue_Build!O15=1,Assumptions!$D$274,0)</f>
        <v/>
      </c>
      <c r="AB59" s="41">
        <f>IF(Revenue_Build!P15=1,Assumptions!$D$274,0)</f>
        <v/>
      </c>
      <c r="AC59" s="41">
        <f>IF(Revenue_Build!Q15=1,Assumptions!$D$274,0)</f>
        <v/>
      </c>
      <c r="AD59" s="41">
        <f>IF(Revenue_Build!R15=1,Assumptions!$D$274,0)</f>
        <v/>
      </c>
      <c r="AE59" s="41">
        <f>IF(Revenue_Build!S15=1,Assumptions!$D$274,0)</f>
        <v/>
      </c>
      <c r="AF59" s="41">
        <f>IF(Revenue_Build!T15=1,Assumptions!$D$274,0)</f>
        <v/>
      </c>
      <c r="AG59" s="41">
        <f>IF(Revenue_Build!U15=1,Assumptions!$D$274,0)</f>
        <v/>
      </c>
      <c r="AH59" s="41">
        <f>IF(Revenue_Build!V15=1,Assumptions!$D$274,0)</f>
        <v/>
      </c>
      <c r="AI59" s="41">
        <f>IF(Revenue_Build!W15=1,Assumptions!$D$274,0)</f>
        <v/>
      </c>
      <c r="AJ59" s="41">
        <f>IF(Revenue_Build!X15=1,Assumptions!$D$274,0)</f>
        <v/>
      </c>
      <c r="AK59" s="41">
        <f>IF(Revenue_Build!Y15=1,Assumptions!$D$274,0)</f>
        <v/>
      </c>
      <c r="AL59" s="41">
        <f>IF(Revenue_Build!Z15=1,Assumptions!$D$274,0)</f>
        <v/>
      </c>
      <c r="AM59" s="41">
        <f>IF(Revenue_Build!AA15=1,Assumptions!$D$274,0)</f>
        <v/>
      </c>
      <c r="AN59" s="41">
        <f>IF(Revenue_Build!AB15=1,Assumptions!$D$274,0)</f>
        <v/>
      </c>
      <c r="AO59" s="41">
        <f>IF(Revenue_Build!AC15=1,Assumptions!$D$274,0)</f>
        <v/>
      </c>
      <c r="AP59" s="41">
        <f>IF(Revenue_Build!AD15=1,Assumptions!$D$274,0)</f>
        <v/>
      </c>
      <c r="AQ59" s="41">
        <f>IF(Revenue_Build!AE15=1,Assumptions!$D$274,0)</f>
        <v/>
      </c>
      <c r="AR59" s="41">
        <f>IF(Revenue_Build!AF15=1,Assumptions!$D$274,0)</f>
        <v/>
      </c>
      <c r="AS59" s="41">
        <f>IF(Revenue_Build!AG15=1,Assumptions!$D$274,0)</f>
        <v/>
      </c>
      <c r="AT59" s="41">
        <f>IF(Revenue_Build!AH15=1,Assumptions!$D$274,0)</f>
        <v/>
      </c>
      <c r="AU59" s="41">
        <f>IF(Revenue_Build!AI15=1,Assumptions!$D$274,0)</f>
        <v/>
      </c>
      <c r="AV59" s="41">
        <f>IF(Revenue_Build!AJ15=1,Assumptions!$D$274,0)</f>
        <v/>
      </c>
      <c r="AW59" s="41">
        <f>IF(Revenue_Build!AK15=1,Assumptions!$D$274,0)</f>
        <v/>
      </c>
      <c r="AX59" s="41">
        <f>IF(Revenue_Build!AL15=1,Assumptions!$D$274,0)</f>
        <v/>
      </c>
      <c r="AY59" s="41">
        <f>IF(Revenue_Build!AM15=1,Assumptions!$D$274,0)</f>
        <v/>
      </c>
      <c r="AZ59" s="41">
        <f>IF(Revenue_Build!AN15=1,Assumptions!$D$274,0)</f>
        <v/>
      </c>
      <c r="BA59" s="41">
        <f>IF(Revenue_Build!AO15=1,Assumptions!$D$274,0)</f>
        <v/>
      </c>
      <c r="BB59" s="41">
        <f>IF(Revenue_Build!AP15=1,Assumptions!$D$274,0)</f>
        <v/>
      </c>
      <c r="BC59" s="41">
        <f>IF(Revenue_Build!AQ15=1,Assumptions!$D$274,0)</f>
        <v/>
      </c>
      <c r="BD59" s="41">
        <f>IF(Revenue_Build!AR15=1,Assumptions!$D$274,0)</f>
        <v/>
      </c>
      <c r="BE59" s="41">
        <f>IF(Revenue_Build!AS15=1,Assumptions!$D$274,0)</f>
        <v/>
      </c>
      <c r="BF59" s="41">
        <f>IF(Revenue_Build!AT15=1,Assumptions!$D$274,0)</f>
        <v/>
      </c>
      <c r="BG59" s="41">
        <f>IF(Revenue_Build!AU15=1,Assumptions!$D$274,0)</f>
        <v/>
      </c>
      <c r="BH59" s="41">
        <f>IF(Revenue_Build!AV15=1,Assumptions!$D$274,0)</f>
        <v/>
      </c>
      <c r="BI59" s="41">
        <f>IF(Revenue_Build!AW15=1,Assumptions!$D$274,0)</f>
        <v/>
      </c>
      <c r="BJ59" s="41">
        <f>IF(Revenue_Build!AX15=1,Assumptions!$D$274,0)</f>
        <v/>
      </c>
    </row>
    <row r="60">
      <c r="A60" s="4" t="inlineStr">
        <is>
          <t>Country lead: Kenya</t>
        </is>
      </c>
      <c r="B60" s="17" t="inlineStr">
        <is>
          <t>FTE</t>
        </is>
      </c>
      <c r="C60" s="41">
        <f>IF(Revenue_Build!C16=1,Assumptions!$D$275,0)</f>
        <v/>
      </c>
      <c r="D60" s="41">
        <f>IF(Revenue_Build!D16=1,Assumptions!$D$275,0)</f>
        <v/>
      </c>
      <c r="E60" s="41">
        <f>IF(Revenue_Build!E16=1,Assumptions!$D$275,0)</f>
        <v/>
      </c>
      <c r="F60" s="41">
        <f>IF(Revenue_Build!F16=1,Assumptions!$D$275,0)</f>
        <v/>
      </c>
      <c r="G60" s="41">
        <f>IF(Revenue_Build!G16=1,Assumptions!$D$275,0)</f>
        <v/>
      </c>
      <c r="H60" s="41">
        <f>IF(Revenue_Build!H16=1,Assumptions!$D$275,0)</f>
        <v/>
      </c>
      <c r="I60" s="41">
        <f>IF(Revenue_Build!I16=1,Assumptions!$D$275,0)</f>
        <v/>
      </c>
      <c r="J60" s="41">
        <f>IF(Revenue_Build!J16=1,Assumptions!$D$275,0)</f>
        <v/>
      </c>
      <c r="K60" s="41">
        <f>IF(Revenue_Build!K16=1,Assumptions!$D$275,0)</f>
        <v/>
      </c>
      <c r="L60" s="41">
        <f>IF(Revenue_Build!L16=1,Assumptions!$D$275,0)</f>
        <v/>
      </c>
      <c r="M60" s="41">
        <f>IF(Revenue_Build!M16=1,Assumptions!$D$275,0)</f>
        <v/>
      </c>
      <c r="N60" s="41">
        <f>IF(Revenue_Build!N16=1,Assumptions!$D$275,0)</f>
        <v/>
      </c>
      <c r="O60" s="41">
        <f>IF(Revenue_Build!O16=1,Assumptions!$D$275,0)</f>
        <v/>
      </c>
      <c r="P60" s="41">
        <f>IF(Revenue_Build!P16=1,Assumptions!$D$275,0)</f>
        <v/>
      </c>
      <c r="Q60" s="41">
        <f>IF(Revenue_Build!Q16=1,Assumptions!$D$275,0)</f>
        <v/>
      </c>
      <c r="R60" s="41">
        <f>IF(Revenue_Build!R16=1,Assumptions!$D$275,0)</f>
        <v/>
      </c>
      <c r="S60" s="41">
        <f>IF(Revenue_Build!S16=1,Assumptions!$D$275,0)</f>
        <v/>
      </c>
      <c r="T60" s="41">
        <f>IF(Revenue_Build!T16=1,Assumptions!$D$275,0)</f>
        <v/>
      </c>
      <c r="U60" s="41">
        <f>IF(Revenue_Build!U16=1,Assumptions!$D$275,0)</f>
        <v/>
      </c>
      <c r="V60" s="41">
        <f>IF(Revenue_Build!V16=1,Assumptions!$D$275,0)</f>
        <v/>
      </c>
      <c r="W60" s="41">
        <f>IF(Revenue_Build!W16=1,Assumptions!$D$275,0)</f>
        <v/>
      </c>
      <c r="X60" s="41">
        <f>IF(Revenue_Build!X16=1,Assumptions!$D$275,0)</f>
        <v/>
      </c>
      <c r="Y60" s="41">
        <f>IF(Revenue_Build!Y16=1,Assumptions!$D$275,0)</f>
        <v/>
      </c>
      <c r="Z60" s="41">
        <f>IF(Revenue_Build!Z16=1,Assumptions!$D$275,0)</f>
        <v/>
      </c>
      <c r="AA60" s="41">
        <f>IF(Revenue_Build!AA16=1,Assumptions!$D$275,0)</f>
        <v/>
      </c>
      <c r="AB60" s="41">
        <f>IF(Revenue_Build!AB16=1,Assumptions!$D$275,0)</f>
        <v/>
      </c>
      <c r="AC60" s="41">
        <f>IF(Revenue_Build!AC16=1,Assumptions!$D$275,0)</f>
        <v/>
      </c>
      <c r="AD60" s="41">
        <f>IF(Revenue_Build!AD16=1,Assumptions!$D$275,0)</f>
        <v/>
      </c>
      <c r="AE60" s="41">
        <f>IF(Revenue_Build!AE16=1,Assumptions!$D$275,0)</f>
        <v/>
      </c>
      <c r="AF60" s="41">
        <f>IF(Revenue_Build!AF16=1,Assumptions!$D$275,0)</f>
        <v/>
      </c>
      <c r="AG60" s="41">
        <f>IF(Revenue_Build!AG16=1,Assumptions!$D$275,0)</f>
        <v/>
      </c>
      <c r="AH60" s="41">
        <f>IF(Revenue_Build!AH16=1,Assumptions!$D$275,0)</f>
        <v/>
      </c>
      <c r="AI60" s="41">
        <f>IF(Revenue_Build!AI16=1,Assumptions!$D$275,0)</f>
        <v/>
      </c>
      <c r="AJ60" s="41">
        <f>IF(Revenue_Build!AJ16=1,Assumptions!$D$275,0)</f>
        <v/>
      </c>
      <c r="AK60" s="41">
        <f>IF(Revenue_Build!AK16=1,Assumptions!$D$275,0)</f>
        <v/>
      </c>
      <c r="AL60" s="41">
        <f>IF(Revenue_Build!AL16=1,Assumptions!$D$275,0)</f>
        <v/>
      </c>
      <c r="AM60" s="41">
        <f>IF(Revenue_Build!AM16=1,Assumptions!$D$275,0)</f>
        <v/>
      </c>
      <c r="AN60" s="41">
        <f>IF(Revenue_Build!AN16=1,Assumptions!$D$275,0)</f>
        <v/>
      </c>
      <c r="AO60" s="41">
        <f>IF(Revenue_Build!AO16=1,Assumptions!$D$275,0)</f>
        <v/>
      </c>
      <c r="AP60" s="41">
        <f>IF(Revenue_Build!AP16=1,Assumptions!$D$275,0)</f>
        <v/>
      </c>
      <c r="AQ60" s="41">
        <f>IF(Revenue_Build!AQ16=1,Assumptions!$D$275,0)</f>
        <v/>
      </c>
      <c r="AR60" s="41">
        <f>IF(Revenue_Build!AR16=1,Assumptions!$D$275,0)</f>
        <v/>
      </c>
      <c r="AS60" s="41">
        <f>IF(Revenue_Build!AS16=1,Assumptions!$D$275,0)</f>
        <v/>
      </c>
      <c r="AT60" s="41">
        <f>IF(Revenue_Build!AT16=1,Assumptions!$D$275,0)</f>
        <v/>
      </c>
      <c r="AU60" s="41">
        <f>IF(Revenue_Build!AU16=1,Assumptions!$D$275,0)</f>
        <v/>
      </c>
      <c r="AV60" s="41">
        <f>IF(Revenue_Build!AV16=1,Assumptions!$D$275,0)</f>
        <v/>
      </c>
      <c r="AW60" s="41">
        <f>IF(Revenue_Build!AW16=1,Assumptions!$D$275,0)</f>
        <v/>
      </c>
      <c r="AX60" s="41">
        <f>IF(Revenue_Build!AX16=1,Assumptions!$D$275,0)</f>
        <v/>
      </c>
      <c r="AY60" s="41">
        <f>IF(Revenue_Build!AY16=1,Assumptions!$D$275,0)</f>
        <v/>
      </c>
      <c r="AZ60" s="41">
        <f>IF(Revenue_Build!AZ16=1,Assumptions!$D$275,0)</f>
        <v/>
      </c>
      <c r="BA60" s="41">
        <f>IF(Revenue_Build!BA16=1,Assumptions!$D$275,0)</f>
        <v/>
      </c>
      <c r="BB60" s="41">
        <f>IF(Revenue_Build!BB16=1,Assumptions!$D$275,0)</f>
        <v/>
      </c>
      <c r="BC60" s="41">
        <f>IF(Revenue_Build!BC16=1,Assumptions!$D$275,0)</f>
        <v/>
      </c>
      <c r="BD60" s="41">
        <f>IF(Revenue_Build!BD16=1,Assumptions!$D$275,0)</f>
        <v/>
      </c>
      <c r="BE60" s="41">
        <f>IF(Revenue_Build!BE16=1,Assumptions!$D$275,0)</f>
        <v/>
      </c>
      <c r="BF60" s="41">
        <f>IF(Revenue_Build!BF16=1,Assumptions!$D$275,0)</f>
        <v/>
      </c>
      <c r="BG60" s="41">
        <f>IF(Revenue_Build!BG16=1,Assumptions!$D$275,0)</f>
        <v/>
      </c>
      <c r="BH60" s="41">
        <f>IF(Revenue_Build!BH16=1,Assumptions!$D$275,0)</f>
        <v/>
      </c>
      <c r="BI60" s="41">
        <f>IF(Revenue_Build!BI16=1,Assumptions!$D$275,0)</f>
        <v/>
      </c>
      <c r="BJ60" s="41">
        <f>IF(Revenue_Build!BJ16=1,Assumptions!$D$275,0)</f>
        <v/>
      </c>
    </row>
    <row r="61">
      <c r="A61" s="4" t="inlineStr">
        <is>
          <t>Kenya sales &amp; CS</t>
        </is>
      </c>
      <c r="B61" s="17" t="inlineStr">
        <is>
          <t>FTE</t>
        </is>
      </c>
      <c r="C61" s="41">
        <f>IF(Revenue_Build!C17=1,Assumptions!$D$276,0)</f>
        <v/>
      </c>
      <c r="D61" s="41">
        <f>IF(Revenue_Build!D17=1,Assumptions!$D$276,0)</f>
        <v/>
      </c>
      <c r="E61" s="41">
        <f>IF(Revenue_Build!E17=1,Assumptions!$D$276,0)</f>
        <v/>
      </c>
      <c r="F61" s="41">
        <f>IF(Revenue_Build!F17=1,Assumptions!$D$276,0)</f>
        <v/>
      </c>
      <c r="G61" s="41">
        <f>IF(Revenue_Build!G17=1,Assumptions!$D$276,0)</f>
        <v/>
      </c>
      <c r="H61" s="41">
        <f>IF(Revenue_Build!H17=1,Assumptions!$D$276,0)</f>
        <v/>
      </c>
      <c r="I61" s="41">
        <f>IF(Revenue_Build!I17=1,Assumptions!$D$276,0)</f>
        <v/>
      </c>
      <c r="J61" s="41">
        <f>IF(Revenue_Build!J17=1,Assumptions!$D$276,0)</f>
        <v/>
      </c>
      <c r="K61" s="41">
        <f>IF(Revenue_Build!K17=1,Assumptions!$D$276,0)</f>
        <v/>
      </c>
      <c r="L61" s="41">
        <f>IF(Revenue_Build!L17=1,Assumptions!$D$276,0)</f>
        <v/>
      </c>
      <c r="M61" s="41">
        <f>IF(Revenue_Build!M17=1,Assumptions!$D$276,0)</f>
        <v/>
      </c>
      <c r="N61" s="41">
        <f>IF(Revenue_Build!N17=1,Assumptions!$D$276,0)</f>
        <v/>
      </c>
      <c r="O61" s="41">
        <f>IF(Revenue_Build!O17=1,Assumptions!$D$276,0)</f>
        <v/>
      </c>
      <c r="P61" s="41">
        <f>IF(Revenue_Build!P17=1,Assumptions!$D$276,0)</f>
        <v/>
      </c>
      <c r="Q61" s="41">
        <f>IF(Revenue_Build!Q17=1,Assumptions!$D$276,0)</f>
        <v/>
      </c>
      <c r="R61" s="41">
        <f>IF(Revenue_Build!R17=1,Assumptions!$D$276,0)</f>
        <v/>
      </c>
      <c r="S61" s="41">
        <f>IF(Revenue_Build!S17=1,Assumptions!$D$276,0)</f>
        <v/>
      </c>
      <c r="T61" s="41">
        <f>IF(Revenue_Build!T17=1,Assumptions!$D$276,0)</f>
        <v/>
      </c>
      <c r="U61" s="41">
        <f>IF(Revenue_Build!U17=1,Assumptions!$D$276,0)</f>
        <v/>
      </c>
      <c r="V61" s="41">
        <f>IF(Revenue_Build!V17=1,Assumptions!$D$276,0)</f>
        <v/>
      </c>
      <c r="W61" s="41">
        <f>IF(Revenue_Build!W17=1,Assumptions!$D$276,0)</f>
        <v/>
      </c>
      <c r="X61" s="41">
        <f>IF(Revenue_Build!X17=1,Assumptions!$D$276,0)</f>
        <v/>
      </c>
      <c r="Y61" s="41">
        <f>IF(Revenue_Build!Y17=1,Assumptions!$D$276,0)</f>
        <v/>
      </c>
      <c r="Z61" s="41">
        <f>IF(Revenue_Build!Z17=1,Assumptions!$D$276,0)</f>
        <v/>
      </c>
      <c r="AA61" s="41">
        <f>IF(Revenue_Build!AA17=1,Assumptions!$D$276,0)</f>
        <v/>
      </c>
      <c r="AB61" s="41">
        <f>IF(Revenue_Build!AB17=1,Assumptions!$D$276,0)</f>
        <v/>
      </c>
      <c r="AC61" s="41">
        <f>IF(Revenue_Build!AC17=1,Assumptions!$D$276,0)</f>
        <v/>
      </c>
      <c r="AD61" s="41">
        <f>IF(Revenue_Build!AD17=1,Assumptions!$D$276,0)</f>
        <v/>
      </c>
      <c r="AE61" s="41">
        <f>IF(Revenue_Build!AE17=1,Assumptions!$D$276,0)</f>
        <v/>
      </c>
      <c r="AF61" s="41">
        <f>IF(Revenue_Build!AF17=1,Assumptions!$D$276,0)</f>
        <v/>
      </c>
      <c r="AG61" s="41">
        <f>IF(Revenue_Build!AG17=1,Assumptions!$D$276,0)</f>
        <v/>
      </c>
      <c r="AH61" s="41">
        <f>IF(Revenue_Build!AH17=1,Assumptions!$D$276,0)</f>
        <v/>
      </c>
      <c r="AI61" s="41">
        <f>IF(Revenue_Build!AI17=1,Assumptions!$D$276,0)</f>
        <v/>
      </c>
      <c r="AJ61" s="41">
        <f>IF(Revenue_Build!AJ17=1,Assumptions!$D$276,0)</f>
        <v/>
      </c>
      <c r="AK61" s="41">
        <f>IF(Revenue_Build!AK17=1,Assumptions!$D$276,0)</f>
        <v/>
      </c>
      <c r="AL61" s="41">
        <f>IF(Revenue_Build!AL17=1,Assumptions!$D$276,0)</f>
        <v/>
      </c>
      <c r="AM61" s="41">
        <f>IF(Revenue_Build!AM17=1,Assumptions!$D$276,0)</f>
        <v/>
      </c>
      <c r="AN61" s="41">
        <f>IF(Revenue_Build!AN17=1,Assumptions!$D$276,0)</f>
        <v/>
      </c>
      <c r="AO61" s="41">
        <f>IF(Revenue_Build!AO17=1,Assumptions!$D$276,0)</f>
        <v/>
      </c>
      <c r="AP61" s="41">
        <f>IF(Revenue_Build!AP17=1,Assumptions!$D$276,0)</f>
        <v/>
      </c>
      <c r="AQ61" s="41">
        <f>IF(Revenue_Build!AQ17=1,Assumptions!$D$276,0)</f>
        <v/>
      </c>
      <c r="AR61" s="41">
        <f>IF(Revenue_Build!AR17=1,Assumptions!$D$276,0)</f>
        <v/>
      </c>
      <c r="AS61" s="41">
        <f>IF(Revenue_Build!AS17=1,Assumptions!$D$276,0)</f>
        <v/>
      </c>
      <c r="AT61" s="41">
        <f>IF(Revenue_Build!AT17=1,Assumptions!$D$276,0)</f>
        <v/>
      </c>
      <c r="AU61" s="41">
        <f>IF(Revenue_Build!AU17=1,Assumptions!$D$276,0)</f>
        <v/>
      </c>
      <c r="AV61" s="41">
        <f>IF(Revenue_Build!AV17=1,Assumptions!$D$276,0)</f>
        <v/>
      </c>
      <c r="AW61" s="41">
        <f>IF(Revenue_Build!AW17=1,Assumptions!$D$276,0)</f>
        <v/>
      </c>
      <c r="AX61" s="41">
        <f>IF(Revenue_Build!AX17=1,Assumptions!$D$276,0)</f>
        <v/>
      </c>
      <c r="AY61" s="41">
        <f>IF(Revenue_Build!AY17=1,Assumptions!$D$276,0)</f>
        <v/>
      </c>
      <c r="AZ61" s="41">
        <f>IF(Revenue_Build!AZ17=1,Assumptions!$D$276,0)</f>
        <v/>
      </c>
      <c r="BA61" s="41">
        <f>IF(Revenue_Build!BA17=1,Assumptions!$D$276,0)</f>
        <v/>
      </c>
      <c r="BB61" s="41">
        <f>IF(Revenue_Build!BB17=1,Assumptions!$D$276,0)</f>
        <v/>
      </c>
      <c r="BC61" s="41">
        <f>IF(Revenue_Build!BC17=1,Assumptions!$D$276,0)</f>
        <v/>
      </c>
      <c r="BD61" s="41">
        <f>IF(Revenue_Build!BD17=1,Assumptions!$D$276,0)</f>
        <v/>
      </c>
      <c r="BE61" s="41">
        <f>IF(Revenue_Build!BE17=1,Assumptions!$D$276,0)</f>
        <v/>
      </c>
      <c r="BF61" s="41">
        <f>IF(Revenue_Build!BF17=1,Assumptions!$D$276,0)</f>
        <v/>
      </c>
      <c r="BG61" s="41">
        <f>IF(Revenue_Build!BG17=1,Assumptions!$D$276,0)</f>
        <v/>
      </c>
      <c r="BH61" s="41">
        <f>IF(Revenue_Build!BH17=1,Assumptions!$D$276,0)</f>
        <v/>
      </c>
      <c r="BI61" s="41">
        <f>IF(Revenue_Build!BI17=1,Assumptions!$D$276,0)</f>
        <v/>
      </c>
      <c r="BJ61" s="41">
        <f>IF(Revenue_Build!BJ17=1,Assumptions!$D$276,0)</f>
        <v/>
      </c>
    </row>
    <row r="62">
      <c r="A62" s="4" t="inlineStr">
        <is>
          <t>Kenya team expansion</t>
        </is>
      </c>
      <c r="B62" s="17" t="inlineStr">
        <is>
          <t>FTE</t>
        </is>
      </c>
      <c r="C62" s="41">
        <f>0</f>
        <v/>
      </c>
      <c r="D62" s="41">
        <f>0</f>
        <v/>
      </c>
      <c r="E62" s="41">
        <f>0</f>
        <v/>
      </c>
      <c r="F62" s="41">
        <f>0</f>
        <v/>
      </c>
      <c r="G62" s="41">
        <f>0</f>
        <v/>
      </c>
      <c r="H62" s="41">
        <f>0</f>
        <v/>
      </c>
      <c r="I62" s="41">
        <f>0</f>
        <v/>
      </c>
      <c r="J62" s="41">
        <f>0</f>
        <v/>
      </c>
      <c r="K62" s="41">
        <f>0</f>
        <v/>
      </c>
      <c r="L62" s="41">
        <f>0</f>
        <v/>
      </c>
      <c r="M62" s="41">
        <f>0</f>
        <v/>
      </c>
      <c r="N62" s="41">
        <f>0</f>
        <v/>
      </c>
      <c r="O62" s="41">
        <f>IF(Revenue_Build!C17=1,Assumptions!$D$277,0)</f>
        <v/>
      </c>
      <c r="P62" s="41">
        <f>IF(Revenue_Build!D17=1,Assumptions!$D$277,0)</f>
        <v/>
      </c>
      <c r="Q62" s="41">
        <f>IF(Revenue_Build!E17=1,Assumptions!$D$277,0)</f>
        <v/>
      </c>
      <c r="R62" s="41">
        <f>IF(Revenue_Build!F17=1,Assumptions!$D$277,0)</f>
        <v/>
      </c>
      <c r="S62" s="41">
        <f>IF(Revenue_Build!G17=1,Assumptions!$D$277,0)</f>
        <v/>
      </c>
      <c r="T62" s="41">
        <f>IF(Revenue_Build!H17=1,Assumptions!$D$277,0)</f>
        <v/>
      </c>
      <c r="U62" s="41">
        <f>IF(Revenue_Build!I17=1,Assumptions!$D$277,0)</f>
        <v/>
      </c>
      <c r="V62" s="41">
        <f>IF(Revenue_Build!J17=1,Assumptions!$D$277,0)</f>
        <v/>
      </c>
      <c r="W62" s="41">
        <f>IF(Revenue_Build!K17=1,Assumptions!$D$277,0)</f>
        <v/>
      </c>
      <c r="X62" s="41">
        <f>IF(Revenue_Build!L17=1,Assumptions!$D$277,0)</f>
        <v/>
      </c>
      <c r="Y62" s="41">
        <f>IF(Revenue_Build!M17=1,Assumptions!$D$277,0)</f>
        <v/>
      </c>
      <c r="Z62" s="41">
        <f>IF(Revenue_Build!N17=1,Assumptions!$D$277,0)</f>
        <v/>
      </c>
      <c r="AA62" s="41">
        <f>IF(Revenue_Build!O17=1,Assumptions!$D$277,0)</f>
        <v/>
      </c>
      <c r="AB62" s="41">
        <f>IF(Revenue_Build!P17=1,Assumptions!$D$277,0)</f>
        <v/>
      </c>
      <c r="AC62" s="41">
        <f>IF(Revenue_Build!Q17=1,Assumptions!$D$277,0)</f>
        <v/>
      </c>
      <c r="AD62" s="41">
        <f>IF(Revenue_Build!R17=1,Assumptions!$D$277,0)</f>
        <v/>
      </c>
      <c r="AE62" s="41">
        <f>IF(Revenue_Build!S17=1,Assumptions!$D$277,0)</f>
        <v/>
      </c>
      <c r="AF62" s="41">
        <f>IF(Revenue_Build!T17=1,Assumptions!$D$277,0)</f>
        <v/>
      </c>
      <c r="AG62" s="41">
        <f>IF(Revenue_Build!U17=1,Assumptions!$D$277,0)</f>
        <v/>
      </c>
      <c r="AH62" s="41">
        <f>IF(Revenue_Build!V17=1,Assumptions!$D$277,0)</f>
        <v/>
      </c>
      <c r="AI62" s="41">
        <f>IF(Revenue_Build!W17=1,Assumptions!$D$277,0)</f>
        <v/>
      </c>
      <c r="AJ62" s="41">
        <f>IF(Revenue_Build!X17=1,Assumptions!$D$277,0)</f>
        <v/>
      </c>
      <c r="AK62" s="41">
        <f>IF(Revenue_Build!Y17=1,Assumptions!$D$277,0)</f>
        <v/>
      </c>
      <c r="AL62" s="41">
        <f>IF(Revenue_Build!Z17=1,Assumptions!$D$277,0)</f>
        <v/>
      </c>
      <c r="AM62" s="41">
        <f>IF(Revenue_Build!AA17=1,Assumptions!$D$277,0)</f>
        <v/>
      </c>
      <c r="AN62" s="41">
        <f>IF(Revenue_Build!AB17=1,Assumptions!$D$277,0)</f>
        <v/>
      </c>
      <c r="AO62" s="41">
        <f>IF(Revenue_Build!AC17=1,Assumptions!$D$277,0)</f>
        <v/>
      </c>
      <c r="AP62" s="41">
        <f>IF(Revenue_Build!AD17=1,Assumptions!$D$277,0)</f>
        <v/>
      </c>
      <c r="AQ62" s="41">
        <f>IF(Revenue_Build!AE17=1,Assumptions!$D$277,0)</f>
        <v/>
      </c>
      <c r="AR62" s="41">
        <f>IF(Revenue_Build!AF17=1,Assumptions!$D$277,0)</f>
        <v/>
      </c>
      <c r="AS62" s="41">
        <f>IF(Revenue_Build!AG17=1,Assumptions!$D$277,0)</f>
        <v/>
      </c>
      <c r="AT62" s="41">
        <f>IF(Revenue_Build!AH17=1,Assumptions!$D$277,0)</f>
        <v/>
      </c>
      <c r="AU62" s="41">
        <f>IF(Revenue_Build!AI17=1,Assumptions!$D$277,0)</f>
        <v/>
      </c>
      <c r="AV62" s="41">
        <f>IF(Revenue_Build!AJ17=1,Assumptions!$D$277,0)</f>
        <v/>
      </c>
      <c r="AW62" s="41">
        <f>IF(Revenue_Build!AK17=1,Assumptions!$D$277,0)</f>
        <v/>
      </c>
      <c r="AX62" s="41">
        <f>IF(Revenue_Build!AL17=1,Assumptions!$D$277,0)</f>
        <v/>
      </c>
      <c r="AY62" s="41">
        <f>IF(Revenue_Build!AM17=1,Assumptions!$D$277,0)</f>
        <v/>
      </c>
      <c r="AZ62" s="41">
        <f>IF(Revenue_Build!AN17=1,Assumptions!$D$277,0)</f>
        <v/>
      </c>
      <c r="BA62" s="41">
        <f>IF(Revenue_Build!AO17=1,Assumptions!$D$277,0)</f>
        <v/>
      </c>
      <c r="BB62" s="41">
        <f>IF(Revenue_Build!AP17=1,Assumptions!$D$277,0)</f>
        <v/>
      </c>
      <c r="BC62" s="41">
        <f>IF(Revenue_Build!AQ17=1,Assumptions!$D$277,0)</f>
        <v/>
      </c>
      <c r="BD62" s="41">
        <f>IF(Revenue_Build!AR17=1,Assumptions!$D$277,0)</f>
        <v/>
      </c>
      <c r="BE62" s="41">
        <f>IF(Revenue_Build!AS17=1,Assumptions!$D$277,0)</f>
        <v/>
      </c>
      <c r="BF62" s="41">
        <f>IF(Revenue_Build!AT17=1,Assumptions!$D$277,0)</f>
        <v/>
      </c>
      <c r="BG62" s="41">
        <f>IF(Revenue_Build!AU17=1,Assumptions!$D$277,0)</f>
        <v/>
      </c>
      <c r="BH62" s="41">
        <f>IF(Revenue_Build!AV17=1,Assumptions!$D$277,0)</f>
        <v/>
      </c>
      <c r="BI62" s="41">
        <f>IF(Revenue_Build!AW17=1,Assumptions!$D$277,0)</f>
        <v/>
      </c>
      <c r="BJ62" s="41">
        <f>IF(Revenue_Build!AX17=1,Assumptions!$D$277,0)</f>
        <v/>
      </c>
    </row>
    <row r="63">
      <c r="A63" s="4" t="inlineStr">
        <is>
          <t>Country lead: Ghana</t>
        </is>
      </c>
      <c r="B63" s="17" t="inlineStr">
        <is>
          <t>FTE</t>
        </is>
      </c>
      <c r="C63" s="41">
        <f>IF(Revenue_Build!C18=1,Assumptions!$D$278,0)</f>
        <v/>
      </c>
      <c r="D63" s="41">
        <f>IF(Revenue_Build!D18=1,Assumptions!$D$278,0)</f>
        <v/>
      </c>
      <c r="E63" s="41">
        <f>IF(Revenue_Build!E18=1,Assumptions!$D$278,0)</f>
        <v/>
      </c>
      <c r="F63" s="41">
        <f>IF(Revenue_Build!F18=1,Assumptions!$D$278,0)</f>
        <v/>
      </c>
      <c r="G63" s="41">
        <f>IF(Revenue_Build!G18=1,Assumptions!$D$278,0)</f>
        <v/>
      </c>
      <c r="H63" s="41">
        <f>IF(Revenue_Build!H18=1,Assumptions!$D$278,0)</f>
        <v/>
      </c>
      <c r="I63" s="41">
        <f>IF(Revenue_Build!I18=1,Assumptions!$D$278,0)</f>
        <v/>
      </c>
      <c r="J63" s="41">
        <f>IF(Revenue_Build!J18=1,Assumptions!$D$278,0)</f>
        <v/>
      </c>
      <c r="K63" s="41">
        <f>IF(Revenue_Build!K18=1,Assumptions!$D$278,0)</f>
        <v/>
      </c>
      <c r="L63" s="41">
        <f>IF(Revenue_Build!L18=1,Assumptions!$D$278,0)</f>
        <v/>
      </c>
      <c r="M63" s="41">
        <f>IF(Revenue_Build!M18=1,Assumptions!$D$278,0)</f>
        <v/>
      </c>
      <c r="N63" s="41">
        <f>IF(Revenue_Build!N18=1,Assumptions!$D$278,0)</f>
        <v/>
      </c>
      <c r="O63" s="41">
        <f>IF(Revenue_Build!O18=1,Assumptions!$D$278,0)</f>
        <v/>
      </c>
      <c r="P63" s="41">
        <f>IF(Revenue_Build!P18=1,Assumptions!$D$278,0)</f>
        <v/>
      </c>
      <c r="Q63" s="41">
        <f>IF(Revenue_Build!Q18=1,Assumptions!$D$278,0)</f>
        <v/>
      </c>
      <c r="R63" s="41">
        <f>IF(Revenue_Build!R18=1,Assumptions!$D$278,0)</f>
        <v/>
      </c>
      <c r="S63" s="41">
        <f>IF(Revenue_Build!S18=1,Assumptions!$D$278,0)</f>
        <v/>
      </c>
      <c r="T63" s="41">
        <f>IF(Revenue_Build!T18=1,Assumptions!$D$278,0)</f>
        <v/>
      </c>
      <c r="U63" s="41">
        <f>IF(Revenue_Build!U18=1,Assumptions!$D$278,0)</f>
        <v/>
      </c>
      <c r="V63" s="41">
        <f>IF(Revenue_Build!V18=1,Assumptions!$D$278,0)</f>
        <v/>
      </c>
      <c r="W63" s="41">
        <f>IF(Revenue_Build!W18=1,Assumptions!$D$278,0)</f>
        <v/>
      </c>
      <c r="X63" s="41">
        <f>IF(Revenue_Build!X18=1,Assumptions!$D$278,0)</f>
        <v/>
      </c>
      <c r="Y63" s="41">
        <f>IF(Revenue_Build!Y18=1,Assumptions!$D$278,0)</f>
        <v/>
      </c>
      <c r="Z63" s="41">
        <f>IF(Revenue_Build!Z18=1,Assumptions!$D$278,0)</f>
        <v/>
      </c>
      <c r="AA63" s="41">
        <f>IF(Revenue_Build!AA18=1,Assumptions!$D$278,0)</f>
        <v/>
      </c>
      <c r="AB63" s="41">
        <f>IF(Revenue_Build!AB18=1,Assumptions!$D$278,0)</f>
        <v/>
      </c>
      <c r="AC63" s="41">
        <f>IF(Revenue_Build!AC18=1,Assumptions!$D$278,0)</f>
        <v/>
      </c>
      <c r="AD63" s="41">
        <f>IF(Revenue_Build!AD18=1,Assumptions!$D$278,0)</f>
        <v/>
      </c>
      <c r="AE63" s="41">
        <f>IF(Revenue_Build!AE18=1,Assumptions!$D$278,0)</f>
        <v/>
      </c>
      <c r="AF63" s="41">
        <f>IF(Revenue_Build!AF18=1,Assumptions!$D$278,0)</f>
        <v/>
      </c>
      <c r="AG63" s="41">
        <f>IF(Revenue_Build!AG18=1,Assumptions!$D$278,0)</f>
        <v/>
      </c>
      <c r="AH63" s="41">
        <f>IF(Revenue_Build!AH18=1,Assumptions!$D$278,0)</f>
        <v/>
      </c>
      <c r="AI63" s="41">
        <f>IF(Revenue_Build!AI18=1,Assumptions!$D$278,0)</f>
        <v/>
      </c>
      <c r="AJ63" s="41">
        <f>IF(Revenue_Build!AJ18=1,Assumptions!$D$278,0)</f>
        <v/>
      </c>
      <c r="AK63" s="41">
        <f>IF(Revenue_Build!AK18=1,Assumptions!$D$278,0)</f>
        <v/>
      </c>
      <c r="AL63" s="41">
        <f>IF(Revenue_Build!AL18=1,Assumptions!$D$278,0)</f>
        <v/>
      </c>
      <c r="AM63" s="41">
        <f>IF(Revenue_Build!AM18=1,Assumptions!$D$278,0)</f>
        <v/>
      </c>
      <c r="AN63" s="41">
        <f>IF(Revenue_Build!AN18=1,Assumptions!$D$278,0)</f>
        <v/>
      </c>
      <c r="AO63" s="41">
        <f>IF(Revenue_Build!AO18=1,Assumptions!$D$278,0)</f>
        <v/>
      </c>
      <c r="AP63" s="41">
        <f>IF(Revenue_Build!AP18=1,Assumptions!$D$278,0)</f>
        <v/>
      </c>
      <c r="AQ63" s="41">
        <f>IF(Revenue_Build!AQ18=1,Assumptions!$D$278,0)</f>
        <v/>
      </c>
      <c r="AR63" s="41">
        <f>IF(Revenue_Build!AR18=1,Assumptions!$D$278,0)</f>
        <v/>
      </c>
      <c r="AS63" s="41">
        <f>IF(Revenue_Build!AS18=1,Assumptions!$D$278,0)</f>
        <v/>
      </c>
      <c r="AT63" s="41">
        <f>IF(Revenue_Build!AT18=1,Assumptions!$D$278,0)</f>
        <v/>
      </c>
      <c r="AU63" s="41">
        <f>IF(Revenue_Build!AU18=1,Assumptions!$D$278,0)</f>
        <v/>
      </c>
      <c r="AV63" s="41">
        <f>IF(Revenue_Build!AV18=1,Assumptions!$D$278,0)</f>
        <v/>
      </c>
      <c r="AW63" s="41">
        <f>IF(Revenue_Build!AW18=1,Assumptions!$D$278,0)</f>
        <v/>
      </c>
      <c r="AX63" s="41">
        <f>IF(Revenue_Build!AX18=1,Assumptions!$D$278,0)</f>
        <v/>
      </c>
      <c r="AY63" s="41">
        <f>IF(Revenue_Build!AY18=1,Assumptions!$D$278,0)</f>
        <v/>
      </c>
      <c r="AZ63" s="41">
        <f>IF(Revenue_Build!AZ18=1,Assumptions!$D$278,0)</f>
        <v/>
      </c>
      <c r="BA63" s="41">
        <f>IF(Revenue_Build!BA18=1,Assumptions!$D$278,0)</f>
        <v/>
      </c>
      <c r="BB63" s="41">
        <f>IF(Revenue_Build!BB18=1,Assumptions!$D$278,0)</f>
        <v/>
      </c>
      <c r="BC63" s="41">
        <f>IF(Revenue_Build!BC18=1,Assumptions!$D$278,0)</f>
        <v/>
      </c>
      <c r="BD63" s="41">
        <f>IF(Revenue_Build!BD18=1,Assumptions!$D$278,0)</f>
        <v/>
      </c>
      <c r="BE63" s="41">
        <f>IF(Revenue_Build!BE18=1,Assumptions!$D$278,0)</f>
        <v/>
      </c>
      <c r="BF63" s="41">
        <f>IF(Revenue_Build!BF18=1,Assumptions!$D$278,0)</f>
        <v/>
      </c>
      <c r="BG63" s="41">
        <f>IF(Revenue_Build!BG18=1,Assumptions!$D$278,0)</f>
        <v/>
      </c>
      <c r="BH63" s="41">
        <f>IF(Revenue_Build!BH18=1,Assumptions!$D$278,0)</f>
        <v/>
      </c>
      <c r="BI63" s="41">
        <f>IF(Revenue_Build!BI18=1,Assumptions!$D$278,0)</f>
        <v/>
      </c>
      <c r="BJ63" s="41">
        <f>IF(Revenue_Build!BJ18=1,Assumptions!$D$278,0)</f>
        <v/>
      </c>
    </row>
    <row r="64">
      <c r="A64" s="4" t="inlineStr">
        <is>
          <t>Ghana sales &amp; CS</t>
        </is>
      </c>
      <c r="B64" s="17" t="inlineStr">
        <is>
          <t>FTE</t>
        </is>
      </c>
      <c r="C64" s="41">
        <f>IF(Revenue_Build!C19=1,Assumptions!$D$279,0)</f>
        <v/>
      </c>
      <c r="D64" s="41">
        <f>IF(Revenue_Build!D19=1,Assumptions!$D$279,0)</f>
        <v/>
      </c>
      <c r="E64" s="41">
        <f>IF(Revenue_Build!E19=1,Assumptions!$D$279,0)</f>
        <v/>
      </c>
      <c r="F64" s="41">
        <f>IF(Revenue_Build!F19=1,Assumptions!$D$279,0)</f>
        <v/>
      </c>
      <c r="G64" s="41">
        <f>IF(Revenue_Build!G19=1,Assumptions!$D$279,0)</f>
        <v/>
      </c>
      <c r="H64" s="41">
        <f>IF(Revenue_Build!H19=1,Assumptions!$D$279,0)</f>
        <v/>
      </c>
      <c r="I64" s="41">
        <f>IF(Revenue_Build!I19=1,Assumptions!$D$279,0)</f>
        <v/>
      </c>
      <c r="J64" s="41">
        <f>IF(Revenue_Build!J19=1,Assumptions!$D$279,0)</f>
        <v/>
      </c>
      <c r="K64" s="41">
        <f>IF(Revenue_Build!K19=1,Assumptions!$D$279,0)</f>
        <v/>
      </c>
      <c r="L64" s="41">
        <f>IF(Revenue_Build!L19=1,Assumptions!$D$279,0)</f>
        <v/>
      </c>
      <c r="M64" s="41">
        <f>IF(Revenue_Build!M19=1,Assumptions!$D$279,0)</f>
        <v/>
      </c>
      <c r="N64" s="41">
        <f>IF(Revenue_Build!N19=1,Assumptions!$D$279,0)</f>
        <v/>
      </c>
      <c r="O64" s="41">
        <f>IF(Revenue_Build!O19=1,Assumptions!$D$279,0)</f>
        <v/>
      </c>
      <c r="P64" s="41">
        <f>IF(Revenue_Build!P19=1,Assumptions!$D$279,0)</f>
        <v/>
      </c>
      <c r="Q64" s="41">
        <f>IF(Revenue_Build!Q19=1,Assumptions!$D$279,0)</f>
        <v/>
      </c>
      <c r="R64" s="41">
        <f>IF(Revenue_Build!R19=1,Assumptions!$D$279,0)</f>
        <v/>
      </c>
      <c r="S64" s="41">
        <f>IF(Revenue_Build!S19=1,Assumptions!$D$279,0)</f>
        <v/>
      </c>
      <c r="T64" s="41">
        <f>IF(Revenue_Build!T19=1,Assumptions!$D$279,0)</f>
        <v/>
      </c>
      <c r="U64" s="41">
        <f>IF(Revenue_Build!U19=1,Assumptions!$D$279,0)</f>
        <v/>
      </c>
      <c r="V64" s="41">
        <f>IF(Revenue_Build!V19=1,Assumptions!$D$279,0)</f>
        <v/>
      </c>
      <c r="W64" s="41">
        <f>IF(Revenue_Build!W19=1,Assumptions!$D$279,0)</f>
        <v/>
      </c>
      <c r="X64" s="41">
        <f>IF(Revenue_Build!X19=1,Assumptions!$D$279,0)</f>
        <v/>
      </c>
      <c r="Y64" s="41">
        <f>IF(Revenue_Build!Y19=1,Assumptions!$D$279,0)</f>
        <v/>
      </c>
      <c r="Z64" s="41">
        <f>IF(Revenue_Build!Z19=1,Assumptions!$D$279,0)</f>
        <v/>
      </c>
      <c r="AA64" s="41">
        <f>IF(Revenue_Build!AA19=1,Assumptions!$D$279,0)</f>
        <v/>
      </c>
      <c r="AB64" s="41">
        <f>IF(Revenue_Build!AB19=1,Assumptions!$D$279,0)</f>
        <v/>
      </c>
      <c r="AC64" s="41">
        <f>IF(Revenue_Build!AC19=1,Assumptions!$D$279,0)</f>
        <v/>
      </c>
      <c r="AD64" s="41">
        <f>IF(Revenue_Build!AD19=1,Assumptions!$D$279,0)</f>
        <v/>
      </c>
      <c r="AE64" s="41">
        <f>IF(Revenue_Build!AE19=1,Assumptions!$D$279,0)</f>
        <v/>
      </c>
      <c r="AF64" s="41">
        <f>IF(Revenue_Build!AF19=1,Assumptions!$D$279,0)</f>
        <v/>
      </c>
      <c r="AG64" s="41">
        <f>IF(Revenue_Build!AG19=1,Assumptions!$D$279,0)</f>
        <v/>
      </c>
      <c r="AH64" s="41">
        <f>IF(Revenue_Build!AH19=1,Assumptions!$D$279,0)</f>
        <v/>
      </c>
      <c r="AI64" s="41">
        <f>IF(Revenue_Build!AI19=1,Assumptions!$D$279,0)</f>
        <v/>
      </c>
      <c r="AJ64" s="41">
        <f>IF(Revenue_Build!AJ19=1,Assumptions!$D$279,0)</f>
        <v/>
      </c>
      <c r="AK64" s="41">
        <f>IF(Revenue_Build!AK19=1,Assumptions!$D$279,0)</f>
        <v/>
      </c>
      <c r="AL64" s="41">
        <f>IF(Revenue_Build!AL19=1,Assumptions!$D$279,0)</f>
        <v/>
      </c>
      <c r="AM64" s="41">
        <f>IF(Revenue_Build!AM19=1,Assumptions!$D$279,0)</f>
        <v/>
      </c>
      <c r="AN64" s="41">
        <f>IF(Revenue_Build!AN19=1,Assumptions!$D$279,0)</f>
        <v/>
      </c>
      <c r="AO64" s="41">
        <f>IF(Revenue_Build!AO19=1,Assumptions!$D$279,0)</f>
        <v/>
      </c>
      <c r="AP64" s="41">
        <f>IF(Revenue_Build!AP19=1,Assumptions!$D$279,0)</f>
        <v/>
      </c>
      <c r="AQ64" s="41">
        <f>IF(Revenue_Build!AQ19=1,Assumptions!$D$279,0)</f>
        <v/>
      </c>
      <c r="AR64" s="41">
        <f>IF(Revenue_Build!AR19=1,Assumptions!$D$279,0)</f>
        <v/>
      </c>
      <c r="AS64" s="41">
        <f>IF(Revenue_Build!AS19=1,Assumptions!$D$279,0)</f>
        <v/>
      </c>
      <c r="AT64" s="41">
        <f>IF(Revenue_Build!AT19=1,Assumptions!$D$279,0)</f>
        <v/>
      </c>
      <c r="AU64" s="41">
        <f>IF(Revenue_Build!AU19=1,Assumptions!$D$279,0)</f>
        <v/>
      </c>
      <c r="AV64" s="41">
        <f>IF(Revenue_Build!AV19=1,Assumptions!$D$279,0)</f>
        <v/>
      </c>
      <c r="AW64" s="41">
        <f>IF(Revenue_Build!AW19=1,Assumptions!$D$279,0)</f>
        <v/>
      </c>
      <c r="AX64" s="41">
        <f>IF(Revenue_Build!AX19=1,Assumptions!$D$279,0)</f>
        <v/>
      </c>
      <c r="AY64" s="41">
        <f>IF(Revenue_Build!AY19=1,Assumptions!$D$279,0)</f>
        <v/>
      </c>
      <c r="AZ64" s="41">
        <f>IF(Revenue_Build!AZ19=1,Assumptions!$D$279,0)</f>
        <v/>
      </c>
      <c r="BA64" s="41">
        <f>IF(Revenue_Build!BA19=1,Assumptions!$D$279,0)</f>
        <v/>
      </c>
      <c r="BB64" s="41">
        <f>IF(Revenue_Build!BB19=1,Assumptions!$D$279,0)</f>
        <v/>
      </c>
      <c r="BC64" s="41">
        <f>IF(Revenue_Build!BC19=1,Assumptions!$D$279,0)</f>
        <v/>
      </c>
      <c r="BD64" s="41">
        <f>IF(Revenue_Build!BD19=1,Assumptions!$D$279,0)</f>
        <v/>
      </c>
      <c r="BE64" s="41">
        <f>IF(Revenue_Build!BE19=1,Assumptions!$D$279,0)</f>
        <v/>
      </c>
      <c r="BF64" s="41">
        <f>IF(Revenue_Build!BF19=1,Assumptions!$D$279,0)</f>
        <v/>
      </c>
      <c r="BG64" s="41">
        <f>IF(Revenue_Build!BG19=1,Assumptions!$D$279,0)</f>
        <v/>
      </c>
      <c r="BH64" s="41">
        <f>IF(Revenue_Build!BH19=1,Assumptions!$D$279,0)</f>
        <v/>
      </c>
      <c r="BI64" s="41">
        <f>IF(Revenue_Build!BI19=1,Assumptions!$D$279,0)</f>
        <v/>
      </c>
      <c r="BJ64" s="41">
        <f>IF(Revenue_Build!BJ19=1,Assumptions!$D$279,0)</f>
        <v/>
      </c>
    </row>
    <row r="65">
      <c r="A65" s="4" t="inlineStr">
        <is>
          <t>Ghana team expansion</t>
        </is>
      </c>
      <c r="B65" s="17" t="inlineStr">
        <is>
          <t>FTE</t>
        </is>
      </c>
      <c r="C65" s="41">
        <f>0</f>
        <v/>
      </c>
      <c r="D65" s="41">
        <f>0</f>
        <v/>
      </c>
      <c r="E65" s="41">
        <f>0</f>
        <v/>
      </c>
      <c r="F65" s="41">
        <f>0</f>
        <v/>
      </c>
      <c r="G65" s="41">
        <f>0</f>
        <v/>
      </c>
      <c r="H65" s="41">
        <f>0</f>
        <v/>
      </c>
      <c r="I65" s="41">
        <f>0</f>
        <v/>
      </c>
      <c r="J65" s="41">
        <f>0</f>
        <v/>
      </c>
      <c r="K65" s="41">
        <f>0</f>
        <v/>
      </c>
      <c r="L65" s="41">
        <f>0</f>
        <v/>
      </c>
      <c r="M65" s="41">
        <f>0</f>
        <v/>
      </c>
      <c r="N65" s="41">
        <f>0</f>
        <v/>
      </c>
      <c r="O65" s="41">
        <f>IF(Revenue_Build!C19=1,Assumptions!$D$280,0)</f>
        <v/>
      </c>
      <c r="P65" s="41">
        <f>IF(Revenue_Build!D19=1,Assumptions!$D$280,0)</f>
        <v/>
      </c>
      <c r="Q65" s="41">
        <f>IF(Revenue_Build!E19=1,Assumptions!$D$280,0)</f>
        <v/>
      </c>
      <c r="R65" s="41">
        <f>IF(Revenue_Build!F19=1,Assumptions!$D$280,0)</f>
        <v/>
      </c>
      <c r="S65" s="41">
        <f>IF(Revenue_Build!G19=1,Assumptions!$D$280,0)</f>
        <v/>
      </c>
      <c r="T65" s="41">
        <f>IF(Revenue_Build!H19=1,Assumptions!$D$280,0)</f>
        <v/>
      </c>
      <c r="U65" s="41">
        <f>IF(Revenue_Build!I19=1,Assumptions!$D$280,0)</f>
        <v/>
      </c>
      <c r="V65" s="41">
        <f>IF(Revenue_Build!J19=1,Assumptions!$D$280,0)</f>
        <v/>
      </c>
      <c r="W65" s="41">
        <f>IF(Revenue_Build!K19=1,Assumptions!$D$280,0)</f>
        <v/>
      </c>
      <c r="X65" s="41">
        <f>IF(Revenue_Build!L19=1,Assumptions!$D$280,0)</f>
        <v/>
      </c>
      <c r="Y65" s="41">
        <f>IF(Revenue_Build!M19=1,Assumptions!$D$280,0)</f>
        <v/>
      </c>
      <c r="Z65" s="41">
        <f>IF(Revenue_Build!N19=1,Assumptions!$D$280,0)</f>
        <v/>
      </c>
      <c r="AA65" s="41">
        <f>IF(Revenue_Build!O19=1,Assumptions!$D$280,0)</f>
        <v/>
      </c>
      <c r="AB65" s="41">
        <f>IF(Revenue_Build!P19=1,Assumptions!$D$280,0)</f>
        <v/>
      </c>
      <c r="AC65" s="41">
        <f>IF(Revenue_Build!Q19=1,Assumptions!$D$280,0)</f>
        <v/>
      </c>
      <c r="AD65" s="41">
        <f>IF(Revenue_Build!R19=1,Assumptions!$D$280,0)</f>
        <v/>
      </c>
      <c r="AE65" s="41">
        <f>IF(Revenue_Build!S19=1,Assumptions!$D$280,0)</f>
        <v/>
      </c>
      <c r="AF65" s="41">
        <f>IF(Revenue_Build!T19=1,Assumptions!$D$280,0)</f>
        <v/>
      </c>
      <c r="AG65" s="41">
        <f>IF(Revenue_Build!U19=1,Assumptions!$D$280,0)</f>
        <v/>
      </c>
      <c r="AH65" s="41">
        <f>IF(Revenue_Build!V19=1,Assumptions!$D$280,0)</f>
        <v/>
      </c>
      <c r="AI65" s="41">
        <f>IF(Revenue_Build!W19=1,Assumptions!$D$280,0)</f>
        <v/>
      </c>
      <c r="AJ65" s="41">
        <f>IF(Revenue_Build!X19=1,Assumptions!$D$280,0)</f>
        <v/>
      </c>
      <c r="AK65" s="41">
        <f>IF(Revenue_Build!Y19=1,Assumptions!$D$280,0)</f>
        <v/>
      </c>
      <c r="AL65" s="41">
        <f>IF(Revenue_Build!Z19=1,Assumptions!$D$280,0)</f>
        <v/>
      </c>
      <c r="AM65" s="41">
        <f>IF(Revenue_Build!AA19=1,Assumptions!$D$280,0)</f>
        <v/>
      </c>
      <c r="AN65" s="41">
        <f>IF(Revenue_Build!AB19=1,Assumptions!$D$280,0)</f>
        <v/>
      </c>
      <c r="AO65" s="41">
        <f>IF(Revenue_Build!AC19=1,Assumptions!$D$280,0)</f>
        <v/>
      </c>
      <c r="AP65" s="41">
        <f>IF(Revenue_Build!AD19=1,Assumptions!$D$280,0)</f>
        <v/>
      </c>
      <c r="AQ65" s="41">
        <f>IF(Revenue_Build!AE19=1,Assumptions!$D$280,0)</f>
        <v/>
      </c>
      <c r="AR65" s="41">
        <f>IF(Revenue_Build!AF19=1,Assumptions!$D$280,0)</f>
        <v/>
      </c>
      <c r="AS65" s="41">
        <f>IF(Revenue_Build!AG19=1,Assumptions!$D$280,0)</f>
        <v/>
      </c>
      <c r="AT65" s="41">
        <f>IF(Revenue_Build!AH19=1,Assumptions!$D$280,0)</f>
        <v/>
      </c>
      <c r="AU65" s="41">
        <f>IF(Revenue_Build!AI19=1,Assumptions!$D$280,0)</f>
        <v/>
      </c>
      <c r="AV65" s="41">
        <f>IF(Revenue_Build!AJ19=1,Assumptions!$D$280,0)</f>
        <v/>
      </c>
      <c r="AW65" s="41">
        <f>IF(Revenue_Build!AK19=1,Assumptions!$D$280,0)</f>
        <v/>
      </c>
      <c r="AX65" s="41">
        <f>IF(Revenue_Build!AL19=1,Assumptions!$D$280,0)</f>
        <v/>
      </c>
      <c r="AY65" s="41">
        <f>IF(Revenue_Build!AM19=1,Assumptions!$D$280,0)</f>
        <v/>
      </c>
      <c r="AZ65" s="41">
        <f>IF(Revenue_Build!AN19=1,Assumptions!$D$280,0)</f>
        <v/>
      </c>
      <c r="BA65" s="41">
        <f>IF(Revenue_Build!AO19=1,Assumptions!$D$280,0)</f>
        <v/>
      </c>
      <c r="BB65" s="41">
        <f>IF(Revenue_Build!AP19=1,Assumptions!$D$280,0)</f>
        <v/>
      </c>
      <c r="BC65" s="41">
        <f>IF(Revenue_Build!AQ19=1,Assumptions!$D$280,0)</f>
        <v/>
      </c>
      <c r="BD65" s="41">
        <f>IF(Revenue_Build!AR19=1,Assumptions!$D$280,0)</f>
        <v/>
      </c>
      <c r="BE65" s="41">
        <f>IF(Revenue_Build!AS19=1,Assumptions!$D$280,0)</f>
        <v/>
      </c>
      <c r="BF65" s="41">
        <f>IF(Revenue_Build!AT19=1,Assumptions!$D$280,0)</f>
        <v/>
      </c>
      <c r="BG65" s="41">
        <f>IF(Revenue_Build!AU19=1,Assumptions!$D$280,0)</f>
        <v/>
      </c>
      <c r="BH65" s="41">
        <f>IF(Revenue_Build!AV19=1,Assumptions!$D$280,0)</f>
        <v/>
      </c>
      <c r="BI65" s="41">
        <f>IF(Revenue_Build!AW19=1,Assumptions!$D$280,0)</f>
        <v/>
      </c>
      <c r="BJ65" s="41">
        <f>IF(Revenue_Build!AX19=1,Assumptions!$D$280,0)</f>
        <v/>
      </c>
    </row>
    <row r="66"/>
    <row r="67">
      <c r="A67" s="19" t="inlineStr">
        <is>
          <t>FTEs by department</t>
        </is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</row>
    <row r="68">
      <c r="A68" s="4" t="inlineStr">
        <is>
          <t>Leadership</t>
        </is>
      </c>
      <c r="B68" s="17" t="inlineStr">
        <is>
          <t>FTE</t>
        </is>
      </c>
      <c r="C68" s="41">
        <f>C8+C9</f>
        <v/>
      </c>
      <c r="D68" s="41">
        <f>D8+D9</f>
        <v/>
      </c>
      <c r="E68" s="41">
        <f>E8+E9</f>
        <v/>
      </c>
      <c r="F68" s="41">
        <f>F8+F9</f>
        <v/>
      </c>
      <c r="G68" s="41">
        <f>G8+G9</f>
        <v/>
      </c>
      <c r="H68" s="41">
        <f>H8+H9</f>
        <v/>
      </c>
      <c r="I68" s="41">
        <f>I8+I9</f>
        <v/>
      </c>
      <c r="J68" s="41">
        <f>J8+J9</f>
        <v/>
      </c>
      <c r="K68" s="41">
        <f>K8+K9</f>
        <v/>
      </c>
      <c r="L68" s="41">
        <f>L8+L9</f>
        <v/>
      </c>
      <c r="M68" s="41">
        <f>M8+M9</f>
        <v/>
      </c>
      <c r="N68" s="41">
        <f>N8+N9</f>
        <v/>
      </c>
      <c r="O68" s="41">
        <f>O8+O9</f>
        <v/>
      </c>
      <c r="P68" s="41">
        <f>P8+P9</f>
        <v/>
      </c>
      <c r="Q68" s="41">
        <f>Q8+Q9</f>
        <v/>
      </c>
      <c r="R68" s="41">
        <f>R8+R9</f>
        <v/>
      </c>
      <c r="S68" s="41">
        <f>S8+S9</f>
        <v/>
      </c>
      <c r="T68" s="41">
        <f>T8+T9</f>
        <v/>
      </c>
      <c r="U68" s="41">
        <f>U8+U9</f>
        <v/>
      </c>
      <c r="V68" s="41">
        <f>V8+V9</f>
        <v/>
      </c>
      <c r="W68" s="41">
        <f>W8+W9</f>
        <v/>
      </c>
      <c r="X68" s="41">
        <f>X8+X9</f>
        <v/>
      </c>
      <c r="Y68" s="41">
        <f>Y8+Y9</f>
        <v/>
      </c>
      <c r="Z68" s="41">
        <f>Z8+Z9</f>
        <v/>
      </c>
      <c r="AA68" s="41">
        <f>AA8+AA9</f>
        <v/>
      </c>
      <c r="AB68" s="41">
        <f>AB8+AB9</f>
        <v/>
      </c>
      <c r="AC68" s="41">
        <f>AC8+AC9</f>
        <v/>
      </c>
      <c r="AD68" s="41">
        <f>AD8+AD9</f>
        <v/>
      </c>
      <c r="AE68" s="41">
        <f>AE8+AE9</f>
        <v/>
      </c>
      <c r="AF68" s="41">
        <f>AF8+AF9</f>
        <v/>
      </c>
      <c r="AG68" s="41">
        <f>AG8+AG9</f>
        <v/>
      </c>
      <c r="AH68" s="41">
        <f>AH8+AH9</f>
        <v/>
      </c>
      <c r="AI68" s="41">
        <f>AI8+AI9</f>
        <v/>
      </c>
      <c r="AJ68" s="41">
        <f>AJ8+AJ9</f>
        <v/>
      </c>
      <c r="AK68" s="41">
        <f>AK8+AK9</f>
        <v/>
      </c>
      <c r="AL68" s="41">
        <f>AL8+AL9</f>
        <v/>
      </c>
      <c r="AM68" s="41">
        <f>AM8+AM9</f>
        <v/>
      </c>
      <c r="AN68" s="41">
        <f>AN8+AN9</f>
        <v/>
      </c>
      <c r="AO68" s="41">
        <f>AO8+AO9</f>
        <v/>
      </c>
      <c r="AP68" s="41">
        <f>AP8+AP9</f>
        <v/>
      </c>
      <c r="AQ68" s="41">
        <f>AQ8+AQ9</f>
        <v/>
      </c>
      <c r="AR68" s="41">
        <f>AR8+AR9</f>
        <v/>
      </c>
      <c r="AS68" s="41">
        <f>AS8+AS9</f>
        <v/>
      </c>
      <c r="AT68" s="41">
        <f>AT8+AT9</f>
        <v/>
      </c>
      <c r="AU68" s="41">
        <f>AU8+AU9</f>
        <v/>
      </c>
      <c r="AV68" s="41">
        <f>AV8+AV9</f>
        <v/>
      </c>
      <c r="AW68" s="41">
        <f>AW8+AW9</f>
        <v/>
      </c>
      <c r="AX68" s="41">
        <f>AX8+AX9</f>
        <v/>
      </c>
      <c r="AY68" s="41">
        <f>AY8+AY9</f>
        <v/>
      </c>
      <c r="AZ68" s="41">
        <f>AZ8+AZ9</f>
        <v/>
      </c>
      <c r="BA68" s="41">
        <f>BA8+BA9</f>
        <v/>
      </c>
      <c r="BB68" s="41">
        <f>BB8+BB9</f>
        <v/>
      </c>
      <c r="BC68" s="41">
        <f>BC8+BC9</f>
        <v/>
      </c>
      <c r="BD68" s="41">
        <f>BD8+BD9</f>
        <v/>
      </c>
      <c r="BE68" s="41">
        <f>BE8+BE9</f>
        <v/>
      </c>
      <c r="BF68" s="41">
        <f>BF8+BF9</f>
        <v/>
      </c>
      <c r="BG68" s="41">
        <f>BG8+BG9</f>
        <v/>
      </c>
      <c r="BH68" s="41">
        <f>BH8+BH9</f>
        <v/>
      </c>
      <c r="BI68" s="41">
        <f>BI8+BI9</f>
        <v/>
      </c>
      <c r="BJ68" s="41">
        <f>BJ8+BJ9</f>
        <v/>
      </c>
    </row>
    <row r="69">
      <c r="A69" s="4" t="inlineStr">
        <is>
          <t>Engineering &amp; product</t>
        </is>
      </c>
      <c r="B69" s="17" t="inlineStr">
        <is>
          <t>FTE</t>
        </is>
      </c>
      <c r="C69" s="41">
        <f>C10+C11+C12+C13+C14+C15+C16+C17+C18+C19+C20+C21+C22+C23+C24+C25+C26</f>
        <v/>
      </c>
      <c r="D69" s="41">
        <f>D10+D11+D12+D13+D14+D15+D16+D17+D18+D19+D20+D21+D22+D23+D24+D25+D26</f>
        <v/>
      </c>
      <c r="E69" s="41">
        <f>E10+E11+E12+E13+E14+E15+E16+E17+E18+E19+E20+E21+E22+E23+E24+E25+E26</f>
        <v/>
      </c>
      <c r="F69" s="41">
        <f>F10+F11+F12+F13+F14+F15+F16+F17+F18+F19+F20+F21+F22+F23+F24+F25+F26</f>
        <v/>
      </c>
      <c r="G69" s="41">
        <f>G10+G11+G12+G13+G14+G15+G16+G17+G18+G19+G20+G21+G22+G23+G24+G25+G26</f>
        <v/>
      </c>
      <c r="H69" s="41">
        <f>H10+H11+H12+H13+H14+H15+H16+H17+H18+H19+H20+H21+H22+H23+H24+H25+H26</f>
        <v/>
      </c>
      <c r="I69" s="41">
        <f>I10+I11+I12+I13+I14+I15+I16+I17+I18+I19+I20+I21+I22+I23+I24+I25+I26</f>
        <v/>
      </c>
      <c r="J69" s="41">
        <f>J10+J11+J12+J13+J14+J15+J16+J17+J18+J19+J20+J21+J22+J23+J24+J25+J26</f>
        <v/>
      </c>
      <c r="K69" s="41">
        <f>K10+K11+K12+K13+K14+K15+K16+K17+K18+K19+K20+K21+K22+K23+K24+K25+K26</f>
        <v/>
      </c>
      <c r="L69" s="41">
        <f>L10+L11+L12+L13+L14+L15+L16+L17+L18+L19+L20+L21+L22+L23+L24+L25+L26</f>
        <v/>
      </c>
      <c r="M69" s="41">
        <f>M10+M11+M12+M13+M14+M15+M16+M17+M18+M19+M20+M21+M22+M23+M24+M25+M26</f>
        <v/>
      </c>
      <c r="N69" s="41">
        <f>N10+N11+N12+N13+N14+N15+N16+N17+N18+N19+N20+N21+N22+N23+N24+N25+N26</f>
        <v/>
      </c>
      <c r="O69" s="41">
        <f>O10+O11+O12+O13+O14+O15+O16+O17+O18+O19+O20+O21+O22+O23+O24+O25+O26</f>
        <v/>
      </c>
      <c r="P69" s="41">
        <f>P10+P11+P12+P13+P14+P15+P16+P17+P18+P19+P20+P21+P22+P23+P24+P25+P26</f>
        <v/>
      </c>
      <c r="Q69" s="41">
        <f>Q10+Q11+Q12+Q13+Q14+Q15+Q16+Q17+Q18+Q19+Q20+Q21+Q22+Q23+Q24+Q25+Q26</f>
        <v/>
      </c>
      <c r="R69" s="41">
        <f>R10+R11+R12+R13+R14+R15+R16+R17+R18+R19+R20+R21+R22+R23+R24+R25+R26</f>
        <v/>
      </c>
      <c r="S69" s="41">
        <f>S10+S11+S12+S13+S14+S15+S16+S17+S18+S19+S20+S21+S22+S23+S24+S25+S26</f>
        <v/>
      </c>
      <c r="T69" s="41">
        <f>T10+T11+T12+T13+T14+T15+T16+T17+T18+T19+T20+T21+T22+T23+T24+T25+T26</f>
        <v/>
      </c>
      <c r="U69" s="41">
        <f>U10+U11+U12+U13+U14+U15+U16+U17+U18+U19+U20+U21+U22+U23+U24+U25+U26</f>
        <v/>
      </c>
      <c r="V69" s="41">
        <f>V10+V11+V12+V13+V14+V15+V16+V17+V18+V19+V20+V21+V22+V23+V24+V25+V26</f>
        <v/>
      </c>
      <c r="W69" s="41">
        <f>W10+W11+W12+W13+W14+W15+W16+W17+W18+W19+W20+W21+W22+W23+W24+W25+W26</f>
        <v/>
      </c>
      <c r="X69" s="41">
        <f>X10+X11+X12+X13+X14+X15+X16+X17+X18+X19+X20+X21+X22+X23+X24+X25+X26</f>
        <v/>
      </c>
      <c r="Y69" s="41">
        <f>Y10+Y11+Y12+Y13+Y14+Y15+Y16+Y17+Y18+Y19+Y20+Y21+Y22+Y23+Y24+Y25+Y26</f>
        <v/>
      </c>
      <c r="Z69" s="41">
        <f>Z10+Z11+Z12+Z13+Z14+Z15+Z16+Z17+Z18+Z19+Z20+Z21+Z22+Z23+Z24+Z25+Z26</f>
        <v/>
      </c>
      <c r="AA69" s="41">
        <f>AA10+AA11+AA12+AA13+AA14+AA15+AA16+AA17+AA18+AA19+AA20+AA21+AA22+AA23+AA24+AA25+AA26</f>
        <v/>
      </c>
      <c r="AB69" s="41">
        <f>AB10+AB11+AB12+AB13+AB14+AB15+AB16+AB17+AB18+AB19+AB20+AB21+AB22+AB23+AB24+AB25+AB26</f>
        <v/>
      </c>
      <c r="AC69" s="41">
        <f>AC10+AC11+AC12+AC13+AC14+AC15+AC16+AC17+AC18+AC19+AC20+AC21+AC22+AC23+AC24+AC25+AC26</f>
        <v/>
      </c>
      <c r="AD69" s="41">
        <f>AD10+AD11+AD12+AD13+AD14+AD15+AD16+AD17+AD18+AD19+AD20+AD21+AD22+AD23+AD24+AD25+AD26</f>
        <v/>
      </c>
      <c r="AE69" s="41">
        <f>AE10+AE11+AE12+AE13+AE14+AE15+AE16+AE17+AE18+AE19+AE20+AE21+AE22+AE23+AE24+AE25+AE26</f>
        <v/>
      </c>
      <c r="AF69" s="41">
        <f>AF10+AF11+AF12+AF13+AF14+AF15+AF16+AF17+AF18+AF19+AF20+AF21+AF22+AF23+AF24+AF25+AF26</f>
        <v/>
      </c>
      <c r="AG69" s="41">
        <f>AG10+AG11+AG12+AG13+AG14+AG15+AG16+AG17+AG18+AG19+AG20+AG21+AG22+AG23+AG24+AG25+AG26</f>
        <v/>
      </c>
      <c r="AH69" s="41">
        <f>AH10+AH11+AH12+AH13+AH14+AH15+AH16+AH17+AH18+AH19+AH20+AH21+AH22+AH23+AH24+AH25+AH26</f>
        <v/>
      </c>
      <c r="AI69" s="41">
        <f>AI10+AI11+AI12+AI13+AI14+AI15+AI16+AI17+AI18+AI19+AI20+AI21+AI22+AI23+AI24+AI25+AI26</f>
        <v/>
      </c>
      <c r="AJ69" s="41">
        <f>AJ10+AJ11+AJ12+AJ13+AJ14+AJ15+AJ16+AJ17+AJ18+AJ19+AJ20+AJ21+AJ22+AJ23+AJ24+AJ25+AJ26</f>
        <v/>
      </c>
      <c r="AK69" s="41">
        <f>AK10+AK11+AK12+AK13+AK14+AK15+AK16+AK17+AK18+AK19+AK20+AK21+AK22+AK23+AK24+AK25+AK26</f>
        <v/>
      </c>
      <c r="AL69" s="41">
        <f>AL10+AL11+AL12+AL13+AL14+AL15+AL16+AL17+AL18+AL19+AL20+AL21+AL22+AL23+AL24+AL25+AL26</f>
        <v/>
      </c>
      <c r="AM69" s="41">
        <f>AM10+AM11+AM12+AM13+AM14+AM15+AM16+AM17+AM18+AM19+AM20+AM21+AM22+AM23+AM24+AM25+AM26</f>
        <v/>
      </c>
      <c r="AN69" s="41">
        <f>AN10+AN11+AN12+AN13+AN14+AN15+AN16+AN17+AN18+AN19+AN20+AN21+AN22+AN23+AN24+AN25+AN26</f>
        <v/>
      </c>
      <c r="AO69" s="41">
        <f>AO10+AO11+AO12+AO13+AO14+AO15+AO16+AO17+AO18+AO19+AO20+AO21+AO22+AO23+AO24+AO25+AO26</f>
        <v/>
      </c>
      <c r="AP69" s="41">
        <f>AP10+AP11+AP12+AP13+AP14+AP15+AP16+AP17+AP18+AP19+AP20+AP21+AP22+AP23+AP24+AP25+AP26</f>
        <v/>
      </c>
      <c r="AQ69" s="41">
        <f>AQ10+AQ11+AQ12+AQ13+AQ14+AQ15+AQ16+AQ17+AQ18+AQ19+AQ20+AQ21+AQ22+AQ23+AQ24+AQ25+AQ26</f>
        <v/>
      </c>
      <c r="AR69" s="41">
        <f>AR10+AR11+AR12+AR13+AR14+AR15+AR16+AR17+AR18+AR19+AR20+AR21+AR22+AR23+AR24+AR25+AR26</f>
        <v/>
      </c>
      <c r="AS69" s="41">
        <f>AS10+AS11+AS12+AS13+AS14+AS15+AS16+AS17+AS18+AS19+AS20+AS21+AS22+AS23+AS24+AS25+AS26</f>
        <v/>
      </c>
      <c r="AT69" s="41">
        <f>AT10+AT11+AT12+AT13+AT14+AT15+AT16+AT17+AT18+AT19+AT20+AT21+AT22+AT23+AT24+AT25+AT26</f>
        <v/>
      </c>
      <c r="AU69" s="41">
        <f>AU10+AU11+AU12+AU13+AU14+AU15+AU16+AU17+AU18+AU19+AU20+AU21+AU22+AU23+AU24+AU25+AU26</f>
        <v/>
      </c>
      <c r="AV69" s="41">
        <f>AV10+AV11+AV12+AV13+AV14+AV15+AV16+AV17+AV18+AV19+AV20+AV21+AV22+AV23+AV24+AV25+AV26</f>
        <v/>
      </c>
      <c r="AW69" s="41">
        <f>AW10+AW11+AW12+AW13+AW14+AW15+AW16+AW17+AW18+AW19+AW20+AW21+AW22+AW23+AW24+AW25+AW26</f>
        <v/>
      </c>
      <c r="AX69" s="41">
        <f>AX10+AX11+AX12+AX13+AX14+AX15+AX16+AX17+AX18+AX19+AX20+AX21+AX22+AX23+AX24+AX25+AX26</f>
        <v/>
      </c>
      <c r="AY69" s="41">
        <f>AY10+AY11+AY12+AY13+AY14+AY15+AY16+AY17+AY18+AY19+AY20+AY21+AY22+AY23+AY24+AY25+AY26</f>
        <v/>
      </c>
      <c r="AZ69" s="41">
        <f>AZ10+AZ11+AZ12+AZ13+AZ14+AZ15+AZ16+AZ17+AZ18+AZ19+AZ20+AZ21+AZ22+AZ23+AZ24+AZ25+AZ26</f>
        <v/>
      </c>
      <c r="BA69" s="41">
        <f>BA10+BA11+BA12+BA13+BA14+BA15+BA16+BA17+BA18+BA19+BA20+BA21+BA22+BA23+BA24+BA25+BA26</f>
        <v/>
      </c>
      <c r="BB69" s="41">
        <f>BB10+BB11+BB12+BB13+BB14+BB15+BB16+BB17+BB18+BB19+BB20+BB21+BB22+BB23+BB24+BB25+BB26</f>
        <v/>
      </c>
      <c r="BC69" s="41">
        <f>BC10+BC11+BC12+BC13+BC14+BC15+BC16+BC17+BC18+BC19+BC20+BC21+BC22+BC23+BC24+BC25+BC26</f>
        <v/>
      </c>
      <c r="BD69" s="41">
        <f>BD10+BD11+BD12+BD13+BD14+BD15+BD16+BD17+BD18+BD19+BD20+BD21+BD22+BD23+BD24+BD25+BD26</f>
        <v/>
      </c>
      <c r="BE69" s="41">
        <f>BE10+BE11+BE12+BE13+BE14+BE15+BE16+BE17+BE18+BE19+BE20+BE21+BE22+BE23+BE24+BE25+BE26</f>
        <v/>
      </c>
      <c r="BF69" s="41">
        <f>BF10+BF11+BF12+BF13+BF14+BF15+BF16+BF17+BF18+BF19+BF20+BF21+BF22+BF23+BF24+BF25+BF26</f>
        <v/>
      </c>
      <c r="BG69" s="41">
        <f>BG10+BG11+BG12+BG13+BG14+BG15+BG16+BG17+BG18+BG19+BG20+BG21+BG22+BG23+BG24+BG25+BG26</f>
        <v/>
      </c>
      <c r="BH69" s="41">
        <f>BH10+BH11+BH12+BH13+BH14+BH15+BH16+BH17+BH18+BH19+BH20+BH21+BH22+BH23+BH24+BH25+BH26</f>
        <v/>
      </c>
      <c r="BI69" s="41">
        <f>BI10+BI11+BI12+BI13+BI14+BI15+BI16+BI17+BI18+BI19+BI20+BI21+BI22+BI23+BI24+BI25+BI26</f>
        <v/>
      </c>
      <c r="BJ69" s="41">
        <f>BJ10+BJ11+BJ12+BJ13+BJ14+BJ15+BJ16+BJ17+BJ18+BJ19+BJ20+BJ21+BJ22+BJ23+BJ24+BJ25+BJ26</f>
        <v/>
      </c>
    </row>
    <row r="70">
      <c r="A70" s="4" t="inlineStr">
        <is>
          <t>Marketing</t>
        </is>
      </c>
      <c r="B70" s="17" t="inlineStr">
        <is>
          <t>FTE</t>
        </is>
      </c>
      <c r="C70" s="41">
        <f>C27+C28+C29+C30+C31+C32+C33</f>
        <v/>
      </c>
      <c r="D70" s="41">
        <f>D27+D28+D29+D30+D31+D32+D33</f>
        <v/>
      </c>
      <c r="E70" s="41">
        <f>E27+E28+E29+E30+E31+E32+E33</f>
        <v/>
      </c>
      <c r="F70" s="41">
        <f>F27+F28+F29+F30+F31+F32+F33</f>
        <v/>
      </c>
      <c r="G70" s="41">
        <f>G27+G28+G29+G30+G31+G32+G33</f>
        <v/>
      </c>
      <c r="H70" s="41">
        <f>H27+H28+H29+H30+H31+H32+H33</f>
        <v/>
      </c>
      <c r="I70" s="41">
        <f>I27+I28+I29+I30+I31+I32+I33</f>
        <v/>
      </c>
      <c r="J70" s="41">
        <f>J27+J28+J29+J30+J31+J32+J33</f>
        <v/>
      </c>
      <c r="K70" s="41">
        <f>K27+K28+K29+K30+K31+K32+K33</f>
        <v/>
      </c>
      <c r="L70" s="41">
        <f>L27+L28+L29+L30+L31+L32+L33</f>
        <v/>
      </c>
      <c r="M70" s="41">
        <f>M27+M28+M29+M30+M31+M32+M33</f>
        <v/>
      </c>
      <c r="N70" s="41">
        <f>N27+N28+N29+N30+N31+N32+N33</f>
        <v/>
      </c>
      <c r="O70" s="41">
        <f>O27+O28+O29+O30+O31+O32+O33</f>
        <v/>
      </c>
      <c r="P70" s="41">
        <f>P27+P28+P29+P30+P31+P32+P33</f>
        <v/>
      </c>
      <c r="Q70" s="41">
        <f>Q27+Q28+Q29+Q30+Q31+Q32+Q33</f>
        <v/>
      </c>
      <c r="R70" s="41">
        <f>R27+R28+R29+R30+R31+R32+R33</f>
        <v/>
      </c>
      <c r="S70" s="41">
        <f>S27+S28+S29+S30+S31+S32+S33</f>
        <v/>
      </c>
      <c r="T70" s="41">
        <f>T27+T28+T29+T30+T31+T32+T33</f>
        <v/>
      </c>
      <c r="U70" s="41">
        <f>U27+U28+U29+U30+U31+U32+U33</f>
        <v/>
      </c>
      <c r="V70" s="41">
        <f>V27+V28+V29+V30+V31+V32+V33</f>
        <v/>
      </c>
      <c r="W70" s="41">
        <f>W27+W28+W29+W30+W31+W32+W33</f>
        <v/>
      </c>
      <c r="X70" s="41">
        <f>X27+X28+X29+X30+X31+X32+X33</f>
        <v/>
      </c>
      <c r="Y70" s="41">
        <f>Y27+Y28+Y29+Y30+Y31+Y32+Y33</f>
        <v/>
      </c>
      <c r="Z70" s="41">
        <f>Z27+Z28+Z29+Z30+Z31+Z32+Z33</f>
        <v/>
      </c>
      <c r="AA70" s="41">
        <f>AA27+AA28+AA29+AA30+AA31+AA32+AA33</f>
        <v/>
      </c>
      <c r="AB70" s="41">
        <f>AB27+AB28+AB29+AB30+AB31+AB32+AB33</f>
        <v/>
      </c>
      <c r="AC70" s="41">
        <f>AC27+AC28+AC29+AC30+AC31+AC32+AC33</f>
        <v/>
      </c>
      <c r="AD70" s="41">
        <f>AD27+AD28+AD29+AD30+AD31+AD32+AD33</f>
        <v/>
      </c>
      <c r="AE70" s="41">
        <f>AE27+AE28+AE29+AE30+AE31+AE32+AE33</f>
        <v/>
      </c>
      <c r="AF70" s="41">
        <f>AF27+AF28+AF29+AF30+AF31+AF32+AF33</f>
        <v/>
      </c>
      <c r="AG70" s="41">
        <f>AG27+AG28+AG29+AG30+AG31+AG32+AG33</f>
        <v/>
      </c>
      <c r="AH70" s="41">
        <f>AH27+AH28+AH29+AH30+AH31+AH32+AH33</f>
        <v/>
      </c>
      <c r="AI70" s="41">
        <f>AI27+AI28+AI29+AI30+AI31+AI32+AI33</f>
        <v/>
      </c>
      <c r="AJ70" s="41">
        <f>AJ27+AJ28+AJ29+AJ30+AJ31+AJ32+AJ33</f>
        <v/>
      </c>
      <c r="AK70" s="41">
        <f>AK27+AK28+AK29+AK30+AK31+AK32+AK33</f>
        <v/>
      </c>
      <c r="AL70" s="41">
        <f>AL27+AL28+AL29+AL30+AL31+AL32+AL33</f>
        <v/>
      </c>
      <c r="AM70" s="41">
        <f>AM27+AM28+AM29+AM30+AM31+AM32+AM33</f>
        <v/>
      </c>
      <c r="AN70" s="41">
        <f>AN27+AN28+AN29+AN30+AN31+AN32+AN33</f>
        <v/>
      </c>
      <c r="AO70" s="41">
        <f>AO27+AO28+AO29+AO30+AO31+AO32+AO33</f>
        <v/>
      </c>
      <c r="AP70" s="41">
        <f>AP27+AP28+AP29+AP30+AP31+AP32+AP33</f>
        <v/>
      </c>
      <c r="AQ70" s="41">
        <f>AQ27+AQ28+AQ29+AQ30+AQ31+AQ32+AQ33</f>
        <v/>
      </c>
      <c r="AR70" s="41">
        <f>AR27+AR28+AR29+AR30+AR31+AR32+AR33</f>
        <v/>
      </c>
      <c r="AS70" s="41">
        <f>AS27+AS28+AS29+AS30+AS31+AS32+AS33</f>
        <v/>
      </c>
      <c r="AT70" s="41">
        <f>AT27+AT28+AT29+AT30+AT31+AT32+AT33</f>
        <v/>
      </c>
      <c r="AU70" s="41">
        <f>AU27+AU28+AU29+AU30+AU31+AU32+AU33</f>
        <v/>
      </c>
      <c r="AV70" s="41">
        <f>AV27+AV28+AV29+AV30+AV31+AV32+AV33</f>
        <v/>
      </c>
      <c r="AW70" s="41">
        <f>AW27+AW28+AW29+AW30+AW31+AW32+AW33</f>
        <v/>
      </c>
      <c r="AX70" s="41">
        <f>AX27+AX28+AX29+AX30+AX31+AX32+AX33</f>
        <v/>
      </c>
      <c r="AY70" s="41">
        <f>AY27+AY28+AY29+AY30+AY31+AY32+AY33</f>
        <v/>
      </c>
      <c r="AZ70" s="41">
        <f>AZ27+AZ28+AZ29+AZ30+AZ31+AZ32+AZ33</f>
        <v/>
      </c>
      <c r="BA70" s="41">
        <f>BA27+BA28+BA29+BA30+BA31+BA32+BA33</f>
        <v/>
      </c>
      <c r="BB70" s="41">
        <f>BB27+BB28+BB29+BB30+BB31+BB32+BB33</f>
        <v/>
      </c>
      <c r="BC70" s="41">
        <f>BC27+BC28+BC29+BC30+BC31+BC32+BC33</f>
        <v/>
      </c>
      <c r="BD70" s="41">
        <f>BD27+BD28+BD29+BD30+BD31+BD32+BD33</f>
        <v/>
      </c>
      <c r="BE70" s="41">
        <f>BE27+BE28+BE29+BE30+BE31+BE32+BE33</f>
        <v/>
      </c>
      <c r="BF70" s="41">
        <f>BF27+BF28+BF29+BF30+BF31+BF32+BF33</f>
        <v/>
      </c>
      <c r="BG70" s="41">
        <f>BG27+BG28+BG29+BG30+BG31+BG32+BG33</f>
        <v/>
      </c>
      <c r="BH70" s="41">
        <f>BH27+BH28+BH29+BH30+BH31+BH32+BH33</f>
        <v/>
      </c>
      <c r="BI70" s="41">
        <f>BI27+BI28+BI29+BI30+BI31+BI32+BI33</f>
        <v/>
      </c>
      <c r="BJ70" s="41">
        <f>BJ27+BJ28+BJ29+BJ30+BJ31+BJ32+BJ33</f>
        <v/>
      </c>
    </row>
    <row r="71">
      <c r="A71" s="4" t="inlineStr">
        <is>
          <t>Sales &amp; partnerships</t>
        </is>
      </c>
      <c r="B71" s="17" t="inlineStr">
        <is>
          <t>FTE</t>
        </is>
      </c>
      <c r="C71" s="41">
        <f>C34+C35+C36+C37+C38+C39+C40+C41+C42</f>
        <v/>
      </c>
      <c r="D71" s="41">
        <f>D34+D35+D36+D37+D38+D39+D40+D41+D42</f>
        <v/>
      </c>
      <c r="E71" s="41">
        <f>E34+E35+E36+E37+E38+E39+E40+E41+E42</f>
        <v/>
      </c>
      <c r="F71" s="41">
        <f>F34+F35+F36+F37+F38+F39+F40+F41+F42</f>
        <v/>
      </c>
      <c r="G71" s="41">
        <f>G34+G35+G36+G37+G38+G39+G40+G41+G42</f>
        <v/>
      </c>
      <c r="H71" s="41">
        <f>H34+H35+H36+H37+H38+H39+H40+H41+H42</f>
        <v/>
      </c>
      <c r="I71" s="41">
        <f>I34+I35+I36+I37+I38+I39+I40+I41+I42</f>
        <v/>
      </c>
      <c r="J71" s="41">
        <f>J34+J35+J36+J37+J38+J39+J40+J41+J42</f>
        <v/>
      </c>
      <c r="K71" s="41">
        <f>K34+K35+K36+K37+K38+K39+K40+K41+K42</f>
        <v/>
      </c>
      <c r="L71" s="41">
        <f>L34+L35+L36+L37+L38+L39+L40+L41+L42</f>
        <v/>
      </c>
      <c r="M71" s="41">
        <f>M34+M35+M36+M37+M38+M39+M40+M41+M42</f>
        <v/>
      </c>
      <c r="N71" s="41">
        <f>N34+N35+N36+N37+N38+N39+N40+N41+N42</f>
        <v/>
      </c>
      <c r="O71" s="41">
        <f>O34+O35+O36+O37+O38+O39+O40+O41+O42</f>
        <v/>
      </c>
      <c r="P71" s="41">
        <f>P34+P35+P36+P37+P38+P39+P40+P41+P42</f>
        <v/>
      </c>
      <c r="Q71" s="41">
        <f>Q34+Q35+Q36+Q37+Q38+Q39+Q40+Q41+Q42</f>
        <v/>
      </c>
      <c r="R71" s="41">
        <f>R34+R35+R36+R37+R38+R39+R40+R41+R42</f>
        <v/>
      </c>
      <c r="S71" s="41">
        <f>S34+S35+S36+S37+S38+S39+S40+S41+S42</f>
        <v/>
      </c>
      <c r="T71" s="41">
        <f>T34+T35+T36+T37+T38+T39+T40+T41+T42</f>
        <v/>
      </c>
      <c r="U71" s="41">
        <f>U34+U35+U36+U37+U38+U39+U40+U41+U42</f>
        <v/>
      </c>
      <c r="V71" s="41">
        <f>V34+V35+V36+V37+V38+V39+V40+V41+V42</f>
        <v/>
      </c>
      <c r="W71" s="41">
        <f>W34+W35+W36+W37+W38+W39+W40+W41+W42</f>
        <v/>
      </c>
      <c r="X71" s="41">
        <f>X34+X35+X36+X37+X38+X39+X40+X41+X42</f>
        <v/>
      </c>
      <c r="Y71" s="41">
        <f>Y34+Y35+Y36+Y37+Y38+Y39+Y40+Y41+Y42</f>
        <v/>
      </c>
      <c r="Z71" s="41">
        <f>Z34+Z35+Z36+Z37+Z38+Z39+Z40+Z41+Z42</f>
        <v/>
      </c>
      <c r="AA71" s="41">
        <f>AA34+AA35+AA36+AA37+AA38+AA39+AA40+AA41+AA42</f>
        <v/>
      </c>
      <c r="AB71" s="41">
        <f>AB34+AB35+AB36+AB37+AB38+AB39+AB40+AB41+AB42</f>
        <v/>
      </c>
      <c r="AC71" s="41">
        <f>AC34+AC35+AC36+AC37+AC38+AC39+AC40+AC41+AC42</f>
        <v/>
      </c>
      <c r="AD71" s="41">
        <f>AD34+AD35+AD36+AD37+AD38+AD39+AD40+AD41+AD42</f>
        <v/>
      </c>
      <c r="AE71" s="41">
        <f>AE34+AE35+AE36+AE37+AE38+AE39+AE40+AE41+AE42</f>
        <v/>
      </c>
      <c r="AF71" s="41">
        <f>AF34+AF35+AF36+AF37+AF38+AF39+AF40+AF41+AF42</f>
        <v/>
      </c>
      <c r="AG71" s="41">
        <f>AG34+AG35+AG36+AG37+AG38+AG39+AG40+AG41+AG42</f>
        <v/>
      </c>
      <c r="AH71" s="41">
        <f>AH34+AH35+AH36+AH37+AH38+AH39+AH40+AH41+AH42</f>
        <v/>
      </c>
      <c r="AI71" s="41">
        <f>AI34+AI35+AI36+AI37+AI38+AI39+AI40+AI41+AI42</f>
        <v/>
      </c>
      <c r="AJ71" s="41">
        <f>AJ34+AJ35+AJ36+AJ37+AJ38+AJ39+AJ40+AJ41+AJ42</f>
        <v/>
      </c>
      <c r="AK71" s="41">
        <f>AK34+AK35+AK36+AK37+AK38+AK39+AK40+AK41+AK42</f>
        <v/>
      </c>
      <c r="AL71" s="41">
        <f>AL34+AL35+AL36+AL37+AL38+AL39+AL40+AL41+AL42</f>
        <v/>
      </c>
      <c r="AM71" s="41">
        <f>AM34+AM35+AM36+AM37+AM38+AM39+AM40+AM41+AM42</f>
        <v/>
      </c>
      <c r="AN71" s="41">
        <f>AN34+AN35+AN36+AN37+AN38+AN39+AN40+AN41+AN42</f>
        <v/>
      </c>
      <c r="AO71" s="41">
        <f>AO34+AO35+AO36+AO37+AO38+AO39+AO40+AO41+AO42</f>
        <v/>
      </c>
      <c r="AP71" s="41">
        <f>AP34+AP35+AP36+AP37+AP38+AP39+AP40+AP41+AP42</f>
        <v/>
      </c>
      <c r="AQ71" s="41">
        <f>AQ34+AQ35+AQ36+AQ37+AQ38+AQ39+AQ40+AQ41+AQ42</f>
        <v/>
      </c>
      <c r="AR71" s="41">
        <f>AR34+AR35+AR36+AR37+AR38+AR39+AR40+AR41+AR42</f>
        <v/>
      </c>
      <c r="AS71" s="41">
        <f>AS34+AS35+AS36+AS37+AS38+AS39+AS40+AS41+AS42</f>
        <v/>
      </c>
      <c r="AT71" s="41">
        <f>AT34+AT35+AT36+AT37+AT38+AT39+AT40+AT41+AT42</f>
        <v/>
      </c>
      <c r="AU71" s="41">
        <f>AU34+AU35+AU36+AU37+AU38+AU39+AU40+AU41+AU42</f>
        <v/>
      </c>
      <c r="AV71" s="41">
        <f>AV34+AV35+AV36+AV37+AV38+AV39+AV40+AV41+AV42</f>
        <v/>
      </c>
      <c r="AW71" s="41">
        <f>AW34+AW35+AW36+AW37+AW38+AW39+AW40+AW41+AW42</f>
        <v/>
      </c>
      <c r="AX71" s="41">
        <f>AX34+AX35+AX36+AX37+AX38+AX39+AX40+AX41+AX42</f>
        <v/>
      </c>
      <c r="AY71" s="41">
        <f>AY34+AY35+AY36+AY37+AY38+AY39+AY40+AY41+AY42</f>
        <v/>
      </c>
      <c r="AZ71" s="41">
        <f>AZ34+AZ35+AZ36+AZ37+AZ38+AZ39+AZ40+AZ41+AZ42</f>
        <v/>
      </c>
      <c r="BA71" s="41">
        <f>BA34+BA35+BA36+BA37+BA38+BA39+BA40+BA41+BA42</f>
        <v/>
      </c>
      <c r="BB71" s="41">
        <f>BB34+BB35+BB36+BB37+BB38+BB39+BB40+BB41+BB42</f>
        <v/>
      </c>
      <c r="BC71" s="41">
        <f>BC34+BC35+BC36+BC37+BC38+BC39+BC40+BC41+BC42</f>
        <v/>
      </c>
      <c r="BD71" s="41">
        <f>BD34+BD35+BD36+BD37+BD38+BD39+BD40+BD41+BD42</f>
        <v/>
      </c>
      <c r="BE71" s="41">
        <f>BE34+BE35+BE36+BE37+BE38+BE39+BE40+BE41+BE42</f>
        <v/>
      </c>
      <c r="BF71" s="41">
        <f>BF34+BF35+BF36+BF37+BF38+BF39+BF40+BF41+BF42</f>
        <v/>
      </c>
      <c r="BG71" s="41">
        <f>BG34+BG35+BG36+BG37+BG38+BG39+BG40+BG41+BG42</f>
        <v/>
      </c>
      <c r="BH71" s="41">
        <f>BH34+BH35+BH36+BH37+BH38+BH39+BH40+BH41+BH42</f>
        <v/>
      </c>
      <c r="BI71" s="41">
        <f>BI34+BI35+BI36+BI37+BI38+BI39+BI40+BI41+BI42</f>
        <v/>
      </c>
      <c r="BJ71" s="41">
        <f>BJ34+BJ35+BJ36+BJ37+BJ38+BJ39+BJ40+BJ41+BJ42</f>
        <v/>
      </c>
    </row>
    <row r="72">
      <c r="A72" s="4" t="inlineStr">
        <is>
          <t>Customer success</t>
        </is>
      </c>
      <c r="B72" s="17" t="inlineStr">
        <is>
          <t>FTE</t>
        </is>
      </c>
      <c r="C72" s="41">
        <f>C43+C44+C45+C46+C47+C48+C55</f>
        <v/>
      </c>
      <c r="D72" s="41">
        <f>D43+D44+D45+D46+D47+D48+D55</f>
        <v/>
      </c>
      <c r="E72" s="41">
        <f>E43+E44+E45+E46+E47+E48+E55</f>
        <v/>
      </c>
      <c r="F72" s="41">
        <f>F43+F44+F45+F46+F47+F48+F55</f>
        <v/>
      </c>
      <c r="G72" s="41">
        <f>G43+G44+G45+G46+G47+G48+G55</f>
        <v/>
      </c>
      <c r="H72" s="41">
        <f>H43+H44+H45+H46+H47+H48+H55</f>
        <v/>
      </c>
      <c r="I72" s="41">
        <f>I43+I44+I45+I46+I47+I48+I55</f>
        <v/>
      </c>
      <c r="J72" s="41">
        <f>J43+J44+J45+J46+J47+J48+J55</f>
        <v/>
      </c>
      <c r="K72" s="41">
        <f>K43+K44+K45+K46+K47+K48+K55</f>
        <v/>
      </c>
      <c r="L72" s="41">
        <f>L43+L44+L45+L46+L47+L48+L55</f>
        <v/>
      </c>
      <c r="M72" s="41">
        <f>M43+M44+M45+M46+M47+M48+M55</f>
        <v/>
      </c>
      <c r="N72" s="41">
        <f>N43+N44+N45+N46+N47+N48+N55</f>
        <v/>
      </c>
      <c r="O72" s="41">
        <f>O43+O44+O45+O46+O47+O48+O55</f>
        <v/>
      </c>
      <c r="P72" s="41">
        <f>P43+P44+P45+P46+P47+P48+P55</f>
        <v/>
      </c>
      <c r="Q72" s="41">
        <f>Q43+Q44+Q45+Q46+Q47+Q48+Q55</f>
        <v/>
      </c>
      <c r="R72" s="41">
        <f>R43+R44+R45+R46+R47+R48+R55</f>
        <v/>
      </c>
      <c r="S72" s="41">
        <f>S43+S44+S45+S46+S47+S48+S55</f>
        <v/>
      </c>
      <c r="T72" s="41">
        <f>T43+T44+T45+T46+T47+T48+T55</f>
        <v/>
      </c>
      <c r="U72" s="41">
        <f>U43+U44+U45+U46+U47+U48+U55</f>
        <v/>
      </c>
      <c r="V72" s="41">
        <f>V43+V44+V45+V46+V47+V48+V55</f>
        <v/>
      </c>
      <c r="W72" s="41">
        <f>W43+W44+W45+W46+W47+W48+W55</f>
        <v/>
      </c>
      <c r="X72" s="41">
        <f>X43+X44+X45+X46+X47+X48+X55</f>
        <v/>
      </c>
      <c r="Y72" s="41">
        <f>Y43+Y44+Y45+Y46+Y47+Y48+Y55</f>
        <v/>
      </c>
      <c r="Z72" s="41">
        <f>Z43+Z44+Z45+Z46+Z47+Z48+Z55</f>
        <v/>
      </c>
      <c r="AA72" s="41">
        <f>AA43+AA44+AA45+AA46+AA47+AA48+AA55</f>
        <v/>
      </c>
      <c r="AB72" s="41">
        <f>AB43+AB44+AB45+AB46+AB47+AB48+AB55</f>
        <v/>
      </c>
      <c r="AC72" s="41">
        <f>AC43+AC44+AC45+AC46+AC47+AC48+AC55</f>
        <v/>
      </c>
      <c r="AD72" s="41">
        <f>AD43+AD44+AD45+AD46+AD47+AD48+AD55</f>
        <v/>
      </c>
      <c r="AE72" s="41">
        <f>AE43+AE44+AE45+AE46+AE47+AE48+AE55</f>
        <v/>
      </c>
      <c r="AF72" s="41">
        <f>AF43+AF44+AF45+AF46+AF47+AF48+AF55</f>
        <v/>
      </c>
      <c r="AG72" s="41">
        <f>AG43+AG44+AG45+AG46+AG47+AG48+AG55</f>
        <v/>
      </c>
      <c r="AH72" s="41">
        <f>AH43+AH44+AH45+AH46+AH47+AH48+AH55</f>
        <v/>
      </c>
      <c r="AI72" s="41">
        <f>AI43+AI44+AI45+AI46+AI47+AI48+AI55</f>
        <v/>
      </c>
      <c r="AJ72" s="41">
        <f>AJ43+AJ44+AJ45+AJ46+AJ47+AJ48+AJ55</f>
        <v/>
      </c>
      <c r="AK72" s="41">
        <f>AK43+AK44+AK45+AK46+AK47+AK48+AK55</f>
        <v/>
      </c>
      <c r="AL72" s="41">
        <f>AL43+AL44+AL45+AL46+AL47+AL48+AL55</f>
        <v/>
      </c>
      <c r="AM72" s="41">
        <f>AM43+AM44+AM45+AM46+AM47+AM48+AM55</f>
        <v/>
      </c>
      <c r="AN72" s="41">
        <f>AN43+AN44+AN45+AN46+AN47+AN48+AN55</f>
        <v/>
      </c>
      <c r="AO72" s="41">
        <f>AO43+AO44+AO45+AO46+AO47+AO48+AO55</f>
        <v/>
      </c>
      <c r="AP72" s="41">
        <f>AP43+AP44+AP45+AP46+AP47+AP48+AP55</f>
        <v/>
      </c>
      <c r="AQ72" s="41">
        <f>AQ43+AQ44+AQ45+AQ46+AQ47+AQ48+AQ55</f>
        <v/>
      </c>
      <c r="AR72" s="41">
        <f>AR43+AR44+AR45+AR46+AR47+AR48+AR55</f>
        <v/>
      </c>
      <c r="AS72" s="41">
        <f>AS43+AS44+AS45+AS46+AS47+AS48+AS55</f>
        <v/>
      </c>
      <c r="AT72" s="41">
        <f>AT43+AT44+AT45+AT46+AT47+AT48+AT55</f>
        <v/>
      </c>
      <c r="AU72" s="41">
        <f>AU43+AU44+AU45+AU46+AU47+AU48+AU55</f>
        <v/>
      </c>
      <c r="AV72" s="41">
        <f>AV43+AV44+AV45+AV46+AV47+AV48+AV55</f>
        <v/>
      </c>
      <c r="AW72" s="41">
        <f>AW43+AW44+AW45+AW46+AW47+AW48+AW55</f>
        <v/>
      </c>
      <c r="AX72" s="41">
        <f>AX43+AX44+AX45+AX46+AX47+AX48+AX55</f>
        <v/>
      </c>
      <c r="AY72" s="41">
        <f>AY43+AY44+AY45+AY46+AY47+AY48+AY55</f>
        <v/>
      </c>
      <c r="AZ72" s="41">
        <f>AZ43+AZ44+AZ45+AZ46+AZ47+AZ48+AZ55</f>
        <v/>
      </c>
      <c r="BA72" s="41">
        <f>BA43+BA44+BA45+BA46+BA47+BA48+BA55</f>
        <v/>
      </c>
      <c r="BB72" s="41">
        <f>BB43+BB44+BB45+BB46+BB47+BB48+BB55</f>
        <v/>
      </c>
      <c r="BC72" s="41">
        <f>BC43+BC44+BC45+BC46+BC47+BC48+BC55</f>
        <v/>
      </c>
      <c r="BD72" s="41">
        <f>BD43+BD44+BD45+BD46+BD47+BD48+BD55</f>
        <v/>
      </c>
      <c r="BE72" s="41">
        <f>BE43+BE44+BE45+BE46+BE47+BE48+BE55</f>
        <v/>
      </c>
      <c r="BF72" s="41">
        <f>BF43+BF44+BF45+BF46+BF47+BF48+BF55</f>
        <v/>
      </c>
      <c r="BG72" s="41">
        <f>BG43+BG44+BG45+BG46+BG47+BG48+BG55</f>
        <v/>
      </c>
      <c r="BH72" s="41">
        <f>BH43+BH44+BH45+BH46+BH47+BH48+BH55</f>
        <v/>
      </c>
      <c r="BI72" s="41">
        <f>BI43+BI44+BI45+BI46+BI47+BI48+BI55</f>
        <v/>
      </c>
      <c r="BJ72" s="41">
        <f>BJ43+BJ44+BJ45+BJ46+BJ47+BJ48+BJ55</f>
        <v/>
      </c>
    </row>
    <row r="73">
      <c r="A73" s="4" t="inlineStr">
        <is>
          <t>G&amp;A &amp; compliance</t>
        </is>
      </c>
      <c r="B73" s="17" t="inlineStr">
        <is>
          <t>FTE</t>
        </is>
      </c>
      <c r="C73" s="41">
        <f>C49+C50+C51+C52+C53+C54+C56</f>
        <v/>
      </c>
      <c r="D73" s="41">
        <f>D49+D50+D51+D52+D53+D54+D56</f>
        <v/>
      </c>
      <c r="E73" s="41">
        <f>E49+E50+E51+E52+E53+E54+E56</f>
        <v/>
      </c>
      <c r="F73" s="41">
        <f>F49+F50+F51+F52+F53+F54+F56</f>
        <v/>
      </c>
      <c r="G73" s="41">
        <f>G49+G50+G51+G52+G53+G54+G56</f>
        <v/>
      </c>
      <c r="H73" s="41">
        <f>H49+H50+H51+H52+H53+H54+H56</f>
        <v/>
      </c>
      <c r="I73" s="41">
        <f>I49+I50+I51+I52+I53+I54+I56</f>
        <v/>
      </c>
      <c r="J73" s="41">
        <f>J49+J50+J51+J52+J53+J54+J56</f>
        <v/>
      </c>
      <c r="K73" s="41">
        <f>K49+K50+K51+K52+K53+K54+K56</f>
        <v/>
      </c>
      <c r="L73" s="41">
        <f>L49+L50+L51+L52+L53+L54+L56</f>
        <v/>
      </c>
      <c r="M73" s="41">
        <f>M49+M50+M51+M52+M53+M54+M56</f>
        <v/>
      </c>
      <c r="N73" s="41">
        <f>N49+N50+N51+N52+N53+N54+N56</f>
        <v/>
      </c>
      <c r="O73" s="41">
        <f>O49+O50+O51+O52+O53+O54+O56</f>
        <v/>
      </c>
      <c r="P73" s="41">
        <f>P49+P50+P51+P52+P53+P54+P56</f>
        <v/>
      </c>
      <c r="Q73" s="41">
        <f>Q49+Q50+Q51+Q52+Q53+Q54+Q56</f>
        <v/>
      </c>
      <c r="R73" s="41">
        <f>R49+R50+R51+R52+R53+R54+R56</f>
        <v/>
      </c>
      <c r="S73" s="41">
        <f>S49+S50+S51+S52+S53+S54+S56</f>
        <v/>
      </c>
      <c r="T73" s="41">
        <f>T49+T50+T51+T52+T53+T54+T56</f>
        <v/>
      </c>
      <c r="U73" s="41">
        <f>U49+U50+U51+U52+U53+U54+U56</f>
        <v/>
      </c>
      <c r="V73" s="41">
        <f>V49+V50+V51+V52+V53+V54+V56</f>
        <v/>
      </c>
      <c r="W73" s="41">
        <f>W49+W50+W51+W52+W53+W54+W56</f>
        <v/>
      </c>
      <c r="X73" s="41">
        <f>X49+X50+X51+X52+X53+X54+X56</f>
        <v/>
      </c>
      <c r="Y73" s="41">
        <f>Y49+Y50+Y51+Y52+Y53+Y54+Y56</f>
        <v/>
      </c>
      <c r="Z73" s="41">
        <f>Z49+Z50+Z51+Z52+Z53+Z54+Z56</f>
        <v/>
      </c>
      <c r="AA73" s="41">
        <f>AA49+AA50+AA51+AA52+AA53+AA54+AA56</f>
        <v/>
      </c>
      <c r="AB73" s="41">
        <f>AB49+AB50+AB51+AB52+AB53+AB54+AB56</f>
        <v/>
      </c>
      <c r="AC73" s="41">
        <f>AC49+AC50+AC51+AC52+AC53+AC54+AC56</f>
        <v/>
      </c>
      <c r="AD73" s="41">
        <f>AD49+AD50+AD51+AD52+AD53+AD54+AD56</f>
        <v/>
      </c>
      <c r="AE73" s="41">
        <f>AE49+AE50+AE51+AE52+AE53+AE54+AE56</f>
        <v/>
      </c>
      <c r="AF73" s="41">
        <f>AF49+AF50+AF51+AF52+AF53+AF54+AF56</f>
        <v/>
      </c>
      <c r="AG73" s="41">
        <f>AG49+AG50+AG51+AG52+AG53+AG54+AG56</f>
        <v/>
      </c>
      <c r="AH73" s="41">
        <f>AH49+AH50+AH51+AH52+AH53+AH54+AH56</f>
        <v/>
      </c>
      <c r="AI73" s="41">
        <f>AI49+AI50+AI51+AI52+AI53+AI54+AI56</f>
        <v/>
      </c>
      <c r="AJ73" s="41">
        <f>AJ49+AJ50+AJ51+AJ52+AJ53+AJ54+AJ56</f>
        <v/>
      </c>
      <c r="AK73" s="41">
        <f>AK49+AK50+AK51+AK52+AK53+AK54+AK56</f>
        <v/>
      </c>
      <c r="AL73" s="41">
        <f>AL49+AL50+AL51+AL52+AL53+AL54+AL56</f>
        <v/>
      </c>
      <c r="AM73" s="41">
        <f>AM49+AM50+AM51+AM52+AM53+AM54+AM56</f>
        <v/>
      </c>
      <c r="AN73" s="41">
        <f>AN49+AN50+AN51+AN52+AN53+AN54+AN56</f>
        <v/>
      </c>
      <c r="AO73" s="41">
        <f>AO49+AO50+AO51+AO52+AO53+AO54+AO56</f>
        <v/>
      </c>
      <c r="AP73" s="41">
        <f>AP49+AP50+AP51+AP52+AP53+AP54+AP56</f>
        <v/>
      </c>
      <c r="AQ73" s="41">
        <f>AQ49+AQ50+AQ51+AQ52+AQ53+AQ54+AQ56</f>
        <v/>
      </c>
      <c r="AR73" s="41">
        <f>AR49+AR50+AR51+AR52+AR53+AR54+AR56</f>
        <v/>
      </c>
      <c r="AS73" s="41">
        <f>AS49+AS50+AS51+AS52+AS53+AS54+AS56</f>
        <v/>
      </c>
      <c r="AT73" s="41">
        <f>AT49+AT50+AT51+AT52+AT53+AT54+AT56</f>
        <v/>
      </c>
      <c r="AU73" s="41">
        <f>AU49+AU50+AU51+AU52+AU53+AU54+AU56</f>
        <v/>
      </c>
      <c r="AV73" s="41">
        <f>AV49+AV50+AV51+AV52+AV53+AV54+AV56</f>
        <v/>
      </c>
      <c r="AW73" s="41">
        <f>AW49+AW50+AW51+AW52+AW53+AW54+AW56</f>
        <v/>
      </c>
      <c r="AX73" s="41">
        <f>AX49+AX50+AX51+AX52+AX53+AX54+AX56</f>
        <v/>
      </c>
      <c r="AY73" s="41">
        <f>AY49+AY50+AY51+AY52+AY53+AY54+AY56</f>
        <v/>
      </c>
      <c r="AZ73" s="41">
        <f>AZ49+AZ50+AZ51+AZ52+AZ53+AZ54+AZ56</f>
        <v/>
      </c>
      <c r="BA73" s="41">
        <f>BA49+BA50+BA51+BA52+BA53+BA54+BA56</f>
        <v/>
      </c>
      <c r="BB73" s="41">
        <f>BB49+BB50+BB51+BB52+BB53+BB54+BB56</f>
        <v/>
      </c>
      <c r="BC73" s="41">
        <f>BC49+BC50+BC51+BC52+BC53+BC54+BC56</f>
        <v/>
      </c>
      <c r="BD73" s="41">
        <f>BD49+BD50+BD51+BD52+BD53+BD54+BD56</f>
        <v/>
      </c>
      <c r="BE73" s="41">
        <f>BE49+BE50+BE51+BE52+BE53+BE54+BE56</f>
        <v/>
      </c>
      <c r="BF73" s="41">
        <f>BF49+BF50+BF51+BF52+BF53+BF54+BF56</f>
        <v/>
      </c>
      <c r="BG73" s="41">
        <f>BG49+BG50+BG51+BG52+BG53+BG54+BG56</f>
        <v/>
      </c>
      <c r="BH73" s="41">
        <f>BH49+BH50+BH51+BH52+BH53+BH54+BH56</f>
        <v/>
      </c>
      <c r="BI73" s="41">
        <f>BI49+BI50+BI51+BI52+BI53+BI54+BI56</f>
        <v/>
      </c>
      <c r="BJ73" s="41">
        <f>BJ49+BJ50+BJ51+BJ52+BJ53+BJ54+BJ56</f>
        <v/>
      </c>
    </row>
    <row r="74">
      <c r="A74" s="4" t="inlineStr">
        <is>
          <t>Country teams</t>
        </is>
      </c>
      <c r="B74" s="17" t="inlineStr">
        <is>
          <t>FTE</t>
        </is>
      </c>
      <c r="C74" s="41">
        <f>C57+C58+C59+C60+C61+C62+C63+C64+C65</f>
        <v/>
      </c>
      <c r="D74" s="41">
        <f>D57+D58+D59+D60+D61+D62+D63+D64+D65</f>
        <v/>
      </c>
      <c r="E74" s="41">
        <f>E57+E58+E59+E60+E61+E62+E63+E64+E65</f>
        <v/>
      </c>
      <c r="F74" s="41">
        <f>F57+F58+F59+F60+F61+F62+F63+F64+F65</f>
        <v/>
      </c>
      <c r="G74" s="41">
        <f>G57+G58+G59+G60+G61+G62+G63+G64+G65</f>
        <v/>
      </c>
      <c r="H74" s="41">
        <f>H57+H58+H59+H60+H61+H62+H63+H64+H65</f>
        <v/>
      </c>
      <c r="I74" s="41">
        <f>I57+I58+I59+I60+I61+I62+I63+I64+I65</f>
        <v/>
      </c>
      <c r="J74" s="41">
        <f>J57+J58+J59+J60+J61+J62+J63+J64+J65</f>
        <v/>
      </c>
      <c r="K74" s="41">
        <f>K57+K58+K59+K60+K61+K62+K63+K64+K65</f>
        <v/>
      </c>
      <c r="L74" s="41">
        <f>L57+L58+L59+L60+L61+L62+L63+L64+L65</f>
        <v/>
      </c>
      <c r="M74" s="41">
        <f>M57+M58+M59+M60+M61+M62+M63+M64+M65</f>
        <v/>
      </c>
      <c r="N74" s="41">
        <f>N57+N58+N59+N60+N61+N62+N63+N64+N65</f>
        <v/>
      </c>
      <c r="O74" s="41">
        <f>O57+O58+O59+O60+O61+O62+O63+O64+O65</f>
        <v/>
      </c>
      <c r="P74" s="41">
        <f>P57+P58+P59+P60+P61+P62+P63+P64+P65</f>
        <v/>
      </c>
      <c r="Q74" s="41">
        <f>Q57+Q58+Q59+Q60+Q61+Q62+Q63+Q64+Q65</f>
        <v/>
      </c>
      <c r="R74" s="41">
        <f>R57+R58+R59+R60+R61+R62+R63+R64+R65</f>
        <v/>
      </c>
      <c r="S74" s="41">
        <f>S57+S58+S59+S60+S61+S62+S63+S64+S65</f>
        <v/>
      </c>
      <c r="T74" s="41">
        <f>T57+T58+T59+T60+T61+T62+T63+T64+T65</f>
        <v/>
      </c>
      <c r="U74" s="41">
        <f>U57+U58+U59+U60+U61+U62+U63+U64+U65</f>
        <v/>
      </c>
      <c r="V74" s="41">
        <f>V57+V58+V59+V60+V61+V62+V63+V64+V65</f>
        <v/>
      </c>
      <c r="W74" s="41">
        <f>W57+W58+W59+W60+W61+W62+W63+W64+W65</f>
        <v/>
      </c>
      <c r="X74" s="41">
        <f>X57+X58+X59+X60+X61+X62+X63+X64+X65</f>
        <v/>
      </c>
      <c r="Y74" s="41">
        <f>Y57+Y58+Y59+Y60+Y61+Y62+Y63+Y64+Y65</f>
        <v/>
      </c>
      <c r="Z74" s="41">
        <f>Z57+Z58+Z59+Z60+Z61+Z62+Z63+Z64+Z65</f>
        <v/>
      </c>
      <c r="AA74" s="41">
        <f>AA57+AA58+AA59+AA60+AA61+AA62+AA63+AA64+AA65</f>
        <v/>
      </c>
      <c r="AB74" s="41">
        <f>AB57+AB58+AB59+AB60+AB61+AB62+AB63+AB64+AB65</f>
        <v/>
      </c>
      <c r="AC74" s="41">
        <f>AC57+AC58+AC59+AC60+AC61+AC62+AC63+AC64+AC65</f>
        <v/>
      </c>
      <c r="AD74" s="41">
        <f>AD57+AD58+AD59+AD60+AD61+AD62+AD63+AD64+AD65</f>
        <v/>
      </c>
      <c r="AE74" s="41">
        <f>AE57+AE58+AE59+AE60+AE61+AE62+AE63+AE64+AE65</f>
        <v/>
      </c>
      <c r="AF74" s="41">
        <f>AF57+AF58+AF59+AF60+AF61+AF62+AF63+AF64+AF65</f>
        <v/>
      </c>
      <c r="AG74" s="41">
        <f>AG57+AG58+AG59+AG60+AG61+AG62+AG63+AG64+AG65</f>
        <v/>
      </c>
      <c r="AH74" s="41">
        <f>AH57+AH58+AH59+AH60+AH61+AH62+AH63+AH64+AH65</f>
        <v/>
      </c>
      <c r="AI74" s="41">
        <f>AI57+AI58+AI59+AI60+AI61+AI62+AI63+AI64+AI65</f>
        <v/>
      </c>
      <c r="AJ74" s="41">
        <f>AJ57+AJ58+AJ59+AJ60+AJ61+AJ62+AJ63+AJ64+AJ65</f>
        <v/>
      </c>
      <c r="AK74" s="41">
        <f>AK57+AK58+AK59+AK60+AK61+AK62+AK63+AK64+AK65</f>
        <v/>
      </c>
      <c r="AL74" s="41">
        <f>AL57+AL58+AL59+AL60+AL61+AL62+AL63+AL64+AL65</f>
        <v/>
      </c>
      <c r="AM74" s="41">
        <f>AM57+AM58+AM59+AM60+AM61+AM62+AM63+AM64+AM65</f>
        <v/>
      </c>
      <c r="AN74" s="41">
        <f>AN57+AN58+AN59+AN60+AN61+AN62+AN63+AN64+AN65</f>
        <v/>
      </c>
      <c r="AO74" s="41">
        <f>AO57+AO58+AO59+AO60+AO61+AO62+AO63+AO64+AO65</f>
        <v/>
      </c>
      <c r="AP74" s="41">
        <f>AP57+AP58+AP59+AP60+AP61+AP62+AP63+AP64+AP65</f>
        <v/>
      </c>
      <c r="AQ74" s="41">
        <f>AQ57+AQ58+AQ59+AQ60+AQ61+AQ62+AQ63+AQ64+AQ65</f>
        <v/>
      </c>
      <c r="AR74" s="41">
        <f>AR57+AR58+AR59+AR60+AR61+AR62+AR63+AR64+AR65</f>
        <v/>
      </c>
      <c r="AS74" s="41">
        <f>AS57+AS58+AS59+AS60+AS61+AS62+AS63+AS64+AS65</f>
        <v/>
      </c>
      <c r="AT74" s="41">
        <f>AT57+AT58+AT59+AT60+AT61+AT62+AT63+AT64+AT65</f>
        <v/>
      </c>
      <c r="AU74" s="41">
        <f>AU57+AU58+AU59+AU60+AU61+AU62+AU63+AU64+AU65</f>
        <v/>
      </c>
      <c r="AV74" s="41">
        <f>AV57+AV58+AV59+AV60+AV61+AV62+AV63+AV64+AV65</f>
        <v/>
      </c>
      <c r="AW74" s="41">
        <f>AW57+AW58+AW59+AW60+AW61+AW62+AW63+AW64+AW65</f>
        <v/>
      </c>
      <c r="AX74" s="41">
        <f>AX57+AX58+AX59+AX60+AX61+AX62+AX63+AX64+AX65</f>
        <v/>
      </c>
      <c r="AY74" s="41">
        <f>AY57+AY58+AY59+AY60+AY61+AY62+AY63+AY64+AY65</f>
        <v/>
      </c>
      <c r="AZ74" s="41">
        <f>AZ57+AZ58+AZ59+AZ60+AZ61+AZ62+AZ63+AZ64+AZ65</f>
        <v/>
      </c>
      <c r="BA74" s="41">
        <f>BA57+BA58+BA59+BA60+BA61+BA62+BA63+BA64+BA65</f>
        <v/>
      </c>
      <c r="BB74" s="41">
        <f>BB57+BB58+BB59+BB60+BB61+BB62+BB63+BB64+BB65</f>
        <v/>
      </c>
      <c r="BC74" s="41">
        <f>BC57+BC58+BC59+BC60+BC61+BC62+BC63+BC64+BC65</f>
        <v/>
      </c>
      <c r="BD74" s="41">
        <f>BD57+BD58+BD59+BD60+BD61+BD62+BD63+BD64+BD65</f>
        <v/>
      </c>
      <c r="BE74" s="41">
        <f>BE57+BE58+BE59+BE60+BE61+BE62+BE63+BE64+BE65</f>
        <v/>
      </c>
      <c r="BF74" s="41">
        <f>BF57+BF58+BF59+BF60+BF61+BF62+BF63+BF64+BF65</f>
        <v/>
      </c>
      <c r="BG74" s="41">
        <f>BG57+BG58+BG59+BG60+BG61+BG62+BG63+BG64+BG65</f>
        <v/>
      </c>
      <c r="BH74" s="41">
        <f>BH57+BH58+BH59+BH60+BH61+BH62+BH63+BH64+BH65</f>
        <v/>
      </c>
      <c r="BI74" s="41">
        <f>BI57+BI58+BI59+BI60+BI61+BI62+BI63+BI64+BI65</f>
        <v/>
      </c>
      <c r="BJ74" s="41">
        <f>BJ57+BJ58+BJ59+BJ60+BJ61+BJ62+BJ63+BJ64+BJ65</f>
        <v/>
      </c>
    </row>
    <row r="75">
      <c r="A75" s="3" t="inlineStr">
        <is>
          <t>Total headcount</t>
        </is>
      </c>
      <c r="B75" s="17" t="inlineStr">
        <is>
          <t>FTE</t>
        </is>
      </c>
      <c r="C75" s="44">
        <f>C68+C69+C70+C71+C72+C73+C74</f>
        <v/>
      </c>
      <c r="D75" s="44">
        <f>D68+D69+D70+D71+D72+D73+D74</f>
        <v/>
      </c>
      <c r="E75" s="44">
        <f>E68+E69+E70+E71+E72+E73+E74</f>
        <v/>
      </c>
      <c r="F75" s="44">
        <f>F68+F69+F70+F71+F72+F73+F74</f>
        <v/>
      </c>
      <c r="G75" s="44">
        <f>G68+G69+G70+G71+G72+G73+G74</f>
        <v/>
      </c>
      <c r="H75" s="44">
        <f>H68+H69+H70+H71+H72+H73+H74</f>
        <v/>
      </c>
      <c r="I75" s="44">
        <f>I68+I69+I70+I71+I72+I73+I74</f>
        <v/>
      </c>
      <c r="J75" s="44">
        <f>J68+J69+J70+J71+J72+J73+J74</f>
        <v/>
      </c>
      <c r="K75" s="44">
        <f>K68+K69+K70+K71+K72+K73+K74</f>
        <v/>
      </c>
      <c r="L75" s="44">
        <f>L68+L69+L70+L71+L72+L73+L74</f>
        <v/>
      </c>
      <c r="M75" s="44">
        <f>M68+M69+M70+M71+M72+M73+M74</f>
        <v/>
      </c>
      <c r="N75" s="44">
        <f>N68+N69+N70+N71+N72+N73+N74</f>
        <v/>
      </c>
      <c r="O75" s="44">
        <f>O68+O69+O70+O71+O72+O73+O74</f>
        <v/>
      </c>
      <c r="P75" s="44">
        <f>P68+P69+P70+P71+P72+P73+P74</f>
        <v/>
      </c>
      <c r="Q75" s="44">
        <f>Q68+Q69+Q70+Q71+Q72+Q73+Q74</f>
        <v/>
      </c>
      <c r="R75" s="44">
        <f>R68+R69+R70+R71+R72+R73+R74</f>
        <v/>
      </c>
      <c r="S75" s="44">
        <f>S68+S69+S70+S71+S72+S73+S74</f>
        <v/>
      </c>
      <c r="T75" s="44">
        <f>T68+T69+T70+T71+T72+T73+T74</f>
        <v/>
      </c>
      <c r="U75" s="44">
        <f>U68+U69+U70+U71+U72+U73+U74</f>
        <v/>
      </c>
      <c r="V75" s="44">
        <f>V68+V69+V70+V71+V72+V73+V74</f>
        <v/>
      </c>
      <c r="W75" s="44">
        <f>W68+W69+W70+W71+W72+W73+W74</f>
        <v/>
      </c>
      <c r="X75" s="44">
        <f>X68+X69+X70+X71+X72+X73+X74</f>
        <v/>
      </c>
      <c r="Y75" s="44">
        <f>Y68+Y69+Y70+Y71+Y72+Y73+Y74</f>
        <v/>
      </c>
      <c r="Z75" s="44">
        <f>Z68+Z69+Z70+Z71+Z72+Z73+Z74</f>
        <v/>
      </c>
      <c r="AA75" s="44">
        <f>AA68+AA69+AA70+AA71+AA72+AA73+AA74</f>
        <v/>
      </c>
      <c r="AB75" s="44">
        <f>AB68+AB69+AB70+AB71+AB72+AB73+AB74</f>
        <v/>
      </c>
      <c r="AC75" s="44">
        <f>AC68+AC69+AC70+AC71+AC72+AC73+AC74</f>
        <v/>
      </c>
      <c r="AD75" s="44">
        <f>AD68+AD69+AD70+AD71+AD72+AD73+AD74</f>
        <v/>
      </c>
      <c r="AE75" s="44">
        <f>AE68+AE69+AE70+AE71+AE72+AE73+AE74</f>
        <v/>
      </c>
      <c r="AF75" s="44">
        <f>AF68+AF69+AF70+AF71+AF72+AF73+AF74</f>
        <v/>
      </c>
      <c r="AG75" s="44">
        <f>AG68+AG69+AG70+AG71+AG72+AG73+AG74</f>
        <v/>
      </c>
      <c r="AH75" s="44">
        <f>AH68+AH69+AH70+AH71+AH72+AH73+AH74</f>
        <v/>
      </c>
      <c r="AI75" s="44">
        <f>AI68+AI69+AI70+AI71+AI72+AI73+AI74</f>
        <v/>
      </c>
      <c r="AJ75" s="44">
        <f>AJ68+AJ69+AJ70+AJ71+AJ72+AJ73+AJ74</f>
        <v/>
      </c>
      <c r="AK75" s="44">
        <f>AK68+AK69+AK70+AK71+AK72+AK73+AK74</f>
        <v/>
      </c>
      <c r="AL75" s="44">
        <f>AL68+AL69+AL70+AL71+AL72+AL73+AL74</f>
        <v/>
      </c>
      <c r="AM75" s="44">
        <f>AM68+AM69+AM70+AM71+AM72+AM73+AM74</f>
        <v/>
      </c>
      <c r="AN75" s="44">
        <f>AN68+AN69+AN70+AN71+AN72+AN73+AN74</f>
        <v/>
      </c>
      <c r="AO75" s="44">
        <f>AO68+AO69+AO70+AO71+AO72+AO73+AO74</f>
        <v/>
      </c>
      <c r="AP75" s="44">
        <f>AP68+AP69+AP70+AP71+AP72+AP73+AP74</f>
        <v/>
      </c>
      <c r="AQ75" s="44">
        <f>AQ68+AQ69+AQ70+AQ71+AQ72+AQ73+AQ74</f>
        <v/>
      </c>
      <c r="AR75" s="44">
        <f>AR68+AR69+AR70+AR71+AR72+AR73+AR74</f>
        <v/>
      </c>
      <c r="AS75" s="44">
        <f>AS68+AS69+AS70+AS71+AS72+AS73+AS74</f>
        <v/>
      </c>
      <c r="AT75" s="44">
        <f>AT68+AT69+AT70+AT71+AT72+AT73+AT74</f>
        <v/>
      </c>
      <c r="AU75" s="44">
        <f>AU68+AU69+AU70+AU71+AU72+AU73+AU74</f>
        <v/>
      </c>
      <c r="AV75" s="44">
        <f>AV68+AV69+AV70+AV71+AV72+AV73+AV74</f>
        <v/>
      </c>
      <c r="AW75" s="44">
        <f>AW68+AW69+AW70+AW71+AW72+AW73+AW74</f>
        <v/>
      </c>
      <c r="AX75" s="44">
        <f>AX68+AX69+AX70+AX71+AX72+AX73+AX74</f>
        <v/>
      </c>
      <c r="AY75" s="44">
        <f>AY68+AY69+AY70+AY71+AY72+AY73+AY74</f>
        <v/>
      </c>
      <c r="AZ75" s="44">
        <f>AZ68+AZ69+AZ70+AZ71+AZ72+AZ73+AZ74</f>
        <v/>
      </c>
      <c r="BA75" s="44">
        <f>BA68+BA69+BA70+BA71+BA72+BA73+BA74</f>
        <v/>
      </c>
      <c r="BB75" s="44">
        <f>BB68+BB69+BB70+BB71+BB72+BB73+BB74</f>
        <v/>
      </c>
      <c r="BC75" s="44">
        <f>BC68+BC69+BC70+BC71+BC72+BC73+BC74</f>
        <v/>
      </c>
      <c r="BD75" s="44">
        <f>BD68+BD69+BD70+BD71+BD72+BD73+BD74</f>
        <v/>
      </c>
      <c r="BE75" s="44">
        <f>BE68+BE69+BE70+BE71+BE72+BE73+BE74</f>
        <v/>
      </c>
      <c r="BF75" s="44">
        <f>BF68+BF69+BF70+BF71+BF72+BF73+BF74</f>
        <v/>
      </c>
      <c r="BG75" s="44">
        <f>BG68+BG69+BG70+BG71+BG72+BG73+BG74</f>
        <v/>
      </c>
      <c r="BH75" s="44">
        <f>BH68+BH69+BH70+BH71+BH72+BH73+BH74</f>
        <v/>
      </c>
      <c r="BI75" s="44">
        <f>BI68+BI69+BI70+BI71+BI72+BI73+BI74</f>
        <v/>
      </c>
      <c r="BJ75" s="44">
        <f>BJ68+BJ69+BJ70+BJ71+BJ72+BJ73+BJ74</f>
        <v/>
      </c>
    </row>
    <row r="76">
      <c r="A76" s="4" t="inlineStr">
        <is>
          <t>New hires in month</t>
        </is>
      </c>
      <c r="B76" s="17" t="inlineStr">
        <is>
          <t>FTE</t>
        </is>
      </c>
      <c r="C76" s="41">
        <f>MAX(0,C75)</f>
        <v/>
      </c>
      <c r="D76" s="41">
        <f>MAX(0,D75-C75)</f>
        <v/>
      </c>
      <c r="E76" s="41">
        <f>MAX(0,E75-D75)</f>
        <v/>
      </c>
      <c r="F76" s="41">
        <f>MAX(0,F75-E75)</f>
        <v/>
      </c>
      <c r="G76" s="41">
        <f>MAX(0,G75-F75)</f>
        <v/>
      </c>
      <c r="H76" s="41">
        <f>MAX(0,H75-G75)</f>
        <v/>
      </c>
      <c r="I76" s="41">
        <f>MAX(0,I75-H75)</f>
        <v/>
      </c>
      <c r="J76" s="41">
        <f>MAX(0,J75-I75)</f>
        <v/>
      </c>
      <c r="K76" s="41">
        <f>MAX(0,K75-J75)</f>
        <v/>
      </c>
      <c r="L76" s="41">
        <f>MAX(0,L75-K75)</f>
        <v/>
      </c>
      <c r="M76" s="41">
        <f>MAX(0,M75-L75)</f>
        <v/>
      </c>
      <c r="N76" s="41">
        <f>MAX(0,N75-M75)</f>
        <v/>
      </c>
      <c r="O76" s="41">
        <f>MAX(0,O75-N75)</f>
        <v/>
      </c>
      <c r="P76" s="41">
        <f>MAX(0,P75-O75)</f>
        <v/>
      </c>
      <c r="Q76" s="41">
        <f>MAX(0,Q75-P75)</f>
        <v/>
      </c>
      <c r="R76" s="41">
        <f>MAX(0,R75-Q75)</f>
        <v/>
      </c>
      <c r="S76" s="41">
        <f>MAX(0,S75-R75)</f>
        <v/>
      </c>
      <c r="T76" s="41">
        <f>MAX(0,T75-S75)</f>
        <v/>
      </c>
      <c r="U76" s="41">
        <f>MAX(0,U75-T75)</f>
        <v/>
      </c>
      <c r="V76" s="41">
        <f>MAX(0,V75-U75)</f>
        <v/>
      </c>
      <c r="W76" s="41">
        <f>MAX(0,W75-V75)</f>
        <v/>
      </c>
      <c r="X76" s="41">
        <f>MAX(0,X75-W75)</f>
        <v/>
      </c>
      <c r="Y76" s="41">
        <f>MAX(0,Y75-X75)</f>
        <v/>
      </c>
      <c r="Z76" s="41">
        <f>MAX(0,Z75-Y75)</f>
        <v/>
      </c>
      <c r="AA76" s="41">
        <f>MAX(0,AA75-Z75)</f>
        <v/>
      </c>
      <c r="AB76" s="41">
        <f>MAX(0,AB75-AA75)</f>
        <v/>
      </c>
      <c r="AC76" s="41">
        <f>MAX(0,AC75-AB75)</f>
        <v/>
      </c>
      <c r="AD76" s="41">
        <f>MAX(0,AD75-AC75)</f>
        <v/>
      </c>
      <c r="AE76" s="41">
        <f>MAX(0,AE75-AD75)</f>
        <v/>
      </c>
      <c r="AF76" s="41">
        <f>MAX(0,AF75-AE75)</f>
        <v/>
      </c>
      <c r="AG76" s="41">
        <f>MAX(0,AG75-AF75)</f>
        <v/>
      </c>
      <c r="AH76" s="41">
        <f>MAX(0,AH75-AG75)</f>
        <v/>
      </c>
      <c r="AI76" s="41">
        <f>MAX(0,AI75-AH75)</f>
        <v/>
      </c>
      <c r="AJ76" s="41">
        <f>MAX(0,AJ75-AI75)</f>
        <v/>
      </c>
      <c r="AK76" s="41">
        <f>MAX(0,AK75-AJ75)</f>
        <v/>
      </c>
      <c r="AL76" s="41">
        <f>MAX(0,AL75-AK75)</f>
        <v/>
      </c>
      <c r="AM76" s="41">
        <f>MAX(0,AM75-AL75)</f>
        <v/>
      </c>
      <c r="AN76" s="41">
        <f>MAX(0,AN75-AM75)</f>
        <v/>
      </c>
      <c r="AO76" s="41">
        <f>MAX(0,AO75-AN75)</f>
        <v/>
      </c>
      <c r="AP76" s="41">
        <f>MAX(0,AP75-AO75)</f>
        <v/>
      </c>
      <c r="AQ76" s="41">
        <f>MAX(0,AQ75-AP75)</f>
        <v/>
      </c>
      <c r="AR76" s="41">
        <f>MAX(0,AR75-AQ75)</f>
        <v/>
      </c>
      <c r="AS76" s="41">
        <f>MAX(0,AS75-AR75)</f>
        <v/>
      </c>
      <c r="AT76" s="41">
        <f>MAX(0,AT75-AS75)</f>
        <v/>
      </c>
      <c r="AU76" s="41">
        <f>MAX(0,AU75-AT75)</f>
        <v/>
      </c>
      <c r="AV76" s="41">
        <f>MAX(0,AV75-AU75)</f>
        <v/>
      </c>
      <c r="AW76" s="41">
        <f>MAX(0,AW75-AV75)</f>
        <v/>
      </c>
      <c r="AX76" s="41">
        <f>MAX(0,AX75-AW75)</f>
        <v/>
      </c>
      <c r="AY76" s="41">
        <f>MAX(0,AY75-AX75)</f>
        <v/>
      </c>
      <c r="AZ76" s="41">
        <f>MAX(0,AZ75-AY75)</f>
        <v/>
      </c>
      <c r="BA76" s="41">
        <f>MAX(0,BA75-AZ75)</f>
        <v/>
      </c>
      <c r="BB76" s="41">
        <f>MAX(0,BB75-BA75)</f>
        <v/>
      </c>
      <c r="BC76" s="41">
        <f>MAX(0,BC75-BB75)</f>
        <v/>
      </c>
      <c r="BD76" s="41">
        <f>MAX(0,BD75-BC75)</f>
        <v/>
      </c>
      <c r="BE76" s="41">
        <f>MAX(0,BE75-BD75)</f>
        <v/>
      </c>
      <c r="BF76" s="41">
        <f>MAX(0,BF75-BE75)</f>
        <v/>
      </c>
      <c r="BG76" s="41">
        <f>MAX(0,BG75-BF75)</f>
        <v/>
      </c>
      <c r="BH76" s="41">
        <f>MAX(0,BH75-BG75)</f>
        <v/>
      </c>
      <c r="BI76" s="41">
        <f>MAX(0,BI75-BH75)</f>
        <v/>
      </c>
      <c r="BJ76" s="41">
        <f>MAX(0,BJ75-BI75)</f>
        <v/>
      </c>
    </row>
    <row r="77">
      <c r="A77" s="4" t="inlineStr">
        <is>
          <t>Partnerships managers active (SA agency programme)</t>
        </is>
      </c>
      <c r="B77" s="17" t="inlineStr">
        <is>
          <t>FTE</t>
        </is>
      </c>
      <c r="C77" s="41">
        <f>C34+C35+C36+C37+C41</f>
        <v/>
      </c>
      <c r="D77" s="41">
        <f>D34+D35+D36+D37+D41</f>
        <v/>
      </c>
      <c r="E77" s="41">
        <f>E34+E35+E36+E37+E41</f>
        <v/>
      </c>
      <c r="F77" s="41">
        <f>F34+F35+F36+F37+F41</f>
        <v/>
      </c>
      <c r="G77" s="41">
        <f>G34+G35+G36+G37+G41</f>
        <v/>
      </c>
      <c r="H77" s="41">
        <f>H34+H35+H36+H37+H41</f>
        <v/>
      </c>
      <c r="I77" s="41">
        <f>I34+I35+I36+I37+I41</f>
        <v/>
      </c>
      <c r="J77" s="41">
        <f>J34+J35+J36+J37+J41</f>
        <v/>
      </c>
      <c r="K77" s="41">
        <f>K34+K35+K36+K37+K41</f>
        <v/>
      </c>
      <c r="L77" s="41">
        <f>L34+L35+L36+L37+L41</f>
        <v/>
      </c>
      <c r="M77" s="41">
        <f>M34+M35+M36+M37+M41</f>
        <v/>
      </c>
      <c r="N77" s="41">
        <f>N34+N35+N36+N37+N41</f>
        <v/>
      </c>
      <c r="O77" s="41">
        <f>O34+O35+O36+O37+O41</f>
        <v/>
      </c>
      <c r="P77" s="41">
        <f>P34+P35+P36+P37+P41</f>
        <v/>
      </c>
      <c r="Q77" s="41">
        <f>Q34+Q35+Q36+Q37+Q41</f>
        <v/>
      </c>
      <c r="R77" s="41">
        <f>R34+R35+R36+R37+R41</f>
        <v/>
      </c>
      <c r="S77" s="41">
        <f>S34+S35+S36+S37+S41</f>
        <v/>
      </c>
      <c r="T77" s="41">
        <f>T34+T35+T36+T37+T41</f>
        <v/>
      </c>
      <c r="U77" s="41">
        <f>U34+U35+U36+U37+U41</f>
        <v/>
      </c>
      <c r="V77" s="41">
        <f>V34+V35+V36+V37+V41</f>
        <v/>
      </c>
      <c r="W77" s="41">
        <f>W34+W35+W36+W37+W41</f>
        <v/>
      </c>
      <c r="X77" s="41">
        <f>X34+X35+X36+X37+X41</f>
        <v/>
      </c>
      <c r="Y77" s="41">
        <f>Y34+Y35+Y36+Y37+Y41</f>
        <v/>
      </c>
      <c r="Z77" s="41">
        <f>Z34+Z35+Z36+Z37+Z41</f>
        <v/>
      </c>
      <c r="AA77" s="41">
        <f>AA34+AA35+AA36+AA37+AA41</f>
        <v/>
      </c>
      <c r="AB77" s="41">
        <f>AB34+AB35+AB36+AB37+AB41</f>
        <v/>
      </c>
      <c r="AC77" s="41">
        <f>AC34+AC35+AC36+AC37+AC41</f>
        <v/>
      </c>
      <c r="AD77" s="41">
        <f>AD34+AD35+AD36+AD37+AD41</f>
        <v/>
      </c>
      <c r="AE77" s="41">
        <f>AE34+AE35+AE36+AE37+AE41</f>
        <v/>
      </c>
      <c r="AF77" s="41">
        <f>AF34+AF35+AF36+AF37+AF41</f>
        <v/>
      </c>
      <c r="AG77" s="41">
        <f>AG34+AG35+AG36+AG37+AG41</f>
        <v/>
      </c>
      <c r="AH77" s="41">
        <f>AH34+AH35+AH36+AH37+AH41</f>
        <v/>
      </c>
      <c r="AI77" s="41">
        <f>AI34+AI35+AI36+AI37+AI41</f>
        <v/>
      </c>
      <c r="AJ77" s="41">
        <f>AJ34+AJ35+AJ36+AJ37+AJ41</f>
        <v/>
      </c>
      <c r="AK77" s="41">
        <f>AK34+AK35+AK36+AK37+AK41</f>
        <v/>
      </c>
      <c r="AL77" s="41">
        <f>AL34+AL35+AL36+AL37+AL41</f>
        <v/>
      </c>
      <c r="AM77" s="41">
        <f>AM34+AM35+AM36+AM37+AM41</f>
        <v/>
      </c>
      <c r="AN77" s="41">
        <f>AN34+AN35+AN36+AN37+AN41</f>
        <v/>
      </c>
      <c r="AO77" s="41">
        <f>AO34+AO35+AO36+AO37+AO41</f>
        <v/>
      </c>
      <c r="AP77" s="41">
        <f>AP34+AP35+AP36+AP37+AP41</f>
        <v/>
      </c>
      <c r="AQ77" s="41">
        <f>AQ34+AQ35+AQ36+AQ37+AQ41</f>
        <v/>
      </c>
      <c r="AR77" s="41">
        <f>AR34+AR35+AR36+AR37+AR41</f>
        <v/>
      </c>
      <c r="AS77" s="41">
        <f>AS34+AS35+AS36+AS37+AS41</f>
        <v/>
      </c>
      <c r="AT77" s="41">
        <f>AT34+AT35+AT36+AT37+AT41</f>
        <v/>
      </c>
      <c r="AU77" s="41">
        <f>AU34+AU35+AU36+AU37+AU41</f>
        <v/>
      </c>
      <c r="AV77" s="41">
        <f>AV34+AV35+AV36+AV37+AV41</f>
        <v/>
      </c>
      <c r="AW77" s="41">
        <f>AW34+AW35+AW36+AW37+AW41</f>
        <v/>
      </c>
      <c r="AX77" s="41">
        <f>AX34+AX35+AX36+AX37+AX41</f>
        <v/>
      </c>
      <c r="AY77" s="41">
        <f>AY34+AY35+AY36+AY37+AY41</f>
        <v/>
      </c>
      <c r="AZ77" s="41">
        <f>AZ34+AZ35+AZ36+AZ37+AZ41</f>
        <v/>
      </c>
      <c r="BA77" s="41">
        <f>BA34+BA35+BA36+BA37+BA41</f>
        <v/>
      </c>
      <c r="BB77" s="41">
        <f>BB34+BB35+BB36+BB37+BB41</f>
        <v/>
      </c>
      <c r="BC77" s="41">
        <f>BC34+BC35+BC36+BC37+BC41</f>
        <v/>
      </c>
      <c r="BD77" s="41">
        <f>BD34+BD35+BD36+BD37+BD41</f>
        <v/>
      </c>
      <c r="BE77" s="41">
        <f>BE34+BE35+BE36+BE37+BE41</f>
        <v/>
      </c>
      <c r="BF77" s="41">
        <f>BF34+BF35+BF36+BF37+BF41</f>
        <v/>
      </c>
      <c r="BG77" s="41">
        <f>BG34+BG35+BG36+BG37+BG41</f>
        <v/>
      </c>
      <c r="BH77" s="41">
        <f>BH34+BH35+BH36+BH37+BH41</f>
        <v/>
      </c>
      <c r="BI77" s="41">
        <f>BI34+BI35+BI36+BI37+BI41</f>
        <v/>
      </c>
      <c r="BJ77" s="41">
        <f>BJ34+BJ35+BJ36+BJ37+BJ41</f>
        <v/>
      </c>
    </row>
    <row r="78">
      <c r="A78" s="4" t="inlineStr">
        <is>
          <t>Country lead active: Nigeria</t>
        </is>
      </c>
      <c r="B78" s="17" t="inlineStr">
        <is>
          <t>FTE</t>
        </is>
      </c>
      <c r="C78" s="41">
        <f>C57</f>
        <v/>
      </c>
      <c r="D78" s="41">
        <f>D57</f>
        <v/>
      </c>
      <c r="E78" s="41">
        <f>E57</f>
        <v/>
      </c>
      <c r="F78" s="41">
        <f>F57</f>
        <v/>
      </c>
      <c r="G78" s="41">
        <f>G57</f>
        <v/>
      </c>
      <c r="H78" s="41">
        <f>H57</f>
        <v/>
      </c>
      <c r="I78" s="41">
        <f>I57</f>
        <v/>
      </c>
      <c r="J78" s="41">
        <f>J57</f>
        <v/>
      </c>
      <c r="K78" s="41">
        <f>K57</f>
        <v/>
      </c>
      <c r="L78" s="41">
        <f>L57</f>
        <v/>
      </c>
      <c r="M78" s="41">
        <f>M57</f>
        <v/>
      </c>
      <c r="N78" s="41">
        <f>N57</f>
        <v/>
      </c>
      <c r="O78" s="41">
        <f>O57</f>
        <v/>
      </c>
      <c r="P78" s="41">
        <f>P57</f>
        <v/>
      </c>
      <c r="Q78" s="41">
        <f>Q57</f>
        <v/>
      </c>
      <c r="R78" s="41">
        <f>R57</f>
        <v/>
      </c>
      <c r="S78" s="41">
        <f>S57</f>
        <v/>
      </c>
      <c r="T78" s="41">
        <f>T57</f>
        <v/>
      </c>
      <c r="U78" s="41">
        <f>U57</f>
        <v/>
      </c>
      <c r="V78" s="41">
        <f>V57</f>
        <v/>
      </c>
      <c r="W78" s="41">
        <f>W57</f>
        <v/>
      </c>
      <c r="X78" s="41">
        <f>X57</f>
        <v/>
      </c>
      <c r="Y78" s="41">
        <f>Y57</f>
        <v/>
      </c>
      <c r="Z78" s="41">
        <f>Z57</f>
        <v/>
      </c>
      <c r="AA78" s="41">
        <f>AA57</f>
        <v/>
      </c>
      <c r="AB78" s="41">
        <f>AB57</f>
        <v/>
      </c>
      <c r="AC78" s="41">
        <f>AC57</f>
        <v/>
      </c>
      <c r="AD78" s="41">
        <f>AD57</f>
        <v/>
      </c>
      <c r="AE78" s="41">
        <f>AE57</f>
        <v/>
      </c>
      <c r="AF78" s="41">
        <f>AF57</f>
        <v/>
      </c>
      <c r="AG78" s="41">
        <f>AG57</f>
        <v/>
      </c>
      <c r="AH78" s="41">
        <f>AH57</f>
        <v/>
      </c>
      <c r="AI78" s="41">
        <f>AI57</f>
        <v/>
      </c>
      <c r="AJ78" s="41">
        <f>AJ57</f>
        <v/>
      </c>
      <c r="AK78" s="41">
        <f>AK57</f>
        <v/>
      </c>
      <c r="AL78" s="41">
        <f>AL57</f>
        <v/>
      </c>
      <c r="AM78" s="41">
        <f>AM57</f>
        <v/>
      </c>
      <c r="AN78" s="41">
        <f>AN57</f>
        <v/>
      </c>
      <c r="AO78" s="41">
        <f>AO57</f>
        <v/>
      </c>
      <c r="AP78" s="41">
        <f>AP57</f>
        <v/>
      </c>
      <c r="AQ78" s="41">
        <f>AQ57</f>
        <v/>
      </c>
      <c r="AR78" s="41">
        <f>AR57</f>
        <v/>
      </c>
      <c r="AS78" s="41">
        <f>AS57</f>
        <v/>
      </c>
      <c r="AT78" s="41">
        <f>AT57</f>
        <v/>
      </c>
      <c r="AU78" s="41">
        <f>AU57</f>
        <v/>
      </c>
      <c r="AV78" s="41">
        <f>AV57</f>
        <v/>
      </c>
      <c r="AW78" s="41">
        <f>AW57</f>
        <v/>
      </c>
      <c r="AX78" s="41">
        <f>AX57</f>
        <v/>
      </c>
      <c r="AY78" s="41">
        <f>AY57</f>
        <v/>
      </c>
      <c r="AZ78" s="41">
        <f>AZ57</f>
        <v/>
      </c>
      <c r="BA78" s="41">
        <f>BA57</f>
        <v/>
      </c>
      <c r="BB78" s="41">
        <f>BB57</f>
        <v/>
      </c>
      <c r="BC78" s="41">
        <f>BC57</f>
        <v/>
      </c>
      <c r="BD78" s="41">
        <f>BD57</f>
        <v/>
      </c>
      <c r="BE78" s="41">
        <f>BE57</f>
        <v/>
      </c>
      <c r="BF78" s="41">
        <f>BF57</f>
        <v/>
      </c>
      <c r="BG78" s="41">
        <f>BG57</f>
        <v/>
      </c>
      <c r="BH78" s="41">
        <f>BH57</f>
        <v/>
      </c>
      <c r="BI78" s="41">
        <f>BI57</f>
        <v/>
      </c>
      <c r="BJ78" s="41">
        <f>BJ57</f>
        <v/>
      </c>
    </row>
    <row r="79">
      <c r="A79" s="4" t="inlineStr">
        <is>
          <t>Country lead active: Kenya</t>
        </is>
      </c>
      <c r="B79" s="17" t="inlineStr">
        <is>
          <t>FTE</t>
        </is>
      </c>
      <c r="C79" s="41">
        <f>C60</f>
        <v/>
      </c>
      <c r="D79" s="41">
        <f>D60</f>
        <v/>
      </c>
      <c r="E79" s="41">
        <f>E60</f>
        <v/>
      </c>
      <c r="F79" s="41">
        <f>F60</f>
        <v/>
      </c>
      <c r="G79" s="41">
        <f>G60</f>
        <v/>
      </c>
      <c r="H79" s="41">
        <f>H60</f>
        <v/>
      </c>
      <c r="I79" s="41">
        <f>I60</f>
        <v/>
      </c>
      <c r="J79" s="41">
        <f>J60</f>
        <v/>
      </c>
      <c r="K79" s="41">
        <f>K60</f>
        <v/>
      </c>
      <c r="L79" s="41">
        <f>L60</f>
        <v/>
      </c>
      <c r="M79" s="41">
        <f>M60</f>
        <v/>
      </c>
      <c r="N79" s="41">
        <f>N60</f>
        <v/>
      </c>
      <c r="O79" s="41">
        <f>O60</f>
        <v/>
      </c>
      <c r="P79" s="41">
        <f>P60</f>
        <v/>
      </c>
      <c r="Q79" s="41">
        <f>Q60</f>
        <v/>
      </c>
      <c r="R79" s="41">
        <f>R60</f>
        <v/>
      </c>
      <c r="S79" s="41">
        <f>S60</f>
        <v/>
      </c>
      <c r="T79" s="41">
        <f>T60</f>
        <v/>
      </c>
      <c r="U79" s="41">
        <f>U60</f>
        <v/>
      </c>
      <c r="V79" s="41">
        <f>V60</f>
        <v/>
      </c>
      <c r="W79" s="41">
        <f>W60</f>
        <v/>
      </c>
      <c r="X79" s="41">
        <f>X60</f>
        <v/>
      </c>
      <c r="Y79" s="41">
        <f>Y60</f>
        <v/>
      </c>
      <c r="Z79" s="41">
        <f>Z60</f>
        <v/>
      </c>
      <c r="AA79" s="41">
        <f>AA60</f>
        <v/>
      </c>
      <c r="AB79" s="41">
        <f>AB60</f>
        <v/>
      </c>
      <c r="AC79" s="41">
        <f>AC60</f>
        <v/>
      </c>
      <c r="AD79" s="41">
        <f>AD60</f>
        <v/>
      </c>
      <c r="AE79" s="41">
        <f>AE60</f>
        <v/>
      </c>
      <c r="AF79" s="41">
        <f>AF60</f>
        <v/>
      </c>
      <c r="AG79" s="41">
        <f>AG60</f>
        <v/>
      </c>
      <c r="AH79" s="41">
        <f>AH60</f>
        <v/>
      </c>
      <c r="AI79" s="41">
        <f>AI60</f>
        <v/>
      </c>
      <c r="AJ79" s="41">
        <f>AJ60</f>
        <v/>
      </c>
      <c r="AK79" s="41">
        <f>AK60</f>
        <v/>
      </c>
      <c r="AL79" s="41">
        <f>AL60</f>
        <v/>
      </c>
      <c r="AM79" s="41">
        <f>AM60</f>
        <v/>
      </c>
      <c r="AN79" s="41">
        <f>AN60</f>
        <v/>
      </c>
      <c r="AO79" s="41">
        <f>AO60</f>
        <v/>
      </c>
      <c r="AP79" s="41">
        <f>AP60</f>
        <v/>
      </c>
      <c r="AQ79" s="41">
        <f>AQ60</f>
        <v/>
      </c>
      <c r="AR79" s="41">
        <f>AR60</f>
        <v/>
      </c>
      <c r="AS79" s="41">
        <f>AS60</f>
        <v/>
      </c>
      <c r="AT79" s="41">
        <f>AT60</f>
        <v/>
      </c>
      <c r="AU79" s="41">
        <f>AU60</f>
        <v/>
      </c>
      <c r="AV79" s="41">
        <f>AV60</f>
        <v/>
      </c>
      <c r="AW79" s="41">
        <f>AW60</f>
        <v/>
      </c>
      <c r="AX79" s="41">
        <f>AX60</f>
        <v/>
      </c>
      <c r="AY79" s="41">
        <f>AY60</f>
        <v/>
      </c>
      <c r="AZ79" s="41">
        <f>AZ60</f>
        <v/>
      </c>
      <c r="BA79" s="41">
        <f>BA60</f>
        <v/>
      </c>
      <c r="BB79" s="41">
        <f>BB60</f>
        <v/>
      </c>
      <c r="BC79" s="41">
        <f>BC60</f>
        <v/>
      </c>
      <c r="BD79" s="41">
        <f>BD60</f>
        <v/>
      </c>
      <c r="BE79" s="41">
        <f>BE60</f>
        <v/>
      </c>
      <c r="BF79" s="41">
        <f>BF60</f>
        <v/>
      </c>
      <c r="BG79" s="41">
        <f>BG60</f>
        <v/>
      </c>
      <c r="BH79" s="41">
        <f>BH60</f>
        <v/>
      </c>
      <c r="BI79" s="41">
        <f>BI60</f>
        <v/>
      </c>
      <c r="BJ79" s="41">
        <f>BJ60</f>
        <v/>
      </c>
    </row>
    <row r="80">
      <c r="A80" s="4" t="inlineStr">
        <is>
          <t>Country lead active: Ghana</t>
        </is>
      </c>
      <c r="B80" s="17" t="inlineStr">
        <is>
          <t>FTE</t>
        </is>
      </c>
      <c r="C80" s="41">
        <f>C63</f>
        <v/>
      </c>
      <c r="D80" s="41">
        <f>D63</f>
        <v/>
      </c>
      <c r="E80" s="41">
        <f>E63</f>
        <v/>
      </c>
      <c r="F80" s="41">
        <f>F63</f>
        <v/>
      </c>
      <c r="G80" s="41">
        <f>G63</f>
        <v/>
      </c>
      <c r="H80" s="41">
        <f>H63</f>
        <v/>
      </c>
      <c r="I80" s="41">
        <f>I63</f>
        <v/>
      </c>
      <c r="J80" s="41">
        <f>J63</f>
        <v/>
      </c>
      <c r="K80" s="41">
        <f>K63</f>
        <v/>
      </c>
      <c r="L80" s="41">
        <f>L63</f>
        <v/>
      </c>
      <c r="M80" s="41">
        <f>M63</f>
        <v/>
      </c>
      <c r="N80" s="41">
        <f>N63</f>
        <v/>
      </c>
      <c r="O80" s="41">
        <f>O63</f>
        <v/>
      </c>
      <c r="P80" s="41">
        <f>P63</f>
        <v/>
      </c>
      <c r="Q80" s="41">
        <f>Q63</f>
        <v/>
      </c>
      <c r="R80" s="41">
        <f>R63</f>
        <v/>
      </c>
      <c r="S80" s="41">
        <f>S63</f>
        <v/>
      </c>
      <c r="T80" s="41">
        <f>T63</f>
        <v/>
      </c>
      <c r="U80" s="41">
        <f>U63</f>
        <v/>
      </c>
      <c r="V80" s="41">
        <f>V63</f>
        <v/>
      </c>
      <c r="W80" s="41">
        <f>W63</f>
        <v/>
      </c>
      <c r="X80" s="41">
        <f>X63</f>
        <v/>
      </c>
      <c r="Y80" s="41">
        <f>Y63</f>
        <v/>
      </c>
      <c r="Z80" s="41">
        <f>Z63</f>
        <v/>
      </c>
      <c r="AA80" s="41">
        <f>AA63</f>
        <v/>
      </c>
      <c r="AB80" s="41">
        <f>AB63</f>
        <v/>
      </c>
      <c r="AC80" s="41">
        <f>AC63</f>
        <v/>
      </c>
      <c r="AD80" s="41">
        <f>AD63</f>
        <v/>
      </c>
      <c r="AE80" s="41">
        <f>AE63</f>
        <v/>
      </c>
      <c r="AF80" s="41">
        <f>AF63</f>
        <v/>
      </c>
      <c r="AG80" s="41">
        <f>AG63</f>
        <v/>
      </c>
      <c r="AH80" s="41">
        <f>AH63</f>
        <v/>
      </c>
      <c r="AI80" s="41">
        <f>AI63</f>
        <v/>
      </c>
      <c r="AJ80" s="41">
        <f>AJ63</f>
        <v/>
      </c>
      <c r="AK80" s="41">
        <f>AK63</f>
        <v/>
      </c>
      <c r="AL80" s="41">
        <f>AL63</f>
        <v/>
      </c>
      <c r="AM80" s="41">
        <f>AM63</f>
        <v/>
      </c>
      <c r="AN80" s="41">
        <f>AN63</f>
        <v/>
      </c>
      <c r="AO80" s="41">
        <f>AO63</f>
        <v/>
      </c>
      <c r="AP80" s="41">
        <f>AP63</f>
        <v/>
      </c>
      <c r="AQ80" s="41">
        <f>AQ63</f>
        <v/>
      </c>
      <c r="AR80" s="41">
        <f>AR63</f>
        <v/>
      </c>
      <c r="AS80" s="41">
        <f>AS63</f>
        <v/>
      </c>
      <c r="AT80" s="41">
        <f>AT63</f>
        <v/>
      </c>
      <c r="AU80" s="41">
        <f>AU63</f>
        <v/>
      </c>
      <c r="AV80" s="41">
        <f>AV63</f>
        <v/>
      </c>
      <c r="AW80" s="41">
        <f>AW63</f>
        <v/>
      </c>
      <c r="AX80" s="41">
        <f>AX63</f>
        <v/>
      </c>
      <c r="AY80" s="41">
        <f>AY63</f>
        <v/>
      </c>
      <c r="AZ80" s="41">
        <f>AZ63</f>
        <v/>
      </c>
      <c r="BA80" s="41">
        <f>BA63</f>
        <v/>
      </c>
      <c r="BB80" s="41">
        <f>BB63</f>
        <v/>
      </c>
      <c r="BC80" s="41">
        <f>BC63</f>
        <v/>
      </c>
      <c r="BD80" s="41">
        <f>BD63</f>
        <v/>
      </c>
      <c r="BE80" s="41">
        <f>BE63</f>
        <v/>
      </c>
      <c r="BF80" s="41">
        <f>BF63</f>
        <v/>
      </c>
      <c r="BG80" s="41">
        <f>BG63</f>
        <v/>
      </c>
      <c r="BH80" s="41">
        <f>BH63</f>
        <v/>
      </c>
      <c r="BI80" s="41">
        <f>BI63</f>
        <v/>
      </c>
      <c r="BJ80" s="41">
        <f>BJ63</f>
        <v/>
      </c>
    </row>
    <row r="81"/>
    <row r="82">
      <c r="A82" s="19" t="inlineStr">
        <is>
          <t>Payroll cost by role (cost-to-company incl. on-costs, escalated annually)</t>
        </is>
      </c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</row>
    <row r="83">
      <c r="A83" s="4" t="inlineStr">
        <is>
          <t>Salary escalation factor</t>
        </is>
      </c>
      <c r="B83" s="17" t="inlineStr">
        <is>
          <t>x</t>
        </is>
      </c>
      <c r="C83" s="36">
        <f>(1+Assumptions!$B$190)^(C$5-1)</f>
        <v/>
      </c>
      <c r="D83" s="36">
        <f>(1+Assumptions!$B$190)^(D$5-1)</f>
        <v/>
      </c>
      <c r="E83" s="36">
        <f>(1+Assumptions!$B$190)^(E$5-1)</f>
        <v/>
      </c>
      <c r="F83" s="36">
        <f>(1+Assumptions!$B$190)^(F$5-1)</f>
        <v/>
      </c>
      <c r="G83" s="36">
        <f>(1+Assumptions!$B$190)^(G$5-1)</f>
        <v/>
      </c>
      <c r="H83" s="36">
        <f>(1+Assumptions!$B$190)^(H$5-1)</f>
        <v/>
      </c>
      <c r="I83" s="36">
        <f>(1+Assumptions!$B$190)^(I$5-1)</f>
        <v/>
      </c>
      <c r="J83" s="36">
        <f>(1+Assumptions!$B$190)^(J$5-1)</f>
        <v/>
      </c>
      <c r="K83" s="36">
        <f>(1+Assumptions!$B$190)^(K$5-1)</f>
        <v/>
      </c>
      <c r="L83" s="36">
        <f>(1+Assumptions!$B$190)^(L$5-1)</f>
        <v/>
      </c>
      <c r="M83" s="36">
        <f>(1+Assumptions!$B$190)^(M$5-1)</f>
        <v/>
      </c>
      <c r="N83" s="36">
        <f>(1+Assumptions!$B$190)^(N$5-1)</f>
        <v/>
      </c>
      <c r="O83" s="36">
        <f>(1+Assumptions!$B$190)^(O$5-1)</f>
        <v/>
      </c>
      <c r="P83" s="36">
        <f>(1+Assumptions!$B$190)^(P$5-1)</f>
        <v/>
      </c>
      <c r="Q83" s="36">
        <f>(1+Assumptions!$B$190)^(Q$5-1)</f>
        <v/>
      </c>
      <c r="R83" s="36">
        <f>(1+Assumptions!$B$190)^(R$5-1)</f>
        <v/>
      </c>
      <c r="S83" s="36">
        <f>(1+Assumptions!$B$190)^(S$5-1)</f>
        <v/>
      </c>
      <c r="T83" s="36">
        <f>(1+Assumptions!$B$190)^(T$5-1)</f>
        <v/>
      </c>
      <c r="U83" s="36">
        <f>(1+Assumptions!$B$190)^(U$5-1)</f>
        <v/>
      </c>
      <c r="V83" s="36">
        <f>(1+Assumptions!$B$190)^(V$5-1)</f>
        <v/>
      </c>
      <c r="W83" s="36">
        <f>(1+Assumptions!$B$190)^(W$5-1)</f>
        <v/>
      </c>
      <c r="X83" s="36">
        <f>(1+Assumptions!$B$190)^(X$5-1)</f>
        <v/>
      </c>
      <c r="Y83" s="36">
        <f>(1+Assumptions!$B$190)^(Y$5-1)</f>
        <v/>
      </c>
      <c r="Z83" s="36">
        <f>(1+Assumptions!$B$190)^(Z$5-1)</f>
        <v/>
      </c>
      <c r="AA83" s="36">
        <f>(1+Assumptions!$B$190)^(AA$5-1)</f>
        <v/>
      </c>
      <c r="AB83" s="36">
        <f>(1+Assumptions!$B$190)^(AB$5-1)</f>
        <v/>
      </c>
      <c r="AC83" s="36">
        <f>(1+Assumptions!$B$190)^(AC$5-1)</f>
        <v/>
      </c>
      <c r="AD83" s="36">
        <f>(1+Assumptions!$B$190)^(AD$5-1)</f>
        <v/>
      </c>
      <c r="AE83" s="36">
        <f>(1+Assumptions!$B$190)^(AE$5-1)</f>
        <v/>
      </c>
      <c r="AF83" s="36">
        <f>(1+Assumptions!$B$190)^(AF$5-1)</f>
        <v/>
      </c>
      <c r="AG83" s="36">
        <f>(1+Assumptions!$B$190)^(AG$5-1)</f>
        <v/>
      </c>
      <c r="AH83" s="36">
        <f>(1+Assumptions!$B$190)^(AH$5-1)</f>
        <v/>
      </c>
      <c r="AI83" s="36">
        <f>(1+Assumptions!$B$190)^(AI$5-1)</f>
        <v/>
      </c>
      <c r="AJ83" s="36">
        <f>(1+Assumptions!$B$190)^(AJ$5-1)</f>
        <v/>
      </c>
      <c r="AK83" s="36">
        <f>(1+Assumptions!$B$190)^(AK$5-1)</f>
        <v/>
      </c>
      <c r="AL83" s="36">
        <f>(1+Assumptions!$B$190)^(AL$5-1)</f>
        <v/>
      </c>
      <c r="AM83" s="36">
        <f>(1+Assumptions!$B$190)^(AM$5-1)</f>
        <v/>
      </c>
      <c r="AN83" s="36">
        <f>(1+Assumptions!$B$190)^(AN$5-1)</f>
        <v/>
      </c>
      <c r="AO83" s="36">
        <f>(1+Assumptions!$B$190)^(AO$5-1)</f>
        <v/>
      </c>
      <c r="AP83" s="36">
        <f>(1+Assumptions!$B$190)^(AP$5-1)</f>
        <v/>
      </c>
      <c r="AQ83" s="36">
        <f>(1+Assumptions!$B$190)^(AQ$5-1)</f>
        <v/>
      </c>
      <c r="AR83" s="36">
        <f>(1+Assumptions!$B$190)^(AR$5-1)</f>
        <v/>
      </c>
      <c r="AS83" s="36">
        <f>(1+Assumptions!$B$190)^(AS$5-1)</f>
        <v/>
      </c>
      <c r="AT83" s="36">
        <f>(1+Assumptions!$B$190)^(AT$5-1)</f>
        <v/>
      </c>
      <c r="AU83" s="36">
        <f>(1+Assumptions!$B$190)^(AU$5-1)</f>
        <v/>
      </c>
      <c r="AV83" s="36">
        <f>(1+Assumptions!$B$190)^(AV$5-1)</f>
        <v/>
      </c>
      <c r="AW83" s="36">
        <f>(1+Assumptions!$B$190)^(AW$5-1)</f>
        <v/>
      </c>
      <c r="AX83" s="36">
        <f>(1+Assumptions!$B$190)^(AX$5-1)</f>
        <v/>
      </c>
      <c r="AY83" s="36">
        <f>(1+Assumptions!$B$190)^(AY$5-1)</f>
        <v/>
      </c>
      <c r="AZ83" s="36">
        <f>(1+Assumptions!$B$190)^(AZ$5-1)</f>
        <v/>
      </c>
      <c r="BA83" s="36">
        <f>(1+Assumptions!$B$190)^(BA$5-1)</f>
        <v/>
      </c>
      <c r="BB83" s="36">
        <f>(1+Assumptions!$B$190)^(BB$5-1)</f>
        <v/>
      </c>
      <c r="BC83" s="36">
        <f>(1+Assumptions!$B$190)^(BC$5-1)</f>
        <v/>
      </c>
      <c r="BD83" s="36">
        <f>(1+Assumptions!$B$190)^(BD$5-1)</f>
        <v/>
      </c>
      <c r="BE83" s="36">
        <f>(1+Assumptions!$B$190)^(BE$5-1)</f>
        <v/>
      </c>
      <c r="BF83" s="36">
        <f>(1+Assumptions!$B$190)^(BF$5-1)</f>
        <v/>
      </c>
      <c r="BG83" s="36">
        <f>(1+Assumptions!$B$190)^(BG$5-1)</f>
        <v/>
      </c>
      <c r="BH83" s="36">
        <f>(1+Assumptions!$B$190)^(BH$5-1)</f>
        <v/>
      </c>
      <c r="BI83" s="36">
        <f>(1+Assumptions!$B$190)^(BI$5-1)</f>
        <v/>
      </c>
      <c r="BJ83" s="36">
        <f>(1+Assumptions!$B$190)^(BJ$5-1)</f>
        <v/>
      </c>
    </row>
    <row r="84">
      <c r="A84" s="4" t="inlineStr">
        <is>
          <t>Founder &amp; CEO (reduced salary)</t>
        </is>
      </c>
      <c r="B84" s="17" t="inlineStr">
        <is>
          <t>R</t>
        </is>
      </c>
      <c r="C84" s="8">
        <f>C8*Assumptions!$B$223*C83*(1+Assumptions!$B$191)</f>
        <v/>
      </c>
      <c r="D84" s="8">
        <f>D8*Assumptions!$B$223*D83*(1+Assumptions!$B$191)</f>
        <v/>
      </c>
      <c r="E84" s="8">
        <f>E8*Assumptions!$B$223*E83*(1+Assumptions!$B$191)</f>
        <v/>
      </c>
      <c r="F84" s="8">
        <f>F8*Assumptions!$B$223*F83*(1+Assumptions!$B$191)</f>
        <v/>
      </c>
      <c r="G84" s="8">
        <f>G8*Assumptions!$B$223*G83*(1+Assumptions!$B$191)</f>
        <v/>
      </c>
      <c r="H84" s="8">
        <f>H8*Assumptions!$B$223*H83*(1+Assumptions!$B$191)</f>
        <v/>
      </c>
      <c r="I84" s="8">
        <f>I8*Assumptions!$B$223*I83*(1+Assumptions!$B$191)</f>
        <v/>
      </c>
      <c r="J84" s="8">
        <f>J8*Assumptions!$B$223*J83*(1+Assumptions!$B$191)</f>
        <v/>
      </c>
      <c r="K84" s="8">
        <f>K8*Assumptions!$B$223*K83*(1+Assumptions!$B$191)</f>
        <v/>
      </c>
      <c r="L84" s="8">
        <f>L8*Assumptions!$B$223*L83*(1+Assumptions!$B$191)</f>
        <v/>
      </c>
      <c r="M84" s="8">
        <f>M8*Assumptions!$B$223*M83*(1+Assumptions!$B$191)</f>
        <v/>
      </c>
      <c r="N84" s="8">
        <f>N8*Assumptions!$B$223*N83*(1+Assumptions!$B$191)</f>
        <v/>
      </c>
      <c r="O84" s="8">
        <f>O8*Assumptions!$B$223*O83*(1+Assumptions!$B$191)</f>
        <v/>
      </c>
      <c r="P84" s="8">
        <f>P8*Assumptions!$B$223*P83*(1+Assumptions!$B$191)</f>
        <v/>
      </c>
      <c r="Q84" s="8">
        <f>Q8*Assumptions!$B$223*Q83*(1+Assumptions!$B$191)</f>
        <v/>
      </c>
      <c r="R84" s="8">
        <f>R8*Assumptions!$B$223*R83*(1+Assumptions!$B$191)</f>
        <v/>
      </c>
      <c r="S84" s="8">
        <f>S8*Assumptions!$B$223*S83*(1+Assumptions!$B$191)</f>
        <v/>
      </c>
      <c r="T84" s="8">
        <f>T8*Assumptions!$B$223*T83*(1+Assumptions!$B$191)</f>
        <v/>
      </c>
      <c r="U84" s="8">
        <f>U8*Assumptions!$B$223*U83*(1+Assumptions!$B$191)</f>
        <v/>
      </c>
      <c r="V84" s="8">
        <f>V8*Assumptions!$B$223*V83*(1+Assumptions!$B$191)</f>
        <v/>
      </c>
      <c r="W84" s="8">
        <f>W8*Assumptions!$B$223*W83*(1+Assumptions!$B$191)</f>
        <v/>
      </c>
      <c r="X84" s="8">
        <f>X8*Assumptions!$B$223*X83*(1+Assumptions!$B$191)</f>
        <v/>
      </c>
      <c r="Y84" s="8">
        <f>Y8*Assumptions!$B$223*Y83*(1+Assumptions!$B$191)</f>
        <v/>
      </c>
      <c r="Z84" s="8">
        <f>Z8*Assumptions!$B$223*Z83*(1+Assumptions!$B$191)</f>
        <v/>
      </c>
      <c r="AA84" s="8">
        <f>AA8*Assumptions!$B$223*AA83*(1+Assumptions!$B$191)</f>
        <v/>
      </c>
      <c r="AB84" s="8">
        <f>AB8*Assumptions!$B$223*AB83*(1+Assumptions!$B$191)</f>
        <v/>
      </c>
      <c r="AC84" s="8">
        <f>AC8*Assumptions!$B$223*AC83*(1+Assumptions!$B$191)</f>
        <v/>
      </c>
      <c r="AD84" s="8">
        <f>AD8*Assumptions!$B$223*AD83*(1+Assumptions!$B$191)</f>
        <v/>
      </c>
      <c r="AE84" s="8">
        <f>AE8*Assumptions!$B$223*AE83*(1+Assumptions!$B$191)</f>
        <v/>
      </c>
      <c r="AF84" s="8">
        <f>AF8*Assumptions!$B$223*AF83*(1+Assumptions!$B$191)</f>
        <v/>
      </c>
      <c r="AG84" s="8">
        <f>AG8*Assumptions!$B$223*AG83*(1+Assumptions!$B$191)</f>
        <v/>
      </c>
      <c r="AH84" s="8">
        <f>AH8*Assumptions!$B$223*AH83*(1+Assumptions!$B$191)</f>
        <v/>
      </c>
      <c r="AI84" s="8">
        <f>AI8*Assumptions!$B$223*AI83*(1+Assumptions!$B$191)</f>
        <v/>
      </c>
      <c r="AJ84" s="8">
        <f>AJ8*Assumptions!$B$223*AJ83*(1+Assumptions!$B$191)</f>
        <v/>
      </c>
      <c r="AK84" s="8">
        <f>AK8*Assumptions!$B$223*AK83*(1+Assumptions!$B$191)</f>
        <v/>
      </c>
      <c r="AL84" s="8">
        <f>AL8*Assumptions!$B$223*AL83*(1+Assumptions!$B$191)</f>
        <v/>
      </c>
      <c r="AM84" s="8">
        <f>AM8*Assumptions!$B$223*AM83*(1+Assumptions!$B$191)</f>
        <v/>
      </c>
      <c r="AN84" s="8">
        <f>AN8*Assumptions!$B$223*AN83*(1+Assumptions!$B$191)</f>
        <v/>
      </c>
      <c r="AO84" s="8">
        <f>AO8*Assumptions!$B$223*AO83*(1+Assumptions!$B$191)</f>
        <v/>
      </c>
      <c r="AP84" s="8">
        <f>AP8*Assumptions!$B$223*AP83*(1+Assumptions!$B$191)</f>
        <v/>
      </c>
      <c r="AQ84" s="8">
        <f>AQ8*Assumptions!$B$223*AQ83*(1+Assumptions!$B$191)</f>
        <v/>
      </c>
      <c r="AR84" s="8">
        <f>AR8*Assumptions!$B$223*AR83*(1+Assumptions!$B$191)</f>
        <v/>
      </c>
      <c r="AS84" s="8">
        <f>AS8*Assumptions!$B$223*AS83*(1+Assumptions!$B$191)</f>
        <v/>
      </c>
      <c r="AT84" s="8">
        <f>AT8*Assumptions!$B$223*AT83*(1+Assumptions!$B$191)</f>
        <v/>
      </c>
      <c r="AU84" s="8">
        <f>AU8*Assumptions!$B$223*AU83*(1+Assumptions!$B$191)</f>
        <v/>
      </c>
      <c r="AV84" s="8">
        <f>AV8*Assumptions!$B$223*AV83*(1+Assumptions!$B$191)</f>
        <v/>
      </c>
      <c r="AW84" s="8">
        <f>AW8*Assumptions!$B$223*AW83*(1+Assumptions!$B$191)</f>
        <v/>
      </c>
      <c r="AX84" s="8">
        <f>AX8*Assumptions!$B$223*AX83*(1+Assumptions!$B$191)</f>
        <v/>
      </c>
      <c r="AY84" s="8">
        <f>AY8*Assumptions!$B$223*AY83*(1+Assumptions!$B$191)</f>
        <v/>
      </c>
      <c r="AZ84" s="8">
        <f>AZ8*Assumptions!$B$223*AZ83*(1+Assumptions!$B$191)</f>
        <v/>
      </c>
      <c r="BA84" s="8">
        <f>BA8*Assumptions!$B$223*BA83*(1+Assumptions!$B$191)</f>
        <v/>
      </c>
      <c r="BB84" s="8">
        <f>BB8*Assumptions!$B$223*BB83*(1+Assumptions!$B$191)</f>
        <v/>
      </c>
      <c r="BC84" s="8">
        <f>BC8*Assumptions!$B$223*BC83*(1+Assumptions!$B$191)</f>
        <v/>
      </c>
      <c r="BD84" s="8">
        <f>BD8*Assumptions!$B$223*BD83*(1+Assumptions!$B$191)</f>
        <v/>
      </c>
      <c r="BE84" s="8">
        <f>BE8*Assumptions!$B$223*BE83*(1+Assumptions!$B$191)</f>
        <v/>
      </c>
      <c r="BF84" s="8">
        <f>BF8*Assumptions!$B$223*BF83*(1+Assumptions!$B$191)</f>
        <v/>
      </c>
      <c r="BG84" s="8">
        <f>BG8*Assumptions!$B$223*BG83*(1+Assumptions!$B$191)</f>
        <v/>
      </c>
      <c r="BH84" s="8">
        <f>BH8*Assumptions!$B$223*BH83*(1+Assumptions!$B$191)</f>
        <v/>
      </c>
      <c r="BI84" s="8">
        <f>BI8*Assumptions!$B$223*BI83*(1+Assumptions!$B$191)</f>
        <v/>
      </c>
      <c r="BJ84" s="8">
        <f>BJ8*Assumptions!$B$223*BJ83*(1+Assumptions!$B$191)</f>
        <v/>
      </c>
    </row>
    <row r="85">
      <c r="A85" s="4" t="inlineStr">
        <is>
          <t>CTO / founding engineer (reduced salary)</t>
        </is>
      </c>
      <c r="B85" s="17" t="inlineStr">
        <is>
          <t>R</t>
        </is>
      </c>
      <c r="C85" s="8">
        <f>C9*Assumptions!$B$224*C83*(1+Assumptions!$B$191)</f>
        <v/>
      </c>
      <c r="D85" s="8">
        <f>D9*Assumptions!$B$224*D83*(1+Assumptions!$B$191)</f>
        <v/>
      </c>
      <c r="E85" s="8">
        <f>E9*Assumptions!$B$224*E83*(1+Assumptions!$B$191)</f>
        <v/>
      </c>
      <c r="F85" s="8">
        <f>F9*Assumptions!$B$224*F83*(1+Assumptions!$B$191)</f>
        <v/>
      </c>
      <c r="G85" s="8">
        <f>G9*Assumptions!$B$224*G83*(1+Assumptions!$B$191)</f>
        <v/>
      </c>
      <c r="H85" s="8">
        <f>H9*Assumptions!$B$224*H83*(1+Assumptions!$B$191)</f>
        <v/>
      </c>
      <c r="I85" s="8">
        <f>I9*Assumptions!$B$224*I83*(1+Assumptions!$B$191)</f>
        <v/>
      </c>
      <c r="J85" s="8">
        <f>J9*Assumptions!$B$224*J83*(1+Assumptions!$B$191)</f>
        <v/>
      </c>
      <c r="K85" s="8">
        <f>K9*Assumptions!$B$224*K83*(1+Assumptions!$B$191)</f>
        <v/>
      </c>
      <c r="L85" s="8">
        <f>L9*Assumptions!$B$224*L83*(1+Assumptions!$B$191)</f>
        <v/>
      </c>
      <c r="M85" s="8">
        <f>M9*Assumptions!$B$224*M83*(1+Assumptions!$B$191)</f>
        <v/>
      </c>
      <c r="N85" s="8">
        <f>N9*Assumptions!$B$224*N83*(1+Assumptions!$B$191)</f>
        <v/>
      </c>
      <c r="O85" s="8">
        <f>O9*Assumptions!$B$224*O83*(1+Assumptions!$B$191)</f>
        <v/>
      </c>
      <c r="P85" s="8">
        <f>P9*Assumptions!$B$224*P83*(1+Assumptions!$B$191)</f>
        <v/>
      </c>
      <c r="Q85" s="8">
        <f>Q9*Assumptions!$B$224*Q83*(1+Assumptions!$B$191)</f>
        <v/>
      </c>
      <c r="R85" s="8">
        <f>R9*Assumptions!$B$224*R83*(1+Assumptions!$B$191)</f>
        <v/>
      </c>
      <c r="S85" s="8">
        <f>S9*Assumptions!$B$224*S83*(1+Assumptions!$B$191)</f>
        <v/>
      </c>
      <c r="T85" s="8">
        <f>T9*Assumptions!$B$224*T83*(1+Assumptions!$B$191)</f>
        <v/>
      </c>
      <c r="U85" s="8">
        <f>U9*Assumptions!$B$224*U83*(1+Assumptions!$B$191)</f>
        <v/>
      </c>
      <c r="V85" s="8">
        <f>V9*Assumptions!$B$224*V83*(1+Assumptions!$B$191)</f>
        <v/>
      </c>
      <c r="W85" s="8">
        <f>W9*Assumptions!$B$224*W83*(1+Assumptions!$B$191)</f>
        <v/>
      </c>
      <c r="X85" s="8">
        <f>X9*Assumptions!$B$224*X83*(1+Assumptions!$B$191)</f>
        <v/>
      </c>
      <c r="Y85" s="8">
        <f>Y9*Assumptions!$B$224*Y83*(1+Assumptions!$B$191)</f>
        <v/>
      </c>
      <c r="Z85" s="8">
        <f>Z9*Assumptions!$B$224*Z83*(1+Assumptions!$B$191)</f>
        <v/>
      </c>
      <c r="AA85" s="8">
        <f>AA9*Assumptions!$B$224*AA83*(1+Assumptions!$B$191)</f>
        <v/>
      </c>
      <c r="AB85" s="8">
        <f>AB9*Assumptions!$B$224*AB83*(1+Assumptions!$B$191)</f>
        <v/>
      </c>
      <c r="AC85" s="8">
        <f>AC9*Assumptions!$B$224*AC83*(1+Assumptions!$B$191)</f>
        <v/>
      </c>
      <c r="AD85" s="8">
        <f>AD9*Assumptions!$B$224*AD83*(1+Assumptions!$B$191)</f>
        <v/>
      </c>
      <c r="AE85" s="8">
        <f>AE9*Assumptions!$B$224*AE83*(1+Assumptions!$B$191)</f>
        <v/>
      </c>
      <c r="AF85" s="8">
        <f>AF9*Assumptions!$B$224*AF83*(1+Assumptions!$B$191)</f>
        <v/>
      </c>
      <c r="AG85" s="8">
        <f>AG9*Assumptions!$B$224*AG83*(1+Assumptions!$B$191)</f>
        <v/>
      </c>
      <c r="AH85" s="8">
        <f>AH9*Assumptions!$B$224*AH83*(1+Assumptions!$B$191)</f>
        <v/>
      </c>
      <c r="AI85" s="8">
        <f>AI9*Assumptions!$B$224*AI83*(1+Assumptions!$B$191)</f>
        <v/>
      </c>
      <c r="AJ85" s="8">
        <f>AJ9*Assumptions!$B$224*AJ83*(1+Assumptions!$B$191)</f>
        <v/>
      </c>
      <c r="AK85" s="8">
        <f>AK9*Assumptions!$B$224*AK83*(1+Assumptions!$B$191)</f>
        <v/>
      </c>
      <c r="AL85" s="8">
        <f>AL9*Assumptions!$B$224*AL83*(1+Assumptions!$B$191)</f>
        <v/>
      </c>
      <c r="AM85" s="8">
        <f>AM9*Assumptions!$B$224*AM83*(1+Assumptions!$B$191)</f>
        <v/>
      </c>
      <c r="AN85" s="8">
        <f>AN9*Assumptions!$B$224*AN83*(1+Assumptions!$B$191)</f>
        <v/>
      </c>
      <c r="AO85" s="8">
        <f>AO9*Assumptions!$B$224*AO83*(1+Assumptions!$B$191)</f>
        <v/>
      </c>
      <c r="AP85" s="8">
        <f>AP9*Assumptions!$B$224*AP83*(1+Assumptions!$B$191)</f>
        <v/>
      </c>
      <c r="AQ85" s="8">
        <f>AQ9*Assumptions!$B$224*AQ83*(1+Assumptions!$B$191)</f>
        <v/>
      </c>
      <c r="AR85" s="8">
        <f>AR9*Assumptions!$B$224*AR83*(1+Assumptions!$B$191)</f>
        <v/>
      </c>
      <c r="AS85" s="8">
        <f>AS9*Assumptions!$B$224*AS83*(1+Assumptions!$B$191)</f>
        <v/>
      </c>
      <c r="AT85" s="8">
        <f>AT9*Assumptions!$B$224*AT83*(1+Assumptions!$B$191)</f>
        <v/>
      </c>
      <c r="AU85" s="8">
        <f>AU9*Assumptions!$B$224*AU83*(1+Assumptions!$B$191)</f>
        <v/>
      </c>
      <c r="AV85" s="8">
        <f>AV9*Assumptions!$B$224*AV83*(1+Assumptions!$B$191)</f>
        <v/>
      </c>
      <c r="AW85" s="8">
        <f>AW9*Assumptions!$B$224*AW83*(1+Assumptions!$B$191)</f>
        <v/>
      </c>
      <c r="AX85" s="8">
        <f>AX9*Assumptions!$B$224*AX83*(1+Assumptions!$B$191)</f>
        <v/>
      </c>
      <c r="AY85" s="8">
        <f>AY9*Assumptions!$B$224*AY83*(1+Assumptions!$B$191)</f>
        <v/>
      </c>
      <c r="AZ85" s="8">
        <f>AZ9*Assumptions!$B$224*AZ83*(1+Assumptions!$B$191)</f>
        <v/>
      </c>
      <c r="BA85" s="8">
        <f>BA9*Assumptions!$B$224*BA83*(1+Assumptions!$B$191)</f>
        <v/>
      </c>
      <c r="BB85" s="8">
        <f>BB9*Assumptions!$B$224*BB83*(1+Assumptions!$B$191)</f>
        <v/>
      </c>
      <c r="BC85" s="8">
        <f>BC9*Assumptions!$B$224*BC83*(1+Assumptions!$B$191)</f>
        <v/>
      </c>
      <c r="BD85" s="8">
        <f>BD9*Assumptions!$B$224*BD83*(1+Assumptions!$B$191)</f>
        <v/>
      </c>
      <c r="BE85" s="8">
        <f>BE9*Assumptions!$B$224*BE83*(1+Assumptions!$B$191)</f>
        <v/>
      </c>
      <c r="BF85" s="8">
        <f>BF9*Assumptions!$B$224*BF83*(1+Assumptions!$B$191)</f>
        <v/>
      </c>
      <c r="BG85" s="8">
        <f>BG9*Assumptions!$B$224*BG83*(1+Assumptions!$B$191)</f>
        <v/>
      </c>
      <c r="BH85" s="8">
        <f>BH9*Assumptions!$B$224*BH83*(1+Assumptions!$B$191)</f>
        <v/>
      </c>
      <c r="BI85" s="8">
        <f>BI9*Assumptions!$B$224*BI83*(1+Assumptions!$B$191)</f>
        <v/>
      </c>
      <c r="BJ85" s="8">
        <f>BJ9*Assumptions!$B$224*BJ83*(1+Assumptions!$B$191)</f>
        <v/>
      </c>
    </row>
    <row r="86">
      <c r="A86" s="4" t="inlineStr">
        <is>
          <t>Senior full-stack engineers</t>
        </is>
      </c>
      <c r="B86" s="17" t="inlineStr">
        <is>
          <t>R</t>
        </is>
      </c>
      <c r="C86" s="8">
        <f>C10*Assumptions!$B$225*C83*(1+Assumptions!$B$191)</f>
        <v/>
      </c>
      <c r="D86" s="8">
        <f>D10*Assumptions!$B$225*D83*(1+Assumptions!$B$191)</f>
        <v/>
      </c>
      <c r="E86" s="8">
        <f>E10*Assumptions!$B$225*E83*(1+Assumptions!$B$191)</f>
        <v/>
      </c>
      <c r="F86" s="8">
        <f>F10*Assumptions!$B$225*F83*(1+Assumptions!$B$191)</f>
        <v/>
      </c>
      <c r="G86" s="8">
        <f>G10*Assumptions!$B$225*G83*(1+Assumptions!$B$191)</f>
        <v/>
      </c>
      <c r="H86" s="8">
        <f>H10*Assumptions!$B$225*H83*(1+Assumptions!$B$191)</f>
        <v/>
      </c>
      <c r="I86" s="8">
        <f>I10*Assumptions!$B$225*I83*(1+Assumptions!$B$191)</f>
        <v/>
      </c>
      <c r="J86" s="8">
        <f>J10*Assumptions!$B$225*J83*(1+Assumptions!$B$191)</f>
        <v/>
      </c>
      <c r="K86" s="8">
        <f>K10*Assumptions!$B$225*K83*(1+Assumptions!$B$191)</f>
        <v/>
      </c>
      <c r="L86" s="8">
        <f>L10*Assumptions!$B$225*L83*(1+Assumptions!$B$191)</f>
        <v/>
      </c>
      <c r="M86" s="8">
        <f>M10*Assumptions!$B$225*M83*(1+Assumptions!$B$191)</f>
        <v/>
      </c>
      <c r="N86" s="8">
        <f>N10*Assumptions!$B$225*N83*(1+Assumptions!$B$191)</f>
        <v/>
      </c>
      <c r="O86" s="8">
        <f>O10*Assumptions!$B$225*O83*(1+Assumptions!$B$191)</f>
        <v/>
      </c>
      <c r="P86" s="8">
        <f>P10*Assumptions!$B$225*P83*(1+Assumptions!$B$191)</f>
        <v/>
      </c>
      <c r="Q86" s="8">
        <f>Q10*Assumptions!$B$225*Q83*(1+Assumptions!$B$191)</f>
        <v/>
      </c>
      <c r="R86" s="8">
        <f>R10*Assumptions!$B$225*R83*(1+Assumptions!$B$191)</f>
        <v/>
      </c>
      <c r="S86" s="8">
        <f>S10*Assumptions!$B$225*S83*(1+Assumptions!$B$191)</f>
        <v/>
      </c>
      <c r="T86" s="8">
        <f>T10*Assumptions!$B$225*T83*(1+Assumptions!$B$191)</f>
        <v/>
      </c>
      <c r="U86" s="8">
        <f>U10*Assumptions!$B$225*U83*(1+Assumptions!$B$191)</f>
        <v/>
      </c>
      <c r="V86" s="8">
        <f>V10*Assumptions!$B$225*V83*(1+Assumptions!$B$191)</f>
        <v/>
      </c>
      <c r="W86" s="8">
        <f>W10*Assumptions!$B$225*W83*(1+Assumptions!$B$191)</f>
        <v/>
      </c>
      <c r="X86" s="8">
        <f>X10*Assumptions!$B$225*X83*(1+Assumptions!$B$191)</f>
        <v/>
      </c>
      <c r="Y86" s="8">
        <f>Y10*Assumptions!$B$225*Y83*(1+Assumptions!$B$191)</f>
        <v/>
      </c>
      <c r="Z86" s="8">
        <f>Z10*Assumptions!$B$225*Z83*(1+Assumptions!$B$191)</f>
        <v/>
      </c>
      <c r="AA86" s="8">
        <f>AA10*Assumptions!$B$225*AA83*(1+Assumptions!$B$191)</f>
        <v/>
      </c>
      <c r="AB86" s="8">
        <f>AB10*Assumptions!$B$225*AB83*(1+Assumptions!$B$191)</f>
        <v/>
      </c>
      <c r="AC86" s="8">
        <f>AC10*Assumptions!$B$225*AC83*(1+Assumptions!$B$191)</f>
        <v/>
      </c>
      <c r="AD86" s="8">
        <f>AD10*Assumptions!$B$225*AD83*(1+Assumptions!$B$191)</f>
        <v/>
      </c>
      <c r="AE86" s="8">
        <f>AE10*Assumptions!$B$225*AE83*(1+Assumptions!$B$191)</f>
        <v/>
      </c>
      <c r="AF86" s="8">
        <f>AF10*Assumptions!$B$225*AF83*(1+Assumptions!$B$191)</f>
        <v/>
      </c>
      <c r="AG86" s="8">
        <f>AG10*Assumptions!$B$225*AG83*(1+Assumptions!$B$191)</f>
        <v/>
      </c>
      <c r="AH86" s="8">
        <f>AH10*Assumptions!$B$225*AH83*(1+Assumptions!$B$191)</f>
        <v/>
      </c>
      <c r="AI86" s="8">
        <f>AI10*Assumptions!$B$225*AI83*(1+Assumptions!$B$191)</f>
        <v/>
      </c>
      <c r="AJ86" s="8">
        <f>AJ10*Assumptions!$B$225*AJ83*(1+Assumptions!$B$191)</f>
        <v/>
      </c>
      <c r="AK86" s="8">
        <f>AK10*Assumptions!$B$225*AK83*(1+Assumptions!$B$191)</f>
        <v/>
      </c>
      <c r="AL86" s="8">
        <f>AL10*Assumptions!$B$225*AL83*(1+Assumptions!$B$191)</f>
        <v/>
      </c>
      <c r="AM86" s="8">
        <f>AM10*Assumptions!$B$225*AM83*(1+Assumptions!$B$191)</f>
        <v/>
      </c>
      <c r="AN86" s="8">
        <f>AN10*Assumptions!$B$225*AN83*(1+Assumptions!$B$191)</f>
        <v/>
      </c>
      <c r="AO86" s="8">
        <f>AO10*Assumptions!$B$225*AO83*(1+Assumptions!$B$191)</f>
        <v/>
      </c>
      <c r="AP86" s="8">
        <f>AP10*Assumptions!$B$225*AP83*(1+Assumptions!$B$191)</f>
        <v/>
      </c>
      <c r="AQ86" s="8">
        <f>AQ10*Assumptions!$B$225*AQ83*(1+Assumptions!$B$191)</f>
        <v/>
      </c>
      <c r="AR86" s="8">
        <f>AR10*Assumptions!$B$225*AR83*(1+Assumptions!$B$191)</f>
        <v/>
      </c>
      <c r="AS86" s="8">
        <f>AS10*Assumptions!$B$225*AS83*(1+Assumptions!$B$191)</f>
        <v/>
      </c>
      <c r="AT86" s="8">
        <f>AT10*Assumptions!$B$225*AT83*(1+Assumptions!$B$191)</f>
        <v/>
      </c>
      <c r="AU86" s="8">
        <f>AU10*Assumptions!$B$225*AU83*(1+Assumptions!$B$191)</f>
        <v/>
      </c>
      <c r="AV86" s="8">
        <f>AV10*Assumptions!$B$225*AV83*(1+Assumptions!$B$191)</f>
        <v/>
      </c>
      <c r="AW86" s="8">
        <f>AW10*Assumptions!$B$225*AW83*(1+Assumptions!$B$191)</f>
        <v/>
      </c>
      <c r="AX86" s="8">
        <f>AX10*Assumptions!$B$225*AX83*(1+Assumptions!$B$191)</f>
        <v/>
      </c>
      <c r="AY86" s="8">
        <f>AY10*Assumptions!$B$225*AY83*(1+Assumptions!$B$191)</f>
        <v/>
      </c>
      <c r="AZ86" s="8">
        <f>AZ10*Assumptions!$B$225*AZ83*(1+Assumptions!$B$191)</f>
        <v/>
      </c>
      <c r="BA86" s="8">
        <f>BA10*Assumptions!$B$225*BA83*(1+Assumptions!$B$191)</f>
        <v/>
      </c>
      <c r="BB86" s="8">
        <f>BB10*Assumptions!$B$225*BB83*(1+Assumptions!$B$191)</f>
        <v/>
      </c>
      <c r="BC86" s="8">
        <f>BC10*Assumptions!$B$225*BC83*(1+Assumptions!$B$191)</f>
        <v/>
      </c>
      <c r="BD86" s="8">
        <f>BD10*Assumptions!$B$225*BD83*(1+Assumptions!$B$191)</f>
        <v/>
      </c>
      <c r="BE86" s="8">
        <f>BE10*Assumptions!$B$225*BE83*(1+Assumptions!$B$191)</f>
        <v/>
      </c>
      <c r="BF86" s="8">
        <f>BF10*Assumptions!$B$225*BF83*(1+Assumptions!$B$191)</f>
        <v/>
      </c>
      <c r="BG86" s="8">
        <f>BG10*Assumptions!$B$225*BG83*(1+Assumptions!$B$191)</f>
        <v/>
      </c>
      <c r="BH86" s="8">
        <f>BH10*Assumptions!$B$225*BH83*(1+Assumptions!$B$191)</f>
        <v/>
      </c>
      <c r="BI86" s="8">
        <f>BI10*Assumptions!$B$225*BI83*(1+Assumptions!$B$191)</f>
        <v/>
      </c>
      <c r="BJ86" s="8">
        <f>BJ10*Assumptions!$B$225*BJ83*(1+Assumptions!$B$191)</f>
        <v/>
      </c>
    </row>
    <row r="87">
      <c r="A87" s="4" t="inlineStr">
        <is>
          <t>AI / ML engineer</t>
        </is>
      </c>
      <c r="B87" s="17" t="inlineStr">
        <is>
          <t>R</t>
        </is>
      </c>
      <c r="C87" s="8">
        <f>C11*Assumptions!$B$226*C83*(1+Assumptions!$B$191)</f>
        <v/>
      </c>
      <c r="D87" s="8">
        <f>D11*Assumptions!$B$226*D83*(1+Assumptions!$B$191)</f>
        <v/>
      </c>
      <c r="E87" s="8">
        <f>E11*Assumptions!$B$226*E83*(1+Assumptions!$B$191)</f>
        <v/>
      </c>
      <c r="F87" s="8">
        <f>F11*Assumptions!$B$226*F83*(1+Assumptions!$B$191)</f>
        <v/>
      </c>
      <c r="G87" s="8">
        <f>G11*Assumptions!$B$226*G83*(1+Assumptions!$B$191)</f>
        <v/>
      </c>
      <c r="H87" s="8">
        <f>H11*Assumptions!$B$226*H83*(1+Assumptions!$B$191)</f>
        <v/>
      </c>
      <c r="I87" s="8">
        <f>I11*Assumptions!$B$226*I83*(1+Assumptions!$B$191)</f>
        <v/>
      </c>
      <c r="J87" s="8">
        <f>J11*Assumptions!$B$226*J83*(1+Assumptions!$B$191)</f>
        <v/>
      </c>
      <c r="K87" s="8">
        <f>K11*Assumptions!$B$226*K83*(1+Assumptions!$B$191)</f>
        <v/>
      </c>
      <c r="L87" s="8">
        <f>L11*Assumptions!$B$226*L83*(1+Assumptions!$B$191)</f>
        <v/>
      </c>
      <c r="M87" s="8">
        <f>M11*Assumptions!$B$226*M83*(1+Assumptions!$B$191)</f>
        <v/>
      </c>
      <c r="N87" s="8">
        <f>N11*Assumptions!$B$226*N83*(1+Assumptions!$B$191)</f>
        <v/>
      </c>
      <c r="O87" s="8">
        <f>O11*Assumptions!$B$226*O83*(1+Assumptions!$B$191)</f>
        <v/>
      </c>
      <c r="P87" s="8">
        <f>P11*Assumptions!$B$226*P83*(1+Assumptions!$B$191)</f>
        <v/>
      </c>
      <c r="Q87" s="8">
        <f>Q11*Assumptions!$B$226*Q83*(1+Assumptions!$B$191)</f>
        <v/>
      </c>
      <c r="R87" s="8">
        <f>R11*Assumptions!$B$226*R83*(1+Assumptions!$B$191)</f>
        <v/>
      </c>
      <c r="S87" s="8">
        <f>S11*Assumptions!$B$226*S83*(1+Assumptions!$B$191)</f>
        <v/>
      </c>
      <c r="T87" s="8">
        <f>T11*Assumptions!$B$226*T83*(1+Assumptions!$B$191)</f>
        <v/>
      </c>
      <c r="U87" s="8">
        <f>U11*Assumptions!$B$226*U83*(1+Assumptions!$B$191)</f>
        <v/>
      </c>
      <c r="V87" s="8">
        <f>V11*Assumptions!$B$226*V83*(1+Assumptions!$B$191)</f>
        <v/>
      </c>
      <c r="W87" s="8">
        <f>W11*Assumptions!$B$226*W83*(1+Assumptions!$B$191)</f>
        <v/>
      </c>
      <c r="X87" s="8">
        <f>X11*Assumptions!$B$226*X83*(1+Assumptions!$B$191)</f>
        <v/>
      </c>
      <c r="Y87" s="8">
        <f>Y11*Assumptions!$B$226*Y83*(1+Assumptions!$B$191)</f>
        <v/>
      </c>
      <c r="Z87" s="8">
        <f>Z11*Assumptions!$B$226*Z83*(1+Assumptions!$B$191)</f>
        <v/>
      </c>
      <c r="AA87" s="8">
        <f>AA11*Assumptions!$B$226*AA83*(1+Assumptions!$B$191)</f>
        <v/>
      </c>
      <c r="AB87" s="8">
        <f>AB11*Assumptions!$B$226*AB83*(1+Assumptions!$B$191)</f>
        <v/>
      </c>
      <c r="AC87" s="8">
        <f>AC11*Assumptions!$B$226*AC83*(1+Assumptions!$B$191)</f>
        <v/>
      </c>
      <c r="AD87" s="8">
        <f>AD11*Assumptions!$B$226*AD83*(1+Assumptions!$B$191)</f>
        <v/>
      </c>
      <c r="AE87" s="8">
        <f>AE11*Assumptions!$B$226*AE83*(1+Assumptions!$B$191)</f>
        <v/>
      </c>
      <c r="AF87" s="8">
        <f>AF11*Assumptions!$B$226*AF83*(1+Assumptions!$B$191)</f>
        <v/>
      </c>
      <c r="AG87" s="8">
        <f>AG11*Assumptions!$B$226*AG83*(1+Assumptions!$B$191)</f>
        <v/>
      </c>
      <c r="AH87" s="8">
        <f>AH11*Assumptions!$B$226*AH83*(1+Assumptions!$B$191)</f>
        <v/>
      </c>
      <c r="AI87" s="8">
        <f>AI11*Assumptions!$B$226*AI83*(1+Assumptions!$B$191)</f>
        <v/>
      </c>
      <c r="AJ87" s="8">
        <f>AJ11*Assumptions!$B$226*AJ83*(1+Assumptions!$B$191)</f>
        <v/>
      </c>
      <c r="AK87" s="8">
        <f>AK11*Assumptions!$B$226*AK83*(1+Assumptions!$B$191)</f>
        <v/>
      </c>
      <c r="AL87" s="8">
        <f>AL11*Assumptions!$B$226*AL83*(1+Assumptions!$B$191)</f>
        <v/>
      </c>
      <c r="AM87" s="8">
        <f>AM11*Assumptions!$B$226*AM83*(1+Assumptions!$B$191)</f>
        <v/>
      </c>
      <c r="AN87" s="8">
        <f>AN11*Assumptions!$B$226*AN83*(1+Assumptions!$B$191)</f>
        <v/>
      </c>
      <c r="AO87" s="8">
        <f>AO11*Assumptions!$B$226*AO83*(1+Assumptions!$B$191)</f>
        <v/>
      </c>
      <c r="AP87" s="8">
        <f>AP11*Assumptions!$B$226*AP83*(1+Assumptions!$B$191)</f>
        <v/>
      </c>
      <c r="AQ87" s="8">
        <f>AQ11*Assumptions!$B$226*AQ83*(1+Assumptions!$B$191)</f>
        <v/>
      </c>
      <c r="AR87" s="8">
        <f>AR11*Assumptions!$B$226*AR83*(1+Assumptions!$B$191)</f>
        <v/>
      </c>
      <c r="AS87" s="8">
        <f>AS11*Assumptions!$B$226*AS83*(1+Assumptions!$B$191)</f>
        <v/>
      </c>
      <c r="AT87" s="8">
        <f>AT11*Assumptions!$B$226*AT83*(1+Assumptions!$B$191)</f>
        <v/>
      </c>
      <c r="AU87" s="8">
        <f>AU11*Assumptions!$B$226*AU83*(1+Assumptions!$B$191)</f>
        <v/>
      </c>
      <c r="AV87" s="8">
        <f>AV11*Assumptions!$B$226*AV83*(1+Assumptions!$B$191)</f>
        <v/>
      </c>
      <c r="AW87" s="8">
        <f>AW11*Assumptions!$B$226*AW83*(1+Assumptions!$B$191)</f>
        <v/>
      </c>
      <c r="AX87" s="8">
        <f>AX11*Assumptions!$B$226*AX83*(1+Assumptions!$B$191)</f>
        <v/>
      </c>
      <c r="AY87" s="8">
        <f>AY11*Assumptions!$B$226*AY83*(1+Assumptions!$B$191)</f>
        <v/>
      </c>
      <c r="AZ87" s="8">
        <f>AZ11*Assumptions!$B$226*AZ83*(1+Assumptions!$B$191)</f>
        <v/>
      </c>
      <c r="BA87" s="8">
        <f>BA11*Assumptions!$B$226*BA83*(1+Assumptions!$B$191)</f>
        <v/>
      </c>
      <c r="BB87" s="8">
        <f>BB11*Assumptions!$B$226*BB83*(1+Assumptions!$B$191)</f>
        <v/>
      </c>
      <c r="BC87" s="8">
        <f>BC11*Assumptions!$B$226*BC83*(1+Assumptions!$B$191)</f>
        <v/>
      </c>
      <c r="BD87" s="8">
        <f>BD11*Assumptions!$B$226*BD83*(1+Assumptions!$B$191)</f>
        <v/>
      </c>
      <c r="BE87" s="8">
        <f>BE11*Assumptions!$B$226*BE83*(1+Assumptions!$B$191)</f>
        <v/>
      </c>
      <c r="BF87" s="8">
        <f>BF11*Assumptions!$B$226*BF83*(1+Assumptions!$B$191)</f>
        <v/>
      </c>
      <c r="BG87" s="8">
        <f>BG11*Assumptions!$B$226*BG83*(1+Assumptions!$B$191)</f>
        <v/>
      </c>
      <c r="BH87" s="8">
        <f>BH11*Assumptions!$B$226*BH83*(1+Assumptions!$B$191)</f>
        <v/>
      </c>
      <c r="BI87" s="8">
        <f>BI11*Assumptions!$B$226*BI83*(1+Assumptions!$B$191)</f>
        <v/>
      </c>
      <c r="BJ87" s="8">
        <f>BJ11*Assumptions!$B$226*BJ83*(1+Assumptions!$B$191)</f>
        <v/>
      </c>
    </row>
    <row r="88">
      <c r="A88" s="4" t="inlineStr">
        <is>
          <t>Product designer (UX)</t>
        </is>
      </c>
      <c r="B88" s="17" t="inlineStr">
        <is>
          <t>R</t>
        </is>
      </c>
      <c r="C88" s="8">
        <f>C12*Assumptions!$B$227*C83*(1+Assumptions!$B$191)</f>
        <v/>
      </c>
      <c r="D88" s="8">
        <f>D12*Assumptions!$B$227*D83*(1+Assumptions!$B$191)</f>
        <v/>
      </c>
      <c r="E88" s="8">
        <f>E12*Assumptions!$B$227*E83*(1+Assumptions!$B$191)</f>
        <v/>
      </c>
      <c r="F88" s="8">
        <f>F12*Assumptions!$B$227*F83*(1+Assumptions!$B$191)</f>
        <v/>
      </c>
      <c r="G88" s="8">
        <f>G12*Assumptions!$B$227*G83*(1+Assumptions!$B$191)</f>
        <v/>
      </c>
      <c r="H88" s="8">
        <f>H12*Assumptions!$B$227*H83*(1+Assumptions!$B$191)</f>
        <v/>
      </c>
      <c r="I88" s="8">
        <f>I12*Assumptions!$B$227*I83*(1+Assumptions!$B$191)</f>
        <v/>
      </c>
      <c r="J88" s="8">
        <f>J12*Assumptions!$B$227*J83*(1+Assumptions!$B$191)</f>
        <v/>
      </c>
      <c r="K88" s="8">
        <f>K12*Assumptions!$B$227*K83*(1+Assumptions!$B$191)</f>
        <v/>
      </c>
      <c r="L88" s="8">
        <f>L12*Assumptions!$B$227*L83*(1+Assumptions!$B$191)</f>
        <v/>
      </c>
      <c r="M88" s="8">
        <f>M12*Assumptions!$B$227*M83*(1+Assumptions!$B$191)</f>
        <v/>
      </c>
      <c r="N88" s="8">
        <f>N12*Assumptions!$B$227*N83*(1+Assumptions!$B$191)</f>
        <v/>
      </c>
      <c r="O88" s="8">
        <f>O12*Assumptions!$B$227*O83*(1+Assumptions!$B$191)</f>
        <v/>
      </c>
      <c r="P88" s="8">
        <f>P12*Assumptions!$B$227*P83*(1+Assumptions!$B$191)</f>
        <v/>
      </c>
      <c r="Q88" s="8">
        <f>Q12*Assumptions!$B$227*Q83*(1+Assumptions!$B$191)</f>
        <v/>
      </c>
      <c r="R88" s="8">
        <f>R12*Assumptions!$B$227*R83*(1+Assumptions!$B$191)</f>
        <v/>
      </c>
      <c r="S88" s="8">
        <f>S12*Assumptions!$B$227*S83*(1+Assumptions!$B$191)</f>
        <v/>
      </c>
      <c r="T88" s="8">
        <f>T12*Assumptions!$B$227*T83*(1+Assumptions!$B$191)</f>
        <v/>
      </c>
      <c r="U88" s="8">
        <f>U12*Assumptions!$B$227*U83*(1+Assumptions!$B$191)</f>
        <v/>
      </c>
      <c r="V88" s="8">
        <f>V12*Assumptions!$B$227*V83*(1+Assumptions!$B$191)</f>
        <v/>
      </c>
      <c r="W88" s="8">
        <f>W12*Assumptions!$B$227*W83*(1+Assumptions!$B$191)</f>
        <v/>
      </c>
      <c r="X88" s="8">
        <f>X12*Assumptions!$B$227*X83*(1+Assumptions!$B$191)</f>
        <v/>
      </c>
      <c r="Y88" s="8">
        <f>Y12*Assumptions!$B$227*Y83*(1+Assumptions!$B$191)</f>
        <v/>
      </c>
      <c r="Z88" s="8">
        <f>Z12*Assumptions!$B$227*Z83*(1+Assumptions!$B$191)</f>
        <v/>
      </c>
      <c r="AA88" s="8">
        <f>AA12*Assumptions!$B$227*AA83*(1+Assumptions!$B$191)</f>
        <v/>
      </c>
      <c r="AB88" s="8">
        <f>AB12*Assumptions!$B$227*AB83*(1+Assumptions!$B$191)</f>
        <v/>
      </c>
      <c r="AC88" s="8">
        <f>AC12*Assumptions!$B$227*AC83*(1+Assumptions!$B$191)</f>
        <v/>
      </c>
      <c r="AD88" s="8">
        <f>AD12*Assumptions!$B$227*AD83*(1+Assumptions!$B$191)</f>
        <v/>
      </c>
      <c r="AE88" s="8">
        <f>AE12*Assumptions!$B$227*AE83*(1+Assumptions!$B$191)</f>
        <v/>
      </c>
      <c r="AF88" s="8">
        <f>AF12*Assumptions!$B$227*AF83*(1+Assumptions!$B$191)</f>
        <v/>
      </c>
      <c r="AG88" s="8">
        <f>AG12*Assumptions!$B$227*AG83*(1+Assumptions!$B$191)</f>
        <v/>
      </c>
      <c r="AH88" s="8">
        <f>AH12*Assumptions!$B$227*AH83*(1+Assumptions!$B$191)</f>
        <v/>
      </c>
      <c r="AI88" s="8">
        <f>AI12*Assumptions!$B$227*AI83*(1+Assumptions!$B$191)</f>
        <v/>
      </c>
      <c r="AJ88" s="8">
        <f>AJ12*Assumptions!$B$227*AJ83*(1+Assumptions!$B$191)</f>
        <v/>
      </c>
      <c r="AK88" s="8">
        <f>AK12*Assumptions!$B$227*AK83*(1+Assumptions!$B$191)</f>
        <v/>
      </c>
      <c r="AL88" s="8">
        <f>AL12*Assumptions!$B$227*AL83*(1+Assumptions!$B$191)</f>
        <v/>
      </c>
      <c r="AM88" s="8">
        <f>AM12*Assumptions!$B$227*AM83*(1+Assumptions!$B$191)</f>
        <v/>
      </c>
      <c r="AN88" s="8">
        <f>AN12*Assumptions!$B$227*AN83*(1+Assumptions!$B$191)</f>
        <v/>
      </c>
      <c r="AO88" s="8">
        <f>AO12*Assumptions!$B$227*AO83*(1+Assumptions!$B$191)</f>
        <v/>
      </c>
      <c r="AP88" s="8">
        <f>AP12*Assumptions!$B$227*AP83*(1+Assumptions!$B$191)</f>
        <v/>
      </c>
      <c r="AQ88" s="8">
        <f>AQ12*Assumptions!$B$227*AQ83*(1+Assumptions!$B$191)</f>
        <v/>
      </c>
      <c r="AR88" s="8">
        <f>AR12*Assumptions!$B$227*AR83*(1+Assumptions!$B$191)</f>
        <v/>
      </c>
      <c r="AS88" s="8">
        <f>AS12*Assumptions!$B$227*AS83*(1+Assumptions!$B$191)</f>
        <v/>
      </c>
      <c r="AT88" s="8">
        <f>AT12*Assumptions!$B$227*AT83*(1+Assumptions!$B$191)</f>
        <v/>
      </c>
      <c r="AU88" s="8">
        <f>AU12*Assumptions!$B$227*AU83*(1+Assumptions!$B$191)</f>
        <v/>
      </c>
      <c r="AV88" s="8">
        <f>AV12*Assumptions!$B$227*AV83*(1+Assumptions!$B$191)</f>
        <v/>
      </c>
      <c r="AW88" s="8">
        <f>AW12*Assumptions!$B$227*AW83*(1+Assumptions!$B$191)</f>
        <v/>
      </c>
      <c r="AX88" s="8">
        <f>AX12*Assumptions!$B$227*AX83*(1+Assumptions!$B$191)</f>
        <v/>
      </c>
      <c r="AY88" s="8">
        <f>AY12*Assumptions!$B$227*AY83*(1+Assumptions!$B$191)</f>
        <v/>
      </c>
      <c r="AZ88" s="8">
        <f>AZ12*Assumptions!$B$227*AZ83*(1+Assumptions!$B$191)</f>
        <v/>
      </c>
      <c r="BA88" s="8">
        <f>BA12*Assumptions!$B$227*BA83*(1+Assumptions!$B$191)</f>
        <v/>
      </c>
      <c r="BB88" s="8">
        <f>BB12*Assumptions!$B$227*BB83*(1+Assumptions!$B$191)</f>
        <v/>
      </c>
      <c r="BC88" s="8">
        <f>BC12*Assumptions!$B$227*BC83*(1+Assumptions!$B$191)</f>
        <v/>
      </c>
      <c r="BD88" s="8">
        <f>BD12*Assumptions!$B$227*BD83*(1+Assumptions!$B$191)</f>
        <v/>
      </c>
      <c r="BE88" s="8">
        <f>BE12*Assumptions!$B$227*BE83*(1+Assumptions!$B$191)</f>
        <v/>
      </c>
      <c r="BF88" s="8">
        <f>BF12*Assumptions!$B$227*BF83*(1+Assumptions!$B$191)</f>
        <v/>
      </c>
      <c r="BG88" s="8">
        <f>BG12*Assumptions!$B$227*BG83*(1+Assumptions!$B$191)</f>
        <v/>
      </c>
      <c r="BH88" s="8">
        <f>BH12*Assumptions!$B$227*BH83*(1+Assumptions!$B$191)</f>
        <v/>
      </c>
      <c r="BI88" s="8">
        <f>BI12*Assumptions!$B$227*BI83*(1+Assumptions!$B$191)</f>
        <v/>
      </c>
      <c r="BJ88" s="8">
        <f>BJ12*Assumptions!$B$227*BJ83*(1+Assumptions!$B$191)</f>
        <v/>
      </c>
    </row>
    <row r="89">
      <c r="A89" s="4" t="inlineStr">
        <is>
          <t>Full-stack engineers</t>
        </is>
      </c>
      <c r="B89" s="17" t="inlineStr">
        <is>
          <t>R</t>
        </is>
      </c>
      <c r="C89" s="8">
        <f>C13*Assumptions!$B$228*C83*(1+Assumptions!$B$191)</f>
        <v/>
      </c>
      <c r="D89" s="8">
        <f>D13*Assumptions!$B$228*D83*(1+Assumptions!$B$191)</f>
        <v/>
      </c>
      <c r="E89" s="8">
        <f>E13*Assumptions!$B$228*E83*(1+Assumptions!$B$191)</f>
        <v/>
      </c>
      <c r="F89" s="8">
        <f>F13*Assumptions!$B$228*F83*(1+Assumptions!$B$191)</f>
        <v/>
      </c>
      <c r="G89" s="8">
        <f>G13*Assumptions!$B$228*G83*(1+Assumptions!$B$191)</f>
        <v/>
      </c>
      <c r="H89" s="8">
        <f>H13*Assumptions!$B$228*H83*(1+Assumptions!$B$191)</f>
        <v/>
      </c>
      <c r="I89" s="8">
        <f>I13*Assumptions!$B$228*I83*(1+Assumptions!$B$191)</f>
        <v/>
      </c>
      <c r="J89" s="8">
        <f>J13*Assumptions!$B$228*J83*(1+Assumptions!$B$191)</f>
        <v/>
      </c>
      <c r="K89" s="8">
        <f>K13*Assumptions!$B$228*K83*(1+Assumptions!$B$191)</f>
        <v/>
      </c>
      <c r="L89" s="8">
        <f>L13*Assumptions!$B$228*L83*(1+Assumptions!$B$191)</f>
        <v/>
      </c>
      <c r="M89" s="8">
        <f>M13*Assumptions!$B$228*M83*(1+Assumptions!$B$191)</f>
        <v/>
      </c>
      <c r="N89" s="8">
        <f>N13*Assumptions!$B$228*N83*(1+Assumptions!$B$191)</f>
        <v/>
      </c>
      <c r="O89" s="8">
        <f>O13*Assumptions!$B$228*O83*(1+Assumptions!$B$191)</f>
        <v/>
      </c>
      <c r="P89" s="8">
        <f>P13*Assumptions!$B$228*P83*(1+Assumptions!$B$191)</f>
        <v/>
      </c>
      <c r="Q89" s="8">
        <f>Q13*Assumptions!$B$228*Q83*(1+Assumptions!$B$191)</f>
        <v/>
      </c>
      <c r="R89" s="8">
        <f>R13*Assumptions!$B$228*R83*(1+Assumptions!$B$191)</f>
        <v/>
      </c>
      <c r="S89" s="8">
        <f>S13*Assumptions!$B$228*S83*(1+Assumptions!$B$191)</f>
        <v/>
      </c>
      <c r="T89" s="8">
        <f>T13*Assumptions!$B$228*T83*(1+Assumptions!$B$191)</f>
        <v/>
      </c>
      <c r="U89" s="8">
        <f>U13*Assumptions!$B$228*U83*(1+Assumptions!$B$191)</f>
        <v/>
      </c>
      <c r="V89" s="8">
        <f>V13*Assumptions!$B$228*V83*(1+Assumptions!$B$191)</f>
        <v/>
      </c>
      <c r="W89" s="8">
        <f>W13*Assumptions!$B$228*W83*(1+Assumptions!$B$191)</f>
        <v/>
      </c>
      <c r="X89" s="8">
        <f>X13*Assumptions!$B$228*X83*(1+Assumptions!$B$191)</f>
        <v/>
      </c>
      <c r="Y89" s="8">
        <f>Y13*Assumptions!$B$228*Y83*(1+Assumptions!$B$191)</f>
        <v/>
      </c>
      <c r="Z89" s="8">
        <f>Z13*Assumptions!$B$228*Z83*(1+Assumptions!$B$191)</f>
        <v/>
      </c>
      <c r="AA89" s="8">
        <f>AA13*Assumptions!$B$228*AA83*(1+Assumptions!$B$191)</f>
        <v/>
      </c>
      <c r="AB89" s="8">
        <f>AB13*Assumptions!$B$228*AB83*(1+Assumptions!$B$191)</f>
        <v/>
      </c>
      <c r="AC89" s="8">
        <f>AC13*Assumptions!$B$228*AC83*(1+Assumptions!$B$191)</f>
        <v/>
      </c>
      <c r="AD89" s="8">
        <f>AD13*Assumptions!$B$228*AD83*(1+Assumptions!$B$191)</f>
        <v/>
      </c>
      <c r="AE89" s="8">
        <f>AE13*Assumptions!$B$228*AE83*(1+Assumptions!$B$191)</f>
        <v/>
      </c>
      <c r="AF89" s="8">
        <f>AF13*Assumptions!$B$228*AF83*(1+Assumptions!$B$191)</f>
        <v/>
      </c>
      <c r="AG89" s="8">
        <f>AG13*Assumptions!$B$228*AG83*(1+Assumptions!$B$191)</f>
        <v/>
      </c>
      <c r="AH89" s="8">
        <f>AH13*Assumptions!$B$228*AH83*(1+Assumptions!$B$191)</f>
        <v/>
      </c>
      <c r="AI89" s="8">
        <f>AI13*Assumptions!$B$228*AI83*(1+Assumptions!$B$191)</f>
        <v/>
      </c>
      <c r="AJ89" s="8">
        <f>AJ13*Assumptions!$B$228*AJ83*(1+Assumptions!$B$191)</f>
        <v/>
      </c>
      <c r="AK89" s="8">
        <f>AK13*Assumptions!$B$228*AK83*(1+Assumptions!$B$191)</f>
        <v/>
      </c>
      <c r="AL89" s="8">
        <f>AL13*Assumptions!$B$228*AL83*(1+Assumptions!$B$191)</f>
        <v/>
      </c>
      <c r="AM89" s="8">
        <f>AM13*Assumptions!$B$228*AM83*(1+Assumptions!$B$191)</f>
        <v/>
      </c>
      <c r="AN89" s="8">
        <f>AN13*Assumptions!$B$228*AN83*(1+Assumptions!$B$191)</f>
        <v/>
      </c>
      <c r="AO89" s="8">
        <f>AO13*Assumptions!$B$228*AO83*(1+Assumptions!$B$191)</f>
        <v/>
      </c>
      <c r="AP89" s="8">
        <f>AP13*Assumptions!$B$228*AP83*(1+Assumptions!$B$191)</f>
        <v/>
      </c>
      <c r="AQ89" s="8">
        <f>AQ13*Assumptions!$B$228*AQ83*(1+Assumptions!$B$191)</f>
        <v/>
      </c>
      <c r="AR89" s="8">
        <f>AR13*Assumptions!$B$228*AR83*(1+Assumptions!$B$191)</f>
        <v/>
      </c>
      <c r="AS89" s="8">
        <f>AS13*Assumptions!$B$228*AS83*(1+Assumptions!$B$191)</f>
        <v/>
      </c>
      <c r="AT89" s="8">
        <f>AT13*Assumptions!$B$228*AT83*(1+Assumptions!$B$191)</f>
        <v/>
      </c>
      <c r="AU89" s="8">
        <f>AU13*Assumptions!$B$228*AU83*(1+Assumptions!$B$191)</f>
        <v/>
      </c>
      <c r="AV89" s="8">
        <f>AV13*Assumptions!$B$228*AV83*(1+Assumptions!$B$191)</f>
        <v/>
      </c>
      <c r="AW89" s="8">
        <f>AW13*Assumptions!$B$228*AW83*(1+Assumptions!$B$191)</f>
        <v/>
      </c>
      <c r="AX89" s="8">
        <f>AX13*Assumptions!$B$228*AX83*(1+Assumptions!$B$191)</f>
        <v/>
      </c>
      <c r="AY89" s="8">
        <f>AY13*Assumptions!$B$228*AY83*(1+Assumptions!$B$191)</f>
        <v/>
      </c>
      <c r="AZ89" s="8">
        <f>AZ13*Assumptions!$B$228*AZ83*(1+Assumptions!$B$191)</f>
        <v/>
      </c>
      <c r="BA89" s="8">
        <f>BA13*Assumptions!$B$228*BA83*(1+Assumptions!$B$191)</f>
        <v/>
      </c>
      <c r="BB89" s="8">
        <f>BB13*Assumptions!$B$228*BB83*(1+Assumptions!$B$191)</f>
        <v/>
      </c>
      <c r="BC89" s="8">
        <f>BC13*Assumptions!$B$228*BC83*(1+Assumptions!$B$191)</f>
        <v/>
      </c>
      <c r="BD89" s="8">
        <f>BD13*Assumptions!$B$228*BD83*(1+Assumptions!$B$191)</f>
        <v/>
      </c>
      <c r="BE89" s="8">
        <f>BE13*Assumptions!$B$228*BE83*(1+Assumptions!$B$191)</f>
        <v/>
      </c>
      <c r="BF89" s="8">
        <f>BF13*Assumptions!$B$228*BF83*(1+Assumptions!$B$191)</f>
        <v/>
      </c>
      <c r="BG89" s="8">
        <f>BG13*Assumptions!$B$228*BG83*(1+Assumptions!$B$191)</f>
        <v/>
      </c>
      <c r="BH89" s="8">
        <f>BH13*Assumptions!$B$228*BH83*(1+Assumptions!$B$191)</f>
        <v/>
      </c>
      <c r="BI89" s="8">
        <f>BI13*Assumptions!$B$228*BI83*(1+Assumptions!$B$191)</f>
        <v/>
      </c>
      <c r="BJ89" s="8">
        <f>BJ13*Assumptions!$B$228*BJ83*(1+Assumptions!$B$191)</f>
        <v/>
      </c>
    </row>
    <row r="90">
      <c r="A90" s="4" t="inlineStr">
        <is>
          <t>DevOps / QA engineer</t>
        </is>
      </c>
      <c r="B90" s="17" t="inlineStr">
        <is>
          <t>R</t>
        </is>
      </c>
      <c r="C90" s="8">
        <f>C14*Assumptions!$B$229*C83*(1+Assumptions!$B$191)</f>
        <v/>
      </c>
      <c r="D90" s="8">
        <f>D14*Assumptions!$B$229*D83*(1+Assumptions!$B$191)</f>
        <v/>
      </c>
      <c r="E90" s="8">
        <f>E14*Assumptions!$B$229*E83*(1+Assumptions!$B$191)</f>
        <v/>
      </c>
      <c r="F90" s="8">
        <f>F14*Assumptions!$B$229*F83*(1+Assumptions!$B$191)</f>
        <v/>
      </c>
      <c r="G90" s="8">
        <f>G14*Assumptions!$B$229*G83*(1+Assumptions!$B$191)</f>
        <v/>
      </c>
      <c r="H90" s="8">
        <f>H14*Assumptions!$B$229*H83*(1+Assumptions!$B$191)</f>
        <v/>
      </c>
      <c r="I90" s="8">
        <f>I14*Assumptions!$B$229*I83*(1+Assumptions!$B$191)</f>
        <v/>
      </c>
      <c r="J90" s="8">
        <f>J14*Assumptions!$B$229*J83*(1+Assumptions!$B$191)</f>
        <v/>
      </c>
      <c r="K90" s="8">
        <f>K14*Assumptions!$B$229*K83*(1+Assumptions!$B$191)</f>
        <v/>
      </c>
      <c r="L90" s="8">
        <f>L14*Assumptions!$B$229*L83*(1+Assumptions!$B$191)</f>
        <v/>
      </c>
      <c r="M90" s="8">
        <f>M14*Assumptions!$B$229*M83*(1+Assumptions!$B$191)</f>
        <v/>
      </c>
      <c r="N90" s="8">
        <f>N14*Assumptions!$B$229*N83*(1+Assumptions!$B$191)</f>
        <v/>
      </c>
      <c r="O90" s="8">
        <f>O14*Assumptions!$B$229*O83*(1+Assumptions!$B$191)</f>
        <v/>
      </c>
      <c r="P90" s="8">
        <f>P14*Assumptions!$B$229*P83*(1+Assumptions!$B$191)</f>
        <v/>
      </c>
      <c r="Q90" s="8">
        <f>Q14*Assumptions!$B$229*Q83*(1+Assumptions!$B$191)</f>
        <v/>
      </c>
      <c r="R90" s="8">
        <f>R14*Assumptions!$B$229*R83*(1+Assumptions!$B$191)</f>
        <v/>
      </c>
      <c r="S90" s="8">
        <f>S14*Assumptions!$B$229*S83*(1+Assumptions!$B$191)</f>
        <v/>
      </c>
      <c r="T90" s="8">
        <f>T14*Assumptions!$B$229*T83*(1+Assumptions!$B$191)</f>
        <v/>
      </c>
      <c r="U90" s="8">
        <f>U14*Assumptions!$B$229*U83*(1+Assumptions!$B$191)</f>
        <v/>
      </c>
      <c r="V90" s="8">
        <f>V14*Assumptions!$B$229*V83*(1+Assumptions!$B$191)</f>
        <v/>
      </c>
      <c r="W90" s="8">
        <f>W14*Assumptions!$B$229*W83*(1+Assumptions!$B$191)</f>
        <v/>
      </c>
      <c r="X90" s="8">
        <f>X14*Assumptions!$B$229*X83*(1+Assumptions!$B$191)</f>
        <v/>
      </c>
      <c r="Y90" s="8">
        <f>Y14*Assumptions!$B$229*Y83*(1+Assumptions!$B$191)</f>
        <v/>
      </c>
      <c r="Z90" s="8">
        <f>Z14*Assumptions!$B$229*Z83*(1+Assumptions!$B$191)</f>
        <v/>
      </c>
      <c r="AA90" s="8">
        <f>AA14*Assumptions!$B$229*AA83*(1+Assumptions!$B$191)</f>
        <v/>
      </c>
      <c r="AB90" s="8">
        <f>AB14*Assumptions!$B$229*AB83*(1+Assumptions!$B$191)</f>
        <v/>
      </c>
      <c r="AC90" s="8">
        <f>AC14*Assumptions!$B$229*AC83*(1+Assumptions!$B$191)</f>
        <v/>
      </c>
      <c r="AD90" s="8">
        <f>AD14*Assumptions!$B$229*AD83*(1+Assumptions!$B$191)</f>
        <v/>
      </c>
      <c r="AE90" s="8">
        <f>AE14*Assumptions!$B$229*AE83*(1+Assumptions!$B$191)</f>
        <v/>
      </c>
      <c r="AF90" s="8">
        <f>AF14*Assumptions!$B$229*AF83*(1+Assumptions!$B$191)</f>
        <v/>
      </c>
      <c r="AG90" s="8">
        <f>AG14*Assumptions!$B$229*AG83*(1+Assumptions!$B$191)</f>
        <v/>
      </c>
      <c r="AH90" s="8">
        <f>AH14*Assumptions!$B$229*AH83*(1+Assumptions!$B$191)</f>
        <v/>
      </c>
      <c r="AI90" s="8">
        <f>AI14*Assumptions!$B$229*AI83*(1+Assumptions!$B$191)</f>
        <v/>
      </c>
      <c r="AJ90" s="8">
        <f>AJ14*Assumptions!$B$229*AJ83*(1+Assumptions!$B$191)</f>
        <v/>
      </c>
      <c r="AK90" s="8">
        <f>AK14*Assumptions!$B$229*AK83*(1+Assumptions!$B$191)</f>
        <v/>
      </c>
      <c r="AL90" s="8">
        <f>AL14*Assumptions!$B$229*AL83*(1+Assumptions!$B$191)</f>
        <v/>
      </c>
      <c r="AM90" s="8">
        <f>AM14*Assumptions!$B$229*AM83*(1+Assumptions!$B$191)</f>
        <v/>
      </c>
      <c r="AN90" s="8">
        <f>AN14*Assumptions!$B$229*AN83*(1+Assumptions!$B$191)</f>
        <v/>
      </c>
      <c r="AO90" s="8">
        <f>AO14*Assumptions!$B$229*AO83*(1+Assumptions!$B$191)</f>
        <v/>
      </c>
      <c r="AP90" s="8">
        <f>AP14*Assumptions!$B$229*AP83*(1+Assumptions!$B$191)</f>
        <v/>
      </c>
      <c r="AQ90" s="8">
        <f>AQ14*Assumptions!$B$229*AQ83*(1+Assumptions!$B$191)</f>
        <v/>
      </c>
      <c r="AR90" s="8">
        <f>AR14*Assumptions!$B$229*AR83*(1+Assumptions!$B$191)</f>
        <v/>
      </c>
      <c r="AS90" s="8">
        <f>AS14*Assumptions!$B$229*AS83*(1+Assumptions!$B$191)</f>
        <v/>
      </c>
      <c r="AT90" s="8">
        <f>AT14*Assumptions!$B$229*AT83*(1+Assumptions!$B$191)</f>
        <v/>
      </c>
      <c r="AU90" s="8">
        <f>AU14*Assumptions!$B$229*AU83*(1+Assumptions!$B$191)</f>
        <v/>
      </c>
      <c r="AV90" s="8">
        <f>AV14*Assumptions!$B$229*AV83*(1+Assumptions!$B$191)</f>
        <v/>
      </c>
      <c r="AW90" s="8">
        <f>AW14*Assumptions!$B$229*AW83*(1+Assumptions!$B$191)</f>
        <v/>
      </c>
      <c r="AX90" s="8">
        <f>AX14*Assumptions!$B$229*AX83*(1+Assumptions!$B$191)</f>
        <v/>
      </c>
      <c r="AY90" s="8">
        <f>AY14*Assumptions!$B$229*AY83*(1+Assumptions!$B$191)</f>
        <v/>
      </c>
      <c r="AZ90" s="8">
        <f>AZ14*Assumptions!$B$229*AZ83*(1+Assumptions!$B$191)</f>
        <v/>
      </c>
      <c r="BA90" s="8">
        <f>BA14*Assumptions!$B$229*BA83*(1+Assumptions!$B$191)</f>
        <v/>
      </c>
      <c r="BB90" s="8">
        <f>BB14*Assumptions!$B$229*BB83*(1+Assumptions!$B$191)</f>
        <v/>
      </c>
      <c r="BC90" s="8">
        <f>BC14*Assumptions!$B$229*BC83*(1+Assumptions!$B$191)</f>
        <v/>
      </c>
      <c r="BD90" s="8">
        <f>BD14*Assumptions!$B$229*BD83*(1+Assumptions!$B$191)</f>
        <v/>
      </c>
      <c r="BE90" s="8">
        <f>BE14*Assumptions!$B$229*BE83*(1+Assumptions!$B$191)</f>
        <v/>
      </c>
      <c r="BF90" s="8">
        <f>BF14*Assumptions!$B$229*BF83*(1+Assumptions!$B$191)</f>
        <v/>
      </c>
      <c r="BG90" s="8">
        <f>BG14*Assumptions!$B$229*BG83*(1+Assumptions!$B$191)</f>
        <v/>
      </c>
      <c r="BH90" s="8">
        <f>BH14*Assumptions!$B$229*BH83*(1+Assumptions!$B$191)</f>
        <v/>
      </c>
      <c r="BI90" s="8">
        <f>BI14*Assumptions!$B$229*BI83*(1+Assumptions!$B$191)</f>
        <v/>
      </c>
      <c r="BJ90" s="8">
        <f>BJ14*Assumptions!$B$229*BJ83*(1+Assumptions!$B$191)</f>
        <v/>
      </c>
    </row>
    <row r="91">
      <c r="A91" s="4" t="inlineStr">
        <is>
          <t>Integrations engineers (social adapters, commerce, CRM)</t>
        </is>
      </c>
      <c r="B91" s="17" t="inlineStr">
        <is>
          <t>R</t>
        </is>
      </c>
      <c r="C91" s="8">
        <f>C15*Assumptions!$B$230*C83*(1+Assumptions!$B$191)</f>
        <v/>
      </c>
      <c r="D91" s="8">
        <f>D15*Assumptions!$B$230*D83*(1+Assumptions!$B$191)</f>
        <v/>
      </c>
      <c r="E91" s="8">
        <f>E15*Assumptions!$B$230*E83*(1+Assumptions!$B$191)</f>
        <v/>
      </c>
      <c r="F91" s="8">
        <f>F15*Assumptions!$B$230*F83*(1+Assumptions!$B$191)</f>
        <v/>
      </c>
      <c r="G91" s="8">
        <f>G15*Assumptions!$B$230*G83*(1+Assumptions!$B$191)</f>
        <v/>
      </c>
      <c r="H91" s="8">
        <f>H15*Assumptions!$B$230*H83*(1+Assumptions!$B$191)</f>
        <v/>
      </c>
      <c r="I91" s="8">
        <f>I15*Assumptions!$B$230*I83*(1+Assumptions!$B$191)</f>
        <v/>
      </c>
      <c r="J91" s="8">
        <f>J15*Assumptions!$B$230*J83*(1+Assumptions!$B$191)</f>
        <v/>
      </c>
      <c r="K91" s="8">
        <f>K15*Assumptions!$B$230*K83*(1+Assumptions!$B$191)</f>
        <v/>
      </c>
      <c r="L91" s="8">
        <f>L15*Assumptions!$B$230*L83*(1+Assumptions!$B$191)</f>
        <v/>
      </c>
      <c r="M91" s="8">
        <f>M15*Assumptions!$B$230*M83*(1+Assumptions!$B$191)</f>
        <v/>
      </c>
      <c r="N91" s="8">
        <f>N15*Assumptions!$B$230*N83*(1+Assumptions!$B$191)</f>
        <v/>
      </c>
      <c r="O91" s="8">
        <f>O15*Assumptions!$B$230*O83*(1+Assumptions!$B$191)</f>
        <v/>
      </c>
      <c r="P91" s="8">
        <f>P15*Assumptions!$B$230*P83*(1+Assumptions!$B$191)</f>
        <v/>
      </c>
      <c r="Q91" s="8">
        <f>Q15*Assumptions!$B$230*Q83*(1+Assumptions!$B$191)</f>
        <v/>
      </c>
      <c r="R91" s="8">
        <f>R15*Assumptions!$B$230*R83*(1+Assumptions!$B$191)</f>
        <v/>
      </c>
      <c r="S91" s="8">
        <f>S15*Assumptions!$B$230*S83*(1+Assumptions!$B$191)</f>
        <v/>
      </c>
      <c r="T91" s="8">
        <f>T15*Assumptions!$B$230*T83*(1+Assumptions!$B$191)</f>
        <v/>
      </c>
      <c r="U91" s="8">
        <f>U15*Assumptions!$B$230*U83*(1+Assumptions!$B$191)</f>
        <v/>
      </c>
      <c r="V91" s="8">
        <f>V15*Assumptions!$B$230*V83*(1+Assumptions!$B$191)</f>
        <v/>
      </c>
      <c r="W91" s="8">
        <f>W15*Assumptions!$B$230*W83*(1+Assumptions!$B$191)</f>
        <v/>
      </c>
      <c r="X91" s="8">
        <f>X15*Assumptions!$B$230*X83*(1+Assumptions!$B$191)</f>
        <v/>
      </c>
      <c r="Y91" s="8">
        <f>Y15*Assumptions!$B$230*Y83*(1+Assumptions!$B$191)</f>
        <v/>
      </c>
      <c r="Z91" s="8">
        <f>Z15*Assumptions!$B$230*Z83*(1+Assumptions!$B$191)</f>
        <v/>
      </c>
      <c r="AA91" s="8">
        <f>AA15*Assumptions!$B$230*AA83*(1+Assumptions!$B$191)</f>
        <v/>
      </c>
      <c r="AB91" s="8">
        <f>AB15*Assumptions!$B$230*AB83*(1+Assumptions!$B$191)</f>
        <v/>
      </c>
      <c r="AC91" s="8">
        <f>AC15*Assumptions!$B$230*AC83*(1+Assumptions!$B$191)</f>
        <v/>
      </c>
      <c r="AD91" s="8">
        <f>AD15*Assumptions!$B$230*AD83*(1+Assumptions!$B$191)</f>
        <v/>
      </c>
      <c r="AE91" s="8">
        <f>AE15*Assumptions!$B$230*AE83*(1+Assumptions!$B$191)</f>
        <v/>
      </c>
      <c r="AF91" s="8">
        <f>AF15*Assumptions!$B$230*AF83*(1+Assumptions!$B$191)</f>
        <v/>
      </c>
      <c r="AG91" s="8">
        <f>AG15*Assumptions!$B$230*AG83*(1+Assumptions!$B$191)</f>
        <v/>
      </c>
      <c r="AH91" s="8">
        <f>AH15*Assumptions!$B$230*AH83*(1+Assumptions!$B$191)</f>
        <v/>
      </c>
      <c r="AI91" s="8">
        <f>AI15*Assumptions!$B$230*AI83*(1+Assumptions!$B$191)</f>
        <v/>
      </c>
      <c r="AJ91" s="8">
        <f>AJ15*Assumptions!$B$230*AJ83*(1+Assumptions!$B$191)</f>
        <v/>
      </c>
      <c r="AK91" s="8">
        <f>AK15*Assumptions!$B$230*AK83*(1+Assumptions!$B$191)</f>
        <v/>
      </c>
      <c r="AL91" s="8">
        <f>AL15*Assumptions!$B$230*AL83*(1+Assumptions!$B$191)</f>
        <v/>
      </c>
      <c r="AM91" s="8">
        <f>AM15*Assumptions!$B$230*AM83*(1+Assumptions!$B$191)</f>
        <v/>
      </c>
      <c r="AN91" s="8">
        <f>AN15*Assumptions!$B$230*AN83*(1+Assumptions!$B$191)</f>
        <v/>
      </c>
      <c r="AO91" s="8">
        <f>AO15*Assumptions!$B$230*AO83*(1+Assumptions!$B$191)</f>
        <v/>
      </c>
      <c r="AP91" s="8">
        <f>AP15*Assumptions!$B$230*AP83*(1+Assumptions!$B$191)</f>
        <v/>
      </c>
      <c r="AQ91" s="8">
        <f>AQ15*Assumptions!$B$230*AQ83*(1+Assumptions!$B$191)</f>
        <v/>
      </c>
      <c r="AR91" s="8">
        <f>AR15*Assumptions!$B$230*AR83*(1+Assumptions!$B$191)</f>
        <v/>
      </c>
      <c r="AS91" s="8">
        <f>AS15*Assumptions!$B$230*AS83*(1+Assumptions!$B$191)</f>
        <v/>
      </c>
      <c r="AT91" s="8">
        <f>AT15*Assumptions!$B$230*AT83*(1+Assumptions!$B$191)</f>
        <v/>
      </c>
      <c r="AU91" s="8">
        <f>AU15*Assumptions!$B$230*AU83*(1+Assumptions!$B$191)</f>
        <v/>
      </c>
      <c r="AV91" s="8">
        <f>AV15*Assumptions!$B$230*AV83*(1+Assumptions!$B$191)</f>
        <v/>
      </c>
      <c r="AW91" s="8">
        <f>AW15*Assumptions!$B$230*AW83*(1+Assumptions!$B$191)</f>
        <v/>
      </c>
      <c r="AX91" s="8">
        <f>AX15*Assumptions!$B$230*AX83*(1+Assumptions!$B$191)</f>
        <v/>
      </c>
      <c r="AY91" s="8">
        <f>AY15*Assumptions!$B$230*AY83*(1+Assumptions!$B$191)</f>
        <v/>
      </c>
      <c r="AZ91" s="8">
        <f>AZ15*Assumptions!$B$230*AZ83*(1+Assumptions!$B$191)</f>
        <v/>
      </c>
      <c r="BA91" s="8">
        <f>BA15*Assumptions!$B$230*BA83*(1+Assumptions!$B$191)</f>
        <v/>
      </c>
      <c r="BB91" s="8">
        <f>BB15*Assumptions!$B$230*BB83*(1+Assumptions!$B$191)</f>
        <v/>
      </c>
      <c r="BC91" s="8">
        <f>BC15*Assumptions!$B$230*BC83*(1+Assumptions!$B$191)</f>
        <v/>
      </c>
      <c r="BD91" s="8">
        <f>BD15*Assumptions!$B$230*BD83*(1+Assumptions!$B$191)</f>
        <v/>
      </c>
      <c r="BE91" s="8">
        <f>BE15*Assumptions!$B$230*BE83*(1+Assumptions!$B$191)</f>
        <v/>
      </c>
      <c r="BF91" s="8">
        <f>BF15*Assumptions!$B$230*BF83*(1+Assumptions!$B$191)</f>
        <v/>
      </c>
      <c r="BG91" s="8">
        <f>BG15*Assumptions!$B$230*BG83*(1+Assumptions!$B$191)</f>
        <v/>
      </c>
      <c r="BH91" s="8">
        <f>BH15*Assumptions!$B$230*BH83*(1+Assumptions!$B$191)</f>
        <v/>
      </c>
      <c r="BI91" s="8">
        <f>BI15*Assumptions!$B$230*BI83*(1+Assumptions!$B$191)</f>
        <v/>
      </c>
      <c r="BJ91" s="8">
        <f>BJ15*Assumptions!$B$230*BJ83*(1+Assumptions!$B$191)</f>
        <v/>
      </c>
    </row>
    <row r="92">
      <c r="A92" s="4" t="inlineStr">
        <is>
          <t>Product manager</t>
        </is>
      </c>
      <c r="B92" s="17" t="inlineStr">
        <is>
          <t>R</t>
        </is>
      </c>
      <c r="C92" s="8">
        <f>C16*Assumptions!$B$231*C83*(1+Assumptions!$B$191)</f>
        <v/>
      </c>
      <c r="D92" s="8">
        <f>D16*Assumptions!$B$231*D83*(1+Assumptions!$B$191)</f>
        <v/>
      </c>
      <c r="E92" s="8">
        <f>E16*Assumptions!$B$231*E83*(1+Assumptions!$B$191)</f>
        <v/>
      </c>
      <c r="F92" s="8">
        <f>F16*Assumptions!$B$231*F83*(1+Assumptions!$B$191)</f>
        <v/>
      </c>
      <c r="G92" s="8">
        <f>G16*Assumptions!$B$231*G83*(1+Assumptions!$B$191)</f>
        <v/>
      </c>
      <c r="H92" s="8">
        <f>H16*Assumptions!$B$231*H83*(1+Assumptions!$B$191)</f>
        <v/>
      </c>
      <c r="I92" s="8">
        <f>I16*Assumptions!$B$231*I83*(1+Assumptions!$B$191)</f>
        <v/>
      </c>
      <c r="J92" s="8">
        <f>J16*Assumptions!$B$231*J83*(1+Assumptions!$B$191)</f>
        <v/>
      </c>
      <c r="K92" s="8">
        <f>K16*Assumptions!$B$231*K83*(1+Assumptions!$B$191)</f>
        <v/>
      </c>
      <c r="L92" s="8">
        <f>L16*Assumptions!$B$231*L83*(1+Assumptions!$B$191)</f>
        <v/>
      </c>
      <c r="M92" s="8">
        <f>M16*Assumptions!$B$231*M83*(1+Assumptions!$B$191)</f>
        <v/>
      </c>
      <c r="N92" s="8">
        <f>N16*Assumptions!$B$231*N83*(1+Assumptions!$B$191)</f>
        <v/>
      </c>
      <c r="O92" s="8">
        <f>O16*Assumptions!$B$231*O83*(1+Assumptions!$B$191)</f>
        <v/>
      </c>
      <c r="P92" s="8">
        <f>P16*Assumptions!$B$231*P83*(1+Assumptions!$B$191)</f>
        <v/>
      </c>
      <c r="Q92" s="8">
        <f>Q16*Assumptions!$B$231*Q83*(1+Assumptions!$B$191)</f>
        <v/>
      </c>
      <c r="R92" s="8">
        <f>R16*Assumptions!$B$231*R83*(1+Assumptions!$B$191)</f>
        <v/>
      </c>
      <c r="S92" s="8">
        <f>S16*Assumptions!$B$231*S83*(1+Assumptions!$B$191)</f>
        <v/>
      </c>
      <c r="T92" s="8">
        <f>T16*Assumptions!$B$231*T83*(1+Assumptions!$B$191)</f>
        <v/>
      </c>
      <c r="U92" s="8">
        <f>U16*Assumptions!$B$231*U83*(1+Assumptions!$B$191)</f>
        <v/>
      </c>
      <c r="V92" s="8">
        <f>V16*Assumptions!$B$231*V83*(1+Assumptions!$B$191)</f>
        <v/>
      </c>
      <c r="W92" s="8">
        <f>W16*Assumptions!$B$231*W83*(1+Assumptions!$B$191)</f>
        <v/>
      </c>
      <c r="X92" s="8">
        <f>X16*Assumptions!$B$231*X83*(1+Assumptions!$B$191)</f>
        <v/>
      </c>
      <c r="Y92" s="8">
        <f>Y16*Assumptions!$B$231*Y83*(1+Assumptions!$B$191)</f>
        <v/>
      </c>
      <c r="Z92" s="8">
        <f>Z16*Assumptions!$B$231*Z83*(1+Assumptions!$B$191)</f>
        <v/>
      </c>
      <c r="AA92" s="8">
        <f>AA16*Assumptions!$B$231*AA83*(1+Assumptions!$B$191)</f>
        <v/>
      </c>
      <c r="AB92" s="8">
        <f>AB16*Assumptions!$B$231*AB83*(1+Assumptions!$B$191)</f>
        <v/>
      </c>
      <c r="AC92" s="8">
        <f>AC16*Assumptions!$B$231*AC83*(1+Assumptions!$B$191)</f>
        <v/>
      </c>
      <c r="AD92" s="8">
        <f>AD16*Assumptions!$B$231*AD83*(1+Assumptions!$B$191)</f>
        <v/>
      </c>
      <c r="AE92" s="8">
        <f>AE16*Assumptions!$B$231*AE83*(1+Assumptions!$B$191)</f>
        <v/>
      </c>
      <c r="AF92" s="8">
        <f>AF16*Assumptions!$B$231*AF83*(1+Assumptions!$B$191)</f>
        <v/>
      </c>
      <c r="AG92" s="8">
        <f>AG16*Assumptions!$B$231*AG83*(1+Assumptions!$B$191)</f>
        <v/>
      </c>
      <c r="AH92" s="8">
        <f>AH16*Assumptions!$B$231*AH83*(1+Assumptions!$B$191)</f>
        <v/>
      </c>
      <c r="AI92" s="8">
        <f>AI16*Assumptions!$B$231*AI83*(1+Assumptions!$B$191)</f>
        <v/>
      </c>
      <c r="AJ92" s="8">
        <f>AJ16*Assumptions!$B$231*AJ83*(1+Assumptions!$B$191)</f>
        <v/>
      </c>
      <c r="AK92" s="8">
        <f>AK16*Assumptions!$B$231*AK83*(1+Assumptions!$B$191)</f>
        <v/>
      </c>
      <c r="AL92" s="8">
        <f>AL16*Assumptions!$B$231*AL83*(1+Assumptions!$B$191)</f>
        <v/>
      </c>
      <c r="AM92" s="8">
        <f>AM16*Assumptions!$B$231*AM83*(1+Assumptions!$B$191)</f>
        <v/>
      </c>
      <c r="AN92" s="8">
        <f>AN16*Assumptions!$B$231*AN83*(1+Assumptions!$B$191)</f>
        <v/>
      </c>
      <c r="AO92" s="8">
        <f>AO16*Assumptions!$B$231*AO83*(1+Assumptions!$B$191)</f>
        <v/>
      </c>
      <c r="AP92" s="8">
        <f>AP16*Assumptions!$B$231*AP83*(1+Assumptions!$B$191)</f>
        <v/>
      </c>
      <c r="AQ92" s="8">
        <f>AQ16*Assumptions!$B$231*AQ83*(1+Assumptions!$B$191)</f>
        <v/>
      </c>
      <c r="AR92" s="8">
        <f>AR16*Assumptions!$B$231*AR83*(1+Assumptions!$B$191)</f>
        <v/>
      </c>
      <c r="AS92" s="8">
        <f>AS16*Assumptions!$B$231*AS83*(1+Assumptions!$B$191)</f>
        <v/>
      </c>
      <c r="AT92" s="8">
        <f>AT16*Assumptions!$B$231*AT83*(1+Assumptions!$B$191)</f>
        <v/>
      </c>
      <c r="AU92" s="8">
        <f>AU16*Assumptions!$B$231*AU83*(1+Assumptions!$B$191)</f>
        <v/>
      </c>
      <c r="AV92" s="8">
        <f>AV16*Assumptions!$B$231*AV83*(1+Assumptions!$B$191)</f>
        <v/>
      </c>
      <c r="AW92" s="8">
        <f>AW16*Assumptions!$B$231*AW83*(1+Assumptions!$B$191)</f>
        <v/>
      </c>
      <c r="AX92" s="8">
        <f>AX16*Assumptions!$B$231*AX83*(1+Assumptions!$B$191)</f>
        <v/>
      </c>
      <c r="AY92" s="8">
        <f>AY16*Assumptions!$B$231*AY83*(1+Assumptions!$B$191)</f>
        <v/>
      </c>
      <c r="AZ92" s="8">
        <f>AZ16*Assumptions!$B$231*AZ83*(1+Assumptions!$B$191)</f>
        <v/>
      </c>
      <c r="BA92" s="8">
        <f>BA16*Assumptions!$B$231*BA83*(1+Assumptions!$B$191)</f>
        <v/>
      </c>
      <c r="BB92" s="8">
        <f>BB16*Assumptions!$B$231*BB83*(1+Assumptions!$B$191)</f>
        <v/>
      </c>
      <c r="BC92" s="8">
        <f>BC16*Assumptions!$B$231*BC83*(1+Assumptions!$B$191)</f>
        <v/>
      </c>
      <c r="BD92" s="8">
        <f>BD16*Assumptions!$B$231*BD83*(1+Assumptions!$B$191)</f>
        <v/>
      </c>
      <c r="BE92" s="8">
        <f>BE16*Assumptions!$B$231*BE83*(1+Assumptions!$B$191)</f>
        <v/>
      </c>
      <c r="BF92" s="8">
        <f>BF16*Assumptions!$B$231*BF83*(1+Assumptions!$B$191)</f>
        <v/>
      </c>
      <c r="BG92" s="8">
        <f>BG16*Assumptions!$B$231*BG83*(1+Assumptions!$B$191)</f>
        <v/>
      </c>
      <c r="BH92" s="8">
        <f>BH16*Assumptions!$B$231*BH83*(1+Assumptions!$B$191)</f>
        <v/>
      </c>
      <c r="BI92" s="8">
        <f>BI16*Assumptions!$B$231*BI83*(1+Assumptions!$B$191)</f>
        <v/>
      </c>
      <c r="BJ92" s="8">
        <f>BJ16*Assumptions!$B$231*BJ83*(1+Assumptions!$B$191)</f>
        <v/>
      </c>
    </row>
    <row r="93">
      <c r="A93" s="4" t="inlineStr">
        <is>
          <t>Security &amp; compliance engineer</t>
        </is>
      </c>
      <c r="B93" s="17" t="inlineStr">
        <is>
          <t>R</t>
        </is>
      </c>
      <c r="C93" s="8">
        <f>C17*Assumptions!$B$232*C83*(1+Assumptions!$B$191)</f>
        <v/>
      </c>
      <c r="D93" s="8">
        <f>D17*Assumptions!$B$232*D83*(1+Assumptions!$B$191)</f>
        <v/>
      </c>
      <c r="E93" s="8">
        <f>E17*Assumptions!$B$232*E83*(1+Assumptions!$B$191)</f>
        <v/>
      </c>
      <c r="F93" s="8">
        <f>F17*Assumptions!$B$232*F83*(1+Assumptions!$B$191)</f>
        <v/>
      </c>
      <c r="G93" s="8">
        <f>G17*Assumptions!$B$232*G83*(1+Assumptions!$B$191)</f>
        <v/>
      </c>
      <c r="H93" s="8">
        <f>H17*Assumptions!$B$232*H83*(1+Assumptions!$B$191)</f>
        <v/>
      </c>
      <c r="I93" s="8">
        <f>I17*Assumptions!$B$232*I83*(1+Assumptions!$B$191)</f>
        <v/>
      </c>
      <c r="J93" s="8">
        <f>J17*Assumptions!$B$232*J83*(1+Assumptions!$B$191)</f>
        <v/>
      </c>
      <c r="K93" s="8">
        <f>K17*Assumptions!$B$232*K83*(1+Assumptions!$B$191)</f>
        <v/>
      </c>
      <c r="L93" s="8">
        <f>L17*Assumptions!$B$232*L83*(1+Assumptions!$B$191)</f>
        <v/>
      </c>
      <c r="M93" s="8">
        <f>M17*Assumptions!$B$232*M83*(1+Assumptions!$B$191)</f>
        <v/>
      </c>
      <c r="N93" s="8">
        <f>N17*Assumptions!$B$232*N83*(1+Assumptions!$B$191)</f>
        <v/>
      </c>
      <c r="O93" s="8">
        <f>O17*Assumptions!$B$232*O83*(1+Assumptions!$B$191)</f>
        <v/>
      </c>
      <c r="P93" s="8">
        <f>P17*Assumptions!$B$232*P83*(1+Assumptions!$B$191)</f>
        <v/>
      </c>
      <c r="Q93" s="8">
        <f>Q17*Assumptions!$B$232*Q83*(1+Assumptions!$B$191)</f>
        <v/>
      </c>
      <c r="R93" s="8">
        <f>R17*Assumptions!$B$232*R83*(1+Assumptions!$B$191)</f>
        <v/>
      </c>
      <c r="S93" s="8">
        <f>S17*Assumptions!$B$232*S83*(1+Assumptions!$B$191)</f>
        <v/>
      </c>
      <c r="T93" s="8">
        <f>T17*Assumptions!$B$232*T83*(1+Assumptions!$B$191)</f>
        <v/>
      </c>
      <c r="U93" s="8">
        <f>U17*Assumptions!$B$232*U83*(1+Assumptions!$B$191)</f>
        <v/>
      </c>
      <c r="V93" s="8">
        <f>V17*Assumptions!$B$232*V83*(1+Assumptions!$B$191)</f>
        <v/>
      </c>
      <c r="W93" s="8">
        <f>W17*Assumptions!$B$232*W83*(1+Assumptions!$B$191)</f>
        <v/>
      </c>
      <c r="X93" s="8">
        <f>X17*Assumptions!$B$232*X83*(1+Assumptions!$B$191)</f>
        <v/>
      </c>
      <c r="Y93" s="8">
        <f>Y17*Assumptions!$B$232*Y83*(1+Assumptions!$B$191)</f>
        <v/>
      </c>
      <c r="Z93" s="8">
        <f>Z17*Assumptions!$B$232*Z83*(1+Assumptions!$B$191)</f>
        <v/>
      </c>
      <c r="AA93" s="8">
        <f>AA17*Assumptions!$B$232*AA83*(1+Assumptions!$B$191)</f>
        <v/>
      </c>
      <c r="AB93" s="8">
        <f>AB17*Assumptions!$B$232*AB83*(1+Assumptions!$B$191)</f>
        <v/>
      </c>
      <c r="AC93" s="8">
        <f>AC17*Assumptions!$B$232*AC83*(1+Assumptions!$B$191)</f>
        <v/>
      </c>
      <c r="AD93" s="8">
        <f>AD17*Assumptions!$B$232*AD83*(1+Assumptions!$B$191)</f>
        <v/>
      </c>
      <c r="AE93" s="8">
        <f>AE17*Assumptions!$B$232*AE83*(1+Assumptions!$B$191)</f>
        <v/>
      </c>
      <c r="AF93" s="8">
        <f>AF17*Assumptions!$B$232*AF83*(1+Assumptions!$B$191)</f>
        <v/>
      </c>
      <c r="AG93" s="8">
        <f>AG17*Assumptions!$B$232*AG83*(1+Assumptions!$B$191)</f>
        <v/>
      </c>
      <c r="AH93" s="8">
        <f>AH17*Assumptions!$B$232*AH83*(1+Assumptions!$B$191)</f>
        <v/>
      </c>
      <c r="AI93" s="8">
        <f>AI17*Assumptions!$B$232*AI83*(1+Assumptions!$B$191)</f>
        <v/>
      </c>
      <c r="AJ93" s="8">
        <f>AJ17*Assumptions!$B$232*AJ83*(1+Assumptions!$B$191)</f>
        <v/>
      </c>
      <c r="AK93" s="8">
        <f>AK17*Assumptions!$B$232*AK83*(1+Assumptions!$B$191)</f>
        <v/>
      </c>
      <c r="AL93" s="8">
        <f>AL17*Assumptions!$B$232*AL83*(1+Assumptions!$B$191)</f>
        <v/>
      </c>
      <c r="AM93" s="8">
        <f>AM17*Assumptions!$B$232*AM83*(1+Assumptions!$B$191)</f>
        <v/>
      </c>
      <c r="AN93" s="8">
        <f>AN17*Assumptions!$B$232*AN83*(1+Assumptions!$B$191)</f>
        <v/>
      </c>
      <c r="AO93" s="8">
        <f>AO17*Assumptions!$B$232*AO83*(1+Assumptions!$B$191)</f>
        <v/>
      </c>
      <c r="AP93" s="8">
        <f>AP17*Assumptions!$B$232*AP83*(1+Assumptions!$B$191)</f>
        <v/>
      </c>
      <c r="AQ93" s="8">
        <f>AQ17*Assumptions!$B$232*AQ83*(1+Assumptions!$B$191)</f>
        <v/>
      </c>
      <c r="AR93" s="8">
        <f>AR17*Assumptions!$B$232*AR83*(1+Assumptions!$B$191)</f>
        <v/>
      </c>
      <c r="AS93" s="8">
        <f>AS17*Assumptions!$B$232*AS83*(1+Assumptions!$B$191)</f>
        <v/>
      </c>
      <c r="AT93" s="8">
        <f>AT17*Assumptions!$B$232*AT83*(1+Assumptions!$B$191)</f>
        <v/>
      </c>
      <c r="AU93" s="8">
        <f>AU17*Assumptions!$B$232*AU83*(1+Assumptions!$B$191)</f>
        <v/>
      </c>
      <c r="AV93" s="8">
        <f>AV17*Assumptions!$B$232*AV83*(1+Assumptions!$B$191)</f>
        <v/>
      </c>
      <c r="AW93" s="8">
        <f>AW17*Assumptions!$B$232*AW83*(1+Assumptions!$B$191)</f>
        <v/>
      </c>
      <c r="AX93" s="8">
        <f>AX17*Assumptions!$B$232*AX83*(1+Assumptions!$B$191)</f>
        <v/>
      </c>
      <c r="AY93" s="8">
        <f>AY17*Assumptions!$B$232*AY83*(1+Assumptions!$B$191)</f>
        <v/>
      </c>
      <c r="AZ93" s="8">
        <f>AZ17*Assumptions!$B$232*AZ83*(1+Assumptions!$B$191)</f>
        <v/>
      </c>
      <c r="BA93" s="8">
        <f>BA17*Assumptions!$B$232*BA83*(1+Assumptions!$B$191)</f>
        <v/>
      </c>
      <c r="BB93" s="8">
        <f>BB17*Assumptions!$B$232*BB83*(1+Assumptions!$B$191)</f>
        <v/>
      </c>
      <c r="BC93" s="8">
        <f>BC17*Assumptions!$B$232*BC83*(1+Assumptions!$B$191)</f>
        <v/>
      </c>
      <c r="BD93" s="8">
        <f>BD17*Assumptions!$B$232*BD83*(1+Assumptions!$B$191)</f>
        <v/>
      </c>
      <c r="BE93" s="8">
        <f>BE17*Assumptions!$B$232*BE83*(1+Assumptions!$B$191)</f>
        <v/>
      </c>
      <c r="BF93" s="8">
        <f>BF17*Assumptions!$B$232*BF83*(1+Assumptions!$B$191)</f>
        <v/>
      </c>
      <c r="BG93" s="8">
        <f>BG17*Assumptions!$B$232*BG83*(1+Assumptions!$B$191)</f>
        <v/>
      </c>
      <c r="BH93" s="8">
        <f>BH17*Assumptions!$B$232*BH83*(1+Assumptions!$B$191)</f>
        <v/>
      </c>
      <c r="BI93" s="8">
        <f>BI17*Assumptions!$B$232*BI83*(1+Assumptions!$B$191)</f>
        <v/>
      </c>
      <c r="BJ93" s="8">
        <f>BJ17*Assumptions!$B$232*BJ83*(1+Assumptions!$B$191)</f>
        <v/>
      </c>
    </row>
    <row r="94">
      <c r="A94" s="4" t="inlineStr">
        <is>
          <t>Payments &amp; data engineers</t>
        </is>
      </c>
      <c r="B94" s="17" t="inlineStr">
        <is>
          <t>R</t>
        </is>
      </c>
      <c r="C94" s="8">
        <f>C18*Assumptions!$B$233*C83*(1+Assumptions!$B$191)</f>
        <v/>
      </c>
      <c r="D94" s="8">
        <f>D18*Assumptions!$B$233*D83*(1+Assumptions!$B$191)</f>
        <v/>
      </c>
      <c r="E94" s="8">
        <f>E18*Assumptions!$B$233*E83*(1+Assumptions!$B$191)</f>
        <v/>
      </c>
      <c r="F94" s="8">
        <f>F18*Assumptions!$B$233*F83*(1+Assumptions!$B$191)</f>
        <v/>
      </c>
      <c r="G94" s="8">
        <f>G18*Assumptions!$B$233*G83*(1+Assumptions!$B$191)</f>
        <v/>
      </c>
      <c r="H94" s="8">
        <f>H18*Assumptions!$B$233*H83*(1+Assumptions!$B$191)</f>
        <v/>
      </c>
      <c r="I94" s="8">
        <f>I18*Assumptions!$B$233*I83*(1+Assumptions!$B$191)</f>
        <v/>
      </c>
      <c r="J94" s="8">
        <f>J18*Assumptions!$B$233*J83*(1+Assumptions!$B$191)</f>
        <v/>
      </c>
      <c r="K94" s="8">
        <f>K18*Assumptions!$B$233*K83*(1+Assumptions!$B$191)</f>
        <v/>
      </c>
      <c r="L94" s="8">
        <f>L18*Assumptions!$B$233*L83*(1+Assumptions!$B$191)</f>
        <v/>
      </c>
      <c r="M94" s="8">
        <f>M18*Assumptions!$B$233*M83*(1+Assumptions!$B$191)</f>
        <v/>
      </c>
      <c r="N94" s="8">
        <f>N18*Assumptions!$B$233*N83*(1+Assumptions!$B$191)</f>
        <v/>
      </c>
      <c r="O94" s="8">
        <f>O18*Assumptions!$B$233*O83*(1+Assumptions!$B$191)</f>
        <v/>
      </c>
      <c r="P94" s="8">
        <f>P18*Assumptions!$B$233*P83*(1+Assumptions!$B$191)</f>
        <v/>
      </c>
      <c r="Q94" s="8">
        <f>Q18*Assumptions!$B$233*Q83*(1+Assumptions!$B$191)</f>
        <v/>
      </c>
      <c r="R94" s="8">
        <f>R18*Assumptions!$B$233*R83*(1+Assumptions!$B$191)</f>
        <v/>
      </c>
      <c r="S94" s="8">
        <f>S18*Assumptions!$B$233*S83*(1+Assumptions!$B$191)</f>
        <v/>
      </c>
      <c r="T94" s="8">
        <f>T18*Assumptions!$B$233*T83*(1+Assumptions!$B$191)</f>
        <v/>
      </c>
      <c r="U94" s="8">
        <f>U18*Assumptions!$B$233*U83*(1+Assumptions!$B$191)</f>
        <v/>
      </c>
      <c r="V94" s="8">
        <f>V18*Assumptions!$B$233*V83*(1+Assumptions!$B$191)</f>
        <v/>
      </c>
      <c r="W94" s="8">
        <f>W18*Assumptions!$B$233*W83*(1+Assumptions!$B$191)</f>
        <v/>
      </c>
      <c r="X94" s="8">
        <f>X18*Assumptions!$B$233*X83*(1+Assumptions!$B$191)</f>
        <v/>
      </c>
      <c r="Y94" s="8">
        <f>Y18*Assumptions!$B$233*Y83*(1+Assumptions!$B$191)</f>
        <v/>
      </c>
      <c r="Z94" s="8">
        <f>Z18*Assumptions!$B$233*Z83*(1+Assumptions!$B$191)</f>
        <v/>
      </c>
      <c r="AA94" s="8">
        <f>AA18*Assumptions!$B$233*AA83*(1+Assumptions!$B$191)</f>
        <v/>
      </c>
      <c r="AB94" s="8">
        <f>AB18*Assumptions!$B$233*AB83*(1+Assumptions!$B$191)</f>
        <v/>
      </c>
      <c r="AC94" s="8">
        <f>AC18*Assumptions!$B$233*AC83*(1+Assumptions!$B$191)</f>
        <v/>
      </c>
      <c r="AD94" s="8">
        <f>AD18*Assumptions!$B$233*AD83*(1+Assumptions!$B$191)</f>
        <v/>
      </c>
      <c r="AE94" s="8">
        <f>AE18*Assumptions!$B$233*AE83*(1+Assumptions!$B$191)</f>
        <v/>
      </c>
      <c r="AF94" s="8">
        <f>AF18*Assumptions!$B$233*AF83*(1+Assumptions!$B$191)</f>
        <v/>
      </c>
      <c r="AG94" s="8">
        <f>AG18*Assumptions!$B$233*AG83*(1+Assumptions!$B$191)</f>
        <v/>
      </c>
      <c r="AH94" s="8">
        <f>AH18*Assumptions!$B$233*AH83*(1+Assumptions!$B$191)</f>
        <v/>
      </c>
      <c r="AI94" s="8">
        <f>AI18*Assumptions!$B$233*AI83*(1+Assumptions!$B$191)</f>
        <v/>
      </c>
      <c r="AJ94" s="8">
        <f>AJ18*Assumptions!$B$233*AJ83*(1+Assumptions!$B$191)</f>
        <v/>
      </c>
      <c r="AK94" s="8">
        <f>AK18*Assumptions!$B$233*AK83*(1+Assumptions!$B$191)</f>
        <v/>
      </c>
      <c r="AL94" s="8">
        <f>AL18*Assumptions!$B$233*AL83*(1+Assumptions!$B$191)</f>
        <v/>
      </c>
      <c r="AM94" s="8">
        <f>AM18*Assumptions!$B$233*AM83*(1+Assumptions!$B$191)</f>
        <v/>
      </c>
      <c r="AN94" s="8">
        <f>AN18*Assumptions!$B$233*AN83*(1+Assumptions!$B$191)</f>
        <v/>
      </c>
      <c r="AO94" s="8">
        <f>AO18*Assumptions!$B$233*AO83*(1+Assumptions!$B$191)</f>
        <v/>
      </c>
      <c r="AP94" s="8">
        <f>AP18*Assumptions!$B$233*AP83*(1+Assumptions!$B$191)</f>
        <v/>
      </c>
      <c r="AQ94" s="8">
        <f>AQ18*Assumptions!$B$233*AQ83*(1+Assumptions!$B$191)</f>
        <v/>
      </c>
      <c r="AR94" s="8">
        <f>AR18*Assumptions!$B$233*AR83*(1+Assumptions!$B$191)</f>
        <v/>
      </c>
      <c r="AS94" s="8">
        <f>AS18*Assumptions!$B$233*AS83*(1+Assumptions!$B$191)</f>
        <v/>
      </c>
      <c r="AT94" s="8">
        <f>AT18*Assumptions!$B$233*AT83*(1+Assumptions!$B$191)</f>
        <v/>
      </c>
      <c r="AU94" s="8">
        <f>AU18*Assumptions!$B$233*AU83*(1+Assumptions!$B$191)</f>
        <v/>
      </c>
      <c r="AV94" s="8">
        <f>AV18*Assumptions!$B$233*AV83*(1+Assumptions!$B$191)</f>
        <v/>
      </c>
      <c r="AW94" s="8">
        <f>AW18*Assumptions!$B$233*AW83*(1+Assumptions!$B$191)</f>
        <v/>
      </c>
      <c r="AX94" s="8">
        <f>AX18*Assumptions!$B$233*AX83*(1+Assumptions!$B$191)</f>
        <v/>
      </c>
      <c r="AY94" s="8">
        <f>AY18*Assumptions!$B$233*AY83*(1+Assumptions!$B$191)</f>
        <v/>
      </c>
      <c r="AZ94" s="8">
        <f>AZ18*Assumptions!$B$233*AZ83*(1+Assumptions!$B$191)</f>
        <v/>
      </c>
      <c r="BA94" s="8">
        <f>BA18*Assumptions!$B$233*BA83*(1+Assumptions!$B$191)</f>
        <v/>
      </c>
      <c r="BB94" s="8">
        <f>BB18*Assumptions!$B$233*BB83*(1+Assumptions!$B$191)</f>
        <v/>
      </c>
      <c r="BC94" s="8">
        <f>BC18*Assumptions!$B$233*BC83*(1+Assumptions!$B$191)</f>
        <v/>
      </c>
      <c r="BD94" s="8">
        <f>BD18*Assumptions!$B$233*BD83*(1+Assumptions!$B$191)</f>
        <v/>
      </c>
      <c r="BE94" s="8">
        <f>BE18*Assumptions!$B$233*BE83*(1+Assumptions!$B$191)</f>
        <v/>
      </c>
      <c r="BF94" s="8">
        <f>BF18*Assumptions!$B$233*BF83*(1+Assumptions!$B$191)</f>
        <v/>
      </c>
      <c r="BG94" s="8">
        <f>BG18*Assumptions!$B$233*BG83*(1+Assumptions!$B$191)</f>
        <v/>
      </c>
      <c r="BH94" s="8">
        <f>BH18*Assumptions!$B$233*BH83*(1+Assumptions!$B$191)</f>
        <v/>
      </c>
      <c r="BI94" s="8">
        <f>BI18*Assumptions!$B$233*BI83*(1+Assumptions!$B$191)</f>
        <v/>
      </c>
      <c r="BJ94" s="8">
        <f>BJ18*Assumptions!$B$233*BJ83*(1+Assumptions!$B$191)</f>
        <v/>
      </c>
    </row>
    <row r="95">
      <c r="A95" s="4" t="inlineStr">
        <is>
          <t>Engineers (scale-up I)</t>
        </is>
      </c>
      <c r="B95" s="17" t="inlineStr">
        <is>
          <t>R</t>
        </is>
      </c>
      <c r="C95" s="8">
        <f>C19*Assumptions!$B$234*C83*(1+Assumptions!$B$191)</f>
        <v/>
      </c>
      <c r="D95" s="8">
        <f>D19*Assumptions!$B$234*D83*(1+Assumptions!$B$191)</f>
        <v/>
      </c>
      <c r="E95" s="8">
        <f>E19*Assumptions!$B$234*E83*(1+Assumptions!$B$191)</f>
        <v/>
      </c>
      <c r="F95" s="8">
        <f>F19*Assumptions!$B$234*F83*(1+Assumptions!$B$191)</f>
        <v/>
      </c>
      <c r="G95" s="8">
        <f>G19*Assumptions!$B$234*G83*(1+Assumptions!$B$191)</f>
        <v/>
      </c>
      <c r="H95" s="8">
        <f>H19*Assumptions!$B$234*H83*(1+Assumptions!$B$191)</f>
        <v/>
      </c>
      <c r="I95" s="8">
        <f>I19*Assumptions!$B$234*I83*(1+Assumptions!$B$191)</f>
        <v/>
      </c>
      <c r="J95" s="8">
        <f>J19*Assumptions!$B$234*J83*(1+Assumptions!$B$191)</f>
        <v/>
      </c>
      <c r="K95" s="8">
        <f>K19*Assumptions!$B$234*K83*(1+Assumptions!$B$191)</f>
        <v/>
      </c>
      <c r="L95" s="8">
        <f>L19*Assumptions!$B$234*L83*(1+Assumptions!$B$191)</f>
        <v/>
      </c>
      <c r="M95" s="8">
        <f>M19*Assumptions!$B$234*M83*(1+Assumptions!$B$191)</f>
        <v/>
      </c>
      <c r="N95" s="8">
        <f>N19*Assumptions!$B$234*N83*(1+Assumptions!$B$191)</f>
        <v/>
      </c>
      <c r="O95" s="8">
        <f>O19*Assumptions!$B$234*O83*(1+Assumptions!$B$191)</f>
        <v/>
      </c>
      <c r="P95" s="8">
        <f>P19*Assumptions!$B$234*P83*(1+Assumptions!$B$191)</f>
        <v/>
      </c>
      <c r="Q95" s="8">
        <f>Q19*Assumptions!$B$234*Q83*(1+Assumptions!$B$191)</f>
        <v/>
      </c>
      <c r="R95" s="8">
        <f>R19*Assumptions!$B$234*R83*(1+Assumptions!$B$191)</f>
        <v/>
      </c>
      <c r="S95" s="8">
        <f>S19*Assumptions!$B$234*S83*(1+Assumptions!$B$191)</f>
        <v/>
      </c>
      <c r="T95" s="8">
        <f>T19*Assumptions!$B$234*T83*(1+Assumptions!$B$191)</f>
        <v/>
      </c>
      <c r="U95" s="8">
        <f>U19*Assumptions!$B$234*U83*(1+Assumptions!$B$191)</f>
        <v/>
      </c>
      <c r="V95" s="8">
        <f>V19*Assumptions!$B$234*V83*(1+Assumptions!$B$191)</f>
        <v/>
      </c>
      <c r="W95" s="8">
        <f>W19*Assumptions!$B$234*W83*(1+Assumptions!$B$191)</f>
        <v/>
      </c>
      <c r="X95" s="8">
        <f>X19*Assumptions!$B$234*X83*(1+Assumptions!$B$191)</f>
        <v/>
      </c>
      <c r="Y95" s="8">
        <f>Y19*Assumptions!$B$234*Y83*(1+Assumptions!$B$191)</f>
        <v/>
      </c>
      <c r="Z95" s="8">
        <f>Z19*Assumptions!$B$234*Z83*(1+Assumptions!$B$191)</f>
        <v/>
      </c>
      <c r="AA95" s="8">
        <f>AA19*Assumptions!$B$234*AA83*(1+Assumptions!$B$191)</f>
        <v/>
      </c>
      <c r="AB95" s="8">
        <f>AB19*Assumptions!$B$234*AB83*(1+Assumptions!$B$191)</f>
        <v/>
      </c>
      <c r="AC95" s="8">
        <f>AC19*Assumptions!$B$234*AC83*(1+Assumptions!$B$191)</f>
        <v/>
      </c>
      <c r="AD95" s="8">
        <f>AD19*Assumptions!$B$234*AD83*(1+Assumptions!$B$191)</f>
        <v/>
      </c>
      <c r="AE95" s="8">
        <f>AE19*Assumptions!$B$234*AE83*(1+Assumptions!$B$191)</f>
        <v/>
      </c>
      <c r="AF95" s="8">
        <f>AF19*Assumptions!$B$234*AF83*(1+Assumptions!$B$191)</f>
        <v/>
      </c>
      <c r="AG95" s="8">
        <f>AG19*Assumptions!$B$234*AG83*(1+Assumptions!$B$191)</f>
        <v/>
      </c>
      <c r="AH95" s="8">
        <f>AH19*Assumptions!$B$234*AH83*(1+Assumptions!$B$191)</f>
        <v/>
      </c>
      <c r="AI95" s="8">
        <f>AI19*Assumptions!$B$234*AI83*(1+Assumptions!$B$191)</f>
        <v/>
      </c>
      <c r="AJ95" s="8">
        <f>AJ19*Assumptions!$B$234*AJ83*(1+Assumptions!$B$191)</f>
        <v/>
      </c>
      <c r="AK95" s="8">
        <f>AK19*Assumptions!$B$234*AK83*(1+Assumptions!$B$191)</f>
        <v/>
      </c>
      <c r="AL95" s="8">
        <f>AL19*Assumptions!$B$234*AL83*(1+Assumptions!$B$191)</f>
        <v/>
      </c>
      <c r="AM95" s="8">
        <f>AM19*Assumptions!$B$234*AM83*(1+Assumptions!$B$191)</f>
        <v/>
      </c>
      <c r="AN95" s="8">
        <f>AN19*Assumptions!$B$234*AN83*(1+Assumptions!$B$191)</f>
        <v/>
      </c>
      <c r="AO95" s="8">
        <f>AO19*Assumptions!$B$234*AO83*(1+Assumptions!$B$191)</f>
        <v/>
      </c>
      <c r="AP95" s="8">
        <f>AP19*Assumptions!$B$234*AP83*(1+Assumptions!$B$191)</f>
        <v/>
      </c>
      <c r="AQ95" s="8">
        <f>AQ19*Assumptions!$B$234*AQ83*(1+Assumptions!$B$191)</f>
        <v/>
      </c>
      <c r="AR95" s="8">
        <f>AR19*Assumptions!$B$234*AR83*(1+Assumptions!$B$191)</f>
        <v/>
      </c>
      <c r="AS95" s="8">
        <f>AS19*Assumptions!$B$234*AS83*(1+Assumptions!$B$191)</f>
        <v/>
      </c>
      <c r="AT95" s="8">
        <f>AT19*Assumptions!$B$234*AT83*(1+Assumptions!$B$191)</f>
        <v/>
      </c>
      <c r="AU95" s="8">
        <f>AU19*Assumptions!$B$234*AU83*(1+Assumptions!$B$191)</f>
        <v/>
      </c>
      <c r="AV95" s="8">
        <f>AV19*Assumptions!$B$234*AV83*(1+Assumptions!$B$191)</f>
        <v/>
      </c>
      <c r="AW95" s="8">
        <f>AW19*Assumptions!$B$234*AW83*(1+Assumptions!$B$191)</f>
        <v/>
      </c>
      <c r="AX95" s="8">
        <f>AX19*Assumptions!$B$234*AX83*(1+Assumptions!$B$191)</f>
        <v/>
      </c>
      <c r="AY95" s="8">
        <f>AY19*Assumptions!$B$234*AY83*(1+Assumptions!$B$191)</f>
        <v/>
      </c>
      <c r="AZ95" s="8">
        <f>AZ19*Assumptions!$B$234*AZ83*(1+Assumptions!$B$191)</f>
        <v/>
      </c>
      <c r="BA95" s="8">
        <f>BA19*Assumptions!$B$234*BA83*(1+Assumptions!$B$191)</f>
        <v/>
      </c>
      <c r="BB95" s="8">
        <f>BB19*Assumptions!$B$234*BB83*(1+Assumptions!$B$191)</f>
        <v/>
      </c>
      <c r="BC95" s="8">
        <f>BC19*Assumptions!$B$234*BC83*(1+Assumptions!$B$191)</f>
        <v/>
      </c>
      <c r="BD95" s="8">
        <f>BD19*Assumptions!$B$234*BD83*(1+Assumptions!$B$191)</f>
        <v/>
      </c>
      <c r="BE95" s="8">
        <f>BE19*Assumptions!$B$234*BE83*(1+Assumptions!$B$191)</f>
        <v/>
      </c>
      <c r="BF95" s="8">
        <f>BF19*Assumptions!$B$234*BF83*(1+Assumptions!$B$191)</f>
        <v/>
      </c>
      <c r="BG95" s="8">
        <f>BG19*Assumptions!$B$234*BG83*(1+Assumptions!$B$191)</f>
        <v/>
      </c>
      <c r="BH95" s="8">
        <f>BH19*Assumptions!$B$234*BH83*(1+Assumptions!$B$191)</f>
        <v/>
      </c>
      <c r="BI95" s="8">
        <f>BI19*Assumptions!$B$234*BI83*(1+Assumptions!$B$191)</f>
        <v/>
      </c>
      <c r="BJ95" s="8">
        <f>BJ19*Assumptions!$B$234*BJ83*(1+Assumptions!$B$191)</f>
        <v/>
      </c>
    </row>
    <row r="96">
      <c r="A96" s="4" t="inlineStr">
        <is>
          <t>VP Engineering</t>
        </is>
      </c>
      <c r="B96" s="17" t="inlineStr">
        <is>
          <t>R</t>
        </is>
      </c>
      <c r="C96" s="8">
        <f>C20*Assumptions!$B$235*C83*(1+Assumptions!$B$191)</f>
        <v/>
      </c>
      <c r="D96" s="8">
        <f>D20*Assumptions!$B$235*D83*(1+Assumptions!$B$191)</f>
        <v/>
      </c>
      <c r="E96" s="8">
        <f>E20*Assumptions!$B$235*E83*(1+Assumptions!$B$191)</f>
        <v/>
      </c>
      <c r="F96" s="8">
        <f>F20*Assumptions!$B$235*F83*(1+Assumptions!$B$191)</f>
        <v/>
      </c>
      <c r="G96" s="8">
        <f>G20*Assumptions!$B$235*G83*(1+Assumptions!$B$191)</f>
        <v/>
      </c>
      <c r="H96" s="8">
        <f>H20*Assumptions!$B$235*H83*(1+Assumptions!$B$191)</f>
        <v/>
      </c>
      <c r="I96" s="8">
        <f>I20*Assumptions!$B$235*I83*(1+Assumptions!$B$191)</f>
        <v/>
      </c>
      <c r="J96" s="8">
        <f>J20*Assumptions!$B$235*J83*(1+Assumptions!$B$191)</f>
        <v/>
      </c>
      <c r="K96" s="8">
        <f>K20*Assumptions!$B$235*K83*(1+Assumptions!$B$191)</f>
        <v/>
      </c>
      <c r="L96" s="8">
        <f>L20*Assumptions!$B$235*L83*(1+Assumptions!$B$191)</f>
        <v/>
      </c>
      <c r="M96" s="8">
        <f>M20*Assumptions!$B$235*M83*(1+Assumptions!$B$191)</f>
        <v/>
      </c>
      <c r="N96" s="8">
        <f>N20*Assumptions!$B$235*N83*(1+Assumptions!$B$191)</f>
        <v/>
      </c>
      <c r="O96" s="8">
        <f>O20*Assumptions!$B$235*O83*(1+Assumptions!$B$191)</f>
        <v/>
      </c>
      <c r="P96" s="8">
        <f>P20*Assumptions!$B$235*P83*(1+Assumptions!$B$191)</f>
        <v/>
      </c>
      <c r="Q96" s="8">
        <f>Q20*Assumptions!$B$235*Q83*(1+Assumptions!$B$191)</f>
        <v/>
      </c>
      <c r="R96" s="8">
        <f>R20*Assumptions!$B$235*R83*(1+Assumptions!$B$191)</f>
        <v/>
      </c>
      <c r="S96" s="8">
        <f>S20*Assumptions!$B$235*S83*(1+Assumptions!$B$191)</f>
        <v/>
      </c>
      <c r="T96" s="8">
        <f>T20*Assumptions!$B$235*T83*(1+Assumptions!$B$191)</f>
        <v/>
      </c>
      <c r="U96" s="8">
        <f>U20*Assumptions!$B$235*U83*(1+Assumptions!$B$191)</f>
        <v/>
      </c>
      <c r="V96" s="8">
        <f>V20*Assumptions!$B$235*V83*(1+Assumptions!$B$191)</f>
        <v/>
      </c>
      <c r="W96" s="8">
        <f>W20*Assumptions!$B$235*W83*(1+Assumptions!$B$191)</f>
        <v/>
      </c>
      <c r="X96" s="8">
        <f>X20*Assumptions!$B$235*X83*(1+Assumptions!$B$191)</f>
        <v/>
      </c>
      <c r="Y96" s="8">
        <f>Y20*Assumptions!$B$235*Y83*(1+Assumptions!$B$191)</f>
        <v/>
      </c>
      <c r="Z96" s="8">
        <f>Z20*Assumptions!$B$235*Z83*(1+Assumptions!$B$191)</f>
        <v/>
      </c>
      <c r="AA96" s="8">
        <f>AA20*Assumptions!$B$235*AA83*(1+Assumptions!$B$191)</f>
        <v/>
      </c>
      <c r="AB96" s="8">
        <f>AB20*Assumptions!$B$235*AB83*(1+Assumptions!$B$191)</f>
        <v/>
      </c>
      <c r="AC96" s="8">
        <f>AC20*Assumptions!$B$235*AC83*(1+Assumptions!$B$191)</f>
        <v/>
      </c>
      <c r="AD96" s="8">
        <f>AD20*Assumptions!$B$235*AD83*(1+Assumptions!$B$191)</f>
        <v/>
      </c>
      <c r="AE96" s="8">
        <f>AE20*Assumptions!$B$235*AE83*(1+Assumptions!$B$191)</f>
        <v/>
      </c>
      <c r="AF96" s="8">
        <f>AF20*Assumptions!$B$235*AF83*(1+Assumptions!$B$191)</f>
        <v/>
      </c>
      <c r="AG96" s="8">
        <f>AG20*Assumptions!$B$235*AG83*(1+Assumptions!$B$191)</f>
        <v/>
      </c>
      <c r="AH96" s="8">
        <f>AH20*Assumptions!$B$235*AH83*(1+Assumptions!$B$191)</f>
        <v/>
      </c>
      <c r="AI96" s="8">
        <f>AI20*Assumptions!$B$235*AI83*(1+Assumptions!$B$191)</f>
        <v/>
      </c>
      <c r="AJ96" s="8">
        <f>AJ20*Assumptions!$B$235*AJ83*(1+Assumptions!$B$191)</f>
        <v/>
      </c>
      <c r="AK96" s="8">
        <f>AK20*Assumptions!$B$235*AK83*(1+Assumptions!$B$191)</f>
        <v/>
      </c>
      <c r="AL96" s="8">
        <f>AL20*Assumptions!$B$235*AL83*(1+Assumptions!$B$191)</f>
        <v/>
      </c>
      <c r="AM96" s="8">
        <f>AM20*Assumptions!$B$235*AM83*(1+Assumptions!$B$191)</f>
        <v/>
      </c>
      <c r="AN96" s="8">
        <f>AN20*Assumptions!$B$235*AN83*(1+Assumptions!$B$191)</f>
        <v/>
      </c>
      <c r="AO96" s="8">
        <f>AO20*Assumptions!$B$235*AO83*(1+Assumptions!$B$191)</f>
        <v/>
      </c>
      <c r="AP96" s="8">
        <f>AP20*Assumptions!$B$235*AP83*(1+Assumptions!$B$191)</f>
        <v/>
      </c>
      <c r="AQ96" s="8">
        <f>AQ20*Assumptions!$B$235*AQ83*(1+Assumptions!$B$191)</f>
        <v/>
      </c>
      <c r="AR96" s="8">
        <f>AR20*Assumptions!$B$235*AR83*(1+Assumptions!$B$191)</f>
        <v/>
      </c>
      <c r="AS96" s="8">
        <f>AS20*Assumptions!$B$235*AS83*(1+Assumptions!$B$191)</f>
        <v/>
      </c>
      <c r="AT96" s="8">
        <f>AT20*Assumptions!$B$235*AT83*(1+Assumptions!$B$191)</f>
        <v/>
      </c>
      <c r="AU96" s="8">
        <f>AU20*Assumptions!$B$235*AU83*(1+Assumptions!$B$191)</f>
        <v/>
      </c>
      <c r="AV96" s="8">
        <f>AV20*Assumptions!$B$235*AV83*(1+Assumptions!$B$191)</f>
        <v/>
      </c>
      <c r="AW96" s="8">
        <f>AW20*Assumptions!$B$235*AW83*(1+Assumptions!$B$191)</f>
        <v/>
      </c>
      <c r="AX96" s="8">
        <f>AX20*Assumptions!$B$235*AX83*(1+Assumptions!$B$191)</f>
        <v/>
      </c>
      <c r="AY96" s="8">
        <f>AY20*Assumptions!$B$235*AY83*(1+Assumptions!$B$191)</f>
        <v/>
      </c>
      <c r="AZ96" s="8">
        <f>AZ20*Assumptions!$B$235*AZ83*(1+Assumptions!$B$191)</f>
        <v/>
      </c>
      <c r="BA96" s="8">
        <f>BA20*Assumptions!$B$235*BA83*(1+Assumptions!$B$191)</f>
        <v/>
      </c>
      <c r="BB96" s="8">
        <f>BB20*Assumptions!$B$235*BB83*(1+Assumptions!$B$191)</f>
        <v/>
      </c>
      <c r="BC96" s="8">
        <f>BC20*Assumptions!$B$235*BC83*(1+Assumptions!$B$191)</f>
        <v/>
      </c>
      <c r="BD96" s="8">
        <f>BD20*Assumptions!$B$235*BD83*(1+Assumptions!$B$191)</f>
        <v/>
      </c>
      <c r="BE96" s="8">
        <f>BE20*Assumptions!$B$235*BE83*(1+Assumptions!$B$191)</f>
        <v/>
      </c>
      <c r="BF96" s="8">
        <f>BF20*Assumptions!$B$235*BF83*(1+Assumptions!$B$191)</f>
        <v/>
      </c>
      <c r="BG96" s="8">
        <f>BG20*Assumptions!$B$235*BG83*(1+Assumptions!$B$191)</f>
        <v/>
      </c>
      <c r="BH96" s="8">
        <f>BH20*Assumptions!$B$235*BH83*(1+Assumptions!$B$191)</f>
        <v/>
      </c>
      <c r="BI96" s="8">
        <f>BI20*Assumptions!$B$235*BI83*(1+Assumptions!$B$191)</f>
        <v/>
      </c>
      <c r="BJ96" s="8">
        <f>BJ20*Assumptions!$B$235*BJ83*(1+Assumptions!$B$191)</f>
        <v/>
      </c>
    </row>
    <row r="97">
      <c r="A97" s="4" t="inlineStr">
        <is>
          <t>Product manager #2</t>
        </is>
      </c>
      <c r="B97" s="17" t="inlineStr">
        <is>
          <t>R</t>
        </is>
      </c>
      <c r="C97" s="8">
        <f>C21*Assumptions!$B$236*C83*(1+Assumptions!$B$191)</f>
        <v/>
      </c>
      <c r="D97" s="8">
        <f>D21*Assumptions!$B$236*D83*(1+Assumptions!$B$191)</f>
        <v/>
      </c>
      <c r="E97" s="8">
        <f>E21*Assumptions!$B$236*E83*(1+Assumptions!$B$191)</f>
        <v/>
      </c>
      <c r="F97" s="8">
        <f>F21*Assumptions!$B$236*F83*(1+Assumptions!$B$191)</f>
        <v/>
      </c>
      <c r="G97" s="8">
        <f>G21*Assumptions!$B$236*G83*(1+Assumptions!$B$191)</f>
        <v/>
      </c>
      <c r="H97" s="8">
        <f>H21*Assumptions!$B$236*H83*(1+Assumptions!$B$191)</f>
        <v/>
      </c>
      <c r="I97" s="8">
        <f>I21*Assumptions!$B$236*I83*(1+Assumptions!$B$191)</f>
        <v/>
      </c>
      <c r="J97" s="8">
        <f>J21*Assumptions!$B$236*J83*(1+Assumptions!$B$191)</f>
        <v/>
      </c>
      <c r="K97" s="8">
        <f>K21*Assumptions!$B$236*K83*(1+Assumptions!$B$191)</f>
        <v/>
      </c>
      <c r="L97" s="8">
        <f>L21*Assumptions!$B$236*L83*(1+Assumptions!$B$191)</f>
        <v/>
      </c>
      <c r="M97" s="8">
        <f>M21*Assumptions!$B$236*M83*(1+Assumptions!$B$191)</f>
        <v/>
      </c>
      <c r="N97" s="8">
        <f>N21*Assumptions!$B$236*N83*(1+Assumptions!$B$191)</f>
        <v/>
      </c>
      <c r="O97" s="8">
        <f>O21*Assumptions!$B$236*O83*(1+Assumptions!$B$191)</f>
        <v/>
      </c>
      <c r="P97" s="8">
        <f>P21*Assumptions!$B$236*P83*(1+Assumptions!$B$191)</f>
        <v/>
      </c>
      <c r="Q97" s="8">
        <f>Q21*Assumptions!$B$236*Q83*(1+Assumptions!$B$191)</f>
        <v/>
      </c>
      <c r="R97" s="8">
        <f>R21*Assumptions!$B$236*R83*(1+Assumptions!$B$191)</f>
        <v/>
      </c>
      <c r="S97" s="8">
        <f>S21*Assumptions!$B$236*S83*(1+Assumptions!$B$191)</f>
        <v/>
      </c>
      <c r="T97" s="8">
        <f>T21*Assumptions!$B$236*T83*(1+Assumptions!$B$191)</f>
        <v/>
      </c>
      <c r="U97" s="8">
        <f>U21*Assumptions!$B$236*U83*(1+Assumptions!$B$191)</f>
        <v/>
      </c>
      <c r="V97" s="8">
        <f>V21*Assumptions!$B$236*V83*(1+Assumptions!$B$191)</f>
        <v/>
      </c>
      <c r="W97" s="8">
        <f>W21*Assumptions!$B$236*W83*(1+Assumptions!$B$191)</f>
        <v/>
      </c>
      <c r="X97" s="8">
        <f>X21*Assumptions!$B$236*X83*(1+Assumptions!$B$191)</f>
        <v/>
      </c>
      <c r="Y97" s="8">
        <f>Y21*Assumptions!$B$236*Y83*(1+Assumptions!$B$191)</f>
        <v/>
      </c>
      <c r="Z97" s="8">
        <f>Z21*Assumptions!$B$236*Z83*(1+Assumptions!$B$191)</f>
        <v/>
      </c>
      <c r="AA97" s="8">
        <f>AA21*Assumptions!$B$236*AA83*(1+Assumptions!$B$191)</f>
        <v/>
      </c>
      <c r="AB97" s="8">
        <f>AB21*Assumptions!$B$236*AB83*(1+Assumptions!$B$191)</f>
        <v/>
      </c>
      <c r="AC97" s="8">
        <f>AC21*Assumptions!$B$236*AC83*(1+Assumptions!$B$191)</f>
        <v/>
      </c>
      <c r="AD97" s="8">
        <f>AD21*Assumptions!$B$236*AD83*(1+Assumptions!$B$191)</f>
        <v/>
      </c>
      <c r="AE97" s="8">
        <f>AE21*Assumptions!$B$236*AE83*(1+Assumptions!$B$191)</f>
        <v/>
      </c>
      <c r="AF97" s="8">
        <f>AF21*Assumptions!$B$236*AF83*(1+Assumptions!$B$191)</f>
        <v/>
      </c>
      <c r="AG97" s="8">
        <f>AG21*Assumptions!$B$236*AG83*(1+Assumptions!$B$191)</f>
        <v/>
      </c>
      <c r="AH97" s="8">
        <f>AH21*Assumptions!$B$236*AH83*(1+Assumptions!$B$191)</f>
        <v/>
      </c>
      <c r="AI97" s="8">
        <f>AI21*Assumptions!$B$236*AI83*(1+Assumptions!$B$191)</f>
        <v/>
      </c>
      <c r="AJ97" s="8">
        <f>AJ21*Assumptions!$B$236*AJ83*(1+Assumptions!$B$191)</f>
        <v/>
      </c>
      <c r="AK97" s="8">
        <f>AK21*Assumptions!$B$236*AK83*(1+Assumptions!$B$191)</f>
        <v/>
      </c>
      <c r="AL97" s="8">
        <f>AL21*Assumptions!$B$236*AL83*(1+Assumptions!$B$191)</f>
        <v/>
      </c>
      <c r="AM97" s="8">
        <f>AM21*Assumptions!$B$236*AM83*(1+Assumptions!$B$191)</f>
        <v/>
      </c>
      <c r="AN97" s="8">
        <f>AN21*Assumptions!$B$236*AN83*(1+Assumptions!$B$191)</f>
        <v/>
      </c>
      <c r="AO97" s="8">
        <f>AO21*Assumptions!$B$236*AO83*(1+Assumptions!$B$191)</f>
        <v/>
      </c>
      <c r="AP97" s="8">
        <f>AP21*Assumptions!$B$236*AP83*(1+Assumptions!$B$191)</f>
        <v/>
      </c>
      <c r="AQ97" s="8">
        <f>AQ21*Assumptions!$B$236*AQ83*(1+Assumptions!$B$191)</f>
        <v/>
      </c>
      <c r="AR97" s="8">
        <f>AR21*Assumptions!$B$236*AR83*(1+Assumptions!$B$191)</f>
        <v/>
      </c>
      <c r="AS97" s="8">
        <f>AS21*Assumptions!$B$236*AS83*(1+Assumptions!$B$191)</f>
        <v/>
      </c>
      <c r="AT97" s="8">
        <f>AT21*Assumptions!$B$236*AT83*(1+Assumptions!$B$191)</f>
        <v/>
      </c>
      <c r="AU97" s="8">
        <f>AU21*Assumptions!$B$236*AU83*(1+Assumptions!$B$191)</f>
        <v/>
      </c>
      <c r="AV97" s="8">
        <f>AV21*Assumptions!$B$236*AV83*(1+Assumptions!$B$191)</f>
        <v/>
      </c>
      <c r="AW97" s="8">
        <f>AW21*Assumptions!$B$236*AW83*(1+Assumptions!$B$191)</f>
        <v/>
      </c>
      <c r="AX97" s="8">
        <f>AX21*Assumptions!$B$236*AX83*(1+Assumptions!$B$191)</f>
        <v/>
      </c>
      <c r="AY97" s="8">
        <f>AY21*Assumptions!$B$236*AY83*(1+Assumptions!$B$191)</f>
        <v/>
      </c>
      <c r="AZ97" s="8">
        <f>AZ21*Assumptions!$B$236*AZ83*(1+Assumptions!$B$191)</f>
        <v/>
      </c>
      <c r="BA97" s="8">
        <f>BA21*Assumptions!$B$236*BA83*(1+Assumptions!$B$191)</f>
        <v/>
      </c>
      <c r="BB97" s="8">
        <f>BB21*Assumptions!$B$236*BB83*(1+Assumptions!$B$191)</f>
        <v/>
      </c>
      <c r="BC97" s="8">
        <f>BC21*Assumptions!$B$236*BC83*(1+Assumptions!$B$191)</f>
        <v/>
      </c>
      <c r="BD97" s="8">
        <f>BD21*Assumptions!$B$236*BD83*(1+Assumptions!$B$191)</f>
        <v/>
      </c>
      <c r="BE97" s="8">
        <f>BE21*Assumptions!$B$236*BE83*(1+Assumptions!$B$191)</f>
        <v/>
      </c>
      <c r="BF97" s="8">
        <f>BF21*Assumptions!$B$236*BF83*(1+Assumptions!$B$191)</f>
        <v/>
      </c>
      <c r="BG97" s="8">
        <f>BG21*Assumptions!$B$236*BG83*(1+Assumptions!$B$191)</f>
        <v/>
      </c>
      <c r="BH97" s="8">
        <f>BH21*Assumptions!$B$236*BH83*(1+Assumptions!$B$191)</f>
        <v/>
      </c>
      <c r="BI97" s="8">
        <f>BI21*Assumptions!$B$236*BI83*(1+Assumptions!$B$191)</f>
        <v/>
      </c>
      <c r="BJ97" s="8">
        <f>BJ21*Assumptions!$B$236*BJ83*(1+Assumptions!$B$191)</f>
        <v/>
      </c>
    </row>
    <row r="98">
      <c r="A98" s="4" t="inlineStr">
        <is>
          <t>Engineers (scale-up II)</t>
        </is>
      </c>
      <c r="B98" s="17" t="inlineStr">
        <is>
          <t>R</t>
        </is>
      </c>
      <c r="C98" s="8">
        <f>C22*Assumptions!$B$237*C83*(1+Assumptions!$B$191)</f>
        <v/>
      </c>
      <c r="D98" s="8">
        <f>D22*Assumptions!$B$237*D83*(1+Assumptions!$B$191)</f>
        <v/>
      </c>
      <c r="E98" s="8">
        <f>E22*Assumptions!$B$237*E83*(1+Assumptions!$B$191)</f>
        <v/>
      </c>
      <c r="F98" s="8">
        <f>F22*Assumptions!$B$237*F83*(1+Assumptions!$B$191)</f>
        <v/>
      </c>
      <c r="G98" s="8">
        <f>G22*Assumptions!$B$237*G83*(1+Assumptions!$B$191)</f>
        <v/>
      </c>
      <c r="H98" s="8">
        <f>H22*Assumptions!$B$237*H83*(1+Assumptions!$B$191)</f>
        <v/>
      </c>
      <c r="I98" s="8">
        <f>I22*Assumptions!$B$237*I83*(1+Assumptions!$B$191)</f>
        <v/>
      </c>
      <c r="J98" s="8">
        <f>J22*Assumptions!$B$237*J83*(1+Assumptions!$B$191)</f>
        <v/>
      </c>
      <c r="K98" s="8">
        <f>K22*Assumptions!$B$237*K83*(1+Assumptions!$B$191)</f>
        <v/>
      </c>
      <c r="L98" s="8">
        <f>L22*Assumptions!$B$237*L83*(1+Assumptions!$B$191)</f>
        <v/>
      </c>
      <c r="M98" s="8">
        <f>M22*Assumptions!$B$237*M83*(1+Assumptions!$B$191)</f>
        <v/>
      </c>
      <c r="N98" s="8">
        <f>N22*Assumptions!$B$237*N83*(1+Assumptions!$B$191)</f>
        <v/>
      </c>
      <c r="O98" s="8">
        <f>O22*Assumptions!$B$237*O83*(1+Assumptions!$B$191)</f>
        <v/>
      </c>
      <c r="P98" s="8">
        <f>P22*Assumptions!$B$237*P83*(1+Assumptions!$B$191)</f>
        <v/>
      </c>
      <c r="Q98" s="8">
        <f>Q22*Assumptions!$B$237*Q83*(1+Assumptions!$B$191)</f>
        <v/>
      </c>
      <c r="R98" s="8">
        <f>R22*Assumptions!$B$237*R83*(1+Assumptions!$B$191)</f>
        <v/>
      </c>
      <c r="S98" s="8">
        <f>S22*Assumptions!$B$237*S83*(1+Assumptions!$B$191)</f>
        <v/>
      </c>
      <c r="T98" s="8">
        <f>T22*Assumptions!$B$237*T83*(1+Assumptions!$B$191)</f>
        <v/>
      </c>
      <c r="U98" s="8">
        <f>U22*Assumptions!$B$237*U83*(1+Assumptions!$B$191)</f>
        <v/>
      </c>
      <c r="V98" s="8">
        <f>V22*Assumptions!$B$237*V83*(1+Assumptions!$B$191)</f>
        <v/>
      </c>
      <c r="W98" s="8">
        <f>W22*Assumptions!$B$237*W83*(1+Assumptions!$B$191)</f>
        <v/>
      </c>
      <c r="X98" s="8">
        <f>X22*Assumptions!$B$237*X83*(1+Assumptions!$B$191)</f>
        <v/>
      </c>
      <c r="Y98" s="8">
        <f>Y22*Assumptions!$B$237*Y83*(1+Assumptions!$B$191)</f>
        <v/>
      </c>
      <c r="Z98" s="8">
        <f>Z22*Assumptions!$B$237*Z83*(1+Assumptions!$B$191)</f>
        <v/>
      </c>
      <c r="AA98" s="8">
        <f>AA22*Assumptions!$B$237*AA83*(1+Assumptions!$B$191)</f>
        <v/>
      </c>
      <c r="AB98" s="8">
        <f>AB22*Assumptions!$B$237*AB83*(1+Assumptions!$B$191)</f>
        <v/>
      </c>
      <c r="AC98" s="8">
        <f>AC22*Assumptions!$B$237*AC83*(1+Assumptions!$B$191)</f>
        <v/>
      </c>
      <c r="AD98" s="8">
        <f>AD22*Assumptions!$B$237*AD83*(1+Assumptions!$B$191)</f>
        <v/>
      </c>
      <c r="AE98" s="8">
        <f>AE22*Assumptions!$B$237*AE83*(1+Assumptions!$B$191)</f>
        <v/>
      </c>
      <c r="AF98" s="8">
        <f>AF22*Assumptions!$B$237*AF83*(1+Assumptions!$B$191)</f>
        <v/>
      </c>
      <c r="AG98" s="8">
        <f>AG22*Assumptions!$B$237*AG83*(1+Assumptions!$B$191)</f>
        <v/>
      </c>
      <c r="AH98" s="8">
        <f>AH22*Assumptions!$B$237*AH83*(1+Assumptions!$B$191)</f>
        <v/>
      </c>
      <c r="AI98" s="8">
        <f>AI22*Assumptions!$B$237*AI83*(1+Assumptions!$B$191)</f>
        <v/>
      </c>
      <c r="AJ98" s="8">
        <f>AJ22*Assumptions!$B$237*AJ83*(1+Assumptions!$B$191)</f>
        <v/>
      </c>
      <c r="AK98" s="8">
        <f>AK22*Assumptions!$B$237*AK83*(1+Assumptions!$B$191)</f>
        <v/>
      </c>
      <c r="AL98" s="8">
        <f>AL22*Assumptions!$B$237*AL83*(1+Assumptions!$B$191)</f>
        <v/>
      </c>
      <c r="AM98" s="8">
        <f>AM22*Assumptions!$B$237*AM83*(1+Assumptions!$B$191)</f>
        <v/>
      </c>
      <c r="AN98" s="8">
        <f>AN22*Assumptions!$B$237*AN83*(1+Assumptions!$B$191)</f>
        <v/>
      </c>
      <c r="AO98" s="8">
        <f>AO22*Assumptions!$B$237*AO83*(1+Assumptions!$B$191)</f>
        <v/>
      </c>
      <c r="AP98" s="8">
        <f>AP22*Assumptions!$B$237*AP83*(1+Assumptions!$B$191)</f>
        <v/>
      </c>
      <c r="AQ98" s="8">
        <f>AQ22*Assumptions!$B$237*AQ83*(1+Assumptions!$B$191)</f>
        <v/>
      </c>
      <c r="AR98" s="8">
        <f>AR22*Assumptions!$B$237*AR83*(1+Assumptions!$B$191)</f>
        <v/>
      </c>
      <c r="AS98" s="8">
        <f>AS22*Assumptions!$B$237*AS83*(1+Assumptions!$B$191)</f>
        <v/>
      </c>
      <c r="AT98" s="8">
        <f>AT22*Assumptions!$B$237*AT83*(1+Assumptions!$B$191)</f>
        <v/>
      </c>
      <c r="AU98" s="8">
        <f>AU22*Assumptions!$B$237*AU83*(1+Assumptions!$B$191)</f>
        <v/>
      </c>
      <c r="AV98" s="8">
        <f>AV22*Assumptions!$B$237*AV83*(1+Assumptions!$B$191)</f>
        <v/>
      </c>
      <c r="AW98" s="8">
        <f>AW22*Assumptions!$B$237*AW83*(1+Assumptions!$B$191)</f>
        <v/>
      </c>
      <c r="AX98" s="8">
        <f>AX22*Assumptions!$B$237*AX83*(1+Assumptions!$B$191)</f>
        <v/>
      </c>
      <c r="AY98" s="8">
        <f>AY22*Assumptions!$B$237*AY83*(1+Assumptions!$B$191)</f>
        <v/>
      </c>
      <c r="AZ98" s="8">
        <f>AZ22*Assumptions!$B$237*AZ83*(1+Assumptions!$B$191)</f>
        <v/>
      </c>
      <c r="BA98" s="8">
        <f>BA22*Assumptions!$B$237*BA83*(1+Assumptions!$B$191)</f>
        <v/>
      </c>
      <c r="BB98" s="8">
        <f>BB22*Assumptions!$B$237*BB83*(1+Assumptions!$B$191)</f>
        <v/>
      </c>
      <c r="BC98" s="8">
        <f>BC22*Assumptions!$B$237*BC83*(1+Assumptions!$B$191)</f>
        <v/>
      </c>
      <c r="BD98" s="8">
        <f>BD22*Assumptions!$B$237*BD83*(1+Assumptions!$B$191)</f>
        <v/>
      </c>
      <c r="BE98" s="8">
        <f>BE22*Assumptions!$B$237*BE83*(1+Assumptions!$B$191)</f>
        <v/>
      </c>
      <c r="BF98" s="8">
        <f>BF22*Assumptions!$B$237*BF83*(1+Assumptions!$B$191)</f>
        <v/>
      </c>
      <c r="BG98" s="8">
        <f>BG22*Assumptions!$B$237*BG83*(1+Assumptions!$B$191)</f>
        <v/>
      </c>
      <c r="BH98" s="8">
        <f>BH22*Assumptions!$B$237*BH83*(1+Assumptions!$B$191)</f>
        <v/>
      </c>
      <c r="BI98" s="8">
        <f>BI22*Assumptions!$B$237*BI83*(1+Assumptions!$B$191)</f>
        <v/>
      </c>
      <c r="BJ98" s="8">
        <f>BJ22*Assumptions!$B$237*BJ83*(1+Assumptions!$B$191)</f>
        <v/>
      </c>
    </row>
    <row r="99">
      <c r="A99" s="4" t="inlineStr">
        <is>
          <t>Data / AI engineers</t>
        </is>
      </c>
      <c r="B99" s="17" t="inlineStr">
        <is>
          <t>R</t>
        </is>
      </c>
      <c r="C99" s="8">
        <f>C23*Assumptions!$B$238*C83*(1+Assumptions!$B$191)</f>
        <v/>
      </c>
      <c r="D99" s="8">
        <f>D23*Assumptions!$B$238*D83*(1+Assumptions!$B$191)</f>
        <v/>
      </c>
      <c r="E99" s="8">
        <f>E23*Assumptions!$B$238*E83*(1+Assumptions!$B$191)</f>
        <v/>
      </c>
      <c r="F99" s="8">
        <f>F23*Assumptions!$B$238*F83*(1+Assumptions!$B$191)</f>
        <v/>
      </c>
      <c r="G99" s="8">
        <f>G23*Assumptions!$B$238*G83*(1+Assumptions!$B$191)</f>
        <v/>
      </c>
      <c r="H99" s="8">
        <f>H23*Assumptions!$B$238*H83*(1+Assumptions!$B$191)</f>
        <v/>
      </c>
      <c r="I99" s="8">
        <f>I23*Assumptions!$B$238*I83*(1+Assumptions!$B$191)</f>
        <v/>
      </c>
      <c r="J99" s="8">
        <f>J23*Assumptions!$B$238*J83*(1+Assumptions!$B$191)</f>
        <v/>
      </c>
      <c r="K99" s="8">
        <f>K23*Assumptions!$B$238*K83*(1+Assumptions!$B$191)</f>
        <v/>
      </c>
      <c r="L99" s="8">
        <f>L23*Assumptions!$B$238*L83*(1+Assumptions!$B$191)</f>
        <v/>
      </c>
      <c r="M99" s="8">
        <f>M23*Assumptions!$B$238*M83*(1+Assumptions!$B$191)</f>
        <v/>
      </c>
      <c r="N99" s="8">
        <f>N23*Assumptions!$B$238*N83*(1+Assumptions!$B$191)</f>
        <v/>
      </c>
      <c r="O99" s="8">
        <f>O23*Assumptions!$B$238*O83*(1+Assumptions!$B$191)</f>
        <v/>
      </c>
      <c r="P99" s="8">
        <f>P23*Assumptions!$B$238*P83*(1+Assumptions!$B$191)</f>
        <v/>
      </c>
      <c r="Q99" s="8">
        <f>Q23*Assumptions!$B$238*Q83*(1+Assumptions!$B$191)</f>
        <v/>
      </c>
      <c r="R99" s="8">
        <f>R23*Assumptions!$B$238*R83*(1+Assumptions!$B$191)</f>
        <v/>
      </c>
      <c r="S99" s="8">
        <f>S23*Assumptions!$B$238*S83*(1+Assumptions!$B$191)</f>
        <v/>
      </c>
      <c r="T99" s="8">
        <f>T23*Assumptions!$B$238*T83*(1+Assumptions!$B$191)</f>
        <v/>
      </c>
      <c r="U99" s="8">
        <f>U23*Assumptions!$B$238*U83*(1+Assumptions!$B$191)</f>
        <v/>
      </c>
      <c r="V99" s="8">
        <f>V23*Assumptions!$B$238*V83*(1+Assumptions!$B$191)</f>
        <v/>
      </c>
      <c r="W99" s="8">
        <f>W23*Assumptions!$B$238*W83*(1+Assumptions!$B$191)</f>
        <v/>
      </c>
      <c r="X99" s="8">
        <f>X23*Assumptions!$B$238*X83*(1+Assumptions!$B$191)</f>
        <v/>
      </c>
      <c r="Y99" s="8">
        <f>Y23*Assumptions!$B$238*Y83*(1+Assumptions!$B$191)</f>
        <v/>
      </c>
      <c r="Z99" s="8">
        <f>Z23*Assumptions!$B$238*Z83*(1+Assumptions!$B$191)</f>
        <v/>
      </c>
      <c r="AA99" s="8">
        <f>AA23*Assumptions!$B$238*AA83*(1+Assumptions!$B$191)</f>
        <v/>
      </c>
      <c r="AB99" s="8">
        <f>AB23*Assumptions!$B$238*AB83*(1+Assumptions!$B$191)</f>
        <v/>
      </c>
      <c r="AC99" s="8">
        <f>AC23*Assumptions!$B$238*AC83*(1+Assumptions!$B$191)</f>
        <v/>
      </c>
      <c r="AD99" s="8">
        <f>AD23*Assumptions!$B$238*AD83*(1+Assumptions!$B$191)</f>
        <v/>
      </c>
      <c r="AE99" s="8">
        <f>AE23*Assumptions!$B$238*AE83*(1+Assumptions!$B$191)</f>
        <v/>
      </c>
      <c r="AF99" s="8">
        <f>AF23*Assumptions!$B$238*AF83*(1+Assumptions!$B$191)</f>
        <v/>
      </c>
      <c r="AG99" s="8">
        <f>AG23*Assumptions!$B$238*AG83*(1+Assumptions!$B$191)</f>
        <v/>
      </c>
      <c r="AH99" s="8">
        <f>AH23*Assumptions!$B$238*AH83*(1+Assumptions!$B$191)</f>
        <v/>
      </c>
      <c r="AI99" s="8">
        <f>AI23*Assumptions!$B$238*AI83*(1+Assumptions!$B$191)</f>
        <v/>
      </c>
      <c r="AJ99" s="8">
        <f>AJ23*Assumptions!$B$238*AJ83*(1+Assumptions!$B$191)</f>
        <v/>
      </c>
      <c r="AK99" s="8">
        <f>AK23*Assumptions!$B$238*AK83*(1+Assumptions!$B$191)</f>
        <v/>
      </c>
      <c r="AL99" s="8">
        <f>AL23*Assumptions!$B$238*AL83*(1+Assumptions!$B$191)</f>
        <v/>
      </c>
      <c r="AM99" s="8">
        <f>AM23*Assumptions!$B$238*AM83*(1+Assumptions!$B$191)</f>
        <v/>
      </c>
      <c r="AN99" s="8">
        <f>AN23*Assumptions!$B$238*AN83*(1+Assumptions!$B$191)</f>
        <v/>
      </c>
      <c r="AO99" s="8">
        <f>AO23*Assumptions!$B$238*AO83*(1+Assumptions!$B$191)</f>
        <v/>
      </c>
      <c r="AP99" s="8">
        <f>AP23*Assumptions!$B$238*AP83*(1+Assumptions!$B$191)</f>
        <v/>
      </c>
      <c r="AQ99" s="8">
        <f>AQ23*Assumptions!$B$238*AQ83*(1+Assumptions!$B$191)</f>
        <v/>
      </c>
      <c r="AR99" s="8">
        <f>AR23*Assumptions!$B$238*AR83*(1+Assumptions!$B$191)</f>
        <v/>
      </c>
      <c r="AS99" s="8">
        <f>AS23*Assumptions!$B$238*AS83*(1+Assumptions!$B$191)</f>
        <v/>
      </c>
      <c r="AT99" s="8">
        <f>AT23*Assumptions!$B$238*AT83*(1+Assumptions!$B$191)</f>
        <v/>
      </c>
      <c r="AU99" s="8">
        <f>AU23*Assumptions!$B$238*AU83*(1+Assumptions!$B$191)</f>
        <v/>
      </c>
      <c r="AV99" s="8">
        <f>AV23*Assumptions!$B$238*AV83*(1+Assumptions!$B$191)</f>
        <v/>
      </c>
      <c r="AW99" s="8">
        <f>AW23*Assumptions!$B$238*AW83*(1+Assumptions!$B$191)</f>
        <v/>
      </c>
      <c r="AX99" s="8">
        <f>AX23*Assumptions!$B$238*AX83*(1+Assumptions!$B$191)</f>
        <v/>
      </c>
      <c r="AY99" s="8">
        <f>AY23*Assumptions!$B$238*AY83*(1+Assumptions!$B$191)</f>
        <v/>
      </c>
      <c r="AZ99" s="8">
        <f>AZ23*Assumptions!$B$238*AZ83*(1+Assumptions!$B$191)</f>
        <v/>
      </c>
      <c r="BA99" s="8">
        <f>BA23*Assumptions!$B$238*BA83*(1+Assumptions!$B$191)</f>
        <v/>
      </c>
      <c r="BB99" s="8">
        <f>BB23*Assumptions!$B$238*BB83*(1+Assumptions!$B$191)</f>
        <v/>
      </c>
      <c r="BC99" s="8">
        <f>BC23*Assumptions!$B$238*BC83*(1+Assumptions!$B$191)</f>
        <v/>
      </c>
      <c r="BD99" s="8">
        <f>BD23*Assumptions!$B$238*BD83*(1+Assumptions!$B$191)</f>
        <v/>
      </c>
      <c r="BE99" s="8">
        <f>BE23*Assumptions!$B$238*BE83*(1+Assumptions!$B$191)</f>
        <v/>
      </c>
      <c r="BF99" s="8">
        <f>BF23*Assumptions!$B$238*BF83*(1+Assumptions!$B$191)</f>
        <v/>
      </c>
      <c r="BG99" s="8">
        <f>BG23*Assumptions!$B$238*BG83*(1+Assumptions!$B$191)</f>
        <v/>
      </c>
      <c r="BH99" s="8">
        <f>BH23*Assumptions!$B$238*BH83*(1+Assumptions!$B$191)</f>
        <v/>
      </c>
      <c r="BI99" s="8">
        <f>BI23*Assumptions!$B$238*BI83*(1+Assumptions!$B$191)</f>
        <v/>
      </c>
      <c r="BJ99" s="8">
        <f>BJ23*Assumptions!$B$238*BJ83*(1+Assumptions!$B$191)</f>
        <v/>
      </c>
    </row>
    <row r="100">
      <c r="A100" s="4" t="inlineStr">
        <is>
          <t>Engineers (scale-up III)</t>
        </is>
      </c>
      <c r="B100" s="17" t="inlineStr">
        <is>
          <t>R</t>
        </is>
      </c>
      <c r="C100" s="8">
        <f>C24*Assumptions!$B$239*C83*(1+Assumptions!$B$191)</f>
        <v/>
      </c>
      <c r="D100" s="8">
        <f>D24*Assumptions!$B$239*D83*(1+Assumptions!$B$191)</f>
        <v/>
      </c>
      <c r="E100" s="8">
        <f>E24*Assumptions!$B$239*E83*(1+Assumptions!$B$191)</f>
        <v/>
      </c>
      <c r="F100" s="8">
        <f>F24*Assumptions!$B$239*F83*(1+Assumptions!$B$191)</f>
        <v/>
      </c>
      <c r="G100" s="8">
        <f>G24*Assumptions!$B$239*G83*(1+Assumptions!$B$191)</f>
        <v/>
      </c>
      <c r="H100" s="8">
        <f>H24*Assumptions!$B$239*H83*(1+Assumptions!$B$191)</f>
        <v/>
      </c>
      <c r="I100" s="8">
        <f>I24*Assumptions!$B$239*I83*(1+Assumptions!$B$191)</f>
        <v/>
      </c>
      <c r="J100" s="8">
        <f>J24*Assumptions!$B$239*J83*(1+Assumptions!$B$191)</f>
        <v/>
      </c>
      <c r="K100" s="8">
        <f>K24*Assumptions!$B$239*K83*(1+Assumptions!$B$191)</f>
        <v/>
      </c>
      <c r="L100" s="8">
        <f>L24*Assumptions!$B$239*L83*(1+Assumptions!$B$191)</f>
        <v/>
      </c>
      <c r="M100" s="8">
        <f>M24*Assumptions!$B$239*M83*(1+Assumptions!$B$191)</f>
        <v/>
      </c>
      <c r="N100" s="8">
        <f>N24*Assumptions!$B$239*N83*(1+Assumptions!$B$191)</f>
        <v/>
      </c>
      <c r="O100" s="8">
        <f>O24*Assumptions!$B$239*O83*(1+Assumptions!$B$191)</f>
        <v/>
      </c>
      <c r="P100" s="8">
        <f>P24*Assumptions!$B$239*P83*(1+Assumptions!$B$191)</f>
        <v/>
      </c>
      <c r="Q100" s="8">
        <f>Q24*Assumptions!$B$239*Q83*(1+Assumptions!$B$191)</f>
        <v/>
      </c>
      <c r="R100" s="8">
        <f>R24*Assumptions!$B$239*R83*(1+Assumptions!$B$191)</f>
        <v/>
      </c>
      <c r="S100" s="8">
        <f>S24*Assumptions!$B$239*S83*(1+Assumptions!$B$191)</f>
        <v/>
      </c>
      <c r="T100" s="8">
        <f>T24*Assumptions!$B$239*T83*(1+Assumptions!$B$191)</f>
        <v/>
      </c>
      <c r="U100" s="8">
        <f>U24*Assumptions!$B$239*U83*(1+Assumptions!$B$191)</f>
        <v/>
      </c>
      <c r="V100" s="8">
        <f>V24*Assumptions!$B$239*V83*(1+Assumptions!$B$191)</f>
        <v/>
      </c>
      <c r="W100" s="8">
        <f>W24*Assumptions!$B$239*W83*(1+Assumptions!$B$191)</f>
        <v/>
      </c>
      <c r="X100" s="8">
        <f>X24*Assumptions!$B$239*X83*(1+Assumptions!$B$191)</f>
        <v/>
      </c>
      <c r="Y100" s="8">
        <f>Y24*Assumptions!$B$239*Y83*(1+Assumptions!$B$191)</f>
        <v/>
      </c>
      <c r="Z100" s="8">
        <f>Z24*Assumptions!$B$239*Z83*(1+Assumptions!$B$191)</f>
        <v/>
      </c>
      <c r="AA100" s="8">
        <f>AA24*Assumptions!$B$239*AA83*(1+Assumptions!$B$191)</f>
        <v/>
      </c>
      <c r="AB100" s="8">
        <f>AB24*Assumptions!$B$239*AB83*(1+Assumptions!$B$191)</f>
        <v/>
      </c>
      <c r="AC100" s="8">
        <f>AC24*Assumptions!$B$239*AC83*(1+Assumptions!$B$191)</f>
        <v/>
      </c>
      <c r="AD100" s="8">
        <f>AD24*Assumptions!$B$239*AD83*(1+Assumptions!$B$191)</f>
        <v/>
      </c>
      <c r="AE100" s="8">
        <f>AE24*Assumptions!$B$239*AE83*(1+Assumptions!$B$191)</f>
        <v/>
      </c>
      <c r="AF100" s="8">
        <f>AF24*Assumptions!$B$239*AF83*(1+Assumptions!$B$191)</f>
        <v/>
      </c>
      <c r="AG100" s="8">
        <f>AG24*Assumptions!$B$239*AG83*(1+Assumptions!$B$191)</f>
        <v/>
      </c>
      <c r="AH100" s="8">
        <f>AH24*Assumptions!$B$239*AH83*(1+Assumptions!$B$191)</f>
        <v/>
      </c>
      <c r="AI100" s="8">
        <f>AI24*Assumptions!$B$239*AI83*(1+Assumptions!$B$191)</f>
        <v/>
      </c>
      <c r="AJ100" s="8">
        <f>AJ24*Assumptions!$B$239*AJ83*(1+Assumptions!$B$191)</f>
        <v/>
      </c>
      <c r="AK100" s="8">
        <f>AK24*Assumptions!$B$239*AK83*(1+Assumptions!$B$191)</f>
        <v/>
      </c>
      <c r="AL100" s="8">
        <f>AL24*Assumptions!$B$239*AL83*(1+Assumptions!$B$191)</f>
        <v/>
      </c>
      <c r="AM100" s="8">
        <f>AM24*Assumptions!$B$239*AM83*(1+Assumptions!$B$191)</f>
        <v/>
      </c>
      <c r="AN100" s="8">
        <f>AN24*Assumptions!$B$239*AN83*(1+Assumptions!$B$191)</f>
        <v/>
      </c>
      <c r="AO100" s="8">
        <f>AO24*Assumptions!$B$239*AO83*(1+Assumptions!$B$191)</f>
        <v/>
      </c>
      <c r="AP100" s="8">
        <f>AP24*Assumptions!$B$239*AP83*(1+Assumptions!$B$191)</f>
        <v/>
      </c>
      <c r="AQ100" s="8">
        <f>AQ24*Assumptions!$B$239*AQ83*(1+Assumptions!$B$191)</f>
        <v/>
      </c>
      <c r="AR100" s="8">
        <f>AR24*Assumptions!$B$239*AR83*(1+Assumptions!$B$191)</f>
        <v/>
      </c>
      <c r="AS100" s="8">
        <f>AS24*Assumptions!$B$239*AS83*(1+Assumptions!$B$191)</f>
        <v/>
      </c>
      <c r="AT100" s="8">
        <f>AT24*Assumptions!$B$239*AT83*(1+Assumptions!$B$191)</f>
        <v/>
      </c>
      <c r="AU100" s="8">
        <f>AU24*Assumptions!$B$239*AU83*(1+Assumptions!$B$191)</f>
        <v/>
      </c>
      <c r="AV100" s="8">
        <f>AV24*Assumptions!$B$239*AV83*(1+Assumptions!$B$191)</f>
        <v/>
      </c>
      <c r="AW100" s="8">
        <f>AW24*Assumptions!$B$239*AW83*(1+Assumptions!$B$191)</f>
        <v/>
      </c>
      <c r="AX100" s="8">
        <f>AX24*Assumptions!$B$239*AX83*(1+Assumptions!$B$191)</f>
        <v/>
      </c>
      <c r="AY100" s="8">
        <f>AY24*Assumptions!$B$239*AY83*(1+Assumptions!$B$191)</f>
        <v/>
      </c>
      <c r="AZ100" s="8">
        <f>AZ24*Assumptions!$B$239*AZ83*(1+Assumptions!$B$191)</f>
        <v/>
      </c>
      <c r="BA100" s="8">
        <f>BA24*Assumptions!$B$239*BA83*(1+Assumptions!$B$191)</f>
        <v/>
      </c>
      <c r="BB100" s="8">
        <f>BB24*Assumptions!$B$239*BB83*(1+Assumptions!$B$191)</f>
        <v/>
      </c>
      <c r="BC100" s="8">
        <f>BC24*Assumptions!$B$239*BC83*(1+Assumptions!$B$191)</f>
        <v/>
      </c>
      <c r="BD100" s="8">
        <f>BD24*Assumptions!$B$239*BD83*(1+Assumptions!$B$191)</f>
        <v/>
      </c>
      <c r="BE100" s="8">
        <f>BE24*Assumptions!$B$239*BE83*(1+Assumptions!$B$191)</f>
        <v/>
      </c>
      <c r="BF100" s="8">
        <f>BF24*Assumptions!$B$239*BF83*(1+Assumptions!$B$191)</f>
        <v/>
      </c>
      <c r="BG100" s="8">
        <f>BG24*Assumptions!$B$239*BG83*(1+Assumptions!$B$191)</f>
        <v/>
      </c>
      <c r="BH100" s="8">
        <f>BH24*Assumptions!$B$239*BH83*(1+Assumptions!$B$191)</f>
        <v/>
      </c>
      <c r="BI100" s="8">
        <f>BI24*Assumptions!$B$239*BI83*(1+Assumptions!$B$191)</f>
        <v/>
      </c>
      <c r="BJ100" s="8">
        <f>BJ24*Assumptions!$B$239*BJ83*(1+Assumptions!$B$191)</f>
        <v/>
      </c>
    </row>
    <row r="101">
      <c r="A101" s="4" t="inlineStr">
        <is>
          <t>Engineers (scale-up IV: social adapters &amp; integrations at scale)</t>
        </is>
      </c>
      <c r="B101" s="17" t="inlineStr">
        <is>
          <t>R</t>
        </is>
      </c>
      <c r="C101" s="8">
        <f>C25*Assumptions!$B$240*C83*(1+Assumptions!$B$191)</f>
        <v/>
      </c>
      <c r="D101" s="8">
        <f>D25*Assumptions!$B$240*D83*(1+Assumptions!$B$191)</f>
        <v/>
      </c>
      <c r="E101" s="8">
        <f>E25*Assumptions!$B$240*E83*(1+Assumptions!$B$191)</f>
        <v/>
      </c>
      <c r="F101" s="8">
        <f>F25*Assumptions!$B$240*F83*(1+Assumptions!$B$191)</f>
        <v/>
      </c>
      <c r="G101" s="8">
        <f>G25*Assumptions!$B$240*G83*(1+Assumptions!$B$191)</f>
        <v/>
      </c>
      <c r="H101" s="8">
        <f>H25*Assumptions!$B$240*H83*(1+Assumptions!$B$191)</f>
        <v/>
      </c>
      <c r="I101" s="8">
        <f>I25*Assumptions!$B$240*I83*(1+Assumptions!$B$191)</f>
        <v/>
      </c>
      <c r="J101" s="8">
        <f>J25*Assumptions!$B$240*J83*(1+Assumptions!$B$191)</f>
        <v/>
      </c>
      <c r="K101" s="8">
        <f>K25*Assumptions!$B$240*K83*(1+Assumptions!$B$191)</f>
        <v/>
      </c>
      <c r="L101" s="8">
        <f>L25*Assumptions!$B$240*L83*(1+Assumptions!$B$191)</f>
        <v/>
      </c>
      <c r="M101" s="8">
        <f>M25*Assumptions!$B$240*M83*(1+Assumptions!$B$191)</f>
        <v/>
      </c>
      <c r="N101" s="8">
        <f>N25*Assumptions!$B$240*N83*(1+Assumptions!$B$191)</f>
        <v/>
      </c>
      <c r="O101" s="8">
        <f>O25*Assumptions!$B$240*O83*(1+Assumptions!$B$191)</f>
        <v/>
      </c>
      <c r="P101" s="8">
        <f>P25*Assumptions!$B$240*P83*(1+Assumptions!$B$191)</f>
        <v/>
      </c>
      <c r="Q101" s="8">
        <f>Q25*Assumptions!$B$240*Q83*(1+Assumptions!$B$191)</f>
        <v/>
      </c>
      <c r="R101" s="8">
        <f>R25*Assumptions!$B$240*R83*(1+Assumptions!$B$191)</f>
        <v/>
      </c>
      <c r="S101" s="8">
        <f>S25*Assumptions!$B$240*S83*(1+Assumptions!$B$191)</f>
        <v/>
      </c>
      <c r="T101" s="8">
        <f>T25*Assumptions!$B$240*T83*(1+Assumptions!$B$191)</f>
        <v/>
      </c>
      <c r="U101" s="8">
        <f>U25*Assumptions!$B$240*U83*(1+Assumptions!$B$191)</f>
        <v/>
      </c>
      <c r="V101" s="8">
        <f>V25*Assumptions!$B$240*V83*(1+Assumptions!$B$191)</f>
        <v/>
      </c>
      <c r="W101" s="8">
        <f>W25*Assumptions!$B$240*W83*(1+Assumptions!$B$191)</f>
        <v/>
      </c>
      <c r="X101" s="8">
        <f>X25*Assumptions!$B$240*X83*(1+Assumptions!$B$191)</f>
        <v/>
      </c>
      <c r="Y101" s="8">
        <f>Y25*Assumptions!$B$240*Y83*(1+Assumptions!$B$191)</f>
        <v/>
      </c>
      <c r="Z101" s="8">
        <f>Z25*Assumptions!$B$240*Z83*(1+Assumptions!$B$191)</f>
        <v/>
      </c>
      <c r="AA101" s="8">
        <f>AA25*Assumptions!$B$240*AA83*(1+Assumptions!$B$191)</f>
        <v/>
      </c>
      <c r="AB101" s="8">
        <f>AB25*Assumptions!$B$240*AB83*(1+Assumptions!$B$191)</f>
        <v/>
      </c>
      <c r="AC101" s="8">
        <f>AC25*Assumptions!$B$240*AC83*(1+Assumptions!$B$191)</f>
        <v/>
      </c>
      <c r="AD101" s="8">
        <f>AD25*Assumptions!$B$240*AD83*(1+Assumptions!$B$191)</f>
        <v/>
      </c>
      <c r="AE101" s="8">
        <f>AE25*Assumptions!$B$240*AE83*(1+Assumptions!$B$191)</f>
        <v/>
      </c>
      <c r="AF101" s="8">
        <f>AF25*Assumptions!$B$240*AF83*(1+Assumptions!$B$191)</f>
        <v/>
      </c>
      <c r="AG101" s="8">
        <f>AG25*Assumptions!$B$240*AG83*(1+Assumptions!$B$191)</f>
        <v/>
      </c>
      <c r="AH101" s="8">
        <f>AH25*Assumptions!$B$240*AH83*(1+Assumptions!$B$191)</f>
        <v/>
      </c>
      <c r="AI101" s="8">
        <f>AI25*Assumptions!$B$240*AI83*(1+Assumptions!$B$191)</f>
        <v/>
      </c>
      <c r="AJ101" s="8">
        <f>AJ25*Assumptions!$B$240*AJ83*(1+Assumptions!$B$191)</f>
        <v/>
      </c>
      <c r="AK101" s="8">
        <f>AK25*Assumptions!$B$240*AK83*(1+Assumptions!$B$191)</f>
        <v/>
      </c>
      <c r="AL101" s="8">
        <f>AL25*Assumptions!$B$240*AL83*(1+Assumptions!$B$191)</f>
        <v/>
      </c>
      <c r="AM101" s="8">
        <f>AM25*Assumptions!$B$240*AM83*(1+Assumptions!$B$191)</f>
        <v/>
      </c>
      <c r="AN101" s="8">
        <f>AN25*Assumptions!$B$240*AN83*(1+Assumptions!$B$191)</f>
        <v/>
      </c>
      <c r="AO101" s="8">
        <f>AO25*Assumptions!$B$240*AO83*(1+Assumptions!$B$191)</f>
        <v/>
      </c>
      <c r="AP101" s="8">
        <f>AP25*Assumptions!$B$240*AP83*(1+Assumptions!$B$191)</f>
        <v/>
      </c>
      <c r="AQ101" s="8">
        <f>AQ25*Assumptions!$B$240*AQ83*(1+Assumptions!$B$191)</f>
        <v/>
      </c>
      <c r="AR101" s="8">
        <f>AR25*Assumptions!$B$240*AR83*(1+Assumptions!$B$191)</f>
        <v/>
      </c>
      <c r="AS101" s="8">
        <f>AS25*Assumptions!$B$240*AS83*(1+Assumptions!$B$191)</f>
        <v/>
      </c>
      <c r="AT101" s="8">
        <f>AT25*Assumptions!$B$240*AT83*(1+Assumptions!$B$191)</f>
        <v/>
      </c>
      <c r="AU101" s="8">
        <f>AU25*Assumptions!$B$240*AU83*(1+Assumptions!$B$191)</f>
        <v/>
      </c>
      <c r="AV101" s="8">
        <f>AV25*Assumptions!$B$240*AV83*(1+Assumptions!$B$191)</f>
        <v/>
      </c>
      <c r="AW101" s="8">
        <f>AW25*Assumptions!$B$240*AW83*(1+Assumptions!$B$191)</f>
        <v/>
      </c>
      <c r="AX101" s="8">
        <f>AX25*Assumptions!$B$240*AX83*(1+Assumptions!$B$191)</f>
        <v/>
      </c>
      <c r="AY101" s="8">
        <f>AY25*Assumptions!$B$240*AY83*(1+Assumptions!$B$191)</f>
        <v/>
      </c>
      <c r="AZ101" s="8">
        <f>AZ25*Assumptions!$B$240*AZ83*(1+Assumptions!$B$191)</f>
        <v/>
      </c>
      <c r="BA101" s="8">
        <f>BA25*Assumptions!$B$240*BA83*(1+Assumptions!$B$191)</f>
        <v/>
      </c>
      <c r="BB101" s="8">
        <f>BB25*Assumptions!$B$240*BB83*(1+Assumptions!$B$191)</f>
        <v/>
      </c>
      <c r="BC101" s="8">
        <f>BC25*Assumptions!$B$240*BC83*(1+Assumptions!$B$191)</f>
        <v/>
      </c>
      <c r="BD101" s="8">
        <f>BD25*Assumptions!$B$240*BD83*(1+Assumptions!$B$191)</f>
        <v/>
      </c>
      <c r="BE101" s="8">
        <f>BE25*Assumptions!$B$240*BE83*(1+Assumptions!$B$191)</f>
        <v/>
      </c>
      <c r="BF101" s="8">
        <f>BF25*Assumptions!$B$240*BF83*(1+Assumptions!$B$191)</f>
        <v/>
      </c>
      <c r="BG101" s="8">
        <f>BG25*Assumptions!$B$240*BG83*(1+Assumptions!$B$191)</f>
        <v/>
      </c>
      <c r="BH101" s="8">
        <f>BH25*Assumptions!$B$240*BH83*(1+Assumptions!$B$191)</f>
        <v/>
      </c>
      <c r="BI101" s="8">
        <f>BI25*Assumptions!$B$240*BI83*(1+Assumptions!$B$191)</f>
        <v/>
      </c>
      <c r="BJ101" s="8">
        <f>BJ25*Assumptions!$B$240*BJ83*(1+Assumptions!$B$191)</f>
        <v/>
      </c>
    </row>
    <row r="102">
      <c r="A102" s="4" t="inlineStr">
        <is>
          <t>Data &amp; AI team II</t>
        </is>
      </c>
      <c r="B102" s="17" t="inlineStr">
        <is>
          <t>R</t>
        </is>
      </c>
      <c r="C102" s="8">
        <f>C26*Assumptions!$B$241*C83*(1+Assumptions!$B$191)</f>
        <v/>
      </c>
      <c r="D102" s="8">
        <f>D26*Assumptions!$B$241*D83*(1+Assumptions!$B$191)</f>
        <v/>
      </c>
      <c r="E102" s="8">
        <f>E26*Assumptions!$B$241*E83*(1+Assumptions!$B$191)</f>
        <v/>
      </c>
      <c r="F102" s="8">
        <f>F26*Assumptions!$B$241*F83*(1+Assumptions!$B$191)</f>
        <v/>
      </c>
      <c r="G102" s="8">
        <f>G26*Assumptions!$B$241*G83*(1+Assumptions!$B$191)</f>
        <v/>
      </c>
      <c r="H102" s="8">
        <f>H26*Assumptions!$B$241*H83*(1+Assumptions!$B$191)</f>
        <v/>
      </c>
      <c r="I102" s="8">
        <f>I26*Assumptions!$B$241*I83*(1+Assumptions!$B$191)</f>
        <v/>
      </c>
      <c r="J102" s="8">
        <f>J26*Assumptions!$B$241*J83*(1+Assumptions!$B$191)</f>
        <v/>
      </c>
      <c r="K102" s="8">
        <f>K26*Assumptions!$B$241*K83*(1+Assumptions!$B$191)</f>
        <v/>
      </c>
      <c r="L102" s="8">
        <f>L26*Assumptions!$B$241*L83*(1+Assumptions!$B$191)</f>
        <v/>
      </c>
      <c r="M102" s="8">
        <f>M26*Assumptions!$B$241*M83*(1+Assumptions!$B$191)</f>
        <v/>
      </c>
      <c r="N102" s="8">
        <f>N26*Assumptions!$B$241*N83*(1+Assumptions!$B$191)</f>
        <v/>
      </c>
      <c r="O102" s="8">
        <f>O26*Assumptions!$B$241*O83*(1+Assumptions!$B$191)</f>
        <v/>
      </c>
      <c r="P102" s="8">
        <f>P26*Assumptions!$B$241*P83*(1+Assumptions!$B$191)</f>
        <v/>
      </c>
      <c r="Q102" s="8">
        <f>Q26*Assumptions!$B$241*Q83*(1+Assumptions!$B$191)</f>
        <v/>
      </c>
      <c r="R102" s="8">
        <f>R26*Assumptions!$B$241*R83*(1+Assumptions!$B$191)</f>
        <v/>
      </c>
      <c r="S102" s="8">
        <f>S26*Assumptions!$B$241*S83*(1+Assumptions!$B$191)</f>
        <v/>
      </c>
      <c r="T102" s="8">
        <f>T26*Assumptions!$B$241*T83*(1+Assumptions!$B$191)</f>
        <v/>
      </c>
      <c r="U102" s="8">
        <f>U26*Assumptions!$B$241*U83*(1+Assumptions!$B$191)</f>
        <v/>
      </c>
      <c r="V102" s="8">
        <f>V26*Assumptions!$B$241*V83*(1+Assumptions!$B$191)</f>
        <v/>
      </c>
      <c r="W102" s="8">
        <f>W26*Assumptions!$B$241*W83*(1+Assumptions!$B$191)</f>
        <v/>
      </c>
      <c r="X102" s="8">
        <f>X26*Assumptions!$B$241*X83*(1+Assumptions!$B$191)</f>
        <v/>
      </c>
      <c r="Y102" s="8">
        <f>Y26*Assumptions!$B$241*Y83*(1+Assumptions!$B$191)</f>
        <v/>
      </c>
      <c r="Z102" s="8">
        <f>Z26*Assumptions!$B$241*Z83*(1+Assumptions!$B$191)</f>
        <v/>
      </c>
      <c r="AA102" s="8">
        <f>AA26*Assumptions!$B$241*AA83*(1+Assumptions!$B$191)</f>
        <v/>
      </c>
      <c r="AB102" s="8">
        <f>AB26*Assumptions!$B$241*AB83*(1+Assumptions!$B$191)</f>
        <v/>
      </c>
      <c r="AC102" s="8">
        <f>AC26*Assumptions!$B$241*AC83*(1+Assumptions!$B$191)</f>
        <v/>
      </c>
      <c r="AD102" s="8">
        <f>AD26*Assumptions!$B$241*AD83*(1+Assumptions!$B$191)</f>
        <v/>
      </c>
      <c r="AE102" s="8">
        <f>AE26*Assumptions!$B$241*AE83*(1+Assumptions!$B$191)</f>
        <v/>
      </c>
      <c r="AF102" s="8">
        <f>AF26*Assumptions!$B$241*AF83*(1+Assumptions!$B$191)</f>
        <v/>
      </c>
      <c r="AG102" s="8">
        <f>AG26*Assumptions!$B$241*AG83*(1+Assumptions!$B$191)</f>
        <v/>
      </c>
      <c r="AH102" s="8">
        <f>AH26*Assumptions!$B$241*AH83*(1+Assumptions!$B$191)</f>
        <v/>
      </c>
      <c r="AI102" s="8">
        <f>AI26*Assumptions!$B$241*AI83*(1+Assumptions!$B$191)</f>
        <v/>
      </c>
      <c r="AJ102" s="8">
        <f>AJ26*Assumptions!$B$241*AJ83*(1+Assumptions!$B$191)</f>
        <v/>
      </c>
      <c r="AK102" s="8">
        <f>AK26*Assumptions!$B$241*AK83*(1+Assumptions!$B$191)</f>
        <v/>
      </c>
      <c r="AL102" s="8">
        <f>AL26*Assumptions!$B$241*AL83*(1+Assumptions!$B$191)</f>
        <v/>
      </c>
      <c r="AM102" s="8">
        <f>AM26*Assumptions!$B$241*AM83*(1+Assumptions!$B$191)</f>
        <v/>
      </c>
      <c r="AN102" s="8">
        <f>AN26*Assumptions!$B$241*AN83*(1+Assumptions!$B$191)</f>
        <v/>
      </c>
      <c r="AO102" s="8">
        <f>AO26*Assumptions!$B$241*AO83*(1+Assumptions!$B$191)</f>
        <v/>
      </c>
      <c r="AP102" s="8">
        <f>AP26*Assumptions!$B$241*AP83*(1+Assumptions!$B$191)</f>
        <v/>
      </c>
      <c r="AQ102" s="8">
        <f>AQ26*Assumptions!$B$241*AQ83*(1+Assumptions!$B$191)</f>
        <v/>
      </c>
      <c r="AR102" s="8">
        <f>AR26*Assumptions!$B$241*AR83*(1+Assumptions!$B$191)</f>
        <v/>
      </c>
      <c r="AS102" s="8">
        <f>AS26*Assumptions!$B$241*AS83*(1+Assumptions!$B$191)</f>
        <v/>
      </c>
      <c r="AT102" s="8">
        <f>AT26*Assumptions!$B$241*AT83*(1+Assumptions!$B$191)</f>
        <v/>
      </c>
      <c r="AU102" s="8">
        <f>AU26*Assumptions!$B$241*AU83*(1+Assumptions!$B$191)</f>
        <v/>
      </c>
      <c r="AV102" s="8">
        <f>AV26*Assumptions!$B$241*AV83*(1+Assumptions!$B$191)</f>
        <v/>
      </c>
      <c r="AW102" s="8">
        <f>AW26*Assumptions!$B$241*AW83*(1+Assumptions!$B$191)</f>
        <v/>
      </c>
      <c r="AX102" s="8">
        <f>AX26*Assumptions!$B$241*AX83*(1+Assumptions!$B$191)</f>
        <v/>
      </c>
      <c r="AY102" s="8">
        <f>AY26*Assumptions!$B$241*AY83*(1+Assumptions!$B$191)</f>
        <v/>
      </c>
      <c r="AZ102" s="8">
        <f>AZ26*Assumptions!$B$241*AZ83*(1+Assumptions!$B$191)</f>
        <v/>
      </c>
      <c r="BA102" s="8">
        <f>BA26*Assumptions!$B$241*BA83*(1+Assumptions!$B$191)</f>
        <v/>
      </c>
      <c r="BB102" s="8">
        <f>BB26*Assumptions!$B$241*BB83*(1+Assumptions!$B$191)</f>
        <v/>
      </c>
      <c r="BC102" s="8">
        <f>BC26*Assumptions!$B$241*BC83*(1+Assumptions!$B$191)</f>
        <v/>
      </c>
      <c r="BD102" s="8">
        <f>BD26*Assumptions!$B$241*BD83*(1+Assumptions!$B$191)</f>
        <v/>
      </c>
      <c r="BE102" s="8">
        <f>BE26*Assumptions!$B$241*BE83*(1+Assumptions!$B$191)</f>
        <v/>
      </c>
      <c r="BF102" s="8">
        <f>BF26*Assumptions!$B$241*BF83*(1+Assumptions!$B$191)</f>
        <v/>
      </c>
      <c r="BG102" s="8">
        <f>BG26*Assumptions!$B$241*BG83*(1+Assumptions!$B$191)</f>
        <v/>
      </c>
      <c r="BH102" s="8">
        <f>BH26*Assumptions!$B$241*BH83*(1+Assumptions!$B$191)</f>
        <v/>
      </c>
      <c r="BI102" s="8">
        <f>BI26*Assumptions!$B$241*BI83*(1+Assumptions!$B$191)</f>
        <v/>
      </c>
      <c r="BJ102" s="8">
        <f>BJ26*Assumptions!$B$241*BJ83*(1+Assumptions!$B$191)</f>
        <v/>
      </c>
    </row>
    <row r="103">
      <c r="A103" s="4" t="inlineStr">
        <is>
          <t>Head of Growth</t>
        </is>
      </c>
      <c r="B103" s="17" t="inlineStr">
        <is>
          <t>R</t>
        </is>
      </c>
      <c r="C103" s="8">
        <f>C27*Assumptions!$B$242*C83*(1+Assumptions!$B$191)</f>
        <v/>
      </c>
      <c r="D103" s="8">
        <f>D27*Assumptions!$B$242*D83*(1+Assumptions!$B$191)</f>
        <v/>
      </c>
      <c r="E103" s="8">
        <f>E27*Assumptions!$B$242*E83*(1+Assumptions!$B$191)</f>
        <v/>
      </c>
      <c r="F103" s="8">
        <f>F27*Assumptions!$B$242*F83*(1+Assumptions!$B$191)</f>
        <v/>
      </c>
      <c r="G103" s="8">
        <f>G27*Assumptions!$B$242*G83*(1+Assumptions!$B$191)</f>
        <v/>
      </c>
      <c r="H103" s="8">
        <f>H27*Assumptions!$B$242*H83*(1+Assumptions!$B$191)</f>
        <v/>
      </c>
      <c r="I103" s="8">
        <f>I27*Assumptions!$B$242*I83*(1+Assumptions!$B$191)</f>
        <v/>
      </c>
      <c r="J103" s="8">
        <f>J27*Assumptions!$B$242*J83*(1+Assumptions!$B$191)</f>
        <v/>
      </c>
      <c r="K103" s="8">
        <f>K27*Assumptions!$B$242*K83*(1+Assumptions!$B$191)</f>
        <v/>
      </c>
      <c r="L103" s="8">
        <f>L27*Assumptions!$B$242*L83*(1+Assumptions!$B$191)</f>
        <v/>
      </c>
      <c r="M103" s="8">
        <f>M27*Assumptions!$B$242*M83*(1+Assumptions!$B$191)</f>
        <v/>
      </c>
      <c r="N103" s="8">
        <f>N27*Assumptions!$B$242*N83*(1+Assumptions!$B$191)</f>
        <v/>
      </c>
      <c r="O103" s="8">
        <f>O27*Assumptions!$B$242*O83*(1+Assumptions!$B$191)</f>
        <v/>
      </c>
      <c r="P103" s="8">
        <f>P27*Assumptions!$B$242*P83*(1+Assumptions!$B$191)</f>
        <v/>
      </c>
      <c r="Q103" s="8">
        <f>Q27*Assumptions!$B$242*Q83*(1+Assumptions!$B$191)</f>
        <v/>
      </c>
      <c r="R103" s="8">
        <f>R27*Assumptions!$B$242*R83*(1+Assumptions!$B$191)</f>
        <v/>
      </c>
      <c r="S103" s="8">
        <f>S27*Assumptions!$B$242*S83*(1+Assumptions!$B$191)</f>
        <v/>
      </c>
      <c r="T103" s="8">
        <f>T27*Assumptions!$B$242*T83*(1+Assumptions!$B$191)</f>
        <v/>
      </c>
      <c r="U103" s="8">
        <f>U27*Assumptions!$B$242*U83*(1+Assumptions!$B$191)</f>
        <v/>
      </c>
      <c r="V103" s="8">
        <f>V27*Assumptions!$B$242*V83*(1+Assumptions!$B$191)</f>
        <v/>
      </c>
      <c r="W103" s="8">
        <f>W27*Assumptions!$B$242*W83*(1+Assumptions!$B$191)</f>
        <v/>
      </c>
      <c r="X103" s="8">
        <f>X27*Assumptions!$B$242*X83*(1+Assumptions!$B$191)</f>
        <v/>
      </c>
      <c r="Y103" s="8">
        <f>Y27*Assumptions!$B$242*Y83*(1+Assumptions!$B$191)</f>
        <v/>
      </c>
      <c r="Z103" s="8">
        <f>Z27*Assumptions!$B$242*Z83*(1+Assumptions!$B$191)</f>
        <v/>
      </c>
      <c r="AA103" s="8">
        <f>AA27*Assumptions!$B$242*AA83*(1+Assumptions!$B$191)</f>
        <v/>
      </c>
      <c r="AB103" s="8">
        <f>AB27*Assumptions!$B$242*AB83*(1+Assumptions!$B$191)</f>
        <v/>
      </c>
      <c r="AC103" s="8">
        <f>AC27*Assumptions!$B$242*AC83*(1+Assumptions!$B$191)</f>
        <v/>
      </c>
      <c r="AD103" s="8">
        <f>AD27*Assumptions!$B$242*AD83*(1+Assumptions!$B$191)</f>
        <v/>
      </c>
      <c r="AE103" s="8">
        <f>AE27*Assumptions!$B$242*AE83*(1+Assumptions!$B$191)</f>
        <v/>
      </c>
      <c r="AF103" s="8">
        <f>AF27*Assumptions!$B$242*AF83*(1+Assumptions!$B$191)</f>
        <v/>
      </c>
      <c r="AG103" s="8">
        <f>AG27*Assumptions!$B$242*AG83*(1+Assumptions!$B$191)</f>
        <v/>
      </c>
      <c r="AH103" s="8">
        <f>AH27*Assumptions!$B$242*AH83*(1+Assumptions!$B$191)</f>
        <v/>
      </c>
      <c r="AI103" s="8">
        <f>AI27*Assumptions!$B$242*AI83*(1+Assumptions!$B$191)</f>
        <v/>
      </c>
      <c r="AJ103" s="8">
        <f>AJ27*Assumptions!$B$242*AJ83*(1+Assumptions!$B$191)</f>
        <v/>
      </c>
      <c r="AK103" s="8">
        <f>AK27*Assumptions!$B$242*AK83*(1+Assumptions!$B$191)</f>
        <v/>
      </c>
      <c r="AL103" s="8">
        <f>AL27*Assumptions!$B$242*AL83*(1+Assumptions!$B$191)</f>
        <v/>
      </c>
      <c r="AM103" s="8">
        <f>AM27*Assumptions!$B$242*AM83*(1+Assumptions!$B$191)</f>
        <v/>
      </c>
      <c r="AN103" s="8">
        <f>AN27*Assumptions!$B$242*AN83*(1+Assumptions!$B$191)</f>
        <v/>
      </c>
      <c r="AO103" s="8">
        <f>AO27*Assumptions!$B$242*AO83*(1+Assumptions!$B$191)</f>
        <v/>
      </c>
      <c r="AP103" s="8">
        <f>AP27*Assumptions!$B$242*AP83*(1+Assumptions!$B$191)</f>
        <v/>
      </c>
      <c r="AQ103" s="8">
        <f>AQ27*Assumptions!$B$242*AQ83*(1+Assumptions!$B$191)</f>
        <v/>
      </c>
      <c r="AR103" s="8">
        <f>AR27*Assumptions!$B$242*AR83*(1+Assumptions!$B$191)</f>
        <v/>
      </c>
      <c r="AS103" s="8">
        <f>AS27*Assumptions!$B$242*AS83*(1+Assumptions!$B$191)</f>
        <v/>
      </c>
      <c r="AT103" s="8">
        <f>AT27*Assumptions!$B$242*AT83*(1+Assumptions!$B$191)</f>
        <v/>
      </c>
      <c r="AU103" s="8">
        <f>AU27*Assumptions!$B$242*AU83*(1+Assumptions!$B$191)</f>
        <v/>
      </c>
      <c r="AV103" s="8">
        <f>AV27*Assumptions!$B$242*AV83*(1+Assumptions!$B$191)</f>
        <v/>
      </c>
      <c r="AW103" s="8">
        <f>AW27*Assumptions!$B$242*AW83*(1+Assumptions!$B$191)</f>
        <v/>
      </c>
      <c r="AX103" s="8">
        <f>AX27*Assumptions!$B$242*AX83*(1+Assumptions!$B$191)</f>
        <v/>
      </c>
      <c r="AY103" s="8">
        <f>AY27*Assumptions!$B$242*AY83*(1+Assumptions!$B$191)</f>
        <v/>
      </c>
      <c r="AZ103" s="8">
        <f>AZ27*Assumptions!$B$242*AZ83*(1+Assumptions!$B$191)</f>
        <v/>
      </c>
      <c r="BA103" s="8">
        <f>BA27*Assumptions!$B$242*BA83*(1+Assumptions!$B$191)</f>
        <v/>
      </c>
      <c r="BB103" s="8">
        <f>BB27*Assumptions!$B$242*BB83*(1+Assumptions!$B$191)</f>
        <v/>
      </c>
      <c r="BC103" s="8">
        <f>BC27*Assumptions!$B$242*BC83*(1+Assumptions!$B$191)</f>
        <v/>
      </c>
      <c r="BD103" s="8">
        <f>BD27*Assumptions!$B$242*BD83*(1+Assumptions!$B$191)</f>
        <v/>
      </c>
      <c r="BE103" s="8">
        <f>BE27*Assumptions!$B$242*BE83*(1+Assumptions!$B$191)</f>
        <v/>
      </c>
      <c r="BF103" s="8">
        <f>BF27*Assumptions!$B$242*BF83*(1+Assumptions!$B$191)</f>
        <v/>
      </c>
      <c r="BG103" s="8">
        <f>BG27*Assumptions!$B$242*BG83*(1+Assumptions!$B$191)</f>
        <v/>
      </c>
      <c r="BH103" s="8">
        <f>BH27*Assumptions!$B$242*BH83*(1+Assumptions!$B$191)</f>
        <v/>
      </c>
      <c r="BI103" s="8">
        <f>BI27*Assumptions!$B$242*BI83*(1+Assumptions!$B$191)</f>
        <v/>
      </c>
      <c r="BJ103" s="8">
        <f>BJ27*Assumptions!$B$242*BJ83*(1+Assumptions!$B$191)</f>
        <v/>
      </c>
    </row>
    <row r="104">
      <c r="A104" s="4" t="inlineStr">
        <is>
          <t>Performance marketer</t>
        </is>
      </c>
      <c r="B104" s="17" t="inlineStr">
        <is>
          <t>R</t>
        </is>
      </c>
      <c r="C104" s="8">
        <f>C28*Assumptions!$B$243*C83*(1+Assumptions!$B$191)</f>
        <v/>
      </c>
      <c r="D104" s="8">
        <f>D28*Assumptions!$B$243*D83*(1+Assumptions!$B$191)</f>
        <v/>
      </c>
      <c r="E104" s="8">
        <f>E28*Assumptions!$B$243*E83*(1+Assumptions!$B$191)</f>
        <v/>
      </c>
      <c r="F104" s="8">
        <f>F28*Assumptions!$B$243*F83*(1+Assumptions!$B$191)</f>
        <v/>
      </c>
      <c r="G104" s="8">
        <f>G28*Assumptions!$B$243*G83*(1+Assumptions!$B$191)</f>
        <v/>
      </c>
      <c r="H104" s="8">
        <f>H28*Assumptions!$B$243*H83*(1+Assumptions!$B$191)</f>
        <v/>
      </c>
      <c r="I104" s="8">
        <f>I28*Assumptions!$B$243*I83*(1+Assumptions!$B$191)</f>
        <v/>
      </c>
      <c r="J104" s="8">
        <f>J28*Assumptions!$B$243*J83*(1+Assumptions!$B$191)</f>
        <v/>
      </c>
      <c r="K104" s="8">
        <f>K28*Assumptions!$B$243*K83*(1+Assumptions!$B$191)</f>
        <v/>
      </c>
      <c r="L104" s="8">
        <f>L28*Assumptions!$B$243*L83*(1+Assumptions!$B$191)</f>
        <v/>
      </c>
      <c r="M104" s="8">
        <f>M28*Assumptions!$B$243*M83*(1+Assumptions!$B$191)</f>
        <v/>
      </c>
      <c r="N104" s="8">
        <f>N28*Assumptions!$B$243*N83*(1+Assumptions!$B$191)</f>
        <v/>
      </c>
      <c r="O104" s="8">
        <f>O28*Assumptions!$B$243*O83*(1+Assumptions!$B$191)</f>
        <v/>
      </c>
      <c r="P104" s="8">
        <f>P28*Assumptions!$B$243*P83*(1+Assumptions!$B$191)</f>
        <v/>
      </c>
      <c r="Q104" s="8">
        <f>Q28*Assumptions!$B$243*Q83*(1+Assumptions!$B$191)</f>
        <v/>
      </c>
      <c r="R104" s="8">
        <f>R28*Assumptions!$B$243*R83*(1+Assumptions!$B$191)</f>
        <v/>
      </c>
      <c r="S104" s="8">
        <f>S28*Assumptions!$B$243*S83*(1+Assumptions!$B$191)</f>
        <v/>
      </c>
      <c r="T104" s="8">
        <f>T28*Assumptions!$B$243*T83*(1+Assumptions!$B$191)</f>
        <v/>
      </c>
      <c r="U104" s="8">
        <f>U28*Assumptions!$B$243*U83*(1+Assumptions!$B$191)</f>
        <v/>
      </c>
      <c r="V104" s="8">
        <f>V28*Assumptions!$B$243*V83*(1+Assumptions!$B$191)</f>
        <v/>
      </c>
      <c r="W104" s="8">
        <f>W28*Assumptions!$B$243*W83*(1+Assumptions!$B$191)</f>
        <v/>
      </c>
      <c r="X104" s="8">
        <f>X28*Assumptions!$B$243*X83*(1+Assumptions!$B$191)</f>
        <v/>
      </c>
      <c r="Y104" s="8">
        <f>Y28*Assumptions!$B$243*Y83*(1+Assumptions!$B$191)</f>
        <v/>
      </c>
      <c r="Z104" s="8">
        <f>Z28*Assumptions!$B$243*Z83*(1+Assumptions!$B$191)</f>
        <v/>
      </c>
      <c r="AA104" s="8">
        <f>AA28*Assumptions!$B$243*AA83*(1+Assumptions!$B$191)</f>
        <v/>
      </c>
      <c r="AB104" s="8">
        <f>AB28*Assumptions!$B$243*AB83*(1+Assumptions!$B$191)</f>
        <v/>
      </c>
      <c r="AC104" s="8">
        <f>AC28*Assumptions!$B$243*AC83*(1+Assumptions!$B$191)</f>
        <v/>
      </c>
      <c r="AD104" s="8">
        <f>AD28*Assumptions!$B$243*AD83*(1+Assumptions!$B$191)</f>
        <v/>
      </c>
      <c r="AE104" s="8">
        <f>AE28*Assumptions!$B$243*AE83*(1+Assumptions!$B$191)</f>
        <v/>
      </c>
      <c r="AF104" s="8">
        <f>AF28*Assumptions!$B$243*AF83*(1+Assumptions!$B$191)</f>
        <v/>
      </c>
      <c r="AG104" s="8">
        <f>AG28*Assumptions!$B$243*AG83*(1+Assumptions!$B$191)</f>
        <v/>
      </c>
      <c r="AH104" s="8">
        <f>AH28*Assumptions!$B$243*AH83*(1+Assumptions!$B$191)</f>
        <v/>
      </c>
      <c r="AI104" s="8">
        <f>AI28*Assumptions!$B$243*AI83*(1+Assumptions!$B$191)</f>
        <v/>
      </c>
      <c r="AJ104" s="8">
        <f>AJ28*Assumptions!$B$243*AJ83*(1+Assumptions!$B$191)</f>
        <v/>
      </c>
      <c r="AK104" s="8">
        <f>AK28*Assumptions!$B$243*AK83*(1+Assumptions!$B$191)</f>
        <v/>
      </c>
      <c r="AL104" s="8">
        <f>AL28*Assumptions!$B$243*AL83*(1+Assumptions!$B$191)</f>
        <v/>
      </c>
      <c r="AM104" s="8">
        <f>AM28*Assumptions!$B$243*AM83*(1+Assumptions!$B$191)</f>
        <v/>
      </c>
      <c r="AN104" s="8">
        <f>AN28*Assumptions!$B$243*AN83*(1+Assumptions!$B$191)</f>
        <v/>
      </c>
      <c r="AO104" s="8">
        <f>AO28*Assumptions!$B$243*AO83*(1+Assumptions!$B$191)</f>
        <v/>
      </c>
      <c r="AP104" s="8">
        <f>AP28*Assumptions!$B$243*AP83*(1+Assumptions!$B$191)</f>
        <v/>
      </c>
      <c r="AQ104" s="8">
        <f>AQ28*Assumptions!$B$243*AQ83*(1+Assumptions!$B$191)</f>
        <v/>
      </c>
      <c r="AR104" s="8">
        <f>AR28*Assumptions!$B$243*AR83*(1+Assumptions!$B$191)</f>
        <v/>
      </c>
      <c r="AS104" s="8">
        <f>AS28*Assumptions!$B$243*AS83*(1+Assumptions!$B$191)</f>
        <v/>
      </c>
      <c r="AT104" s="8">
        <f>AT28*Assumptions!$B$243*AT83*(1+Assumptions!$B$191)</f>
        <v/>
      </c>
      <c r="AU104" s="8">
        <f>AU28*Assumptions!$B$243*AU83*(1+Assumptions!$B$191)</f>
        <v/>
      </c>
      <c r="AV104" s="8">
        <f>AV28*Assumptions!$B$243*AV83*(1+Assumptions!$B$191)</f>
        <v/>
      </c>
      <c r="AW104" s="8">
        <f>AW28*Assumptions!$B$243*AW83*(1+Assumptions!$B$191)</f>
        <v/>
      </c>
      <c r="AX104" s="8">
        <f>AX28*Assumptions!$B$243*AX83*(1+Assumptions!$B$191)</f>
        <v/>
      </c>
      <c r="AY104" s="8">
        <f>AY28*Assumptions!$B$243*AY83*(1+Assumptions!$B$191)</f>
        <v/>
      </c>
      <c r="AZ104" s="8">
        <f>AZ28*Assumptions!$B$243*AZ83*(1+Assumptions!$B$191)</f>
        <v/>
      </c>
      <c r="BA104" s="8">
        <f>BA28*Assumptions!$B$243*BA83*(1+Assumptions!$B$191)</f>
        <v/>
      </c>
      <c r="BB104" s="8">
        <f>BB28*Assumptions!$B$243*BB83*(1+Assumptions!$B$191)</f>
        <v/>
      </c>
      <c r="BC104" s="8">
        <f>BC28*Assumptions!$B$243*BC83*(1+Assumptions!$B$191)</f>
        <v/>
      </c>
      <c r="BD104" s="8">
        <f>BD28*Assumptions!$B$243*BD83*(1+Assumptions!$B$191)</f>
        <v/>
      </c>
      <c r="BE104" s="8">
        <f>BE28*Assumptions!$B$243*BE83*(1+Assumptions!$B$191)</f>
        <v/>
      </c>
      <c r="BF104" s="8">
        <f>BF28*Assumptions!$B$243*BF83*(1+Assumptions!$B$191)</f>
        <v/>
      </c>
      <c r="BG104" s="8">
        <f>BG28*Assumptions!$B$243*BG83*(1+Assumptions!$B$191)</f>
        <v/>
      </c>
      <c r="BH104" s="8">
        <f>BH28*Assumptions!$B$243*BH83*(1+Assumptions!$B$191)</f>
        <v/>
      </c>
      <c r="BI104" s="8">
        <f>BI28*Assumptions!$B$243*BI83*(1+Assumptions!$B$191)</f>
        <v/>
      </c>
      <c r="BJ104" s="8">
        <f>BJ28*Assumptions!$B$243*BJ83*(1+Assumptions!$B$191)</f>
        <v/>
      </c>
    </row>
    <row r="105">
      <c r="A105" s="4" t="inlineStr">
        <is>
          <t>Multilingual content &amp; community</t>
        </is>
      </c>
      <c r="B105" s="17" t="inlineStr">
        <is>
          <t>R</t>
        </is>
      </c>
      <c r="C105" s="8">
        <f>C29*Assumptions!$B$244*C83*(1+Assumptions!$B$191)</f>
        <v/>
      </c>
      <c r="D105" s="8">
        <f>D29*Assumptions!$B$244*D83*(1+Assumptions!$B$191)</f>
        <v/>
      </c>
      <c r="E105" s="8">
        <f>E29*Assumptions!$B$244*E83*(1+Assumptions!$B$191)</f>
        <v/>
      </c>
      <c r="F105" s="8">
        <f>F29*Assumptions!$B$244*F83*(1+Assumptions!$B$191)</f>
        <v/>
      </c>
      <c r="G105" s="8">
        <f>G29*Assumptions!$B$244*G83*(1+Assumptions!$B$191)</f>
        <v/>
      </c>
      <c r="H105" s="8">
        <f>H29*Assumptions!$B$244*H83*(1+Assumptions!$B$191)</f>
        <v/>
      </c>
      <c r="I105" s="8">
        <f>I29*Assumptions!$B$244*I83*(1+Assumptions!$B$191)</f>
        <v/>
      </c>
      <c r="J105" s="8">
        <f>J29*Assumptions!$B$244*J83*(1+Assumptions!$B$191)</f>
        <v/>
      </c>
      <c r="K105" s="8">
        <f>K29*Assumptions!$B$244*K83*(1+Assumptions!$B$191)</f>
        <v/>
      </c>
      <c r="L105" s="8">
        <f>L29*Assumptions!$B$244*L83*(1+Assumptions!$B$191)</f>
        <v/>
      </c>
      <c r="M105" s="8">
        <f>M29*Assumptions!$B$244*M83*(1+Assumptions!$B$191)</f>
        <v/>
      </c>
      <c r="N105" s="8">
        <f>N29*Assumptions!$B$244*N83*(1+Assumptions!$B$191)</f>
        <v/>
      </c>
      <c r="O105" s="8">
        <f>O29*Assumptions!$B$244*O83*(1+Assumptions!$B$191)</f>
        <v/>
      </c>
      <c r="P105" s="8">
        <f>P29*Assumptions!$B$244*P83*(1+Assumptions!$B$191)</f>
        <v/>
      </c>
      <c r="Q105" s="8">
        <f>Q29*Assumptions!$B$244*Q83*(1+Assumptions!$B$191)</f>
        <v/>
      </c>
      <c r="R105" s="8">
        <f>R29*Assumptions!$B$244*R83*(1+Assumptions!$B$191)</f>
        <v/>
      </c>
      <c r="S105" s="8">
        <f>S29*Assumptions!$B$244*S83*(1+Assumptions!$B$191)</f>
        <v/>
      </c>
      <c r="T105" s="8">
        <f>T29*Assumptions!$B$244*T83*(1+Assumptions!$B$191)</f>
        <v/>
      </c>
      <c r="U105" s="8">
        <f>U29*Assumptions!$B$244*U83*(1+Assumptions!$B$191)</f>
        <v/>
      </c>
      <c r="V105" s="8">
        <f>V29*Assumptions!$B$244*V83*(1+Assumptions!$B$191)</f>
        <v/>
      </c>
      <c r="W105" s="8">
        <f>W29*Assumptions!$B$244*W83*(1+Assumptions!$B$191)</f>
        <v/>
      </c>
      <c r="X105" s="8">
        <f>X29*Assumptions!$B$244*X83*(1+Assumptions!$B$191)</f>
        <v/>
      </c>
      <c r="Y105" s="8">
        <f>Y29*Assumptions!$B$244*Y83*(1+Assumptions!$B$191)</f>
        <v/>
      </c>
      <c r="Z105" s="8">
        <f>Z29*Assumptions!$B$244*Z83*(1+Assumptions!$B$191)</f>
        <v/>
      </c>
      <c r="AA105" s="8">
        <f>AA29*Assumptions!$B$244*AA83*(1+Assumptions!$B$191)</f>
        <v/>
      </c>
      <c r="AB105" s="8">
        <f>AB29*Assumptions!$B$244*AB83*(1+Assumptions!$B$191)</f>
        <v/>
      </c>
      <c r="AC105" s="8">
        <f>AC29*Assumptions!$B$244*AC83*(1+Assumptions!$B$191)</f>
        <v/>
      </c>
      <c r="AD105" s="8">
        <f>AD29*Assumptions!$B$244*AD83*(1+Assumptions!$B$191)</f>
        <v/>
      </c>
      <c r="AE105" s="8">
        <f>AE29*Assumptions!$B$244*AE83*(1+Assumptions!$B$191)</f>
        <v/>
      </c>
      <c r="AF105" s="8">
        <f>AF29*Assumptions!$B$244*AF83*(1+Assumptions!$B$191)</f>
        <v/>
      </c>
      <c r="AG105" s="8">
        <f>AG29*Assumptions!$B$244*AG83*(1+Assumptions!$B$191)</f>
        <v/>
      </c>
      <c r="AH105" s="8">
        <f>AH29*Assumptions!$B$244*AH83*(1+Assumptions!$B$191)</f>
        <v/>
      </c>
      <c r="AI105" s="8">
        <f>AI29*Assumptions!$B$244*AI83*(1+Assumptions!$B$191)</f>
        <v/>
      </c>
      <c r="AJ105" s="8">
        <f>AJ29*Assumptions!$B$244*AJ83*(1+Assumptions!$B$191)</f>
        <v/>
      </c>
      <c r="AK105" s="8">
        <f>AK29*Assumptions!$B$244*AK83*(1+Assumptions!$B$191)</f>
        <v/>
      </c>
      <c r="AL105" s="8">
        <f>AL29*Assumptions!$B$244*AL83*(1+Assumptions!$B$191)</f>
        <v/>
      </c>
      <c r="AM105" s="8">
        <f>AM29*Assumptions!$B$244*AM83*(1+Assumptions!$B$191)</f>
        <v/>
      </c>
      <c r="AN105" s="8">
        <f>AN29*Assumptions!$B$244*AN83*(1+Assumptions!$B$191)</f>
        <v/>
      </c>
      <c r="AO105" s="8">
        <f>AO29*Assumptions!$B$244*AO83*(1+Assumptions!$B$191)</f>
        <v/>
      </c>
      <c r="AP105" s="8">
        <f>AP29*Assumptions!$B$244*AP83*(1+Assumptions!$B$191)</f>
        <v/>
      </c>
      <c r="AQ105" s="8">
        <f>AQ29*Assumptions!$B$244*AQ83*(1+Assumptions!$B$191)</f>
        <v/>
      </c>
      <c r="AR105" s="8">
        <f>AR29*Assumptions!$B$244*AR83*(1+Assumptions!$B$191)</f>
        <v/>
      </c>
      <c r="AS105" s="8">
        <f>AS29*Assumptions!$B$244*AS83*(1+Assumptions!$B$191)</f>
        <v/>
      </c>
      <c r="AT105" s="8">
        <f>AT29*Assumptions!$B$244*AT83*(1+Assumptions!$B$191)</f>
        <v/>
      </c>
      <c r="AU105" s="8">
        <f>AU29*Assumptions!$B$244*AU83*(1+Assumptions!$B$191)</f>
        <v/>
      </c>
      <c r="AV105" s="8">
        <f>AV29*Assumptions!$B$244*AV83*(1+Assumptions!$B$191)</f>
        <v/>
      </c>
      <c r="AW105" s="8">
        <f>AW29*Assumptions!$B$244*AW83*(1+Assumptions!$B$191)</f>
        <v/>
      </c>
      <c r="AX105" s="8">
        <f>AX29*Assumptions!$B$244*AX83*(1+Assumptions!$B$191)</f>
        <v/>
      </c>
      <c r="AY105" s="8">
        <f>AY29*Assumptions!$B$244*AY83*(1+Assumptions!$B$191)</f>
        <v/>
      </c>
      <c r="AZ105" s="8">
        <f>AZ29*Assumptions!$B$244*AZ83*(1+Assumptions!$B$191)</f>
        <v/>
      </c>
      <c r="BA105" s="8">
        <f>BA29*Assumptions!$B$244*BA83*(1+Assumptions!$B$191)</f>
        <v/>
      </c>
      <c r="BB105" s="8">
        <f>BB29*Assumptions!$B$244*BB83*(1+Assumptions!$B$191)</f>
        <v/>
      </c>
      <c r="BC105" s="8">
        <f>BC29*Assumptions!$B$244*BC83*(1+Assumptions!$B$191)</f>
        <v/>
      </c>
      <c r="BD105" s="8">
        <f>BD29*Assumptions!$B$244*BD83*(1+Assumptions!$B$191)</f>
        <v/>
      </c>
      <c r="BE105" s="8">
        <f>BE29*Assumptions!$B$244*BE83*(1+Assumptions!$B$191)</f>
        <v/>
      </c>
      <c r="BF105" s="8">
        <f>BF29*Assumptions!$B$244*BF83*(1+Assumptions!$B$191)</f>
        <v/>
      </c>
      <c r="BG105" s="8">
        <f>BG29*Assumptions!$B$244*BG83*(1+Assumptions!$B$191)</f>
        <v/>
      </c>
      <c r="BH105" s="8">
        <f>BH29*Assumptions!$B$244*BH83*(1+Assumptions!$B$191)</f>
        <v/>
      </c>
      <c r="BI105" s="8">
        <f>BI29*Assumptions!$B$244*BI83*(1+Assumptions!$B$191)</f>
        <v/>
      </c>
      <c r="BJ105" s="8">
        <f>BJ29*Assumptions!$B$244*BJ83*(1+Assumptions!$B$191)</f>
        <v/>
      </c>
    </row>
    <row r="106">
      <c r="A106" s="4" t="inlineStr">
        <is>
          <t>Lifecycle &amp; growth marketers</t>
        </is>
      </c>
      <c r="B106" s="17" t="inlineStr">
        <is>
          <t>R</t>
        </is>
      </c>
      <c r="C106" s="8">
        <f>C30*Assumptions!$B$245*C83*(1+Assumptions!$B$191)</f>
        <v/>
      </c>
      <c r="D106" s="8">
        <f>D30*Assumptions!$B$245*D83*(1+Assumptions!$B$191)</f>
        <v/>
      </c>
      <c r="E106" s="8">
        <f>E30*Assumptions!$B$245*E83*(1+Assumptions!$B$191)</f>
        <v/>
      </c>
      <c r="F106" s="8">
        <f>F30*Assumptions!$B$245*F83*(1+Assumptions!$B$191)</f>
        <v/>
      </c>
      <c r="G106" s="8">
        <f>G30*Assumptions!$B$245*G83*(1+Assumptions!$B$191)</f>
        <v/>
      </c>
      <c r="H106" s="8">
        <f>H30*Assumptions!$B$245*H83*(1+Assumptions!$B$191)</f>
        <v/>
      </c>
      <c r="I106" s="8">
        <f>I30*Assumptions!$B$245*I83*(1+Assumptions!$B$191)</f>
        <v/>
      </c>
      <c r="J106" s="8">
        <f>J30*Assumptions!$B$245*J83*(1+Assumptions!$B$191)</f>
        <v/>
      </c>
      <c r="K106" s="8">
        <f>K30*Assumptions!$B$245*K83*(1+Assumptions!$B$191)</f>
        <v/>
      </c>
      <c r="L106" s="8">
        <f>L30*Assumptions!$B$245*L83*(1+Assumptions!$B$191)</f>
        <v/>
      </c>
      <c r="M106" s="8">
        <f>M30*Assumptions!$B$245*M83*(1+Assumptions!$B$191)</f>
        <v/>
      </c>
      <c r="N106" s="8">
        <f>N30*Assumptions!$B$245*N83*(1+Assumptions!$B$191)</f>
        <v/>
      </c>
      <c r="O106" s="8">
        <f>O30*Assumptions!$B$245*O83*(1+Assumptions!$B$191)</f>
        <v/>
      </c>
      <c r="P106" s="8">
        <f>P30*Assumptions!$B$245*P83*(1+Assumptions!$B$191)</f>
        <v/>
      </c>
      <c r="Q106" s="8">
        <f>Q30*Assumptions!$B$245*Q83*(1+Assumptions!$B$191)</f>
        <v/>
      </c>
      <c r="R106" s="8">
        <f>R30*Assumptions!$B$245*R83*(1+Assumptions!$B$191)</f>
        <v/>
      </c>
      <c r="S106" s="8">
        <f>S30*Assumptions!$B$245*S83*(1+Assumptions!$B$191)</f>
        <v/>
      </c>
      <c r="T106" s="8">
        <f>T30*Assumptions!$B$245*T83*(1+Assumptions!$B$191)</f>
        <v/>
      </c>
      <c r="U106" s="8">
        <f>U30*Assumptions!$B$245*U83*(1+Assumptions!$B$191)</f>
        <v/>
      </c>
      <c r="V106" s="8">
        <f>V30*Assumptions!$B$245*V83*(1+Assumptions!$B$191)</f>
        <v/>
      </c>
      <c r="W106" s="8">
        <f>W30*Assumptions!$B$245*W83*(1+Assumptions!$B$191)</f>
        <v/>
      </c>
      <c r="X106" s="8">
        <f>X30*Assumptions!$B$245*X83*(1+Assumptions!$B$191)</f>
        <v/>
      </c>
      <c r="Y106" s="8">
        <f>Y30*Assumptions!$B$245*Y83*(1+Assumptions!$B$191)</f>
        <v/>
      </c>
      <c r="Z106" s="8">
        <f>Z30*Assumptions!$B$245*Z83*(1+Assumptions!$B$191)</f>
        <v/>
      </c>
      <c r="AA106" s="8">
        <f>AA30*Assumptions!$B$245*AA83*(1+Assumptions!$B$191)</f>
        <v/>
      </c>
      <c r="AB106" s="8">
        <f>AB30*Assumptions!$B$245*AB83*(1+Assumptions!$B$191)</f>
        <v/>
      </c>
      <c r="AC106" s="8">
        <f>AC30*Assumptions!$B$245*AC83*(1+Assumptions!$B$191)</f>
        <v/>
      </c>
      <c r="AD106" s="8">
        <f>AD30*Assumptions!$B$245*AD83*(1+Assumptions!$B$191)</f>
        <v/>
      </c>
      <c r="AE106" s="8">
        <f>AE30*Assumptions!$B$245*AE83*(1+Assumptions!$B$191)</f>
        <v/>
      </c>
      <c r="AF106" s="8">
        <f>AF30*Assumptions!$B$245*AF83*(1+Assumptions!$B$191)</f>
        <v/>
      </c>
      <c r="AG106" s="8">
        <f>AG30*Assumptions!$B$245*AG83*(1+Assumptions!$B$191)</f>
        <v/>
      </c>
      <c r="AH106" s="8">
        <f>AH30*Assumptions!$B$245*AH83*(1+Assumptions!$B$191)</f>
        <v/>
      </c>
      <c r="AI106" s="8">
        <f>AI30*Assumptions!$B$245*AI83*(1+Assumptions!$B$191)</f>
        <v/>
      </c>
      <c r="AJ106" s="8">
        <f>AJ30*Assumptions!$B$245*AJ83*(1+Assumptions!$B$191)</f>
        <v/>
      </c>
      <c r="AK106" s="8">
        <f>AK30*Assumptions!$B$245*AK83*(1+Assumptions!$B$191)</f>
        <v/>
      </c>
      <c r="AL106" s="8">
        <f>AL30*Assumptions!$B$245*AL83*(1+Assumptions!$B$191)</f>
        <v/>
      </c>
      <c r="AM106" s="8">
        <f>AM30*Assumptions!$B$245*AM83*(1+Assumptions!$B$191)</f>
        <v/>
      </c>
      <c r="AN106" s="8">
        <f>AN30*Assumptions!$B$245*AN83*(1+Assumptions!$B$191)</f>
        <v/>
      </c>
      <c r="AO106" s="8">
        <f>AO30*Assumptions!$B$245*AO83*(1+Assumptions!$B$191)</f>
        <v/>
      </c>
      <c r="AP106" s="8">
        <f>AP30*Assumptions!$B$245*AP83*(1+Assumptions!$B$191)</f>
        <v/>
      </c>
      <c r="AQ106" s="8">
        <f>AQ30*Assumptions!$B$245*AQ83*(1+Assumptions!$B$191)</f>
        <v/>
      </c>
      <c r="AR106" s="8">
        <f>AR30*Assumptions!$B$245*AR83*(1+Assumptions!$B$191)</f>
        <v/>
      </c>
      <c r="AS106" s="8">
        <f>AS30*Assumptions!$B$245*AS83*(1+Assumptions!$B$191)</f>
        <v/>
      </c>
      <c r="AT106" s="8">
        <f>AT30*Assumptions!$B$245*AT83*(1+Assumptions!$B$191)</f>
        <v/>
      </c>
      <c r="AU106" s="8">
        <f>AU30*Assumptions!$B$245*AU83*(1+Assumptions!$B$191)</f>
        <v/>
      </c>
      <c r="AV106" s="8">
        <f>AV30*Assumptions!$B$245*AV83*(1+Assumptions!$B$191)</f>
        <v/>
      </c>
      <c r="AW106" s="8">
        <f>AW30*Assumptions!$B$245*AW83*(1+Assumptions!$B$191)</f>
        <v/>
      </c>
      <c r="AX106" s="8">
        <f>AX30*Assumptions!$B$245*AX83*(1+Assumptions!$B$191)</f>
        <v/>
      </c>
      <c r="AY106" s="8">
        <f>AY30*Assumptions!$B$245*AY83*(1+Assumptions!$B$191)</f>
        <v/>
      </c>
      <c r="AZ106" s="8">
        <f>AZ30*Assumptions!$B$245*AZ83*(1+Assumptions!$B$191)</f>
        <v/>
      </c>
      <c r="BA106" s="8">
        <f>BA30*Assumptions!$B$245*BA83*(1+Assumptions!$B$191)</f>
        <v/>
      </c>
      <c r="BB106" s="8">
        <f>BB30*Assumptions!$B$245*BB83*(1+Assumptions!$B$191)</f>
        <v/>
      </c>
      <c r="BC106" s="8">
        <f>BC30*Assumptions!$B$245*BC83*(1+Assumptions!$B$191)</f>
        <v/>
      </c>
      <c r="BD106" s="8">
        <f>BD30*Assumptions!$B$245*BD83*(1+Assumptions!$B$191)</f>
        <v/>
      </c>
      <c r="BE106" s="8">
        <f>BE30*Assumptions!$B$245*BE83*(1+Assumptions!$B$191)</f>
        <v/>
      </c>
      <c r="BF106" s="8">
        <f>BF30*Assumptions!$B$245*BF83*(1+Assumptions!$B$191)</f>
        <v/>
      </c>
      <c r="BG106" s="8">
        <f>BG30*Assumptions!$B$245*BG83*(1+Assumptions!$B$191)</f>
        <v/>
      </c>
      <c r="BH106" s="8">
        <f>BH30*Assumptions!$B$245*BH83*(1+Assumptions!$B$191)</f>
        <v/>
      </c>
      <c r="BI106" s="8">
        <f>BI30*Assumptions!$B$245*BI83*(1+Assumptions!$B$191)</f>
        <v/>
      </c>
      <c r="BJ106" s="8">
        <f>BJ30*Assumptions!$B$245*BJ83*(1+Assumptions!$B$191)</f>
        <v/>
      </c>
    </row>
    <row r="107">
      <c r="A107" s="4" t="inlineStr">
        <is>
          <t>Marketing team expansion I</t>
        </is>
      </c>
      <c r="B107" s="17" t="inlineStr">
        <is>
          <t>R</t>
        </is>
      </c>
      <c r="C107" s="8">
        <f>C31*Assumptions!$B$246*C83*(1+Assumptions!$B$191)</f>
        <v/>
      </c>
      <c r="D107" s="8">
        <f>D31*Assumptions!$B$246*D83*(1+Assumptions!$B$191)</f>
        <v/>
      </c>
      <c r="E107" s="8">
        <f>E31*Assumptions!$B$246*E83*(1+Assumptions!$B$191)</f>
        <v/>
      </c>
      <c r="F107" s="8">
        <f>F31*Assumptions!$B$246*F83*(1+Assumptions!$B$191)</f>
        <v/>
      </c>
      <c r="G107" s="8">
        <f>G31*Assumptions!$B$246*G83*(1+Assumptions!$B$191)</f>
        <v/>
      </c>
      <c r="H107" s="8">
        <f>H31*Assumptions!$B$246*H83*(1+Assumptions!$B$191)</f>
        <v/>
      </c>
      <c r="I107" s="8">
        <f>I31*Assumptions!$B$246*I83*(1+Assumptions!$B$191)</f>
        <v/>
      </c>
      <c r="J107" s="8">
        <f>J31*Assumptions!$B$246*J83*(1+Assumptions!$B$191)</f>
        <v/>
      </c>
      <c r="K107" s="8">
        <f>K31*Assumptions!$B$246*K83*(1+Assumptions!$B$191)</f>
        <v/>
      </c>
      <c r="L107" s="8">
        <f>L31*Assumptions!$B$246*L83*(1+Assumptions!$B$191)</f>
        <v/>
      </c>
      <c r="M107" s="8">
        <f>M31*Assumptions!$B$246*M83*(1+Assumptions!$B$191)</f>
        <v/>
      </c>
      <c r="N107" s="8">
        <f>N31*Assumptions!$B$246*N83*(1+Assumptions!$B$191)</f>
        <v/>
      </c>
      <c r="O107" s="8">
        <f>O31*Assumptions!$B$246*O83*(1+Assumptions!$B$191)</f>
        <v/>
      </c>
      <c r="P107" s="8">
        <f>P31*Assumptions!$B$246*P83*(1+Assumptions!$B$191)</f>
        <v/>
      </c>
      <c r="Q107" s="8">
        <f>Q31*Assumptions!$B$246*Q83*(1+Assumptions!$B$191)</f>
        <v/>
      </c>
      <c r="R107" s="8">
        <f>R31*Assumptions!$B$246*R83*(1+Assumptions!$B$191)</f>
        <v/>
      </c>
      <c r="S107" s="8">
        <f>S31*Assumptions!$B$246*S83*(1+Assumptions!$B$191)</f>
        <v/>
      </c>
      <c r="T107" s="8">
        <f>T31*Assumptions!$B$246*T83*(1+Assumptions!$B$191)</f>
        <v/>
      </c>
      <c r="U107" s="8">
        <f>U31*Assumptions!$B$246*U83*(1+Assumptions!$B$191)</f>
        <v/>
      </c>
      <c r="V107" s="8">
        <f>V31*Assumptions!$B$246*V83*(1+Assumptions!$B$191)</f>
        <v/>
      </c>
      <c r="W107" s="8">
        <f>W31*Assumptions!$B$246*W83*(1+Assumptions!$B$191)</f>
        <v/>
      </c>
      <c r="X107" s="8">
        <f>X31*Assumptions!$B$246*X83*(1+Assumptions!$B$191)</f>
        <v/>
      </c>
      <c r="Y107" s="8">
        <f>Y31*Assumptions!$B$246*Y83*(1+Assumptions!$B$191)</f>
        <v/>
      </c>
      <c r="Z107" s="8">
        <f>Z31*Assumptions!$B$246*Z83*(1+Assumptions!$B$191)</f>
        <v/>
      </c>
      <c r="AA107" s="8">
        <f>AA31*Assumptions!$B$246*AA83*(1+Assumptions!$B$191)</f>
        <v/>
      </c>
      <c r="AB107" s="8">
        <f>AB31*Assumptions!$B$246*AB83*(1+Assumptions!$B$191)</f>
        <v/>
      </c>
      <c r="AC107" s="8">
        <f>AC31*Assumptions!$B$246*AC83*(1+Assumptions!$B$191)</f>
        <v/>
      </c>
      <c r="AD107" s="8">
        <f>AD31*Assumptions!$B$246*AD83*(1+Assumptions!$B$191)</f>
        <v/>
      </c>
      <c r="AE107" s="8">
        <f>AE31*Assumptions!$B$246*AE83*(1+Assumptions!$B$191)</f>
        <v/>
      </c>
      <c r="AF107" s="8">
        <f>AF31*Assumptions!$B$246*AF83*(1+Assumptions!$B$191)</f>
        <v/>
      </c>
      <c r="AG107" s="8">
        <f>AG31*Assumptions!$B$246*AG83*(1+Assumptions!$B$191)</f>
        <v/>
      </c>
      <c r="AH107" s="8">
        <f>AH31*Assumptions!$B$246*AH83*(1+Assumptions!$B$191)</f>
        <v/>
      </c>
      <c r="AI107" s="8">
        <f>AI31*Assumptions!$B$246*AI83*(1+Assumptions!$B$191)</f>
        <v/>
      </c>
      <c r="AJ107" s="8">
        <f>AJ31*Assumptions!$B$246*AJ83*(1+Assumptions!$B$191)</f>
        <v/>
      </c>
      <c r="AK107" s="8">
        <f>AK31*Assumptions!$B$246*AK83*(1+Assumptions!$B$191)</f>
        <v/>
      </c>
      <c r="AL107" s="8">
        <f>AL31*Assumptions!$B$246*AL83*(1+Assumptions!$B$191)</f>
        <v/>
      </c>
      <c r="AM107" s="8">
        <f>AM31*Assumptions!$B$246*AM83*(1+Assumptions!$B$191)</f>
        <v/>
      </c>
      <c r="AN107" s="8">
        <f>AN31*Assumptions!$B$246*AN83*(1+Assumptions!$B$191)</f>
        <v/>
      </c>
      <c r="AO107" s="8">
        <f>AO31*Assumptions!$B$246*AO83*(1+Assumptions!$B$191)</f>
        <v/>
      </c>
      <c r="AP107" s="8">
        <f>AP31*Assumptions!$B$246*AP83*(1+Assumptions!$B$191)</f>
        <v/>
      </c>
      <c r="AQ107" s="8">
        <f>AQ31*Assumptions!$B$246*AQ83*(1+Assumptions!$B$191)</f>
        <v/>
      </c>
      <c r="AR107" s="8">
        <f>AR31*Assumptions!$B$246*AR83*(1+Assumptions!$B$191)</f>
        <v/>
      </c>
      <c r="AS107" s="8">
        <f>AS31*Assumptions!$B$246*AS83*(1+Assumptions!$B$191)</f>
        <v/>
      </c>
      <c r="AT107" s="8">
        <f>AT31*Assumptions!$B$246*AT83*(1+Assumptions!$B$191)</f>
        <v/>
      </c>
      <c r="AU107" s="8">
        <f>AU31*Assumptions!$B$246*AU83*(1+Assumptions!$B$191)</f>
        <v/>
      </c>
      <c r="AV107" s="8">
        <f>AV31*Assumptions!$B$246*AV83*(1+Assumptions!$B$191)</f>
        <v/>
      </c>
      <c r="AW107" s="8">
        <f>AW31*Assumptions!$B$246*AW83*(1+Assumptions!$B$191)</f>
        <v/>
      </c>
      <c r="AX107" s="8">
        <f>AX31*Assumptions!$B$246*AX83*(1+Assumptions!$B$191)</f>
        <v/>
      </c>
      <c r="AY107" s="8">
        <f>AY31*Assumptions!$B$246*AY83*(1+Assumptions!$B$191)</f>
        <v/>
      </c>
      <c r="AZ107" s="8">
        <f>AZ31*Assumptions!$B$246*AZ83*(1+Assumptions!$B$191)</f>
        <v/>
      </c>
      <c r="BA107" s="8">
        <f>BA31*Assumptions!$B$246*BA83*(1+Assumptions!$B$191)</f>
        <v/>
      </c>
      <c r="BB107" s="8">
        <f>BB31*Assumptions!$B$246*BB83*(1+Assumptions!$B$191)</f>
        <v/>
      </c>
      <c r="BC107" s="8">
        <f>BC31*Assumptions!$B$246*BC83*(1+Assumptions!$B$191)</f>
        <v/>
      </c>
      <c r="BD107" s="8">
        <f>BD31*Assumptions!$B$246*BD83*(1+Assumptions!$B$191)</f>
        <v/>
      </c>
      <c r="BE107" s="8">
        <f>BE31*Assumptions!$B$246*BE83*(1+Assumptions!$B$191)</f>
        <v/>
      </c>
      <c r="BF107" s="8">
        <f>BF31*Assumptions!$B$246*BF83*(1+Assumptions!$B$191)</f>
        <v/>
      </c>
      <c r="BG107" s="8">
        <f>BG31*Assumptions!$B$246*BG83*(1+Assumptions!$B$191)</f>
        <v/>
      </c>
      <c r="BH107" s="8">
        <f>BH31*Assumptions!$B$246*BH83*(1+Assumptions!$B$191)</f>
        <v/>
      </c>
      <c r="BI107" s="8">
        <f>BI31*Assumptions!$B$246*BI83*(1+Assumptions!$B$191)</f>
        <v/>
      </c>
      <c r="BJ107" s="8">
        <f>BJ31*Assumptions!$B$246*BJ83*(1+Assumptions!$B$191)</f>
        <v/>
      </c>
    </row>
    <row r="108">
      <c r="A108" s="4" t="inlineStr">
        <is>
          <t>Marketing team expansion II</t>
        </is>
      </c>
      <c r="B108" s="17" t="inlineStr">
        <is>
          <t>R</t>
        </is>
      </c>
      <c r="C108" s="8">
        <f>C32*Assumptions!$B$247*C83*(1+Assumptions!$B$191)</f>
        <v/>
      </c>
      <c r="D108" s="8">
        <f>D32*Assumptions!$B$247*D83*(1+Assumptions!$B$191)</f>
        <v/>
      </c>
      <c r="E108" s="8">
        <f>E32*Assumptions!$B$247*E83*(1+Assumptions!$B$191)</f>
        <v/>
      </c>
      <c r="F108" s="8">
        <f>F32*Assumptions!$B$247*F83*(1+Assumptions!$B$191)</f>
        <v/>
      </c>
      <c r="G108" s="8">
        <f>G32*Assumptions!$B$247*G83*(1+Assumptions!$B$191)</f>
        <v/>
      </c>
      <c r="H108" s="8">
        <f>H32*Assumptions!$B$247*H83*(1+Assumptions!$B$191)</f>
        <v/>
      </c>
      <c r="I108" s="8">
        <f>I32*Assumptions!$B$247*I83*(1+Assumptions!$B$191)</f>
        <v/>
      </c>
      <c r="J108" s="8">
        <f>J32*Assumptions!$B$247*J83*(1+Assumptions!$B$191)</f>
        <v/>
      </c>
      <c r="K108" s="8">
        <f>K32*Assumptions!$B$247*K83*(1+Assumptions!$B$191)</f>
        <v/>
      </c>
      <c r="L108" s="8">
        <f>L32*Assumptions!$B$247*L83*(1+Assumptions!$B$191)</f>
        <v/>
      </c>
      <c r="M108" s="8">
        <f>M32*Assumptions!$B$247*M83*(1+Assumptions!$B$191)</f>
        <v/>
      </c>
      <c r="N108" s="8">
        <f>N32*Assumptions!$B$247*N83*(1+Assumptions!$B$191)</f>
        <v/>
      </c>
      <c r="O108" s="8">
        <f>O32*Assumptions!$B$247*O83*(1+Assumptions!$B$191)</f>
        <v/>
      </c>
      <c r="P108" s="8">
        <f>P32*Assumptions!$B$247*P83*(1+Assumptions!$B$191)</f>
        <v/>
      </c>
      <c r="Q108" s="8">
        <f>Q32*Assumptions!$B$247*Q83*(1+Assumptions!$B$191)</f>
        <v/>
      </c>
      <c r="R108" s="8">
        <f>R32*Assumptions!$B$247*R83*(1+Assumptions!$B$191)</f>
        <v/>
      </c>
      <c r="S108" s="8">
        <f>S32*Assumptions!$B$247*S83*(1+Assumptions!$B$191)</f>
        <v/>
      </c>
      <c r="T108" s="8">
        <f>T32*Assumptions!$B$247*T83*(1+Assumptions!$B$191)</f>
        <v/>
      </c>
      <c r="U108" s="8">
        <f>U32*Assumptions!$B$247*U83*(1+Assumptions!$B$191)</f>
        <v/>
      </c>
      <c r="V108" s="8">
        <f>V32*Assumptions!$B$247*V83*(1+Assumptions!$B$191)</f>
        <v/>
      </c>
      <c r="W108" s="8">
        <f>W32*Assumptions!$B$247*W83*(1+Assumptions!$B$191)</f>
        <v/>
      </c>
      <c r="X108" s="8">
        <f>X32*Assumptions!$B$247*X83*(1+Assumptions!$B$191)</f>
        <v/>
      </c>
      <c r="Y108" s="8">
        <f>Y32*Assumptions!$B$247*Y83*(1+Assumptions!$B$191)</f>
        <v/>
      </c>
      <c r="Z108" s="8">
        <f>Z32*Assumptions!$B$247*Z83*(1+Assumptions!$B$191)</f>
        <v/>
      </c>
      <c r="AA108" s="8">
        <f>AA32*Assumptions!$B$247*AA83*(1+Assumptions!$B$191)</f>
        <v/>
      </c>
      <c r="AB108" s="8">
        <f>AB32*Assumptions!$B$247*AB83*(1+Assumptions!$B$191)</f>
        <v/>
      </c>
      <c r="AC108" s="8">
        <f>AC32*Assumptions!$B$247*AC83*(1+Assumptions!$B$191)</f>
        <v/>
      </c>
      <c r="AD108" s="8">
        <f>AD32*Assumptions!$B$247*AD83*(1+Assumptions!$B$191)</f>
        <v/>
      </c>
      <c r="AE108" s="8">
        <f>AE32*Assumptions!$B$247*AE83*(1+Assumptions!$B$191)</f>
        <v/>
      </c>
      <c r="AF108" s="8">
        <f>AF32*Assumptions!$B$247*AF83*(1+Assumptions!$B$191)</f>
        <v/>
      </c>
      <c r="AG108" s="8">
        <f>AG32*Assumptions!$B$247*AG83*(1+Assumptions!$B$191)</f>
        <v/>
      </c>
      <c r="AH108" s="8">
        <f>AH32*Assumptions!$B$247*AH83*(1+Assumptions!$B$191)</f>
        <v/>
      </c>
      <c r="AI108" s="8">
        <f>AI32*Assumptions!$B$247*AI83*(1+Assumptions!$B$191)</f>
        <v/>
      </c>
      <c r="AJ108" s="8">
        <f>AJ32*Assumptions!$B$247*AJ83*(1+Assumptions!$B$191)</f>
        <v/>
      </c>
      <c r="AK108" s="8">
        <f>AK32*Assumptions!$B$247*AK83*(1+Assumptions!$B$191)</f>
        <v/>
      </c>
      <c r="AL108" s="8">
        <f>AL32*Assumptions!$B$247*AL83*(1+Assumptions!$B$191)</f>
        <v/>
      </c>
      <c r="AM108" s="8">
        <f>AM32*Assumptions!$B$247*AM83*(1+Assumptions!$B$191)</f>
        <v/>
      </c>
      <c r="AN108" s="8">
        <f>AN32*Assumptions!$B$247*AN83*(1+Assumptions!$B$191)</f>
        <v/>
      </c>
      <c r="AO108" s="8">
        <f>AO32*Assumptions!$B$247*AO83*(1+Assumptions!$B$191)</f>
        <v/>
      </c>
      <c r="AP108" s="8">
        <f>AP32*Assumptions!$B$247*AP83*(1+Assumptions!$B$191)</f>
        <v/>
      </c>
      <c r="AQ108" s="8">
        <f>AQ32*Assumptions!$B$247*AQ83*(1+Assumptions!$B$191)</f>
        <v/>
      </c>
      <c r="AR108" s="8">
        <f>AR32*Assumptions!$B$247*AR83*(1+Assumptions!$B$191)</f>
        <v/>
      </c>
      <c r="AS108" s="8">
        <f>AS32*Assumptions!$B$247*AS83*(1+Assumptions!$B$191)</f>
        <v/>
      </c>
      <c r="AT108" s="8">
        <f>AT32*Assumptions!$B$247*AT83*(1+Assumptions!$B$191)</f>
        <v/>
      </c>
      <c r="AU108" s="8">
        <f>AU32*Assumptions!$B$247*AU83*(1+Assumptions!$B$191)</f>
        <v/>
      </c>
      <c r="AV108" s="8">
        <f>AV32*Assumptions!$B$247*AV83*(1+Assumptions!$B$191)</f>
        <v/>
      </c>
      <c r="AW108" s="8">
        <f>AW32*Assumptions!$B$247*AW83*(1+Assumptions!$B$191)</f>
        <v/>
      </c>
      <c r="AX108" s="8">
        <f>AX32*Assumptions!$B$247*AX83*(1+Assumptions!$B$191)</f>
        <v/>
      </c>
      <c r="AY108" s="8">
        <f>AY32*Assumptions!$B$247*AY83*(1+Assumptions!$B$191)</f>
        <v/>
      </c>
      <c r="AZ108" s="8">
        <f>AZ32*Assumptions!$B$247*AZ83*(1+Assumptions!$B$191)</f>
        <v/>
      </c>
      <c r="BA108" s="8">
        <f>BA32*Assumptions!$B$247*BA83*(1+Assumptions!$B$191)</f>
        <v/>
      </c>
      <c r="BB108" s="8">
        <f>BB32*Assumptions!$B$247*BB83*(1+Assumptions!$B$191)</f>
        <v/>
      </c>
      <c r="BC108" s="8">
        <f>BC32*Assumptions!$B$247*BC83*(1+Assumptions!$B$191)</f>
        <v/>
      </c>
      <c r="BD108" s="8">
        <f>BD32*Assumptions!$B$247*BD83*(1+Assumptions!$B$191)</f>
        <v/>
      </c>
      <c r="BE108" s="8">
        <f>BE32*Assumptions!$B$247*BE83*(1+Assumptions!$B$191)</f>
        <v/>
      </c>
      <c r="BF108" s="8">
        <f>BF32*Assumptions!$B$247*BF83*(1+Assumptions!$B$191)</f>
        <v/>
      </c>
      <c r="BG108" s="8">
        <f>BG32*Assumptions!$B$247*BG83*(1+Assumptions!$B$191)</f>
        <v/>
      </c>
      <c r="BH108" s="8">
        <f>BH32*Assumptions!$B$247*BH83*(1+Assumptions!$B$191)</f>
        <v/>
      </c>
      <c r="BI108" s="8">
        <f>BI32*Assumptions!$B$247*BI83*(1+Assumptions!$B$191)</f>
        <v/>
      </c>
      <c r="BJ108" s="8">
        <f>BJ32*Assumptions!$B$247*BJ83*(1+Assumptions!$B$191)</f>
        <v/>
      </c>
    </row>
    <row r="109">
      <c r="A109" s="4" t="inlineStr">
        <is>
          <t>Marketing team expansion III</t>
        </is>
      </c>
      <c r="B109" s="17" t="inlineStr">
        <is>
          <t>R</t>
        </is>
      </c>
      <c r="C109" s="8">
        <f>C33*Assumptions!$B$248*C83*(1+Assumptions!$B$191)</f>
        <v/>
      </c>
      <c r="D109" s="8">
        <f>D33*Assumptions!$B$248*D83*(1+Assumptions!$B$191)</f>
        <v/>
      </c>
      <c r="E109" s="8">
        <f>E33*Assumptions!$B$248*E83*(1+Assumptions!$B$191)</f>
        <v/>
      </c>
      <c r="F109" s="8">
        <f>F33*Assumptions!$B$248*F83*(1+Assumptions!$B$191)</f>
        <v/>
      </c>
      <c r="G109" s="8">
        <f>G33*Assumptions!$B$248*G83*(1+Assumptions!$B$191)</f>
        <v/>
      </c>
      <c r="H109" s="8">
        <f>H33*Assumptions!$B$248*H83*(1+Assumptions!$B$191)</f>
        <v/>
      </c>
      <c r="I109" s="8">
        <f>I33*Assumptions!$B$248*I83*(1+Assumptions!$B$191)</f>
        <v/>
      </c>
      <c r="J109" s="8">
        <f>J33*Assumptions!$B$248*J83*(1+Assumptions!$B$191)</f>
        <v/>
      </c>
      <c r="K109" s="8">
        <f>K33*Assumptions!$B$248*K83*(1+Assumptions!$B$191)</f>
        <v/>
      </c>
      <c r="L109" s="8">
        <f>L33*Assumptions!$B$248*L83*(1+Assumptions!$B$191)</f>
        <v/>
      </c>
      <c r="M109" s="8">
        <f>M33*Assumptions!$B$248*M83*(1+Assumptions!$B$191)</f>
        <v/>
      </c>
      <c r="N109" s="8">
        <f>N33*Assumptions!$B$248*N83*(1+Assumptions!$B$191)</f>
        <v/>
      </c>
      <c r="O109" s="8">
        <f>O33*Assumptions!$B$248*O83*(1+Assumptions!$B$191)</f>
        <v/>
      </c>
      <c r="P109" s="8">
        <f>P33*Assumptions!$B$248*P83*(1+Assumptions!$B$191)</f>
        <v/>
      </c>
      <c r="Q109" s="8">
        <f>Q33*Assumptions!$B$248*Q83*(1+Assumptions!$B$191)</f>
        <v/>
      </c>
      <c r="R109" s="8">
        <f>R33*Assumptions!$B$248*R83*(1+Assumptions!$B$191)</f>
        <v/>
      </c>
      <c r="S109" s="8">
        <f>S33*Assumptions!$B$248*S83*(1+Assumptions!$B$191)</f>
        <v/>
      </c>
      <c r="T109" s="8">
        <f>T33*Assumptions!$B$248*T83*(1+Assumptions!$B$191)</f>
        <v/>
      </c>
      <c r="U109" s="8">
        <f>U33*Assumptions!$B$248*U83*(1+Assumptions!$B$191)</f>
        <v/>
      </c>
      <c r="V109" s="8">
        <f>V33*Assumptions!$B$248*V83*(1+Assumptions!$B$191)</f>
        <v/>
      </c>
      <c r="W109" s="8">
        <f>W33*Assumptions!$B$248*W83*(1+Assumptions!$B$191)</f>
        <v/>
      </c>
      <c r="X109" s="8">
        <f>X33*Assumptions!$B$248*X83*(1+Assumptions!$B$191)</f>
        <v/>
      </c>
      <c r="Y109" s="8">
        <f>Y33*Assumptions!$B$248*Y83*(1+Assumptions!$B$191)</f>
        <v/>
      </c>
      <c r="Z109" s="8">
        <f>Z33*Assumptions!$B$248*Z83*(1+Assumptions!$B$191)</f>
        <v/>
      </c>
      <c r="AA109" s="8">
        <f>AA33*Assumptions!$B$248*AA83*(1+Assumptions!$B$191)</f>
        <v/>
      </c>
      <c r="AB109" s="8">
        <f>AB33*Assumptions!$B$248*AB83*(1+Assumptions!$B$191)</f>
        <v/>
      </c>
      <c r="AC109" s="8">
        <f>AC33*Assumptions!$B$248*AC83*(1+Assumptions!$B$191)</f>
        <v/>
      </c>
      <c r="AD109" s="8">
        <f>AD33*Assumptions!$B$248*AD83*(1+Assumptions!$B$191)</f>
        <v/>
      </c>
      <c r="AE109" s="8">
        <f>AE33*Assumptions!$B$248*AE83*(1+Assumptions!$B$191)</f>
        <v/>
      </c>
      <c r="AF109" s="8">
        <f>AF33*Assumptions!$B$248*AF83*(1+Assumptions!$B$191)</f>
        <v/>
      </c>
      <c r="AG109" s="8">
        <f>AG33*Assumptions!$B$248*AG83*(1+Assumptions!$B$191)</f>
        <v/>
      </c>
      <c r="AH109" s="8">
        <f>AH33*Assumptions!$B$248*AH83*(1+Assumptions!$B$191)</f>
        <v/>
      </c>
      <c r="AI109" s="8">
        <f>AI33*Assumptions!$B$248*AI83*(1+Assumptions!$B$191)</f>
        <v/>
      </c>
      <c r="AJ109" s="8">
        <f>AJ33*Assumptions!$B$248*AJ83*(1+Assumptions!$B$191)</f>
        <v/>
      </c>
      <c r="AK109" s="8">
        <f>AK33*Assumptions!$B$248*AK83*(1+Assumptions!$B$191)</f>
        <v/>
      </c>
      <c r="AL109" s="8">
        <f>AL33*Assumptions!$B$248*AL83*(1+Assumptions!$B$191)</f>
        <v/>
      </c>
      <c r="AM109" s="8">
        <f>AM33*Assumptions!$B$248*AM83*(1+Assumptions!$B$191)</f>
        <v/>
      </c>
      <c r="AN109" s="8">
        <f>AN33*Assumptions!$B$248*AN83*(1+Assumptions!$B$191)</f>
        <v/>
      </c>
      <c r="AO109" s="8">
        <f>AO33*Assumptions!$B$248*AO83*(1+Assumptions!$B$191)</f>
        <v/>
      </c>
      <c r="AP109" s="8">
        <f>AP33*Assumptions!$B$248*AP83*(1+Assumptions!$B$191)</f>
        <v/>
      </c>
      <c r="AQ109" s="8">
        <f>AQ33*Assumptions!$B$248*AQ83*(1+Assumptions!$B$191)</f>
        <v/>
      </c>
      <c r="AR109" s="8">
        <f>AR33*Assumptions!$B$248*AR83*(1+Assumptions!$B$191)</f>
        <v/>
      </c>
      <c r="AS109" s="8">
        <f>AS33*Assumptions!$B$248*AS83*(1+Assumptions!$B$191)</f>
        <v/>
      </c>
      <c r="AT109" s="8">
        <f>AT33*Assumptions!$B$248*AT83*(1+Assumptions!$B$191)</f>
        <v/>
      </c>
      <c r="AU109" s="8">
        <f>AU33*Assumptions!$B$248*AU83*(1+Assumptions!$B$191)</f>
        <v/>
      </c>
      <c r="AV109" s="8">
        <f>AV33*Assumptions!$B$248*AV83*(1+Assumptions!$B$191)</f>
        <v/>
      </c>
      <c r="AW109" s="8">
        <f>AW33*Assumptions!$B$248*AW83*(1+Assumptions!$B$191)</f>
        <v/>
      </c>
      <c r="AX109" s="8">
        <f>AX33*Assumptions!$B$248*AX83*(1+Assumptions!$B$191)</f>
        <v/>
      </c>
      <c r="AY109" s="8">
        <f>AY33*Assumptions!$B$248*AY83*(1+Assumptions!$B$191)</f>
        <v/>
      </c>
      <c r="AZ109" s="8">
        <f>AZ33*Assumptions!$B$248*AZ83*(1+Assumptions!$B$191)</f>
        <v/>
      </c>
      <c r="BA109" s="8">
        <f>BA33*Assumptions!$B$248*BA83*(1+Assumptions!$B$191)</f>
        <v/>
      </c>
      <c r="BB109" s="8">
        <f>BB33*Assumptions!$B$248*BB83*(1+Assumptions!$B$191)</f>
        <v/>
      </c>
      <c r="BC109" s="8">
        <f>BC33*Assumptions!$B$248*BC83*(1+Assumptions!$B$191)</f>
        <v/>
      </c>
      <c r="BD109" s="8">
        <f>BD33*Assumptions!$B$248*BD83*(1+Assumptions!$B$191)</f>
        <v/>
      </c>
      <c r="BE109" s="8">
        <f>BE33*Assumptions!$B$248*BE83*(1+Assumptions!$B$191)</f>
        <v/>
      </c>
      <c r="BF109" s="8">
        <f>BF33*Assumptions!$B$248*BF83*(1+Assumptions!$B$191)</f>
        <v/>
      </c>
      <c r="BG109" s="8">
        <f>BG33*Assumptions!$B$248*BG83*(1+Assumptions!$B$191)</f>
        <v/>
      </c>
      <c r="BH109" s="8">
        <f>BH33*Assumptions!$B$248*BH83*(1+Assumptions!$B$191)</f>
        <v/>
      </c>
      <c r="BI109" s="8">
        <f>BI33*Assumptions!$B$248*BI83*(1+Assumptions!$B$191)</f>
        <v/>
      </c>
      <c r="BJ109" s="8">
        <f>BJ33*Assumptions!$B$248*BJ83*(1+Assumptions!$B$191)</f>
        <v/>
      </c>
    </row>
    <row r="110">
      <c r="A110" s="4" t="inlineStr">
        <is>
          <t>Partnerships manager #1 (agency programme)</t>
        </is>
      </c>
      <c r="B110" s="17" t="inlineStr">
        <is>
          <t>R</t>
        </is>
      </c>
      <c r="C110" s="8">
        <f>C34*Assumptions!$B$249*C83*(1+Assumptions!$B$191)</f>
        <v/>
      </c>
      <c r="D110" s="8">
        <f>D34*Assumptions!$B$249*D83*(1+Assumptions!$B$191)</f>
        <v/>
      </c>
      <c r="E110" s="8">
        <f>E34*Assumptions!$B$249*E83*(1+Assumptions!$B$191)</f>
        <v/>
      </c>
      <c r="F110" s="8">
        <f>F34*Assumptions!$B$249*F83*(1+Assumptions!$B$191)</f>
        <v/>
      </c>
      <c r="G110" s="8">
        <f>G34*Assumptions!$B$249*G83*(1+Assumptions!$B$191)</f>
        <v/>
      </c>
      <c r="H110" s="8">
        <f>H34*Assumptions!$B$249*H83*(1+Assumptions!$B$191)</f>
        <v/>
      </c>
      <c r="I110" s="8">
        <f>I34*Assumptions!$B$249*I83*(1+Assumptions!$B$191)</f>
        <v/>
      </c>
      <c r="J110" s="8">
        <f>J34*Assumptions!$B$249*J83*(1+Assumptions!$B$191)</f>
        <v/>
      </c>
      <c r="K110" s="8">
        <f>K34*Assumptions!$B$249*K83*(1+Assumptions!$B$191)</f>
        <v/>
      </c>
      <c r="L110" s="8">
        <f>L34*Assumptions!$B$249*L83*(1+Assumptions!$B$191)</f>
        <v/>
      </c>
      <c r="M110" s="8">
        <f>M34*Assumptions!$B$249*M83*(1+Assumptions!$B$191)</f>
        <v/>
      </c>
      <c r="N110" s="8">
        <f>N34*Assumptions!$B$249*N83*(1+Assumptions!$B$191)</f>
        <v/>
      </c>
      <c r="O110" s="8">
        <f>O34*Assumptions!$B$249*O83*(1+Assumptions!$B$191)</f>
        <v/>
      </c>
      <c r="P110" s="8">
        <f>P34*Assumptions!$B$249*P83*(1+Assumptions!$B$191)</f>
        <v/>
      </c>
      <c r="Q110" s="8">
        <f>Q34*Assumptions!$B$249*Q83*(1+Assumptions!$B$191)</f>
        <v/>
      </c>
      <c r="R110" s="8">
        <f>R34*Assumptions!$B$249*R83*(1+Assumptions!$B$191)</f>
        <v/>
      </c>
      <c r="S110" s="8">
        <f>S34*Assumptions!$B$249*S83*(1+Assumptions!$B$191)</f>
        <v/>
      </c>
      <c r="T110" s="8">
        <f>T34*Assumptions!$B$249*T83*(1+Assumptions!$B$191)</f>
        <v/>
      </c>
      <c r="U110" s="8">
        <f>U34*Assumptions!$B$249*U83*(1+Assumptions!$B$191)</f>
        <v/>
      </c>
      <c r="V110" s="8">
        <f>V34*Assumptions!$B$249*V83*(1+Assumptions!$B$191)</f>
        <v/>
      </c>
      <c r="W110" s="8">
        <f>W34*Assumptions!$B$249*W83*(1+Assumptions!$B$191)</f>
        <v/>
      </c>
      <c r="X110" s="8">
        <f>X34*Assumptions!$B$249*X83*(1+Assumptions!$B$191)</f>
        <v/>
      </c>
      <c r="Y110" s="8">
        <f>Y34*Assumptions!$B$249*Y83*(1+Assumptions!$B$191)</f>
        <v/>
      </c>
      <c r="Z110" s="8">
        <f>Z34*Assumptions!$B$249*Z83*(1+Assumptions!$B$191)</f>
        <v/>
      </c>
      <c r="AA110" s="8">
        <f>AA34*Assumptions!$B$249*AA83*(1+Assumptions!$B$191)</f>
        <v/>
      </c>
      <c r="AB110" s="8">
        <f>AB34*Assumptions!$B$249*AB83*(1+Assumptions!$B$191)</f>
        <v/>
      </c>
      <c r="AC110" s="8">
        <f>AC34*Assumptions!$B$249*AC83*(1+Assumptions!$B$191)</f>
        <v/>
      </c>
      <c r="AD110" s="8">
        <f>AD34*Assumptions!$B$249*AD83*(1+Assumptions!$B$191)</f>
        <v/>
      </c>
      <c r="AE110" s="8">
        <f>AE34*Assumptions!$B$249*AE83*(1+Assumptions!$B$191)</f>
        <v/>
      </c>
      <c r="AF110" s="8">
        <f>AF34*Assumptions!$B$249*AF83*(1+Assumptions!$B$191)</f>
        <v/>
      </c>
      <c r="AG110" s="8">
        <f>AG34*Assumptions!$B$249*AG83*(1+Assumptions!$B$191)</f>
        <v/>
      </c>
      <c r="AH110" s="8">
        <f>AH34*Assumptions!$B$249*AH83*(1+Assumptions!$B$191)</f>
        <v/>
      </c>
      <c r="AI110" s="8">
        <f>AI34*Assumptions!$B$249*AI83*(1+Assumptions!$B$191)</f>
        <v/>
      </c>
      <c r="AJ110" s="8">
        <f>AJ34*Assumptions!$B$249*AJ83*(1+Assumptions!$B$191)</f>
        <v/>
      </c>
      <c r="AK110" s="8">
        <f>AK34*Assumptions!$B$249*AK83*(1+Assumptions!$B$191)</f>
        <v/>
      </c>
      <c r="AL110" s="8">
        <f>AL34*Assumptions!$B$249*AL83*(1+Assumptions!$B$191)</f>
        <v/>
      </c>
      <c r="AM110" s="8">
        <f>AM34*Assumptions!$B$249*AM83*(1+Assumptions!$B$191)</f>
        <v/>
      </c>
      <c r="AN110" s="8">
        <f>AN34*Assumptions!$B$249*AN83*(1+Assumptions!$B$191)</f>
        <v/>
      </c>
      <c r="AO110" s="8">
        <f>AO34*Assumptions!$B$249*AO83*(1+Assumptions!$B$191)</f>
        <v/>
      </c>
      <c r="AP110" s="8">
        <f>AP34*Assumptions!$B$249*AP83*(1+Assumptions!$B$191)</f>
        <v/>
      </c>
      <c r="AQ110" s="8">
        <f>AQ34*Assumptions!$B$249*AQ83*(1+Assumptions!$B$191)</f>
        <v/>
      </c>
      <c r="AR110" s="8">
        <f>AR34*Assumptions!$B$249*AR83*(1+Assumptions!$B$191)</f>
        <v/>
      </c>
      <c r="AS110" s="8">
        <f>AS34*Assumptions!$B$249*AS83*(1+Assumptions!$B$191)</f>
        <v/>
      </c>
      <c r="AT110" s="8">
        <f>AT34*Assumptions!$B$249*AT83*(1+Assumptions!$B$191)</f>
        <v/>
      </c>
      <c r="AU110" s="8">
        <f>AU34*Assumptions!$B$249*AU83*(1+Assumptions!$B$191)</f>
        <v/>
      </c>
      <c r="AV110" s="8">
        <f>AV34*Assumptions!$B$249*AV83*(1+Assumptions!$B$191)</f>
        <v/>
      </c>
      <c r="AW110" s="8">
        <f>AW34*Assumptions!$B$249*AW83*(1+Assumptions!$B$191)</f>
        <v/>
      </c>
      <c r="AX110" s="8">
        <f>AX34*Assumptions!$B$249*AX83*(1+Assumptions!$B$191)</f>
        <v/>
      </c>
      <c r="AY110" s="8">
        <f>AY34*Assumptions!$B$249*AY83*(1+Assumptions!$B$191)</f>
        <v/>
      </c>
      <c r="AZ110" s="8">
        <f>AZ34*Assumptions!$B$249*AZ83*(1+Assumptions!$B$191)</f>
        <v/>
      </c>
      <c r="BA110" s="8">
        <f>BA34*Assumptions!$B$249*BA83*(1+Assumptions!$B$191)</f>
        <v/>
      </c>
      <c r="BB110" s="8">
        <f>BB34*Assumptions!$B$249*BB83*(1+Assumptions!$B$191)</f>
        <v/>
      </c>
      <c r="BC110" s="8">
        <f>BC34*Assumptions!$B$249*BC83*(1+Assumptions!$B$191)</f>
        <v/>
      </c>
      <c r="BD110" s="8">
        <f>BD34*Assumptions!$B$249*BD83*(1+Assumptions!$B$191)</f>
        <v/>
      </c>
      <c r="BE110" s="8">
        <f>BE34*Assumptions!$B$249*BE83*(1+Assumptions!$B$191)</f>
        <v/>
      </c>
      <c r="BF110" s="8">
        <f>BF34*Assumptions!$B$249*BF83*(1+Assumptions!$B$191)</f>
        <v/>
      </c>
      <c r="BG110" s="8">
        <f>BG34*Assumptions!$B$249*BG83*(1+Assumptions!$B$191)</f>
        <v/>
      </c>
      <c r="BH110" s="8">
        <f>BH34*Assumptions!$B$249*BH83*(1+Assumptions!$B$191)</f>
        <v/>
      </c>
      <c r="BI110" s="8">
        <f>BI34*Assumptions!$B$249*BI83*(1+Assumptions!$B$191)</f>
        <v/>
      </c>
      <c r="BJ110" s="8">
        <f>BJ34*Assumptions!$B$249*BJ83*(1+Assumptions!$B$191)</f>
        <v/>
      </c>
    </row>
    <row r="111">
      <c r="A111" s="4" t="inlineStr">
        <is>
          <t>Partnerships manager #2</t>
        </is>
      </c>
      <c r="B111" s="17" t="inlineStr">
        <is>
          <t>R</t>
        </is>
      </c>
      <c r="C111" s="8">
        <f>C35*Assumptions!$B$250*C83*(1+Assumptions!$B$191)</f>
        <v/>
      </c>
      <c r="D111" s="8">
        <f>D35*Assumptions!$B$250*D83*(1+Assumptions!$B$191)</f>
        <v/>
      </c>
      <c r="E111" s="8">
        <f>E35*Assumptions!$B$250*E83*(1+Assumptions!$B$191)</f>
        <v/>
      </c>
      <c r="F111" s="8">
        <f>F35*Assumptions!$B$250*F83*(1+Assumptions!$B$191)</f>
        <v/>
      </c>
      <c r="G111" s="8">
        <f>G35*Assumptions!$B$250*G83*(1+Assumptions!$B$191)</f>
        <v/>
      </c>
      <c r="H111" s="8">
        <f>H35*Assumptions!$B$250*H83*(1+Assumptions!$B$191)</f>
        <v/>
      </c>
      <c r="I111" s="8">
        <f>I35*Assumptions!$B$250*I83*(1+Assumptions!$B$191)</f>
        <v/>
      </c>
      <c r="J111" s="8">
        <f>J35*Assumptions!$B$250*J83*(1+Assumptions!$B$191)</f>
        <v/>
      </c>
      <c r="K111" s="8">
        <f>K35*Assumptions!$B$250*K83*(1+Assumptions!$B$191)</f>
        <v/>
      </c>
      <c r="L111" s="8">
        <f>L35*Assumptions!$B$250*L83*(1+Assumptions!$B$191)</f>
        <v/>
      </c>
      <c r="M111" s="8">
        <f>M35*Assumptions!$B$250*M83*(1+Assumptions!$B$191)</f>
        <v/>
      </c>
      <c r="N111" s="8">
        <f>N35*Assumptions!$B$250*N83*(1+Assumptions!$B$191)</f>
        <v/>
      </c>
      <c r="O111" s="8">
        <f>O35*Assumptions!$B$250*O83*(1+Assumptions!$B$191)</f>
        <v/>
      </c>
      <c r="P111" s="8">
        <f>P35*Assumptions!$B$250*P83*(1+Assumptions!$B$191)</f>
        <v/>
      </c>
      <c r="Q111" s="8">
        <f>Q35*Assumptions!$B$250*Q83*(1+Assumptions!$B$191)</f>
        <v/>
      </c>
      <c r="R111" s="8">
        <f>R35*Assumptions!$B$250*R83*(1+Assumptions!$B$191)</f>
        <v/>
      </c>
      <c r="S111" s="8">
        <f>S35*Assumptions!$B$250*S83*(1+Assumptions!$B$191)</f>
        <v/>
      </c>
      <c r="T111" s="8">
        <f>T35*Assumptions!$B$250*T83*(1+Assumptions!$B$191)</f>
        <v/>
      </c>
      <c r="U111" s="8">
        <f>U35*Assumptions!$B$250*U83*(1+Assumptions!$B$191)</f>
        <v/>
      </c>
      <c r="V111" s="8">
        <f>V35*Assumptions!$B$250*V83*(1+Assumptions!$B$191)</f>
        <v/>
      </c>
      <c r="W111" s="8">
        <f>W35*Assumptions!$B$250*W83*(1+Assumptions!$B$191)</f>
        <v/>
      </c>
      <c r="X111" s="8">
        <f>X35*Assumptions!$B$250*X83*(1+Assumptions!$B$191)</f>
        <v/>
      </c>
      <c r="Y111" s="8">
        <f>Y35*Assumptions!$B$250*Y83*(1+Assumptions!$B$191)</f>
        <v/>
      </c>
      <c r="Z111" s="8">
        <f>Z35*Assumptions!$B$250*Z83*(1+Assumptions!$B$191)</f>
        <v/>
      </c>
      <c r="AA111" s="8">
        <f>AA35*Assumptions!$B$250*AA83*(1+Assumptions!$B$191)</f>
        <v/>
      </c>
      <c r="AB111" s="8">
        <f>AB35*Assumptions!$B$250*AB83*(1+Assumptions!$B$191)</f>
        <v/>
      </c>
      <c r="AC111" s="8">
        <f>AC35*Assumptions!$B$250*AC83*(1+Assumptions!$B$191)</f>
        <v/>
      </c>
      <c r="AD111" s="8">
        <f>AD35*Assumptions!$B$250*AD83*(1+Assumptions!$B$191)</f>
        <v/>
      </c>
      <c r="AE111" s="8">
        <f>AE35*Assumptions!$B$250*AE83*(1+Assumptions!$B$191)</f>
        <v/>
      </c>
      <c r="AF111" s="8">
        <f>AF35*Assumptions!$B$250*AF83*(1+Assumptions!$B$191)</f>
        <v/>
      </c>
      <c r="AG111" s="8">
        <f>AG35*Assumptions!$B$250*AG83*(1+Assumptions!$B$191)</f>
        <v/>
      </c>
      <c r="AH111" s="8">
        <f>AH35*Assumptions!$B$250*AH83*(1+Assumptions!$B$191)</f>
        <v/>
      </c>
      <c r="AI111" s="8">
        <f>AI35*Assumptions!$B$250*AI83*(1+Assumptions!$B$191)</f>
        <v/>
      </c>
      <c r="AJ111" s="8">
        <f>AJ35*Assumptions!$B$250*AJ83*(1+Assumptions!$B$191)</f>
        <v/>
      </c>
      <c r="AK111" s="8">
        <f>AK35*Assumptions!$B$250*AK83*(1+Assumptions!$B$191)</f>
        <v/>
      </c>
      <c r="AL111" s="8">
        <f>AL35*Assumptions!$B$250*AL83*(1+Assumptions!$B$191)</f>
        <v/>
      </c>
      <c r="AM111" s="8">
        <f>AM35*Assumptions!$B$250*AM83*(1+Assumptions!$B$191)</f>
        <v/>
      </c>
      <c r="AN111" s="8">
        <f>AN35*Assumptions!$B$250*AN83*(1+Assumptions!$B$191)</f>
        <v/>
      </c>
      <c r="AO111" s="8">
        <f>AO35*Assumptions!$B$250*AO83*(1+Assumptions!$B$191)</f>
        <v/>
      </c>
      <c r="AP111" s="8">
        <f>AP35*Assumptions!$B$250*AP83*(1+Assumptions!$B$191)</f>
        <v/>
      </c>
      <c r="AQ111" s="8">
        <f>AQ35*Assumptions!$B$250*AQ83*(1+Assumptions!$B$191)</f>
        <v/>
      </c>
      <c r="AR111" s="8">
        <f>AR35*Assumptions!$B$250*AR83*(1+Assumptions!$B$191)</f>
        <v/>
      </c>
      <c r="AS111" s="8">
        <f>AS35*Assumptions!$B$250*AS83*(1+Assumptions!$B$191)</f>
        <v/>
      </c>
      <c r="AT111" s="8">
        <f>AT35*Assumptions!$B$250*AT83*(1+Assumptions!$B$191)</f>
        <v/>
      </c>
      <c r="AU111" s="8">
        <f>AU35*Assumptions!$B$250*AU83*(1+Assumptions!$B$191)</f>
        <v/>
      </c>
      <c r="AV111" s="8">
        <f>AV35*Assumptions!$B$250*AV83*(1+Assumptions!$B$191)</f>
        <v/>
      </c>
      <c r="AW111" s="8">
        <f>AW35*Assumptions!$B$250*AW83*(1+Assumptions!$B$191)</f>
        <v/>
      </c>
      <c r="AX111" s="8">
        <f>AX35*Assumptions!$B$250*AX83*(1+Assumptions!$B$191)</f>
        <v/>
      </c>
      <c r="AY111" s="8">
        <f>AY35*Assumptions!$B$250*AY83*(1+Assumptions!$B$191)</f>
        <v/>
      </c>
      <c r="AZ111" s="8">
        <f>AZ35*Assumptions!$B$250*AZ83*(1+Assumptions!$B$191)</f>
        <v/>
      </c>
      <c r="BA111" s="8">
        <f>BA35*Assumptions!$B$250*BA83*(1+Assumptions!$B$191)</f>
        <v/>
      </c>
      <c r="BB111" s="8">
        <f>BB35*Assumptions!$B$250*BB83*(1+Assumptions!$B$191)</f>
        <v/>
      </c>
      <c r="BC111" s="8">
        <f>BC35*Assumptions!$B$250*BC83*(1+Assumptions!$B$191)</f>
        <v/>
      </c>
      <c r="BD111" s="8">
        <f>BD35*Assumptions!$B$250*BD83*(1+Assumptions!$B$191)</f>
        <v/>
      </c>
      <c r="BE111" s="8">
        <f>BE35*Assumptions!$B$250*BE83*(1+Assumptions!$B$191)</f>
        <v/>
      </c>
      <c r="BF111" s="8">
        <f>BF35*Assumptions!$B$250*BF83*(1+Assumptions!$B$191)</f>
        <v/>
      </c>
      <c r="BG111" s="8">
        <f>BG35*Assumptions!$B$250*BG83*(1+Assumptions!$B$191)</f>
        <v/>
      </c>
      <c r="BH111" s="8">
        <f>BH35*Assumptions!$B$250*BH83*(1+Assumptions!$B$191)</f>
        <v/>
      </c>
      <c r="BI111" s="8">
        <f>BI35*Assumptions!$B$250*BI83*(1+Assumptions!$B$191)</f>
        <v/>
      </c>
      <c r="BJ111" s="8">
        <f>BJ35*Assumptions!$B$250*BJ83*(1+Assumptions!$B$191)</f>
        <v/>
      </c>
    </row>
    <row r="112">
      <c r="A112" s="4" t="inlineStr">
        <is>
          <t>Partnerships managers (scale-up I)</t>
        </is>
      </c>
      <c r="B112" s="17" t="inlineStr">
        <is>
          <t>R</t>
        </is>
      </c>
      <c r="C112" s="8">
        <f>C36*Assumptions!$B$251*C83*(1+Assumptions!$B$191)</f>
        <v/>
      </c>
      <c r="D112" s="8">
        <f>D36*Assumptions!$B$251*D83*(1+Assumptions!$B$191)</f>
        <v/>
      </c>
      <c r="E112" s="8">
        <f>E36*Assumptions!$B$251*E83*(1+Assumptions!$B$191)</f>
        <v/>
      </c>
      <c r="F112" s="8">
        <f>F36*Assumptions!$B$251*F83*(1+Assumptions!$B$191)</f>
        <v/>
      </c>
      <c r="G112" s="8">
        <f>G36*Assumptions!$B$251*G83*(1+Assumptions!$B$191)</f>
        <v/>
      </c>
      <c r="H112" s="8">
        <f>H36*Assumptions!$B$251*H83*(1+Assumptions!$B$191)</f>
        <v/>
      </c>
      <c r="I112" s="8">
        <f>I36*Assumptions!$B$251*I83*(1+Assumptions!$B$191)</f>
        <v/>
      </c>
      <c r="J112" s="8">
        <f>J36*Assumptions!$B$251*J83*(1+Assumptions!$B$191)</f>
        <v/>
      </c>
      <c r="K112" s="8">
        <f>K36*Assumptions!$B$251*K83*(1+Assumptions!$B$191)</f>
        <v/>
      </c>
      <c r="L112" s="8">
        <f>L36*Assumptions!$B$251*L83*(1+Assumptions!$B$191)</f>
        <v/>
      </c>
      <c r="M112" s="8">
        <f>M36*Assumptions!$B$251*M83*(1+Assumptions!$B$191)</f>
        <v/>
      </c>
      <c r="N112" s="8">
        <f>N36*Assumptions!$B$251*N83*(1+Assumptions!$B$191)</f>
        <v/>
      </c>
      <c r="O112" s="8">
        <f>O36*Assumptions!$B$251*O83*(1+Assumptions!$B$191)</f>
        <v/>
      </c>
      <c r="P112" s="8">
        <f>P36*Assumptions!$B$251*P83*(1+Assumptions!$B$191)</f>
        <v/>
      </c>
      <c r="Q112" s="8">
        <f>Q36*Assumptions!$B$251*Q83*(1+Assumptions!$B$191)</f>
        <v/>
      </c>
      <c r="R112" s="8">
        <f>R36*Assumptions!$B$251*R83*(1+Assumptions!$B$191)</f>
        <v/>
      </c>
      <c r="S112" s="8">
        <f>S36*Assumptions!$B$251*S83*(1+Assumptions!$B$191)</f>
        <v/>
      </c>
      <c r="T112" s="8">
        <f>T36*Assumptions!$B$251*T83*(1+Assumptions!$B$191)</f>
        <v/>
      </c>
      <c r="U112" s="8">
        <f>U36*Assumptions!$B$251*U83*(1+Assumptions!$B$191)</f>
        <v/>
      </c>
      <c r="V112" s="8">
        <f>V36*Assumptions!$B$251*V83*(1+Assumptions!$B$191)</f>
        <v/>
      </c>
      <c r="W112" s="8">
        <f>W36*Assumptions!$B$251*W83*(1+Assumptions!$B$191)</f>
        <v/>
      </c>
      <c r="X112" s="8">
        <f>X36*Assumptions!$B$251*X83*(1+Assumptions!$B$191)</f>
        <v/>
      </c>
      <c r="Y112" s="8">
        <f>Y36*Assumptions!$B$251*Y83*(1+Assumptions!$B$191)</f>
        <v/>
      </c>
      <c r="Z112" s="8">
        <f>Z36*Assumptions!$B$251*Z83*(1+Assumptions!$B$191)</f>
        <v/>
      </c>
      <c r="AA112" s="8">
        <f>AA36*Assumptions!$B$251*AA83*(1+Assumptions!$B$191)</f>
        <v/>
      </c>
      <c r="AB112" s="8">
        <f>AB36*Assumptions!$B$251*AB83*(1+Assumptions!$B$191)</f>
        <v/>
      </c>
      <c r="AC112" s="8">
        <f>AC36*Assumptions!$B$251*AC83*(1+Assumptions!$B$191)</f>
        <v/>
      </c>
      <c r="AD112" s="8">
        <f>AD36*Assumptions!$B$251*AD83*(1+Assumptions!$B$191)</f>
        <v/>
      </c>
      <c r="AE112" s="8">
        <f>AE36*Assumptions!$B$251*AE83*(1+Assumptions!$B$191)</f>
        <v/>
      </c>
      <c r="AF112" s="8">
        <f>AF36*Assumptions!$B$251*AF83*(1+Assumptions!$B$191)</f>
        <v/>
      </c>
      <c r="AG112" s="8">
        <f>AG36*Assumptions!$B$251*AG83*(1+Assumptions!$B$191)</f>
        <v/>
      </c>
      <c r="AH112" s="8">
        <f>AH36*Assumptions!$B$251*AH83*(1+Assumptions!$B$191)</f>
        <v/>
      </c>
      <c r="AI112" s="8">
        <f>AI36*Assumptions!$B$251*AI83*(1+Assumptions!$B$191)</f>
        <v/>
      </c>
      <c r="AJ112" s="8">
        <f>AJ36*Assumptions!$B$251*AJ83*(1+Assumptions!$B$191)</f>
        <v/>
      </c>
      <c r="AK112" s="8">
        <f>AK36*Assumptions!$B$251*AK83*(1+Assumptions!$B$191)</f>
        <v/>
      </c>
      <c r="AL112" s="8">
        <f>AL36*Assumptions!$B$251*AL83*(1+Assumptions!$B$191)</f>
        <v/>
      </c>
      <c r="AM112" s="8">
        <f>AM36*Assumptions!$B$251*AM83*(1+Assumptions!$B$191)</f>
        <v/>
      </c>
      <c r="AN112" s="8">
        <f>AN36*Assumptions!$B$251*AN83*(1+Assumptions!$B$191)</f>
        <v/>
      </c>
      <c r="AO112" s="8">
        <f>AO36*Assumptions!$B$251*AO83*(1+Assumptions!$B$191)</f>
        <v/>
      </c>
      <c r="AP112" s="8">
        <f>AP36*Assumptions!$B$251*AP83*(1+Assumptions!$B$191)</f>
        <v/>
      </c>
      <c r="AQ112" s="8">
        <f>AQ36*Assumptions!$B$251*AQ83*(1+Assumptions!$B$191)</f>
        <v/>
      </c>
      <c r="AR112" s="8">
        <f>AR36*Assumptions!$B$251*AR83*(1+Assumptions!$B$191)</f>
        <v/>
      </c>
      <c r="AS112" s="8">
        <f>AS36*Assumptions!$B$251*AS83*(1+Assumptions!$B$191)</f>
        <v/>
      </c>
      <c r="AT112" s="8">
        <f>AT36*Assumptions!$B$251*AT83*(1+Assumptions!$B$191)</f>
        <v/>
      </c>
      <c r="AU112" s="8">
        <f>AU36*Assumptions!$B$251*AU83*(1+Assumptions!$B$191)</f>
        <v/>
      </c>
      <c r="AV112" s="8">
        <f>AV36*Assumptions!$B$251*AV83*(1+Assumptions!$B$191)</f>
        <v/>
      </c>
      <c r="AW112" s="8">
        <f>AW36*Assumptions!$B$251*AW83*(1+Assumptions!$B$191)</f>
        <v/>
      </c>
      <c r="AX112" s="8">
        <f>AX36*Assumptions!$B$251*AX83*(1+Assumptions!$B$191)</f>
        <v/>
      </c>
      <c r="AY112" s="8">
        <f>AY36*Assumptions!$B$251*AY83*(1+Assumptions!$B$191)</f>
        <v/>
      </c>
      <c r="AZ112" s="8">
        <f>AZ36*Assumptions!$B$251*AZ83*(1+Assumptions!$B$191)</f>
        <v/>
      </c>
      <c r="BA112" s="8">
        <f>BA36*Assumptions!$B$251*BA83*(1+Assumptions!$B$191)</f>
        <v/>
      </c>
      <c r="BB112" s="8">
        <f>BB36*Assumptions!$B$251*BB83*(1+Assumptions!$B$191)</f>
        <v/>
      </c>
      <c r="BC112" s="8">
        <f>BC36*Assumptions!$B$251*BC83*(1+Assumptions!$B$191)</f>
        <v/>
      </c>
      <c r="BD112" s="8">
        <f>BD36*Assumptions!$B$251*BD83*(1+Assumptions!$B$191)</f>
        <v/>
      </c>
      <c r="BE112" s="8">
        <f>BE36*Assumptions!$B$251*BE83*(1+Assumptions!$B$191)</f>
        <v/>
      </c>
      <c r="BF112" s="8">
        <f>BF36*Assumptions!$B$251*BF83*(1+Assumptions!$B$191)</f>
        <v/>
      </c>
      <c r="BG112" s="8">
        <f>BG36*Assumptions!$B$251*BG83*(1+Assumptions!$B$191)</f>
        <v/>
      </c>
      <c r="BH112" s="8">
        <f>BH36*Assumptions!$B$251*BH83*(1+Assumptions!$B$191)</f>
        <v/>
      </c>
      <c r="BI112" s="8">
        <f>BI36*Assumptions!$B$251*BI83*(1+Assumptions!$B$191)</f>
        <v/>
      </c>
      <c r="BJ112" s="8">
        <f>BJ36*Assumptions!$B$251*BJ83*(1+Assumptions!$B$191)</f>
        <v/>
      </c>
    </row>
    <row r="113">
      <c r="A113" s="4" t="inlineStr">
        <is>
          <t>Partnerships managers (scale-up II)</t>
        </is>
      </c>
      <c r="B113" s="17" t="inlineStr">
        <is>
          <t>R</t>
        </is>
      </c>
      <c r="C113" s="8">
        <f>C37*Assumptions!$B$252*C83*(1+Assumptions!$B$191)</f>
        <v/>
      </c>
      <c r="D113" s="8">
        <f>D37*Assumptions!$B$252*D83*(1+Assumptions!$B$191)</f>
        <v/>
      </c>
      <c r="E113" s="8">
        <f>E37*Assumptions!$B$252*E83*(1+Assumptions!$B$191)</f>
        <v/>
      </c>
      <c r="F113" s="8">
        <f>F37*Assumptions!$B$252*F83*(1+Assumptions!$B$191)</f>
        <v/>
      </c>
      <c r="G113" s="8">
        <f>G37*Assumptions!$B$252*G83*(1+Assumptions!$B$191)</f>
        <v/>
      </c>
      <c r="H113" s="8">
        <f>H37*Assumptions!$B$252*H83*(1+Assumptions!$B$191)</f>
        <v/>
      </c>
      <c r="I113" s="8">
        <f>I37*Assumptions!$B$252*I83*(1+Assumptions!$B$191)</f>
        <v/>
      </c>
      <c r="J113" s="8">
        <f>J37*Assumptions!$B$252*J83*(1+Assumptions!$B$191)</f>
        <v/>
      </c>
      <c r="K113" s="8">
        <f>K37*Assumptions!$B$252*K83*(1+Assumptions!$B$191)</f>
        <v/>
      </c>
      <c r="L113" s="8">
        <f>L37*Assumptions!$B$252*L83*(1+Assumptions!$B$191)</f>
        <v/>
      </c>
      <c r="M113" s="8">
        <f>M37*Assumptions!$B$252*M83*(1+Assumptions!$B$191)</f>
        <v/>
      </c>
      <c r="N113" s="8">
        <f>N37*Assumptions!$B$252*N83*(1+Assumptions!$B$191)</f>
        <v/>
      </c>
      <c r="O113" s="8">
        <f>O37*Assumptions!$B$252*O83*(1+Assumptions!$B$191)</f>
        <v/>
      </c>
      <c r="P113" s="8">
        <f>P37*Assumptions!$B$252*P83*(1+Assumptions!$B$191)</f>
        <v/>
      </c>
      <c r="Q113" s="8">
        <f>Q37*Assumptions!$B$252*Q83*(1+Assumptions!$B$191)</f>
        <v/>
      </c>
      <c r="R113" s="8">
        <f>R37*Assumptions!$B$252*R83*(1+Assumptions!$B$191)</f>
        <v/>
      </c>
      <c r="S113" s="8">
        <f>S37*Assumptions!$B$252*S83*(1+Assumptions!$B$191)</f>
        <v/>
      </c>
      <c r="T113" s="8">
        <f>T37*Assumptions!$B$252*T83*(1+Assumptions!$B$191)</f>
        <v/>
      </c>
      <c r="U113" s="8">
        <f>U37*Assumptions!$B$252*U83*(1+Assumptions!$B$191)</f>
        <v/>
      </c>
      <c r="V113" s="8">
        <f>V37*Assumptions!$B$252*V83*(1+Assumptions!$B$191)</f>
        <v/>
      </c>
      <c r="W113" s="8">
        <f>W37*Assumptions!$B$252*W83*(1+Assumptions!$B$191)</f>
        <v/>
      </c>
      <c r="X113" s="8">
        <f>X37*Assumptions!$B$252*X83*(1+Assumptions!$B$191)</f>
        <v/>
      </c>
      <c r="Y113" s="8">
        <f>Y37*Assumptions!$B$252*Y83*(1+Assumptions!$B$191)</f>
        <v/>
      </c>
      <c r="Z113" s="8">
        <f>Z37*Assumptions!$B$252*Z83*(1+Assumptions!$B$191)</f>
        <v/>
      </c>
      <c r="AA113" s="8">
        <f>AA37*Assumptions!$B$252*AA83*(1+Assumptions!$B$191)</f>
        <v/>
      </c>
      <c r="AB113" s="8">
        <f>AB37*Assumptions!$B$252*AB83*(1+Assumptions!$B$191)</f>
        <v/>
      </c>
      <c r="AC113" s="8">
        <f>AC37*Assumptions!$B$252*AC83*(1+Assumptions!$B$191)</f>
        <v/>
      </c>
      <c r="AD113" s="8">
        <f>AD37*Assumptions!$B$252*AD83*(1+Assumptions!$B$191)</f>
        <v/>
      </c>
      <c r="AE113" s="8">
        <f>AE37*Assumptions!$B$252*AE83*(1+Assumptions!$B$191)</f>
        <v/>
      </c>
      <c r="AF113" s="8">
        <f>AF37*Assumptions!$B$252*AF83*(1+Assumptions!$B$191)</f>
        <v/>
      </c>
      <c r="AG113" s="8">
        <f>AG37*Assumptions!$B$252*AG83*(1+Assumptions!$B$191)</f>
        <v/>
      </c>
      <c r="AH113" s="8">
        <f>AH37*Assumptions!$B$252*AH83*(1+Assumptions!$B$191)</f>
        <v/>
      </c>
      <c r="AI113" s="8">
        <f>AI37*Assumptions!$B$252*AI83*(1+Assumptions!$B$191)</f>
        <v/>
      </c>
      <c r="AJ113" s="8">
        <f>AJ37*Assumptions!$B$252*AJ83*(1+Assumptions!$B$191)</f>
        <v/>
      </c>
      <c r="AK113" s="8">
        <f>AK37*Assumptions!$B$252*AK83*(1+Assumptions!$B$191)</f>
        <v/>
      </c>
      <c r="AL113" s="8">
        <f>AL37*Assumptions!$B$252*AL83*(1+Assumptions!$B$191)</f>
        <v/>
      </c>
      <c r="AM113" s="8">
        <f>AM37*Assumptions!$B$252*AM83*(1+Assumptions!$B$191)</f>
        <v/>
      </c>
      <c r="AN113" s="8">
        <f>AN37*Assumptions!$B$252*AN83*(1+Assumptions!$B$191)</f>
        <v/>
      </c>
      <c r="AO113" s="8">
        <f>AO37*Assumptions!$B$252*AO83*(1+Assumptions!$B$191)</f>
        <v/>
      </c>
      <c r="AP113" s="8">
        <f>AP37*Assumptions!$B$252*AP83*(1+Assumptions!$B$191)</f>
        <v/>
      </c>
      <c r="AQ113" s="8">
        <f>AQ37*Assumptions!$B$252*AQ83*(1+Assumptions!$B$191)</f>
        <v/>
      </c>
      <c r="AR113" s="8">
        <f>AR37*Assumptions!$B$252*AR83*(1+Assumptions!$B$191)</f>
        <v/>
      </c>
      <c r="AS113" s="8">
        <f>AS37*Assumptions!$B$252*AS83*(1+Assumptions!$B$191)</f>
        <v/>
      </c>
      <c r="AT113" s="8">
        <f>AT37*Assumptions!$B$252*AT83*(1+Assumptions!$B$191)</f>
        <v/>
      </c>
      <c r="AU113" s="8">
        <f>AU37*Assumptions!$B$252*AU83*(1+Assumptions!$B$191)</f>
        <v/>
      </c>
      <c r="AV113" s="8">
        <f>AV37*Assumptions!$B$252*AV83*(1+Assumptions!$B$191)</f>
        <v/>
      </c>
      <c r="AW113" s="8">
        <f>AW37*Assumptions!$B$252*AW83*(1+Assumptions!$B$191)</f>
        <v/>
      </c>
      <c r="AX113" s="8">
        <f>AX37*Assumptions!$B$252*AX83*(1+Assumptions!$B$191)</f>
        <v/>
      </c>
      <c r="AY113" s="8">
        <f>AY37*Assumptions!$B$252*AY83*(1+Assumptions!$B$191)</f>
        <v/>
      </c>
      <c r="AZ113" s="8">
        <f>AZ37*Assumptions!$B$252*AZ83*(1+Assumptions!$B$191)</f>
        <v/>
      </c>
      <c r="BA113" s="8">
        <f>BA37*Assumptions!$B$252*BA83*(1+Assumptions!$B$191)</f>
        <v/>
      </c>
      <c r="BB113" s="8">
        <f>BB37*Assumptions!$B$252*BB83*(1+Assumptions!$B$191)</f>
        <v/>
      </c>
      <c r="BC113" s="8">
        <f>BC37*Assumptions!$B$252*BC83*(1+Assumptions!$B$191)</f>
        <v/>
      </c>
      <c r="BD113" s="8">
        <f>BD37*Assumptions!$B$252*BD83*(1+Assumptions!$B$191)</f>
        <v/>
      </c>
      <c r="BE113" s="8">
        <f>BE37*Assumptions!$B$252*BE83*(1+Assumptions!$B$191)</f>
        <v/>
      </c>
      <c r="BF113" s="8">
        <f>BF37*Assumptions!$B$252*BF83*(1+Assumptions!$B$191)</f>
        <v/>
      </c>
      <c r="BG113" s="8">
        <f>BG37*Assumptions!$B$252*BG83*(1+Assumptions!$B$191)</f>
        <v/>
      </c>
      <c r="BH113" s="8">
        <f>BH37*Assumptions!$B$252*BH83*(1+Assumptions!$B$191)</f>
        <v/>
      </c>
      <c r="BI113" s="8">
        <f>BI37*Assumptions!$B$252*BI83*(1+Assumptions!$B$191)</f>
        <v/>
      </c>
      <c r="BJ113" s="8">
        <f>BJ37*Assumptions!$B$252*BJ83*(1+Assumptions!$B$191)</f>
        <v/>
      </c>
    </row>
    <row r="114">
      <c r="A114" s="4" t="inlineStr">
        <is>
          <t>SME onboarding &amp; sales-assist</t>
        </is>
      </c>
      <c r="B114" s="17" t="inlineStr">
        <is>
          <t>R</t>
        </is>
      </c>
      <c r="C114" s="8">
        <f>C38*Assumptions!$B$253*C83*(1+Assumptions!$B$191)</f>
        <v/>
      </c>
      <c r="D114" s="8">
        <f>D38*Assumptions!$B$253*D83*(1+Assumptions!$B$191)</f>
        <v/>
      </c>
      <c r="E114" s="8">
        <f>E38*Assumptions!$B$253*E83*(1+Assumptions!$B$191)</f>
        <v/>
      </c>
      <c r="F114" s="8">
        <f>F38*Assumptions!$B$253*F83*(1+Assumptions!$B$191)</f>
        <v/>
      </c>
      <c r="G114" s="8">
        <f>G38*Assumptions!$B$253*G83*(1+Assumptions!$B$191)</f>
        <v/>
      </c>
      <c r="H114" s="8">
        <f>H38*Assumptions!$B$253*H83*(1+Assumptions!$B$191)</f>
        <v/>
      </c>
      <c r="I114" s="8">
        <f>I38*Assumptions!$B$253*I83*(1+Assumptions!$B$191)</f>
        <v/>
      </c>
      <c r="J114" s="8">
        <f>J38*Assumptions!$B$253*J83*(1+Assumptions!$B$191)</f>
        <v/>
      </c>
      <c r="K114" s="8">
        <f>K38*Assumptions!$B$253*K83*(1+Assumptions!$B$191)</f>
        <v/>
      </c>
      <c r="L114" s="8">
        <f>L38*Assumptions!$B$253*L83*(1+Assumptions!$B$191)</f>
        <v/>
      </c>
      <c r="M114" s="8">
        <f>M38*Assumptions!$B$253*M83*(1+Assumptions!$B$191)</f>
        <v/>
      </c>
      <c r="N114" s="8">
        <f>N38*Assumptions!$B$253*N83*(1+Assumptions!$B$191)</f>
        <v/>
      </c>
      <c r="O114" s="8">
        <f>O38*Assumptions!$B$253*O83*(1+Assumptions!$B$191)</f>
        <v/>
      </c>
      <c r="P114" s="8">
        <f>P38*Assumptions!$B$253*P83*(1+Assumptions!$B$191)</f>
        <v/>
      </c>
      <c r="Q114" s="8">
        <f>Q38*Assumptions!$B$253*Q83*(1+Assumptions!$B$191)</f>
        <v/>
      </c>
      <c r="R114" s="8">
        <f>R38*Assumptions!$B$253*R83*(1+Assumptions!$B$191)</f>
        <v/>
      </c>
      <c r="S114" s="8">
        <f>S38*Assumptions!$B$253*S83*(1+Assumptions!$B$191)</f>
        <v/>
      </c>
      <c r="T114" s="8">
        <f>T38*Assumptions!$B$253*T83*(1+Assumptions!$B$191)</f>
        <v/>
      </c>
      <c r="U114" s="8">
        <f>U38*Assumptions!$B$253*U83*(1+Assumptions!$B$191)</f>
        <v/>
      </c>
      <c r="V114" s="8">
        <f>V38*Assumptions!$B$253*V83*(1+Assumptions!$B$191)</f>
        <v/>
      </c>
      <c r="W114" s="8">
        <f>W38*Assumptions!$B$253*W83*(1+Assumptions!$B$191)</f>
        <v/>
      </c>
      <c r="X114" s="8">
        <f>X38*Assumptions!$B$253*X83*(1+Assumptions!$B$191)</f>
        <v/>
      </c>
      <c r="Y114" s="8">
        <f>Y38*Assumptions!$B$253*Y83*(1+Assumptions!$B$191)</f>
        <v/>
      </c>
      <c r="Z114" s="8">
        <f>Z38*Assumptions!$B$253*Z83*(1+Assumptions!$B$191)</f>
        <v/>
      </c>
      <c r="AA114" s="8">
        <f>AA38*Assumptions!$B$253*AA83*(1+Assumptions!$B$191)</f>
        <v/>
      </c>
      <c r="AB114" s="8">
        <f>AB38*Assumptions!$B$253*AB83*(1+Assumptions!$B$191)</f>
        <v/>
      </c>
      <c r="AC114" s="8">
        <f>AC38*Assumptions!$B$253*AC83*(1+Assumptions!$B$191)</f>
        <v/>
      </c>
      <c r="AD114" s="8">
        <f>AD38*Assumptions!$B$253*AD83*(1+Assumptions!$B$191)</f>
        <v/>
      </c>
      <c r="AE114" s="8">
        <f>AE38*Assumptions!$B$253*AE83*(1+Assumptions!$B$191)</f>
        <v/>
      </c>
      <c r="AF114" s="8">
        <f>AF38*Assumptions!$B$253*AF83*(1+Assumptions!$B$191)</f>
        <v/>
      </c>
      <c r="AG114" s="8">
        <f>AG38*Assumptions!$B$253*AG83*(1+Assumptions!$B$191)</f>
        <v/>
      </c>
      <c r="AH114" s="8">
        <f>AH38*Assumptions!$B$253*AH83*(1+Assumptions!$B$191)</f>
        <v/>
      </c>
      <c r="AI114" s="8">
        <f>AI38*Assumptions!$B$253*AI83*(1+Assumptions!$B$191)</f>
        <v/>
      </c>
      <c r="AJ114" s="8">
        <f>AJ38*Assumptions!$B$253*AJ83*(1+Assumptions!$B$191)</f>
        <v/>
      </c>
      <c r="AK114" s="8">
        <f>AK38*Assumptions!$B$253*AK83*(1+Assumptions!$B$191)</f>
        <v/>
      </c>
      <c r="AL114" s="8">
        <f>AL38*Assumptions!$B$253*AL83*(1+Assumptions!$B$191)</f>
        <v/>
      </c>
      <c r="AM114" s="8">
        <f>AM38*Assumptions!$B$253*AM83*(1+Assumptions!$B$191)</f>
        <v/>
      </c>
      <c r="AN114" s="8">
        <f>AN38*Assumptions!$B$253*AN83*(1+Assumptions!$B$191)</f>
        <v/>
      </c>
      <c r="AO114" s="8">
        <f>AO38*Assumptions!$B$253*AO83*(1+Assumptions!$B$191)</f>
        <v/>
      </c>
      <c r="AP114" s="8">
        <f>AP38*Assumptions!$B$253*AP83*(1+Assumptions!$B$191)</f>
        <v/>
      </c>
      <c r="AQ114" s="8">
        <f>AQ38*Assumptions!$B$253*AQ83*(1+Assumptions!$B$191)</f>
        <v/>
      </c>
      <c r="AR114" s="8">
        <f>AR38*Assumptions!$B$253*AR83*(1+Assumptions!$B$191)</f>
        <v/>
      </c>
      <c r="AS114" s="8">
        <f>AS38*Assumptions!$B$253*AS83*(1+Assumptions!$B$191)</f>
        <v/>
      </c>
      <c r="AT114" s="8">
        <f>AT38*Assumptions!$B$253*AT83*(1+Assumptions!$B$191)</f>
        <v/>
      </c>
      <c r="AU114" s="8">
        <f>AU38*Assumptions!$B$253*AU83*(1+Assumptions!$B$191)</f>
        <v/>
      </c>
      <c r="AV114" s="8">
        <f>AV38*Assumptions!$B$253*AV83*(1+Assumptions!$B$191)</f>
        <v/>
      </c>
      <c r="AW114" s="8">
        <f>AW38*Assumptions!$B$253*AW83*(1+Assumptions!$B$191)</f>
        <v/>
      </c>
      <c r="AX114" s="8">
        <f>AX38*Assumptions!$B$253*AX83*(1+Assumptions!$B$191)</f>
        <v/>
      </c>
      <c r="AY114" s="8">
        <f>AY38*Assumptions!$B$253*AY83*(1+Assumptions!$B$191)</f>
        <v/>
      </c>
      <c r="AZ114" s="8">
        <f>AZ38*Assumptions!$B$253*AZ83*(1+Assumptions!$B$191)</f>
        <v/>
      </c>
      <c r="BA114" s="8">
        <f>BA38*Assumptions!$B$253*BA83*(1+Assumptions!$B$191)</f>
        <v/>
      </c>
      <c r="BB114" s="8">
        <f>BB38*Assumptions!$B$253*BB83*(1+Assumptions!$B$191)</f>
        <v/>
      </c>
      <c r="BC114" s="8">
        <f>BC38*Assumptions!$B$253*BC83*(1+Assumptions!$B$191)</f>
        <v/>
      </c>
      <c r="BD114" s="8">
        <f>BD38*Assumptions!$B$253*BD83*(1+Assumptions!$B$191)</f>
        <v/>
      </c>
      <c r="BE114" s="8">
        <f>BE38*Assumptions!$B$253*BE83*(1+Assumptions!$B$191)</f>
        <v/>
      </c>
      <c r="BF114" s="8">
        <f>BF38*Assumptions!$B$253*BF83*(1+Assumptions!$B$191)</f>
        <v/>
      </c>
      <c r="BG114" s="8">
        <f>BG38*Assumptions!$B$253*BG83*(1+Assumptions!$B$191)</f>
        <v/>
      </c>
      <c r="BH114" s="8">
        <f>BH38*Assumptions!$B$253*BH83*(1+Assumptions!$B$191)</f>
        <v/>
      </c>
      <c r="BI114" s="8">
        <f>BI38*Assumptions!$B$253*BI83*(1+Assumptions!$B$191)</f>
        <v/>
      </c>
      <c r="BJ114" s="8">
        <f>BJ38*Assumptions!$B$253*BJ83*(1+Assumptions!$B$191)</f>
        <v/>
      </c>
    </row>
    <row r="115">
      <c r="A115" s="4" t="inlineStr">
        <is>
          <t>Head of Sales &amp; Partnerships</t>
        </is>
      </c>
      <c r="B115" s="17" t="inlineStr">
        <is>
          <t>R</t>
        </is>
      </c>
      <c r="C115" s="8">
        <f>C39*Assumptions!$B$254*C83*(1+Assumptions!$B$191)</f>
        <v/>
      </c>
      <c r="D115" s="8">
        <f>D39*Assumptions!$B$254*D83*(1+Assumptions!$B$191)</f>
        <v/>
      </c>
      <c r="E115" s="8">
        <f>E39*Assumptions!$B$254*E83*(1+Assumptions!$B$191)</f>
        <v/>
      </c>
      <c r="F115" s="8">
        <f>F39*Assumptions!$B$254*F83*(1+Assumptions!$B$191)</f>
        <v/>
      </c>
      <c r="G115" s="8">
        <f>G39*Assumptions!$B$254*G83*(1+Assumptions!$B$191)</f>
        <v/>
      </c>
      <c r="H115" s="8">
        <f>H39*Assumptions!$B$254*H83*(1+Assumptions!$B$191)</f>
        <v/>
      </c>
      <c r="I115" s="8">
        <f>I39*Assumptions!$B$254*I83*(1+Assumptions!$B$191)</f>
        <v/>
      </c>
      <c r="J115" s="8">
        <f>J39*Assumptions!$B$254*J83*(1+Assumptions!$B$191)</f>
        <v/>
      </c>
      <c r="K115" s="8">
        <f>K39*Assumptions!$B$254*K83*(1+Assumptions!$B$191)</f>
        <v/>
      </c>
      <c r="L115" s="8">
        <f>L39*Assumptions!$B$254*L83*(1+Assumptions!$B$191)</f>
        <v/>
      </c>
      <c r="M115" s="8">
        <f>M39*Assumptions!$B$254*M83*(1+Assumptions!$B$191)</f>
        <v/>
      </c>
      <c r="N115" s="8">
        <f>N39*Assumptions!$B$254*N83*(1+Assumptions!$B$191)</f>
        <v/>
      </c>
      <c r="O115" s="8">
        <f>O39*Assumptions!$B$254*O83*(1+Assumptions!$B$191)</f>
        <v/>
      </c>
      <c r="P115" s="8">
        <f>P39*Assumptions!$B$254*P83*(1+Assumptions!$B$191)</f>
        <v/>
      </c>
      <c r="Q115" s="8">
        <f>Q39*Assumptions!$B$254*Q83*(1+Assumptions!$B$191)</f>
        <v/>
      </c>
      <c r="R115" s="8">
        <f>R39*Assumptions!$B$254*R83*(1+Assumptions!$B$191)</f>
        <v/>
      </c>
      <c r="S115" s="8">
        <f>S39*Assumptions!$B$254*S83*(1+Assumptions!$B$191)</f>
        <v/>
      </c>
      <c r="T115" s="8">
        <f>T39*Assumptions!$B$254*T83*(1+Assumptions!$B$191)</f>
        <v/>
      </c>
      <c r="U115" s="8">
        <f>U39*Assumptions!$B$254*U83*(1+Assumptions!$B$191)</f>
        <v/>
      </c>
      <c r="V115" s="8">
        <f>V39*Assumptions!$B$254*V83*(1+Assumptions!$B$191)</f>
        <v/>
      </c>
      <c r="W115" s="8">
        <f>W39*Assumptions!$B$254*W83*(1+Assumptions!$B$191)</f>
        <v/>
      </c>
      <c r="X115" s="8">
        <f>X39*Assumptions!$B$254*X83*(1+Assumptions!$B$191)</f>
        <v/>
      </c>
      <c r="Y115" s="8">
        <f>Y39*Assumptions!$B$254*Y83*(1+Assumptions!$B$191)</f>
        <v/>
      </c>
      <c r="Z115" s="8">
        <f>Z39*Assumptions!$B$254*Z83*(1+Assumptions!$B$191)</f>
        <v/>
      </c>
      <c r="AA115" s="8">
        <f>AA39*Assumptions!$B$254*AA83*(1+Assumptions!$B$191)</f>
        <v/>
      </c>
      <c r="AB115" s="8">
        <f>AB39*Assumptions!$B$254*AB83*(1+Assumptions!$B$191)</f>
        <v/>
      </c>
      <c r="AC115" s="8">
        <f>AC39*Assumptions!$B$254*AC83*(1+Assumptions!$B$191)</f>
        <v/>
      </c>
      <c r="AD115" s="8">
        <f>AD39*Assumptions!$B$254*AD83*(1+Assumptions!$B$191)</f>
        <v/>
      </c>
      <c r="AE115" s="8">
        <f>AE39*Assumptions!$B$254*AE83*(1+Assumptions!$B$191)</f>
        <v/>
      </c>
      <c r="AF115" s="8">
        <f>AF39*Assumptions!$B$254*AF83*(1+Assumptions!$B$191)</f>
        <v/>
      </c>
      <c r="AG115" s="8">
        <f>AG39*Assumptions!$B$254*AG83*(1+Assumptions!$B$191)</f>
        <v/>
      </c>
      <c r="AH115" s="8">
        <f>AH39*Assumptions!$B$254*AH83*(1+Assumptions!$B$191)</f>
        <v/>
      </c>
      <c r="AI115" s="8">
        <f>AI39*Assumptions!$B$254*AI83*(1+Assumptions!$B$191)</f>
        <v/>
      </c>
      <c r="AJ115" s="8">
        <f>AJ39*Assumptions!$B$254*AJ83*(1+Assumptions!$B$191)</f>
        <v/>
      </c>
      <c r="AK115" s="8">
        <f>AK39*Assumptions!$B$254*AK83*(1+Assumptions!$B$191)</f>
        <v/>
      </c>
      <c r="AL115" s="8">
        <f>AL39*Assumptions!$B$254*AL83*(1+Assumptions!$B$191)</f>
        <v/>
      </c>
      <c r="AM115" s="8">
        <f>AM39*Assumptions!$B$254*AM83*(1+Assumptions!$B$191)</f>
        <v/>
      </c>
      <c r="AN115" s="8">
        <f>AN39*Assumptions!$B$254*AN83*(1+Assumptions!$B$191)</f>
        <v/>
      </c>
      <c r="AO115" s="8">
        <f>AO39*Assumptions!$B$254*AO83*(1+Assumptions!$B$191)</f>
        <v/>
      </c>
      <c r="AP115" s="8">
        <f>AP39*Assumptions!$B$254*AP83*(1+Assumptions!$B$191)</f>
        <v/>
      </c>
      <c r="AQ115" s="8">
        <f>AQ39*Assumptions!$B$254*AQ83*(1+Assumptions!$B$191)</f>
        <v/>
      </c>
      <c r="AR115" s="8">
        <f>AR39*Assumptions!$B$254*AR83*(1+Assumptions!$B$191)</f>
        <v/>
      </c>
      <c r="AS115" s="8">
        <f>AS39*Assumptions!$B$254*AS83*(1+Assumptions!$B$191)</f>
        <v/>
      </c>
      <c r="AT115" s="8">
        <f>AT39*Assumptions!$B$254*AT83*(1+Assumptions!$B$191)</f>
        <v/>
      </c>
      <c r="AU115" s="8">
        <f>AU39*Assumptions!$B$254*AU83*(1+Assumptions!$B$191)</f>
        <v/>
      </c>
      <c r="AV115" s="8">
        <f>AV39*Assumptions!$B$254*AV83*(1+Assumptions!$B$191)</f>
        <v/>
      </c>
      <c r="AW115" s="8">
        <f>AW39*Assumptions!$B$254*AW83*(1+Assumptions!$B$191)</f>
        <v/>
      </c>
      <c r="AX115" s="8">
        <f>AX39*Assumptions!$B$254*AX83*(1+Assumptions!$B$191)</f>
        <v/>
      </c>
      <c r="AY115" s="8">
        <f>AY39*Assumptions!$B$254*AY83*(1+Assumptions!$B$191)</f>
        <v/>
      </c>
      <c r="AZ115" s="8">
        <f>AZ39*Assumptions!$B$254*AZ83*(1+Assumptions!$B$191)</f>
        <v/>
      </c>
      <c r="BA115" s="8">
        <f>BA39*Assumptions!$B$254*BA83*(1+Assumptions!$B$191)</f>
        <v/>
      </c>
      <c r="BB115" s="8">
        <f>BB39*Assumptions!$B$254*BB83*(1+Assumptions!$B$191)</f>
        <v/>
      </c>
      <c r="BC115" s="8">
        <f>BC39*Assumptions!$B$254*BC83*(1+Assumptions!$B$191)</f>
        <v/>
      </c>
      <c r="BD115" s="8">
        <f>BD39*Assumptions!$B$254*BD83*(1+Assumptions!$B$191)</f>
        <v/>
      </c>
      <c r="BE115" s="8">
        <f>BE39*Assumptions!$B$254*BE83*(1+Assumptions!$B$191)</f>
        <v/>
      </c>
      <c r="BF115" s="8">
        <f>BF39*Assumptions!$B$254*BF83*(1+Assumptions!$B$191)</f>
        <v/>
      </c>
      <c r="BG115" s="8">
        <f>BG39*Assumptions!$B$254*BG83*(1+Assumptions!$B$191)</f>
        <v/>
      </c>
      <c r="BH115" s="8">
        <f>BH39*Assumptions!$B$254*BH83*(1+Assumptions!$B$191)</f>
        <v/>
      </c>
      <c r="BI115" s="8">
        <f>BI39*Assumptions!$B$254*BI83*(1+Assumptions!$B$191)</f>
        <v/>
      </c>
      <c r="BJ115" s="8">
        <f>BJ39*Assumptions!$B$254*BJ83*(1+Assumptions!$B$191)</f>
        <v/>
      </c>
    </row>
    <row r="116">
      <c r="A116" s="4" t="inlineStr">
        <is>
          <t>SME account managers</t>
        </is>
      </c>
      <c r="B116" s="17" t="inlineStr">
        <is>
          <t>R</t>
        </is>
      </c>
      <c r="C116" s="8">
        <f>C40*Assumptions!$B$255*C83*(1+Assumptions!$B$191)</f>
        <v/>
      </c>
      <c r="D116" s="8">
        <f>D40*Assumptions!$B$255*D83*(1+Assumptions!$B$191)</f>
        <v/>
      </c>
      <c r="E116" s="8">
        <f>E40*Assumptions!$B$255*E83*(1+Assumptions!$B$191)</f>
        <v/>
      </c>
      <c r="F116" s="8">
        <f>F40*Assumptions!$B$255*F83*(1+Assumptions!$B$191)</f>
        <v/>
      </c>
      <c r="G116" s="8">
        <f>G40*Assumptions!$B$255*G83*(1+Assumptions!$B$191)</f>
        <v/>
      </c>
      <c r="H116" s="8">
        <f>H40*Assumptions!$B$255*H83*(1+Assumptions!$B$191)</f>
        <v/>
      </c>
      <c r="I116" s="8">
        <f>I40*Assumptions!$B$255*I83*(1+Assumptions!$B$191)</f>
        <v/>
      </c>
      <c r="J116" s="8">
        <f>J40*Assumptions!$B$255*J83*(1+Assumptions!$B$191)</f>
        <v/>
      </c>
      <c r="K116" s="8">
        <f>K40*Assumptions!$B$255*K83*(1+Assumptions!$B$191)</f>
        <v/>
      </c>
      <c r="L116" s="8">
        <f>L40*Assumptions!$B$255*L83*(1+Assumptions!$B$191)</f>
        <v/>
      </c>
      <c r="M116" s="8">
        <f>M40*Assumptions!$B$255*M83*(1+Assumptions!$B$191)</f>
        <v/>
      </c>
      <c r="N116" s="8">
        <f>N40*Assumptions!$B$255*N83*(1+Assumptions!$B$191)</f>
        <v/>
      </c>
      <c r="O116" s="8">
        <f>O40*Assumptions!$B$255*O83*(1+Assumptions!$B$191)</f>
        <v/>
      </c>
      <c r="P116" s="8">
        <f>P40*Assumptions!$B$255*P83*(1+Assumptions!$B$191)</f>
        <v/>
      </c>
      <c r="Q116" s="8">
        <f>Q40*Assumptions!$B$255*Q83*(1+Assumptions!$B$191)</f>
        <v/>
      </c>
      <c r="R116" s="8">
        <f>R40*Assumptions!$B$255*R83*(1+Assumptions!$B$191)</f>
        <v/>
      </c>
      <c r="S116" s="8">
        <f>S40*Assumptions!$B$255*S83*(1+Assumptions!$B$191)</f>
        <v/>
      </c>
      <c r="T116" s="8">
        <f>T40*Assumptions!$B$255*T83*(1+Assumptions!$B$191)</f>
        <v/>
      </c>
      <c r="U116" s="8">
        <f>U40*Assumptions!$B$255*U83*(1+Assumptions!$B$191)</f>
        <v/>
      </c>
      <c r="V116" s="8">
        <f>V40*Assumptions!$B$255*V83*(1+Assumptions!$B$191)</f>
        <v/>
      </c>
      <c r="W116" s="8">
        <f>W40*Assumptions!$B$255*W83*(1+Assumptions!$B$191)</f>
        <v/>
      </c>
      <c r="X116" s="8">
        <f>X40*Assumptions!$B$255*X83*(1+Assumptions!$B$191)</f>
        <v/>
      </c>
      <c r="Y116" s="8">
        <f>Y40*Assumptions!$B$255*Y83*(1+Assumptions!$B$191)</f>
        <v/>
      </c>
      <c r="Z116" s="8">
        <f>Z40*Assumptions!$B$255*Z83*(1+Assumptions!$B$191)</f>
        <v/>
      </c>
      <c r="AA116" s="8">
        <f>AA40*Assumptions!$B$255*AA83*(1+Assumptions!$B$191)</f>
        <v/>
      </c>
      <c r="AB116" s="8">
        <f>AB40*Assumptions!$B$255*AB83*(1+Assumptions!$B$191)</f>
        <v/>
      </c>
      <c r="AC116" s="8">
        <f>AC40*Assumptions!$B$255*AC83*(1+Assumptions!$B$191)</f>
        <v/>
      </c>
      <c r="AD116" s="8">
        <f>AD40*Assumptions!$B$255*AD83*(1+Assumptions!$B$191)</f>
        <v/>
      </c>
      <c r="AE116" s="8">
        <f>AE40*Assumptions!$B$255*AE83*(1+Assumptions!$B$191)</f>
        <v/>
      </c>
      <c r="AF116" s="8">
        <f>AF40*Assumptions!$B$255*AF83*(1+Assumptions!$B$191)</f>
        <v/>
      </c>
      <c r="AG116" s="8">
        <f>AG40*Assumptions!$B$255*AG83*(1+Assumptions!$B$191)</f>
        <v/>
      </c>
      <c r="AH116" s="8">
        <f>AH40*Assumptions!$B$255*AH83*(1+Assumptions!$B$191)</f>
        <v/>
      </c>
      <c r="AI116" s="8">
        <f>AI40*Assumptions!$B$255*AI83*(1+Assumptions!$B$191)</f>
        <v/>
      </c>
      <c r="AJ116" s="8">
        <f>AJ40*Assumptions!$B$255*AJ83*(1+Assumptions!$B$191)</f>
        <v/>
      </c>
      <c r="AK116" s="8">
        <f>AK40*Assumptions!$B$255*AK83*(1+Assumptions!$B$191)</f>
        <v/>
      </c>
      <c r="AL116" s="8">
        <f>AL40*Assumptions!$B$255*AL83*(1+Assumptions!$B$191)</f>
        <v/>
      </c>
      <c r="AM116" s="8">
        <f>AM40*Assumptions!$B$255*AM83*(1+Assumptions!$B$191)</f>
        <v/>
      </c>
      <c r="AN116" s="8">
        <f>AN40*Assumptions!$B$255*AN83*(1+Assumptions!$B$191)</f>
        <v/>
      </c>
      <c r="AO116" s="8">
        <f>AO40*Assumptions!$B$255*AO83*(1+Assumptions!$B$191)</f>
        <v/>
      </c>
      <c r="AP116" s="8">
        <f>AP40*Assumptions!$B$255*AP83*(1+Assumptions!$B$191)</f>
        <v/>
      </c>
      <c r="AQ116" s="8">
        <f>AQ40*Assumptions!$B$255*AQ83*(1+Assumptions!$B$191)</f>
        <v/>
      </c>
      <c r="AR116" s="8">
        <f>AR40*Assumptions!$B$255*AR83*(1+Assumptions!$B$191)</f>
        <v/>
      </c>
      <c r="AS116" s="8">
        <f>AS40*Assumptions!$B$255*AS83*(1+Assumptions!$B$191)</f>
        <v/>
      </c>
      <c r="AT116" s="8">
        <f>AT40*Assumptions!$B$255*AT83*(1+Assumptions!$B$191)</f>
        <v/>
      </c>
      <c r="AU116" s="8">
        <f>AU40*Assumptions!$B$255*AU83*(1+Assumptions!$B$191)</f>
        <v/>
      </c>
      <c r="AV116" s="8">
        <f>AV40*Assumptions!$B$255*AV83*(1+Assumptions!$B$191)</f>
        <v/>
      </c>
      <c r="AW116" s="8">
        <f>AW40*Assumptions!$B$255*AW83*(1+Assumptions!$B$191)</f>
        <v/>
      </c>
      <c r="AX116" s="8">
        <f>AX40*Assumptions!$B$255*AX83*(1+Assumptions!$B$191)</f>
        <v/>
      </c>
      <c r="AY116" s="8">
        <f>AY40*Assumptions!$B$255*AY83*(1+Assumptions!$B$191)</f>
        <v/>
      </c>
      <c r="AZ116" s="8">
        <f>AZ40*Assumptions!$B$255*AZ83*(1+Assumptions!$B$191)</f>
        <v/>
      </c>
      <c r="BA116" s="8">
        <f>BA40*Assumptions!$B$255*BA83*(1+Assumptions!$B$191)</f>
        <v/>
      </c>
      <c r="BB116" s="8">
        <f>BB40*Assumptions!$B$255*BB83*(1+Assumptions!$B$191)</f>
        <v/>
      </c>
      <c r="BC116" s="8">
        <f>BC40*Assumptions!$B$255*BC83*(1+Assumptions!$B$191)</f>
        <v/>
      </c>
      <c r="BD116" s="8">
        <f>BD40*Assumptions!$B$255*BD83*(1+Assumptions!$B$191)</f>
        <v/>
      </c>
      <c r="BE116" s="8">
        <f>BE40*Assumptions!$B$255*BE83*(1+Assumptions!$B$191)</f>
        <v/>
      </c>
      <c r="BF116" s="8">
        <f>BF40*Assumptions!$B$255*BF83*(1+Assumptions!$B$191)</f>
        <v/>
      </c>
      <c r="BG116" s="8">
        <f>BG40*Assumptions!$B$255*BG83*(1+Assumptions!$B$191)</f>
        <v/>
      </c>
      <c r="BH116" s="8">
        <f>BH40*Assumptions!$B$255*BH83*(1+Assumptions!$B$191)</f>
        <v/>
      </c>
      <c r="BI116" s="8">
        <f>BI40*Assumptions!$B$255*BI83*(1+Assumptions!$B$191)</f>
        <v/>
      </c>
      <c r="BJ116" s="8">
        <f>BJ40*Assumptions!$B$255*BJ83*(1+Assumptions!$B$191)</f>
        <v/>
      </c>
    </row>
    <row r="117">
      <c r="A117" s="4" t="inlineStr">
        <is>
          <t>Partnerships managers (scale-up III)</t>
        </is>
      </c>
      <c r="B117" s="17" t="inlineStr">
        <is>
          <t>R</t>
        </is>
      </c>
      <c r="C117" s="8">
        <f>C41*Assumptions!$B$256*C83*(1+Assumptions!$B$191)</f>
        <v/>
      </c>
      <c r="D117" s="8">
        <f>D41*Assumptions!$B$256*D83*(1+Assumptions!$B$191)</f>
        <v/>
      </c>
      <c r="E117" s="8">
        <f>E41*Assumptions!$B$256*E83*(1+Assumptions!$B$191)</f>
        <v/>
      </c>
      <c r="F117" s="8">
        <f>F41*Assumptions!$B$256*F83*(1+Assumptions!$B$191)</f>
        <v/>
      </c>
      <c r="G117" s="8">
        <f>G41*Assumptions!$B$256*G83*(1+Assumptions!$B$191)</f>
        <v/>
      </c>
      <c r="H117" s="8">
        <f>H41*Assumptions!$B$256*H83*(1+Assumptions!$B$191)</f>
        <v/>
      </c>
      <c r="I117" s="8">
        <f>I41*Assumptions!$B$256*I83*(1+Assumptions!$B$191)</f>
        <v/>
      </c>
      <c r="J117" s="8">
        <f>J41*Assumptions!$B$256*J83*(1+Assumptions!$B$191)</f>
        <v/>
      </c>
      <c r="K117" s="8">
        <f>K41*Assumptions!$B$256*K83*(1+Assumptions!$B$191)</f>
        <v/>
      </c>
      <c r="L117" s="8">
        <f>L41*Assumptions!$B$256*L83*(1+Assumptions!$B$191)</f>
        <v/>
      </c>
      <c r="M117" s="8">
        <f>M41*Assumptions!$B$256*M83*(1+Assumptions!$B$191)</f>
        <v/>
      </c>
      <c r="N117" s="8">
        <f>N41*Assumptions!$B$256*N83*(1+Assumptions!$B$191)</f>
        <v/>
      </c>
      <c r="O117" s="8">
        <f>O41*Assumptions!$B$256*O83*(1+Assumptions!$B$191)</f>
        <v/>
      </c>
      <c r="P117" s="8">
        <f>P41*Assumptions!$B$256*P83*(1+Assumptions!$B$191)</f>
        <v/>
      </c>
      <c r="Q117" s="8">
        <f>Q41*Assumptions!$B$256*Q83*(1+Assumptions!$B$191)</f>
        <v/>
      </c>
      <c r="R117" s="8">
        <f>R41*Assumptions!$B$256*R83*(1+Assumptions!$B$191)</f>
        <v/>
      </c>
      <c r="S117" s="8">
        <f>S41*Assumptions!$B$256*S83*(1+Assumptions!$B$191)</f>
        <v/>
      </c>
      <c r="T117" s="8">
        <f>T41*Assumptions!$B$256*T83*(1+Assumptions!$B$191)</f>
        <v/>
      </c>
      <c r="U117" s="8">
        <f>U41*Assumptions!$B$256*U83*(1+Assumptions!$B$191)</f>
        <v/>
      </c>
      <c r="V117" s="8">
        <f>V41*Assumptions!$B$256*V83*(1+Assumptions!$B$191)</f>
        <v/>
      </c>
      <c r="W117" s="8">
        <f>W41*Assumptions!$B$256*W83*(1+Assumptions!$B$191)</f>
        <v/>
      </c>
      <c r="X117" s="8">
        <f>X41*Assumptions!$B$256*X83*(1+Assumptions!$B$191)</f>
        <v/>
      </c>
      <c r="Y117" s="8">
        <f>Y41*Assumptions!$B$256*Y83*(1+Assumptions!$B$191)</f>
        <v/>
      </c>
      <c r="Z117" s="8">
        <f>Z41*Assumptions!$B$256*Z83*(1+Assumptions!$B$191)</f>
        <v/>
      </c>
      <c r="AA117" s="8">
        <f>AA41*Assumptions!$B$256*AA83*(1+Assumptions!$B$191)</f>
        <v/>
      </c>
      <c r="AB117" s="8">
        <f>AB41*Assumptions!$B$256*AB83*(1+Assumptions!$B$191)</f>
        <v/>
      </c>
      <c r="AC117" s="8">
        <f>AC41*Assumptions!$B$256*AC83*(1+Assumptions!$B$191)</f>
        <v/>
      </c>
      <c r="AD117" s="8">
        <f>AD41*Assumptions!$B$256*AD83*(1+Assumptions!$B$191)</f>
        <v/>
      </c>
      <c r="AE117" s="8">
        <f>AE41*Assumptions!$B$256*AE83*(1+Assumptions!$B$191)</f>
        <v/>
      </c>
      <c r="AF117" s="8">
        <f>AF41*Assumptions!$B$256*AF83*(1+Assumptions!$B$191)</f>
        <v/>
      </c>
      <c r="AG117" s="8">
        <f>AG41*Assumptions!$B$256*AG83*(1+Assumptions!$B$191)</f>
        <v/>
      </c>
      <c r="AH117" s="8">
        <f>AH41*Assumptions!$B$256*AH83*(1+Assumptions!$B$191)</f>
        <v/>
      </c>
      <c r="AI117" s="8">
        <f>AI41*Assumptions!$B$256*AI83*(1+Assumptions!$B$191)</f>
        <v/>
      </c>
      <c r="AJ117" s="8">
        <f>AJ41*Assumptions!$B$256*AJ83*(1+Assumptions!$B$191)</f>
        <v/>
      </c>
      <c r="AK117" s="8">
        <f>AK41*Assumptions!$B$256*AK83*(1+Assumptions!$B$191)</f>
        <v/>
      </c>
      <c r="AL117" s="8">
        <f>AL41*Assumptions!$B$256*AL83*(1+Assumptions!$B$191)</f>
        <v/>
      </c>
      <c r="AM117" s="8">
        <f>AM41*Assumptions!$B$256*AM83*(1+Assumptions!$B$191)</f>
        <v/>
      </c>
      <c r="AN117" s="8">
        <f>AN41*Assumptions!$B$256*AN83*(1+Assumptions!$B$191)</f>
        <v/>
      </c>
      <c r="AO117" s="8">
        <f>AO41*Assumptions!$B$256*AO83*(1+Assumptions!$B$191)</f>
        <v/>
      </c>
      <c r="AP117" s="8">
        <f>AP41*Assumptions!$B$256*AP83*(1+Assumptions!$B$191)</f>
        <v/>
      </c>
      <c r="AQ117" s="8">
        <f>AQ41*Assumptions!$B$256*AQ83*(1+Assumptions!$B$191)</f>
        <v/>
      </c>
      <c r="AR117" s="8">
        <f>AR41*Assumptions!$B$256*AR83*(1+Assumptions!$B$191)</f>
        <v/>
      </c>
      <c r="AS117" s="8">
        <f>AS41*Assumptions!$B$256*AS83*(1+Assumptions!$B$191)</f>
        <v/>
      </c>
      <c r="AT117" s="8">
        <f>AT41*Assumptions!$B$256*AT83*(1+Assumptions!$B$191)</f>
        <v/>
      </c>
      <c r="AU117" s="8">
        <f>AU41*Assumptions!$B$256*AU83*(1+Assumptions!$B$191)</f>
        <v/>
      </c>
      <c r="AV117" s="8">
        <f>AV41*Assumptions!$B$256*AV83*(1+Assumptions!$B$191)</f>
        <v/>
      </c>
      <c r="AW117" s="8">
        <f>AW41*Assumptions!$B$256*AW83*(1+Assumptions!$B$191)</f>
        <v/>
      </c>
      <c r="AX117" s="8">
        <f>AX41*Assumptions!$B$256*AX83*(1+Assumptions!$B$191)</f>
        <v/>
      </c>
      <c r="AY117" s="8">
        <f>AY41*Assumptions!$B$256*AY83*(1+Assumptions!$B$191)</f>
        <v/>
      </c>
      <c r="AZ117" s="8">
        <f>AZ41*Assumptions!$B$256*AZ83*(1+Assumptions!$B$191)</f>
        <v/>
      </c>
      <c r="BA117" s="8">
        <f>BA41*Assumptions!$B$256*BA83*(1+Assumptions!$B$191)</f>
        <v/>
      </c>
      <c r="BB117" s="8">
        <f>BB41*Assumptions!$B$256*BB83*(1+Assumptions!$B$191)</f>
        <v/>
      </c>
      <c r="BC117" s="8">
        <f>BC41*Assumptions!$B$256*BC83*(1+Assumptions!$B$191)</f>
        <v/>
      </c>
      <c r="BD117" s="8">
        <f>BD41*Assumptions!$B$256*BD83*(1+Assumptions!$B$191)</f>
        <v/>
      </c>
      <c r="BE117" s="8">
        <f>BE41*Assumptions!$B$256*BE83*(1+Assumptions!$B$191)</f>
        <v/>
      </c>
      <c r="BF117" s="8">
        <f>BF41*Assumptions!$B$256*BF83*(1+Assumptions!$B$191)</f>
        <v/>
      </c>
      <c r="BG117" s="8">
        <f>BG41*Assumptions!$B$256*BG83*(1+Assumptions!$B$191)</f>
        <v/>
      </c>
      <c r="BH117" s="8">
        <f>BH41*Assumptions!$B$256*BH83*(1+Assumptions!$B$191)</f>
        <v/>
      </c>
      <c r="BI117" s="8">
        <f>BI41*Assumptions!$B$256*BI83*(1+Assumptions!$B$191)</f>
        <v/>
      </c>
      <c r="BJ117" s="8">
        <f>BJ41*Assumptions!$B$256*BJ83*(1+Assumptions!$B$191)</f>
        <v/>
      </c>
    </row>
    <row r="118">
      <c r="A118" s="4" t="inlineStr">
        <is>
          <t>SME account managers II</t>
        </is>
      </c>
      <c r="B118" s="17" t="inlineStr">
        <is>
          <t>R</t>
        </is>
      </c>
      <c r="C118" s="8">
        <f>C42*Assumptions!$B$257*C83*(1+Assumptions!$B$191)</f>
        <v/>
      </c>
      <c r="D118" s="8">
        <f>D42*Assumptions!$B$257*D83*(1+Assumptions!$B$191)</f>
        <v/>
      </c>
      <c r="E118" s="8">
        <f>E42*Assumptions!$B$257*E83*(1+Assumptions!$B$191)</f>
        <v/>
      </c>
      <c r="F118" s="8">
        <f>F42*Assumptions!$B$257*F83*(1+Assumptions!$B$191)</f>
        <v/>
      </c>
      <c r="G118" s="8">
        <f>G42*Assumptions!$B$257*G83*(1+Assumptions!$B$191)</f>
        <v/>
      </c>
      <c r="H118" s="8">
        <f>H42*Assumptions!$B$257*H83*(1+Assumptions!$B$191)</f>
        <v/>
      </c>
      <c r="I118" s="8">
        <f>I42*Assumptions!$B$257*I83*(1+Assumptions!$B$191)</f>
        <v/>
      </c>
      <c r="J118" s="8">
        <f>J42*Assumptions!$B$257*J83*(1+Assumptions!$B$191)</f>
        <v/>
      </c>
      <c r="K118" s="8">
        <f>K42*Assumptions!$B$257*K83*(1+Assumptions!$B$191)</f>
        <v/>
      </c>
      <c r="L118" s="8">
        <f>L42*Assumptions!$B$257*L83*(1+Assumptions!$B$191)</f>
        <v/>
      </c>
      <c r="M118" s="8">
        <f>M42*Assumptions!$B$257*M83*(1+Assumptions!$B$191)</f>
        <v/>
      </c>
      <c r="N118" s="8">
        <f>N42*Assumptions!$B$257*N83*(1+Assumptions!$B$191)</f>
        <v/>
      </c>
      <c r="O118" s="8">
        <f>O42*Assumptions!$B$257*O83*(1+Assumptions!$B$191)</f>
        <v/>
      </c>
      <c r="P118" s="8">
        <f>P42*Assumptions!$B$257*P83*(1+Assumptions!$B$191)</f>
        <v/>
      </c>
      <c r="Q118" s="8">
        <f>Q42*Assumptions!$B$257*Q83*(1+Assumptions!$B$191)</f>
        <v/>
      </c>
      <c r="R118" s="8">
        <f>R42*Assumptions!$B$257*R83*(1+Assumptions!$B$191)</f>
        <v/>
      </c>
      <c r="S118" s="8">
        <f>S42*Assumptions!$B$257*S83*(1+Assumptions!$B$191)</f>
        <v/>
      </c>
      <c r="T118" s="8">
        <f>T42*Assumptions!$B$257*T83*(1+Assumptions!$B$191)</f>
        <v/>
      </c>
      <c r="U118" s="8">
        <f>U42*Assumptions!$B$257*U83*(1+Assumptions!$B$191)</f>
        <v/>
      </c>
      <c r="V118" s="8">
        <f>V42*Assumptions!$B$257*V83*(1+Assumptions!$B$191)</f>
        <v/>
      </c>
      <c r="W118" s="8">
        <f>W42*Assumptions!$B$257*W83*(1+Assumptions!$B$191)</f>
        <v/>
      </c>
      <c r="X118" s="8">
        <f>X42*Assumptions!$B$257*X83*(1+Assumptions!$B$191)</f>
        <v/>
      </c>
      <c r="Y118" s="8">
        <f>Y42*Assumptions!$B$257*Y83*(1+Assumptions!$B$191)</f>
        <v/>
      </c>
      <c r="Z118" s="8">
        <f>Z42*Assumptions!$B$257*Z83*(1+Assumptions!$B$191)</f>
        <v/>
      </c>
      <c r="AA118" s="8">
        <f>AA42*Assumptions!$B$257*AA83*(1+Assumptions!$B$191)</f>
        <v/>
      </c>
      <c r="AB118" s="8">
        <f>AB42*Assumptions!$B$257*AB83*(1+Assumptions!$B$191)</f>
        <v/>
      </c>
      <c r="AC118" s="8">
        <f>AC42*Assumptions!$B$257*AC83*(1+Assumptions!$B$191)</f>
        <v/>
      </c>
      <c r="AD118" s="8">
        <f>AD42*Assumptions!$B$257*AD83*(1+Assumptions!$B$191)</f>
        <v/>
      </c>
      <c r="AE118" s="8">
        <f>AE42*Assumptions!$B$257*AE83*(1+Assumptions!$B$191)</f>
        <v/>
      </c>
      <c r="AF118" s="8">
        <f>AF42*Assumptions!$B$257*AF83*(1+Assumptions!$B$191)</f>
        <v/>
      </c>
      <c r="AG118" s="8">
        <f>AG42*Assumptions!$B$257*AG83*(1+Assumptions!$B$191)</f>
        <v/>
      </c>
      <c r="AH118" s="8">
        <f>AH42*Assumptions!$B$257*AH83*(1+Assumptions!$B$191)</f>
        <v/>
      </c>
      <c r="AI118" s="8">
        <f>AI42*Assumptions!$B$257*AI83*(1+Assumptions!$B$191)</f>
        <v/>
      </c>
      <c r="AJ118" s="8">
        <f>AJ42*Assumptions!$B$257*AJ83*(1+Assumptions!$B$191)</f>
        <v/>
      </c>
      <c r="AK118" s="8">
        <f>AK42*Assumptions!$B$257*AK83*(1+Assumptions!$B$191)</f>
        <v/>
      </c>
      <c r="AL118" s="8">
        <f>AL42*Assumptions!$B$257*AL83*(1+Assumptions!$B$191)</f>
        <v/>
      </c>
      <c r="AM118" s="8">
        <f>AM42*Assumptions!$B$257*AM83*(1+Assumptions!$B$191)</f>
        <v/>
      </c>
      <c r="AN118" s="8">
        <f>AN42*Assumptions!$B$257*AN83*(1+Assumptions!$B$191)</f>
        <v/>
      </c>
      <c r="AO118" s="8">
        <f>AO42*Assumptions!$B$257*AO83*(1+Assumptions!$B$191)</f>
        <v/>
      </c>
      <c r="AP118" s="8">
        <f>AP42*Assumptions!$B$257*AP83*(1+Assumptions!$B$191)</f>
        <v/>
      </c>
      <c r="AQ118" s="8">
        <f>AQ42*Assumptions!$B$257*AQ83*(1+Assumptions!$B$191)</f>
        <v/>
      </c>
      <c r="AR118" s="8">
        <f>AR42*Assumptions!$B$257*AR83*(1+Assumptions!$B$191)</f>
        <v/>
      </c>
      <c r="AS118" s="8">
        <f>AS42*Assumptions!$B$257*AS83*(1+Assumptions!$B$191)</f>
        <v/>
      </c>
      <c r="AT118" s="8">
        <f>AT42*Assumptions!$B$257*AT83*(1+Assumptions!$B$191)</f>
        <v/>
      </c>
      <c r="AU118" s="8">
        <f>AU42*Assumptions!$B$257*AU83*(1+Assumptions!$B$191)</f>
        <v/>
      </c>
      <c r="AV118" s="8">
        <f>AV42*Assumptions!$B$257*AV83*(1+Assumptions!$B$191)</f>
        <v/>
      </c>
      <c r="AW118" s="8">
        <f>AW42*Assumptions!$B$257*AW83*(1+Assumptions!$B$191)</f>
        <v/>
      </c>
      <c r="AX118" s="8">
        <f>AX42*Assumptions!$B$257*AX83*(1+Assumptions!$B$191)</f>
        <v/>
      </c>
      <c r="AY118" s="8">
        <f>AY42*Assumptions!$B$257*AY83*(1+Assumptions!$B$191)</f>
        <v/>
      </c>
      <c r="AZ118" s="8">
        <f>AZ42*Assumptions!$B$257*AZ83*(1+Assumptions!$B$191)</f>
        <v/>
      </c>
      <c r="BA118" s="8">
        <f>BA42*Assumptions!$B$257*BA83*(1+Assumptions!$B$191)</f>
        <v/>
      </c>
      <c r="BB118" s="8">
        <f>BB42*Assumptions!$B$257*BB83*(1+Assumptions!$B$191)</f>
        <v/>
      </c>
      <c r="BC118" s="8">
        <f>BC42*Assumptions!$B$257*BC83*(1+Assumptions!$B$191)</f>
        <v/>
      </c>
      <c r="BD118" s="8">
        <f>BD42*Assumptions!$B$257*BD83*(1+Assumptions!$B$191)</f>
        <v/>
      </c>
      <c r="BE118" s="8">
        <f>BE42*Assumptions!$B$257*BE83*(1+Assumptions!$B$191)</f>
        <v/>
      </c>
      <c r="BF118" s="8">
        <f>BF42*Assumptions!$B$257*BF83*(1+Assumptions!$B$191)</f>
        <v/>
      </c>
      <c r="BG118" s="8">
        <f>BG42*Assumptions!$B$257*BG83*(1+Assumptions!$B$191)</f>
        <v/>
      </c>
      <c r="BH118" s="8">
        <f>BH42*Assumptions!$B$257*BH83*(1+Assumptions!$B$191)</f>
        <v/>
      </c>
      <c r="BI118" s="8">
        <f>BI42*Assumptions!$B$257*BI83*(1+Assumptions!$B$191)</f>
        <v/>
      </c>
      <c r="BJ118" s="8">
        <f>BJ42*Assumptions!$B$257*BJ83*(1+Assumptions!$B$191)</f>
        <v/>
      </c>
    </row>
    <row r="119">
      <c r="A119" s="4" t="inlineStr">
        <is>
          <t>Customer success lead</t>
        </is>
      </c>
      <c r="B119" s="17" t="inlineStr">
        <is>
          <t>R</t>
        </is>
      </c>
      <c r="C119" s="8">
        <f>C43*Assumptions!$B$258*C83*(1+Assumptions!$B$191)</f>
        <v/>
      </c>
      <c r="D119" s="8">
        <f>D43*Assumptions!$B$258*D83*(1+Assumptions!$B$191)</f>
        <v/>
      </c>
      <c r="E119" s="8">
        <f>E43*Assumptions!$B$258*E83*(1+Assumptions!$B$191)</f>
        <v/>
      </c>
      <c r="F119" s="8">
        <f>F43*Assumptions!$B$258*F83*(1+Assumptions!$B$191)</f>
        <v/>
      </c>
      <c r="G119" s="8">
        <f>G43*Assumptions!$B$258*G83*(1+Assumptions!$B$191)</f>
        <v/>
      </c>
      <c r="H119" s="8">
        <f>H43*Assumptions!$B$258*H83*(1+Assumptions!$B$191)</f>
        <v/>
      </c>
      <c r="I119" s="8">
        <f>I43*Assumptions!$B$258*I83*(1+Assumptions!$B$191)</f>
        <v/>
      </c>
      <c r="J119" s="8">
        <f>J43*Assumptions!$B$258*J83*(1+Assumptions!$B$191)</f>
        <v/>
      </c>
      <c r="K119" s="8">
        <f>K43*Assumptions!$B$258*K83*(1+Assumptions!$B$191)</f>
        <v/>
      </c>
      <c r="L119" s="8">
        <f>L43*Assumptions!$B$258*L83*(1+Assumptions!$B$191)</f>
        <v/>
      </c>
      <c r="M119" s="8">
        <f>M43*Assumptions!$B$258*M83*(1+Assumptions!$B$191)</f>
        <v/>
      </c>
      <c r="N119" s="8">
        <f>N43*Assumptions!$B$258*N83*(1+Assumptions!$B$191)</f>
        <v/>
      </c>
      <c r="O119" s="8">
        <f>O43*Assumptions!$B$258*O83*(1+Assumptions!$B$191)</f>
        <v/>
      </c>
      <c r="P119" s="8">
        <f>P43*Assumptions!$B$258*P83*(1+Assumptions!$B$191)</f>
        <v/>
      </c>
      <c r="Q119" s="8">
        <f>Q43*Assumptions!$B$258*Q83*(1+Assumptions!$B$191)</f>
        <v/>
      </c>
      <c r="R119" s="8">
        <f>R43*Assumptions!$B$258*R83*(1+Assumptions!$B$191)</f>
        <v/>
      </c>
      <c r="S119" s="8">
        <f>S43*Assumptions!$B$258*S83*(1+Assumptions!$B$191)</f>
        <v/>
      </c>
      <c r="T119" s="8">
        <f>T43*Assumptions!$B$258*T83*(1+Assumptions!$B$191)</f>
        <v/>
      </c>
      <c r="U119" s="8">
        <f>U43*Assumptions!$B$258*U83*(1+Assumptions!$B$191)</f>
        <v/>
      </c>
      <c r="V119" s="8">
        <f>V43*Assumptions!$B$258*V83*(1+Assumptions!$B$191)</f>
        <v/>
      </c>
      <c r="W119" s="8">
        <f>W43*Assumptions!$B$258*W83*(1+Assumptions!$B$191)</f>
        <v/>
      </c>
      <c r="X119" s="8">
        <f>X43*Assumptions!$B$258*X83*(1+Assumptions!$B$191)</f>
        <v/>
      </c>
      <c r="Y119" s="8">
        <f>Y43*Assumptions!$B$258*Y83*(1+Assumptions!$B$191)</f>
        <v/>
      </c>
      <c r="Z119" s="8">
        <f>Z43*Assumptions!$B$258*Z83*(1+Assumptions!$B$191)</f>
        <v/>
      </c>
      <c r="AA119" s="8">
        <f>AA43*Assumptions!$B$258*AA83*(1+Assumptions!$B$191)</f>
        <v/>
      </c>
      <c r="AB119" s="8">
        <f>AB43*Assumptions!$B$258*AB83*(1+Assumptions!$B$191)</f>
        <v/>
      </c>
      <c r="AC119" s="8">
        <f>AC43*Assumptions!$B$258*AC83*(1+Assumptions!$B$191)</f>
        <v/>
      </c>
      <c r="AD119" s="8">
        <f>AD43*Assumptions!$B$258*AD83*(1+Assumptions!$B$191)</f>
        <v/>
      </c>
      <c r="AE119" s="8">
        <f>AE43*Assumptions!$B$258*AE83*(1+Assumptions!$B$191)</f>
        <v/>
      </c>
      <c r="AF119" s="8">
        <f>AF43*Assumptions!$B$258*AF83*(1+Assumptions!$B$191)</f>
        <v/>
      </c>
      <c r="AG119" s="8">
        <f>AG43*Assumptions!$B$258*AG83*(1+Assumptions!$B$191)</f>
        <v/>
      </c>
      <c r="AH119" s="8">
        <f>AH43*Assumptions!$B$258*AH83*(1+Assumptions!$B$191)</f>
        <v/>
      </c>
      <c r="AI119" s="8">
        <f>AI43*Assumptions!$B$258*AI83*(1+Assumptions!$B$191)</f>
        <v/>
      </c>
      <c r="AJ119" s="8">
        <f>AJ43*Assumptions!$B$258*AJ83*(1+Assumptions!$B$191)</f>
        <v/>
      </c>
      <c r="AK119" s="8">
        <f>AK43*Assumptions!$B$258*AK83*(1+Assumptions!$B$191)</f>
        <v/>
      </c>
      <c r="AL119" s="8">
        <f>AL43*Assumptions!$B$258*AL83*(1+Assumptions!$B$191)</f>
        <v/>
      </c>
      <c r="AM119" s="8">
        <f>AM43*Assumptions!$B$258*AM83*(1+Assumptions!$B$191)</f>
        <v/>
      </c>
      <c r="AN119" s="8">
        <f>AN43*Assumptions!$B$258*AN83*(1+Assumptions!$B$191)</f>
        <v/>
      </c>
      <c r="AO119" s="8">
        <f>AO43*Assumptions!$B$258*AO83*(1+Assumptions!$B$191)</f>
        <v/>
      </c>
      <c r="AP119" s="8">
        <f>AP43*Assumptions!$B$258*AP83*(1+Assumptions!$B$191)</f>
        <v/>
      </c>
      <c r="AQ119" s="8">
        <f>AQ43*Assumptions!$B$258*AQ83*(1+Assumptions!$B$191)</f>
        <v/>
      </c>
      <c r="AR119" s="8">
        <f>AR43*Assumptions!$B$258*AR83*(1+Assumptions!$B$191)</f>
        <v/>
      </c>
      <c r="AS119" s="8">
        <f>AS43*Assumptions!$B$258*AS83*(1+Assumptions!$B$191)</f>
        <v/>
      </c>
      <c r="AT119" s="8">
        <f>AT43*Assumptions!$B$258*AT83*(1+Assumptions!$B$191)</f>
        <v/>
      </c>
      <c r="AU119" s="8">
        <f>AU43*Assumptions!$B$258*AU83*(1+Assumptions!$B$191)</f>
        <v/>
      </c>
      <c r="AV119" s="8">
        <f>AV43*Assumptions!$B$258*AV83*(1+Assumptions!$B$191)</f>
        <v/>
      </c>
      <c r="AW119" s="8">
        <f>AW43*Assumptions!$B$258*AW83*(1+Assumptions!$B$191)</f>
        <v/>
      </c>
      <c r="AX119" s="8">
        <f>AX43*Assumptions!$B$258*AX83*(1+Assumptions!$B$191)</f>
        <v/>
      </c>
      <c r="AY119" s="8">
        <f>AY43*Assumptions!$B$258*AY83*(1+Assumptions!$B$191)</f>
        <v/>
      </c>
      <c r="AZ119" s="8">
        <f>AZ43*Assumptions!$B$258*AZ83*(1+Assumptions!$B$191)</f>
        <v/>
      </c>
      <c r="BA119" s="8">
        <f>BA43*Assumptions!$B$258*BA83*(1+Assumptions!$B$191)</f>
        <v/>
      </c>
      <c r="BB119" s="8">
        <f>BB43*Assumptions!$B$258*BB83*(1+Assumptions!$B$191)</f>
        <v/>
      </c>
      <c r="BC119" s="8">
        <f>BC43*Assumptions!$B$258*BC83*(1+Assumptions!$B$191)</f>
        <v/>
      </c>
      <c r="BD119" s="8">
        <f>BD43*Assumptions!$B$258*BD83*(1+Assumptions!$B$191)</f>
        <v/>
      </c>
      <c r="BE119" s="8">
        <f>BE43*Assumptions!$B$258*BE83*(1+Assumptions!$B$191)</f>
        <v/>
      </c>
      <c r="BF119" s="8">
        <f>BF43*Assumptions!$B$258*BF83*(1+Assumptions!$B$191)</f>
        <v/>
      </c>
      <c r="BG119" s="8">
        <f>BG43*Assumptions!$B$258*BG83*(1+Assumptions!$B$191)</f>
        <v/>
      </c>
      <c r="BH119" s="8">
        <f>BH43*Assumptions!$B$258*BH83*(1+Assumptions!$B$191)</f>
        <v/>
      </c>
      <c r="BI119" s="8">
        <f>BI43*Assumptions!$B$258*BI83*(1+Assumptions!$B$191)</f>
        <v/>
      </c>
      <c r="BJ119" s="8">
        <f>BJ43*Assumptions!$B$258*BJ83*(1+Assumptions!$B$191)</f>
        <v/>
      </c>
    </row>
    <row r="120">
      <c r="A120" s="4" t="inlineStr">
        <is>
          <t>CS &amp; onboarding agents</t>
        </is>
      </c>
      <c r="B120" s="17" t="inlineStr">
        <is>
          <t>R</t>
        </is>
      </c>
      <c r="C120" s="8">
        <f>C44*Assumptions!$B$259*C83*(1+Assumptions!$B$191)</f>
        <v/>
      </c>
      <c r="D120" s="8">
        <f>D44*Assumptions!$B$259*D83*(1+Assumptions!$B$191)</f>
        <v/>
      </c>
      <c r="E120" s="8">
        <f>E44*Assumptions!$B$259*E83*(1+Assumptions!$B$191)</f>
        <v/>
      </c>
      <c r="F120" s="8">
        <f>F44*Assumptions!$B$259*F83*(1+Assumptions!$B$191)</f>
        <v/>
      </c>
      <c r="G120" s="8">
        <f>G44*Assumptions!$B$259*G83*(1+Assumptions!$B$191)</f>
        <v/>
      </c>
      <c r="H120" s="8">
        <f>H44*Assumptions!$B$259*H83*(1+Assumptions!$B$191)</f>
        <v/>
      </c>
      <c r="I120" s="8">
        <f>I44*Assumptions!$B$259*I83*(1+Assumptions!$B$191)</f>
        <v/>
      </c>
      <c r="J120" s="8">
        <f>J44*Assumptions!$B$259*J83*(1+Assumptions!$B$191)</f>
        <v/>
      </c>
      <c r="K120" s="8">
        <f>K44*Assumptions!$B$259*K83*(1+Assumptions!$B$191)</f>
        <v/>
      </c>
      <c r="L120" s="8">
        <f>L44*Assumptions!$B$259*L83*(1+Assumptions!$B$191)</f>
        <v/>
      </c>
      <c r="M120" s="8">
        <f>M44*Assumptions!$B$259*M83*(1+Assumptions!$B$191)</f>
        <v/>
      </c>
      <c r="N120" s="8">
        <f>N44*Assumptions!$B$259*N83*(1+Assumptions!$B$191)</f>
        <v/>
      </c>
      <c r="O120" s="8">
        <f>O44*Assumptions!$B$259*O83*(1+Assumptions!$B$191)</f>
        <v/>
      </c>
      <c r="P120" s="8">
        <f>P44*Assumptions!$B$259*P83*(1+Assumptions!$B$191)</f>
        <v/>
      </c>
      <c r="Q120" s="8">
        <f>Q44*Assumptions!$B$259*Q83*(1+Assumptions!$B$191)</f>
        <v/>
      </c>
      <c r="R120" s="8">
        <f>R44*Assumptions!$B$259*R83*(1+Assumptions!$B$191)</f>
        <v/>
      </c>
      <c r="S120" s="8">
        <f>S44*Assumptions!$B$259*S83*(1+Assumptions!$B$191)</f>
        <v/>
      </c>
      <c r="T120" s="8">
        <f>T44*Assumptions!$B$259*T83*(1+Assumptions!$B$191)</f>
        <v/>
      </c>
      <c r="U120" s="8">
        <f>U44*Assumptions!$B$259*U83*(1+Assumptions!$B$191)</f>
        <v/>
      </c>
      <c r="V120" s="8">
        <f>V44*Assumptions!$B$259*V83*(1+Assumptions!$B$191)</f>
        <v/>
      </c>
      <c r="W120" s="8">
        <f>W44*Assumptions!$B$259*W83*(1+Assumptions!$B$191)</f>
        <v/>
      </c>
      <c r="X120" s="8">
        <f>X44*Assumptions!$B$259*X83*(1+Assumptions!$B$191)</f>
        <v/>
      </c>
      <c r="Y120" s="8">
        <f>Y44*Assumptions!$B$259*Y83*(1+Assumptions!$B$191)</f>
        <v/>
      </c>
      <c r="Z120" s="8">
        <f>Z44*Assumptions!$B$259*Z83*(1+Assumptions!$B$191)</f>
        <v/>
      </c>
      <c r="AA120" s="8">
        <f>AA44*Assumptions!$B$259*AA83*(1+Assumptions!$B$191)</f>
        <v/>
      </c>
      <c r="AB120" s="8">
        <f>AB44*Assumptions!$B$259*AB83*(1+Assumptions!$B$191)</f>
        <v/>
      </c>
      <c r="AC120" s="8">
        <f>AC44*Assumptions!$B$259*AC83*(1+Assumptions!$B$191)</f>
        <v/>
      </c>
      <c r="AD120" s="8">
        <f>AD44*Assumptions!$B$259*AD83*(1+Assumptions!$B$191)</f>
        <v/>
      </c>
      <c r="AE120" s="8">
        <f>AE44*Assumptions!$B$259*AE83*(1+Assumptions!$B$191)</f>
        <v/>
      </c>
      <c r="AF120" s="8">
        <f>AF44*Assumptions!$B$259*AF83*(1+Assumptions!$B$191)</f>
        <v/>
      </c>
      <c r="AG120" s="8">
        <f>AG44*Assumptions!$B$259*AG83*(1+Assumptions!$B$191)</f>
        <v/>
      </c>
      <c r="AH120" s="8">
        <f>AH44*Assumptions!$B$259*AH83*(1+Assumptions!$B$191)</f>
        <v/>
      </c>
      <c r="AI120" s="8">
        <f>AI44*Assumptions!$B$259*AI83*(1+Assumptions!$B$191)</f>
        <v/>
      </c>
      <c r="AJ120" s="8">
        <f>AJ44*Assumptions!$B$259*AJ83*(1+Assumptions!$B$191)</f>
        <v/>
      </c>
      <c r="AK120" s="8">
        <f>AK44*Assumptions!$B$259*AK83*(1+Assumptions!$B$191)</f>
        <v/>
      </c>
      <c r="AL120" s="8">
        <f>AL44*Assumptions!$B$259*AL83*(1+Assumptions!$B$191)</f>
        <v/>
      </c>
      <c r="AM120" s="8">
        <f>AM44*Assumptions!$B$259*AM83*(1+Assumptions!$B$191)</f>
        <v/>
      </c>
      <c r="AN120" s="8">
        <f>AN44*Assumptions!$B$259*AN83*(1+Assumptions!$B$191)</f>
        <v/>
      </c>
      <c r="AO120" s="8">
        <f>AO44*Assumptions!$B$259*AO83*(1+Assumptions!$B$191)</f>
        <v/>
      </c>
      <c r="AP120" s="8">
        <f>AP44*Assumptions!$B$259*AP83*(1+Assumptions!$B$191)</f>
        <v/>
      </c>
      <c r="AQ120" s="8">
        <f>AQ44*Assumptions!$B$259*AQ83*(1+Assumptions!$B$191)</f>
        <v/>
      </c>
      <c r="AR120" s="8">
        <f>AR44*Assumptions!$B$259*AR83*(1+Assumptions!$B$191)</f>
        <v/>
      </c>
      <c r="AS120" s="8">
        <f>AS44*Assumptions!$B$259*AS83*(1+Assumptions!$B$191)</f>
        <v/>
      </c>
      <c r="AT120" s="8">
        <f>AT44*Assumptions!$B$259*AT83*(1+Assumptions!$B$191)</f>
        <v/>
      </c>
      <c r="AU120" s="8">
        <f>AU44*Assumptions!$B$259*AU83*(1+Assumptions!$B$191)</f>
        <v/>
      </c>
      <c r="AV120" s="8">
        <f>AV44*Assumptions!$B$259*AV83*(1+Assumptions!$B$191)</f>
        <v/>
      </c>
      <c r="AW120" s="8">
        <f>AW44*Assumptions!$B$259*AW83*(1+Assumptions!$B$191)</f>
        <v/>
      </c>
      <c r="AX120" s="8">
        <f>AX44*Assumptions!$B$259*AX83*(1+Assumptions!$B$191)</f>
        <v/>
      </c>
      <c r="AY120" s="8">
        <f>AY44*Assumptions!$B$259*AY83*(1+Assumptions!$B$191)</f>
        <v/>
      </c>
      <c r="AZ120" s="8">
        <f>AZ44*Assumptions!$B$259*AZ83*(1+Assumptions!$B$191)</f>
        <v/>
      </c>
      <c r="BA120" s="8">
        <f>BA44*Assumptions!$B$259*BA83*(1+Assumptions!$B$191)</f>
        <v/>
      </c>
      <c r="BB120" s="8">
        <f>BB44*Assumptions!$B$259*BB83*(1+Assumptions!$B$191)</f>
        <v/>
      </c>
      <c r="BC120" s="8">
        <f>BC44*Assumptions!$B$259*BC83*(1+Assumptions!$B$191)</f>
        <v/>
      </c>
      <c r="BD120" s="8">
        <f>BD44*Assumptions!$B$259*BD83*(1+Assumptions!$B$191)</f>
        <v/>
      </c>
      <c r="BE120" s="8">
        <f>BE44*Assumptions!$B$259*BE83*(1+Assumptions!$B$191)</f>
        <v/>
      </c>
      <c r="BF120" s="8">
        <f>BF44*Assumptions!$B$259*BF83*(1+Assumptions!$B$191)</f>
        <v/>
      </c>
      <c r="BG120" s="8">
        <f>BG44*Assumptions!$B$259*BG83*(1+Assumptions!$B$191)</f>
        <v/>
      </c>
      <c r="BH120" s="8">
        <f>BH44*Assumptions!$B$259*BH83*(1+Assumptions!$B$191)</f>
        <v/>
      </c>
      <c r="BI120" s="8">
        <f>BI44*Assumptions!$B$259*BI83*(1+Assumptions!$B$191)</f>
        <v/>
      </c>
      <c r="BJ120" s="8">
        <f>BJ44*Assumptions!$B$259*BJ83*(1+Assumptions!$B$191)</f>
        <v/>
      </c>
    </row>
    <row r="121">
      <c r="A121" s="4" t="inlineStr">
        <is>
          <t>CS agents II</t>
        </is>
      </c>
      <c r="B121" s="17" t="inlineStr">
        <is>
          <t>R</t>
        </is>
      </c>
      <c r="C121" s="8">
        <f>C45*Assumptions!$B$260*C83*(1+Assumptions!$B$191)</f>
        <v/>
      </c>
      <c r="D121" s="8">
        <f>D45*Assumptions!$B$260*D83*(1+Assumptions!$B$191)</f>
        <v/>
      </c>
      <c r="E121" s="8">
        <f>E45*Assumptions!$B$260*E83*(1+Assumptions!$B$191)</f>
        <v/>
      </c>
      <c r="F121" s="8">
        <f>F45*Assumptions!$B$260*F83*(1+Assumptions!$B$191)</f>
        <v/>
      </c>
      <c r="G121" s="8">
        <f>G45*Assumptions!$B$260*G83*(1+Assumptions!$B$191)</f>
        <v/>
      </c>
      <c r="H121" s="8">
        <f>H45*Assumptions!$B$260*H83*(1+Assumptions!$B$191)</f>
        <v/>
      </c>
      <c r="I121" s="8">
        <f>I45*Assumptions!$B$260*I83*(1+Assumptions!$B$191)</f>
        <v/>
      </c>
      <c r="J121" s="8">
        <f>J45*Assumptions!$B$260*J83*(1+Assumptions!$B$191)</f>
        <v/>
      </c>
      <c r="K121" s="8">
        <f>K45*Assumptions!$B$260*K83*(1+Assumptions!$B$191)</f>
        <v/>
      </c>
      <c r="L121" s="8">
        <f>L45*Assumptions!$B$260*L83*(1+Assumptions!$B$191)</f>
        <v/>
      </c>
      <c r="M121" s="8">
        <f>M45*Assumptions!$B$260*M83*(1+Assumptions!$B$191)</f>
        <v/>
      </c>
      <c r="N121" s="8">
        <f>N45*Assumptions!$B$260*N83*(1+Assumptions!$B$191)</f>
        <v/>
      </c>
      <c r="O121" s="8">
        <f>O45*Assumptions!$B$260*O83*(1+Assumptions!$B$191)</f>
        <v/>
      </c>
      <c r="P121" s="8">
        <f>P45*Assumptions!$B$260*P83*(1+Assumptions!$B$191)</f>
        <v/>
      </c>
      <c r="Q121" s="8">
        <f>Q45*Assumptions!$B$260*Q83*(1+Assumptions!$B$191)</f>
        <v/>
      </c>
      <c r="R121" s="8">
        <f>R45*Assumptions!$B$260*R83*(1+Assumptions!$B$191)</f>
        <v/>
      </c>
      <c r="S121" s="8">
        <f>S45*Assumptions!$B$260*S83*(1+Assumptions!$B$191)</f>
        <v/>
      </c>
      <c r="T121" s="8">
        <f>T45*Assumptions!$B$260*T83*(1+Assumptions!$B$191)</f>
        <v/>
      </c>
      <c r="U121" s="8">
        <f>U45*Assumptions!$B$260*U83*(1+Assumptions!$B$191)</f>
        <v/>
      </c>
      <c r="V121" s="8">
        <f>V45*Assumptions!$B$260*V83*(1+Assumptions!$B$191)</f>
        <v/>
      </c>
      <c r="W121" s="8">
        <f>W45*Assumptions!$B$260*W83*(1+Assumptions!$B$191)</f>
        <v/>
      </c>
      <c r="X121" s="8">
        <f>X45*Assumptions!$B$260*X83*(1+Assumptions!$B$191)</f>
        <v/>
      </c>
      <c r="Y121" s="8">
        <f>Y45*Assumptions!$B$260*Y83*(1+Assumptions!$B$191)</f>
        <v/>
      </c>
      <c r="Z121" s="8">
        <f>Z45*Assumptions!$B$260*Z83*(1+Assumptions!$B$191)</f>
        <v/>
      </c>
      <c r="AA121" s="8">
        <f>AA45*Assumptions!$B$260*AA83*(1+Assumptions!$B$191)</f>
        <v/>
      </c>
      <c r="AB121" s="8">
        <f>AB45*Assumptions!$B$260*AB83*(1+Assumptions!$B$191)</f>
        <v/>
      </c>
      <c r="AC121" s="8">
        <f>AC45*Assumptions!$B$260*AC83*(1+Assumptions!$B$191)</f>
        <v/>
      </c>
      <c r="AD121" s="8">
        <f>AD45*Assumptions!$B$260*AD83*(1+Assumptions!$B$191)</f>
        <v/>
      </c>
      <c r="AE121" s="8">
        <f>AE45*Assumptions!$B$260*AE83*(1+Assumptions!$B$191)</f>
        <v/>
      </c>
      <c r="AF121" s="8">
        <f>AF45*Assumptions!$B$260*AF83*(1+Assumptions!$B$191)</f>
        <v/>
      </c>
      <c r="AG121" s="8">
        <f>AG45*Assumptions!$B$260*AG83*(1+Assumptions!$B$191)</f>
        <v/>
      </c>
      <c r="AH121" s="8">
        <f>AH45*Assumptions!$B$260*AH83*(1+Assumptions!$B$191)</f>
        <v/>
      </c>
      <c r="AI121" s="8">
        <f>AI45*Assumptions!$B$260*AI83*(1+Assumptions!$B$191)</f>
        <v/>
      </c>
      <c r="AJ121" s="8">
        <f>AJ45*Assumptions!$B$260*AJ83*(1+Assumptions!$B$191)</f>
        <v/>
      </c>
      <c r="AK121" s="8">
        <f>AK45*Assumptions!$B$260*AK83*(1+Assumptions!$B$191)</f>
        <v/>
      </c>
      <c r="AL121" s="8">
        <f>AL45*Assumptions!$B$260*AL83*(1+Assumptions!$B$191)</f>
        <v/>
      </c>
      <c r="AM121" s="8">
        <f>AM45*Assumptions!$B$260*AM83*(1+Assumptions!$B$191)</f>
        <v/>
      </c>
      <c r="AN121" s="8">
        <f>AN45*Assumptions!$B$260*AN83*(1+Assumptions!$B$191)</f>
        <v/>
      </c>
      <c r="AO121" s="8">
        <f>AO45*Assumptions!$B$260*AO83*(1+Assumptions!$B$191)</f>
        <v/>
      </c>
      <c r="AP121" s="8">
        <f>AP45*Assumptions!$B$260*AP83*(1+Assumptions!$B$191)</f>
        <v/>
      </c>
      <c r="AQ121" s="8">
        <f>AQ45*Assumptions!$B$260*AQ83*(1+Assumptions!$B$191)</f>
        <v/>
      </c>
      <c r="AR121" s="8">
        <f>AR45*Assumptions!$B$260*AR83*(1+Assumptions!$B$191)</f>
        <v/>
      </c>
      <c r="AS121" s="8">
        <f>AS45*Assumptions!$B$260*AS83*(1+Assumptions!$B$191)</f>
        <v/>
      </c>
      <c r="AT121" s="8">
        <f>AT45*Assumptions!$B$260*AT83*(1+Assumptions!$B$191)</f>
        <v/>
      </c>
      <c r="AU121" s="8">
        <f>AU45*Assumptions!$B$260*AU83*(1+Assumptions!$B$191)</f>
        <v/>
      </c>
      <c r="AV121" s="8">
        <f>AV45*Assumptions!$B$260*AV83*(1+Assumptions!$B$191)</f>
        <v/>
      </c>
      <c r="AW121" s="8">
        <f>AW45*Assumptions!$B$260*AW83*(1+Assumptions!$B$191)</f>
        <v/>
      </c>
      <c r="AX121" s="8">
        <f>AX45*Assumptions!$B$260*AX83*(1+Assumptions!$B$191)</f>
        <v/>
      </c>
      <c r="AY121" s="8">
        <f>AY45*Assumptions!$B$260*AY83*(1+Assumptions!$B$191)</f>
        <v/>
      </c>
      <c r="AZ121" s="8">
        <f>AZ45*Assumptions!$B$260*AZ83*(1+Assumptions!$B$191)</f>
        <v/>
      </c>
      <c r="BA121" s="8">
        <f>BA45*Assumptions!$B$260*BA83*(1+Assumptions!$B$191)</f>
        <v/>
      </c>
      <c r="BB121" s="8">
        <f>BB45*Assumptions!$B$260*BB83*(1+Assumptions!$B$191)</f>
        <v/>
      </c>
      <c r="BC121" s="8">
        <f>BC45*Assumptions!$B$260*BC83*(1+Assumptions!$B$191)</f>
        <v/>
      </c>
      <c r="BD121" s="8">
        <f>BD45*Assumptions!$B$260*BD83*(1+Assumptions!$B$191)</f>
        <v/>
      </c>
      <c r="BE121" s="8">
        <f>BE45*Assumptions!$B$260*BE83*(1+Assumptions!$B$191)</f>
        <v/>
      </c>
      <c r="BF121" s="8">
        <f>BF45*Assumptions!$B$260*BF83*(1+Assumptions!$B$191)</f>
        <v/>
      </c>
      <c r="BG121" s="8">
        <f>BG45*Assumptions!$B$260*BG83*(1+Assumptions!$B$191)</f>
        <v/>
      </c>
      <c r="BH121" s="8">
        <f>BH45*Assumptions!$B$260*BH83*(1+Assumptions!$B$191)</f>
        <v/>
      </c>
      <c r="BI121" s="8">
        <f>BI45*Assumptions!$B$260*BI83*(1+Assumptions!$B$191)</f>
        <v/>
      </c>
      <c r="BJ121" s="8">
        <f>BJ45*Assumptions!$B$260*BJ83*(1+Assumptions!$B$191)</f>
        <v/>
      </c>
    </row>
    <row r="122">
      <c r="A122" s="4" t="inlineStr">
        <is>
          <t>CS agents III</t>
        </is>
      </c>
      <c r="B122" s="17" t="inlineStr">
        <is>
          <t>R</t>
        </is>
      </c>
      <c r="C122" s="8">
        <f>C46*Assumptions!$B$261*C83*(1+Assumptions!$B$191)</f>
        <v/>
      </c>
      <c r="D122" s="8">
        <f>D46*Assumptions!$B$261*D83*(1+Assumptions!$B$191)</f>
        <v/>
      </c>
      <c r="E122" s="8">
        <f>E46*Assumptions!$B$261*E83*(1+Assumptions!$B$191)</f>
        <v/>
      </c>
      <c r="F122" s="8">
        <f>F46*Assumptions!$B$261*F83*(1+Assumptions!$B$191)</f>
        <v/>
      </c>
      <c r="G122" s="8">
        <f>G46*Assumptions!$B$261*G83*(1+Assumptions!$B$191)</f>
        <v/>
      </c>
      <c r="H122" s="8">
        <f>H46*Assumptions!$B$261*H83*(1+Assumptions!$B$191)</f>
        <v/>
      </c>
      <c r="I122" s="8">
        <f>I46*Assumptions!$B$261*I83*(1+Assumptions!$B$191)</f>
        <v/>
      </c>
      <c r="J122" s="8">
        <f>J46*Assumptions!$B$261*J83*(1+Assumptions!$B$191)</f>
        <v/>
      </c>
      <c r="K122" s="8">
        <f>K46*Assumptions!$B$261*K83*(1+Assumptions!$B$191)</f>
        <v/>
      </c>
      <c r="L122" s="8">
        <f>L46*Assumptions!$B$261*L83*(1+Assumptions!$B$191)</f>
        <v/>
      </c>
      <c r="M122" s="8">
        <f>M46*Assumptions!$B$261*M83*(1+Assumptions!$B$191)</f>
        <v/>
      </c>
      <c r="N122" s="8">
        <f>N46*Assumptions!$B$261*N83*(1+Assumptions!$B$191)</f>
        <v/>
      </c>
      <c r="O122" s="8">
        <f>O46*Assumptions!$B$261*O83*(1+Assumptions!$B$191)</f>
        <v/>
      </c>
      <c r="P122" s="8">
        <f>P46*Assumptions!$B$261*P83*(1+Assumptions!$B$191)</f>
        <v/>
      </c>
      <c r="Q122" s="8">
        <f>Q46*Assumptions!$B$261*Q83*(1+Assumptions!$B$191)</f>
        <v/>
      </c>
      <c r="R122" s="8">
        <f>R46*Assumptions!$B$261*R83*(1+Assumptions!$B$191)</f>
        <v/>
      </c>
      <c r="S122" s="8">
        <f>S46*Assumptions!$B$261*S83*(1+Assumptions!$B$191)</f>
        <v/>
      </c>
      <c r="T122" s="8">
        <f>T46*Assumptions!$B$261*T83*(1+Assumptions!$B$191)</f>
        <v/>
      </c>
      <c r="U122" s="8">
        <f>U46*Assumptions!$B$261*U83*(1+Assumptions!$B$191)</f>
        <v/>
      </c>
      <c r="V122" s="8">
        <f>V46*Assumptions!$B$261*V83*(1+Assumptions!$B$191)</f>
        <v/>
      </c>
      <c r="W122" s="8">
        <f>W46*Assumptions!$B$261*W83*(1+Assumptions!$B$191)</f>
        <v/>
      </c>
      <c r="X122" s="8">
        <f>X46*Assumptions!$B$261*X83*(1+Assumptions!$B$191)</f>
        <v/>
      </c>
      <c r="Y122" s="8">
        <f>Y46*Assumptions!$B$261*Y83*(1+Assumptions!$B$191)</f>
        <v/>
      </c>
      <c r="Z122" s="8">
        <f>Z46*Assumptions!$B$261*Z83*(1+Assumptions!$B$191)</f>
        <v/>
      </c>
      <c r="AA122" s="8">
        <f>AA46*Assumptions!$B$261*AA83*(1+Assumptions!$B$191)</f>
        <v/>
      </c>
      <c r="AB122" s="8">
        <f>AB46*Assumptions!$B$261*AB83*(1+Assumptions!$B$191)</f>
        <v/>
      </c>
      <c r="AC122" s="8">
        <f>AC46*Assumptions!$B$261*AC83*(1+Assumptions!$B$191)</f>
        <v/>
      </c>
      <c r="AD122" s="8">
        <f>AD46*Assumptions!$B$261*AD83*(1+Assumptions!$B$191)</f>
        <v/>
      </c>
      <c r="AE122" s="8">
        <f>AE46*Assumptions!$B$261*AE83*(1+Assumptions!$B$191)</f>
        <v/>
      </c>
      <c r="AF122" s="8">
        <f>AF46*Assumptions!$B$261*AF83*(1+Assumptions!$B$191)</f>
        <v/>
      </c>
      <c r="AG122" s="8">
        <f>AG46*Assumptions!$B$261*AG83*(1+Assumptions!$B$191)</f>
        <v/>
      </c>
      <c r="AH122" s="8">
        <f>AH46*Assumptions!$B$261*AH83*(1+Assumptions!$B$191)</f>
        <v/>
      </c>
      <c r="AI122" s="8">
        <f>AI46*Assumptions!$B$261*AI83*(1+Assumptions!$B$191)</f>
        <v/>
      </c>
      <c r="AJ122" s="8">
        <f>AJ46*Assumptions!$B$261*AJ83*(1+Assumptions!$B$191)</f>
        <v/>
      </c>
      <c r="AK122" s="8">
        <f>AK46*Assumptions!$B$261*AK83*(1+Assumptions!$B$191)</f>
        <v/>
      </c>
      <c r="AL122" s="8">
        <f>AL46*Assumptions!$B$261*AL83*(1+Assumptions!$B$191)</f>
        <v/>
      </c>
      <c r="AM122" s="8">
        <f>AM46*Assumptions!$B$261*AM83*(1+Assumptions!$B$191)</f>
        <v/>
      </c>
      <c r="AN122" s="8">
        <f>AN46*Assumptions!$B$261*AN83*(1+Assumptions!$B$191)</f>
        <v/>
      </c>
      <c r="AO122" s="8">
        <f>AO46*Assumptions!$B$261*AO83*(1+Assumptions!$B$191)</f>
        <v/>
      </c>
      <c r="AP122" s="8">
        <f>AP46*Assumptions!$B$261*AP83*(1+Assumptions!$B$191)</f>
        <v/>
      </c>
      <c r="AQ122" s="8">
        <f>AQ46*Assumptions!$B$261*AQ83*(1+Assumptions!$B$191)</f>
        <v/>
      </c>
      <c r="AR122" s="8">
        <f>AR46*Assumptions!$B$261*AR83*(1+Assumptions!$B$191)</f>
        <v/>
      </c>
      <c r="AS122" s="8">
        <f>AS46*Assumptions!$B$261*AS83*(1+Assumptions!$B$191)</f>
        <v/>
      </c>
      <c r="AT122" s="8">
        <f>AT46*Assumptions!$B$261*AT83*(1+Assumptions!$B$191)</f>
        <v/>
      </c>
      <c r="AU122" s="8">
        <f>AU46*Assumptions!$B$261*AU83*(1+Assumptions!$B$191)</f>
        <v/>
      </c>
      <c r="AV122" s="8">
        <f>AV46*Assumptions!$B$261*AV83*(1+Assumptions!$B$191)</f>
        <v/>
      </c>
      <c r="AW122" s="8">
        <f>AW46*Assumptions!$B$261*AW83*(1+Assumptions!$B$191)</f>
        <v/>
      </c>
      <c r="AX122" s="8">
        <f>AX46*Assumptions!$B$261*AX83*(1+Assumptions!$B$191)</f>
        <v/>
      </c>
      <c r="AY122" s="8">
        <f>AY46*Assumptions!$B$261*AY83*(1+Assumptions!$B$191)</f>
        <v/>
      </c>
      <c r="AZ122" s="8">
        <f>AZ46*Assumptions!$B$261*AZ83*(1+Assumptions!$B$191)</f>
        <v/>
      </c>
      <c r="BA122" s="8">
        <f>BA46*Assumptions!$B$261*BA83*(1+Assumptions!$B$191)</f>
        <v/>
      </c>
      <c r="BB122" s="8">
        <f>BB46*Assumptions!$B$261*BB83*(1+Assumptions!$B$191)</f>
        <v/>
      </c>
      <c r="BC122" s="8">
        <f>BC46*Assumptions!$B$261*BC83*(1+Assumptions!$B$191)</f>
        <v/>
      </c>
      <c r="BD122" s="8">
        <f>BD46*Assumptions!$B$261*BD83*(1+Assumptions!$B$191)</f>
        <v/>
      </c>
      <c r="BE122" s="8">
        <f>BE46*Assumptions!$B$261*BE83*(1+Assumptions!$B$191)</f>
        <v/>
      </c>
      <c r="BF122" s="8">
        <f>BF46*Assumptions!$B$261*BF83*(1+Assumptions!$B$191)</f>
        <v/>
      </c>
      <c r="BG122" s="8">
        <f>BG46*Assumptions!$B$261*BG83*(1+Assumptions!$B$191)</f>
        <v/>
      </c>
      <c r="BH122" s="8">
        <f>BH46*Assumptions!$B$261*BH83*(1+Assumptions!$B$191)</f>
        <v/>
      </c>
      <c r="BI122" s="8">
        <f>BI46*Assumptions!$B$261*BI83*(1+Assumptions!$B$191)</f>
        <v/>
      </c>
      <c r="BJ122" s="8">
        <f>BJ46*Assumptions!$B$261*BJ83*(1+Assumptions!$B$191)</f>
        <v/>
      </c>
    </row>
    <row r="123">
      <c r="A123" s="4" t="inlineStr">
        <is>
          <t>CS agents IV</t>
        </is>
      </c>
      <c r="B123" s="17" t="inlineStr">
        <is>
          <t>R</t>
        </is>
      </c>
      <c r="C123" s="8">
        <f>C47*Assumptions!$B$262*C83*(1+Assumptions!$B$191)</f>
        <v/>
      </c>
      <c r="D123" s="8">
        <f>D47*Assumptions!$B$262*D83*(1+Assumptions!$B$191)</f>
        <v/>
      </c>
      <c r="E123" s="8">
        <f>E47*Assumptions!$B$262*E83*(1+Assumptions!$B$191)</f>
        <v/>
      </c>
      <c r="F123" s="8">
        <f>F47*Assumptions!$B$262*F83*(1+Assumptions!$B$191)</f>
        <v/>
      </c>
      <c r="G123" s="8">
        <f>G47*Assumptions!$B$262*G83*(1+Assumptions!$B$191)</f>
        <v/>
      </c>
      <c r="H123" s="8">
        <f>H47*Assumptions!$B$262*H83*(1+Assumptions!$B$191)</f>
        <v/>
      </c>
      <c r="I123" s="8">
        <f>I47*Assumptions!$B$262*I83*(1+Assumptions!$B$191)</f>
        <v/>
      </c>
      <c r="J123" s="8">
        <f>J47*Assumptions!$B$262*J83*(1+Assumptions!$B$191)</f>
        <v/>
      </c>
      <c r="K123" s="8">
        <f>K47*Assumptions!$B$262*K83*(1+Assumptions!$B$191)</f>
        <v/>
      </c>
      <c r="L123" s="8">
        <f>L47*Assumptions!$B$262*L83*(1+Assumptions!$B$191)</f>
        <v/>
      </c>
      <c r="M123" s="8">
        <f>M47*Assumptions!$B$262*M83*(1+Assumptions!$B$191)</f>
        <v/>
      </c>
      <c r="N123" s="8">
        <f>N47*Assumptions!$B$262*N83*(1+Assumptions!$B$191)</f>
        <v/>
      </c>
      <c r="O123" s="8">
        <f>O47*Assumptions!$B$262*O83*(1+Assumptions!$B$191)</f>
        <v/>
      </c>
      <c r="P123" s="8">
        <f>P47*Assumptions!$B$262*P83*(1+Assumptions!$B$191)</f>
        <v/>
      </c>
      <c r="Q123" s="8">
        <f>Q47*Assumptions!$B$262*Q83*(1+Assumptions!$B$191)</f>
        <v/>
      </c>
      <c r="R123" s="8">
        <f>R47*Assumptions!$B$262*R83*(1+Assumptions!$B$191)</f>
        <v/>
      </c>
      <c r="S123" s="8">
        <f>S47*Assumptions!$B$262*S83*(1+Assumptions!$B$191)</f>
        <v/>
      </c>
      <c r="T123" s="8">
        <f>T47*Assumptions!$B$262*T83*(1+Assumptions!$B$191)</f>
        <v/>
      </c>
      <c r="U123" s="8">
        <f>U47*Assumptions!$B$262*U83*(1+Assumptions!$B$191)</f>
        <v/>
      </c>
      <c r="V123" s="8">
        <f>V47*Assumptions!$B$262*V83*(1+Assumptions!$B$191)</f>
        <v/>
      </c>
      <c r="W123" s="8">
        <f>W47*Assumptions!$B$262*W83*(1+Assumptions!$B$191)</f>
        <v/>
      </c>
      <c r="X123" s="8">
        <f>X47*Assumptions!$B$262*X83*(1+Assumptions!$B$191)</f>
        <v/>
      </c>
      <c r="Y123" s="8">
        <f>Y47*Assumptions!$B$262*Y83*(1+Assumptions!$B$191)</f>
        <v/>
      </c>
      <c r="Z123" s="8">
        <f>Z47*Assumptions!$B$262*Z83*(1+Assumptions!$B$191)</f>
        <v/>
      </c>
      <c r="AA123" s="8">
        <f>AA47*Assumptions!$B$262*AA83*(1+Assumptions!$B$191)</f>
        <v/>
      </c>
      <c r="AB123" s="8">
        <f>AB47*Assumptions!$B$262*AB83*(1+Assumptions!$B$191)</f>
        <v/>
      </c>
      <c r="AC123" s="8">
        <f>AC47*Assumptions!$B$262*AC83*(1+Assumptions!$B$191)</f>
        <v/>
      </c>
      <c r="AD123" s="8">
        <f>AD47*Assumptions!$B$262*AD83*(1+Assumptions!$B$191)</f>
        <v/>
      </c>
      <c r="AE123" s="8">
        <f>AE47*Assumptions!$B$262*AE83*(1+Assumptions!$B$191)</f>
        <v/>
      </c>
      <c r="AF123" s="8">
        <f>AF47*Assumptions!$B$262*AF83*(1+Assumptions!$B$191)</f>
        <v/>
      </c>
      <c r="AG123" s="8">
        <f>AG47*Assumptions!$B$262*AG83*(1+Assumptions!$B$191)</f>
        <v/>
      </c>
      <c r="AH123" s="8">
        <f>AH47*Assumptions!$B$262*AH83*(1+Assumptions!$B$191)</f>
        <v/>
      </c>
      <c r="AI123" s="8">
        <f>AI47*Assumptions!$B$262*AI83*(1+Assumptions!$B$191)</f>
        <v/>
      </c>
      <c r="AJ123" s="8">
        <f>AJ47*Assumptions!$B$262*AJ83*(1+Assumptions!$B$191)</f>
        <v/>
      </c>
      <c r="AK123" s="8">
        <f>AK47*Assumptions!$B$262*AK83*(1+Assumptions!$B$191)</f>
        <v/>
      </c>
      <c r="AL123" s="8">
        <f>AL47*Assumptions!$B$262*AL83*(1+Assumptions!$B$191)</f>
        <v/>
      </c>
      <c r="AM123" s="8">
        <f>AM47*Assumptions!$B$262*AM83*(1+Assumptions!$B$191)</f>
        <v/>
      </c>
      <c r="AN123" s="8">
        <f>AN47*Assumptions!$B$262*AN83*(1+Assumptions!$B$191)</f>
        <v/>
      </c>
      <c r="AO123" s="8">
        <f>AO47*Assumptions!$B$262*AO83*(1+Assumptions!$B$191)</f>
        <v/>
      </c>
      <c r="AP123" s="8">
        <f>AP47*Assumptions!$B$262*AP83*(1+Assumptions!$B$191)</f>
        <v/>
      </c>
      <c r="AQ123" s="8">
        <f>AQ47*Assumptions!$B$262*AQ83*(1+Assumptions!$B$191)</f>
        <v/>
      </c>
      <c r="AR123" s="8">
        <f>AR47*Assumptions!$B$262*AR83*(1+Assumptions!$B$191)</f>
        <v/>
      </c>
      <c r="AS123" s="8">
        <f>AS47*Assumptions!$B$262*AS83*(1+Assumptions!$B$191)</f>
        <v/>
      </c>
      <c r="AT123" s="8">
        <f>AT47*Assumptions!$B$262*AT83*(1+Assumptions!$B$191)</f>
        <v/>
      </c>
      <c r="AU123" s="8">
        <f>AU47*Assumptions!$B$262*AU83*(1+Assumptions!$B$191)</f>
        <v/>
      </c>
      <c r="AV123" s="8">
        <f>AV47*Assumptions!$B$262*AV83*(1+Assumptions!$B$191)</f>
        <v/>
      </c>
      <c r="AW123" s="8">
        <f>AW47*Assumptions!$B$262*AW83*(1+Assumptions!$B$191)</f>
        <v/>
      </c>
      <c r="AX123" s="8">
        <f>AX47*Assumptions!$B$262*AX83*(1+Assumptions!$B$191)</f>
        <v/>
      </c>
      <c r="AY123" s="8">
        <f>AY47*Assumptions!$B$262*AY83*(1+Assumptions!$B$191)</f>
        <v/>
      </c>
      <c r="AZ123" s="8">
        <f>AZ47*Assumptions!$B$262*AZ83*(1+Assumptions!$B$191)</f>
        <v/>
      </c>
      <c r="BA123" s="8">
        <f>BA47*Assumptions!$B$262*BA83*(1+Assumptions!$B$191)</f>
        <v/>
      </c>
      <c r="BB123" s="8">
        <f>BB47*Assumptions!$B$262*BB83*(1+Assumptions!$B$191)</f>
        <v/>
      </c>
      <c r="BC123" s="8">
        <f>BC47*Assumptions!$B$262*BC83*(1+Assumptions!$B$191)</f>
        <v/>
      </c>
      <c r="BD123" s="8">
        <f>BD47*Assumptions!$B$262*BD83*(1+Assumptions!$B$191)</f>
        <v/>
      </c>
      <c r="BE123" s="8">
        <f>BE47*Assumptions!$B$262*BE83*(1+Assumptions!$B$191)</f>
        <v/>
      </c>
      <c r="BF123" s="8">
        <f>BF47*Assumptions!$B$262*BF83*(1+Assumptions!$B$191)</f>
        <v/>
      </c>
      <c r="BG123" s="8">
        <f>BG47*Assumptions!$B$262*BG83*(1+Assumptions!$B$191)</f>
        <v/>
      </c>
      <c r="BH123" s="8">
        <f>BH47*Assumptions!$B$262*BH83*(1+Assumptions!$B$191)</f>
        <v/>
      </c>
      <c r="BI123" s="8">
        <f>BI47*Assumptions!$B$262*BI83*(1+Assumptions!$B$191)</f>
        <v/>
      </c>
      <c r="BJ123" s="8">
        <f>BJ47*Assumptions!$B$262*BJ83*(1+Assumptions!$B$191)</f>
        <v/>
      </c>
    </row>
    <row r="124">
      <c r="A124" s="4" t="inlineStr">
        <is>
          <t>CS agents V</t>
        </is>
      </c>
      <c r="B124" s="17" t="inlineStr">
        <is>
          <t>R</t>
        </is>
      </c>
      <c r="C124" s="8">
        <f>C48*Assumptions!$B$263*C83*(1+Assumptions!$B$191)</f>
        <v/>
      </c>
      <c r="D124" s="8">
        <f>D48*Assumptions!$B$263*D83*(1+Assumptions!$B$191)</f>
        <v/>
      </c>
      <c r="E124" s="8">
        <f>E48*Assumptions!$B$263*E83*(1+Assumptions!$B$191)</f>
        <v/>
      </c>
      <c r="F124" s="8">
        <f>F48*Assumptions!$B$263*F83*(1+Assumptions!$B$191)</f>
        <v/>
      </c>
      <c r="G124" s="8">
        <f>G48*Assumptions!$B$263*G83*(1+Assumptions!$B$191)</f>
        <v/>
      </c>
      <c r="H124" s="8">
        <f>H48*Assumptions!$B$263*H83*(1+Assumptions!$B$191)</f>
        <v/>
      </c>
      <c r="I124" s="8">
        <f>I48*Assumptions!$B$263*I83*(1+Assumptions!$B$191)</f>
        <v/>
      </c>
      <c r="J124" s="8">
        <f>J48*Assumptions!$B$263*J83*(1+Assumptions!$B$191)</f>
        <v/>
      </c>
      <c r="K124" s="8">
        <f>K48*Assumptions!$B$263*K83*(1+Assumptions!$B$191)</f>
        <v/>
      </c>
      <c r="L124" s="8">
        <f>L48*Assumptions!$B$263*L83*(1+Assumptions!$B$191)</f>
        <v/>
      </c>
      <c r="M124" s="8">
        <f>M48*Assumptions!$B$263*M83*(1+Assumptions!$B$191)</f>
        <v/>
      </c>
      <c r="N124" s="8">
        <f>N48*Assumptions!$B$263*N83*(1+Assumptions!$B$191)</f>
        <v/>
      </c>
      <c r="O124" s="8">
        <f>O48*Assumptions!$B$263*O83*(1+Assumptions!$B$191)</f>
        <v/>
      </c>
      <c r="P124" s="8">
        <f>P48*Assumptions!$B$263*P83*(1+Assumptions!$B$191)</f>
        <v/>
      </c>
      <c r="Q124" s="8">
        <f>Q48*Assumptions!$B$263*Q83*(1+Assumptions!$B$191)</f>
        <v/>
      </c>
      <c r="R124" s="8">
        <f>R48*Assumptions!$B$263*R83*(1+Assumptions!$B$191)</f>
        <v/>
      </c>
      <c r="S124" s="8">
        <f>S48*Assumptions!$B$263*S83*(1+Assumptions!$B$191)</f>
        <v/>
      </c>
      <c r="T124" s="8">
        <f>T48*Assumptions!$B$263*T83*(1+Assumptions!$B$191)</f>
        <v/>
      </c>
      <c r="U124" s="8">
        <f>U48*Assumptions!$B$263*U83*(1+Assumptions!$B$191)</f>
        <v/>
      </c>
      <c r="V124" s="8">
        <f>V48*Assumptions!$B$263*V83*(1+Assumptions!$B$191)</f>
        <v/>
      </c>
      <c r="W124" s="8">
        <f>W48*Assumptions!$B$263*W83*(1+Assumptions!$B$191)</f>
        <v/>
      </c>
      <c r="X124" s="8">
        <f>X48*Assumptions!$B$263*X83*(1+Assumptions!$B$191)</f>
        <v/>
      </c>
      <c r="Y124" s="8">
        <f>Y48*Assumptions!$B$263*Y83*(1+Assumptions!$B$191)</f>
        <v/>
      </c>
      <c r="Z124" s="8">
        <f>Z48*Assumptions!$B$263*Z83*(1+Assumptions!$B$191)</f>
        <v/>
      </c>
      <c r="AA124" s="8">
        <f>AA48*Assumptions!$B$263*AA83*(1+Assumptions!$B$191)</f>
        <v/>
      </c>
      <c r="AB124" s="8">
        <f>AB48*Assumptions!$B$263*AB83*(1+Assumptions!$B$191)</f>
        <v/>
      </c>
      <c r="AC124" s="8">
        <f>AC48*Assumptions!$B$263*AC83*(1+Assumptions!$B$191)</f>
        <v/>
      </c>
      <c r="AD124" s="8">
        <f>AD48*Assumptions!$B$263*AD83*(1+Assumptions!$B$191)</f>
        <v/>
      </c>
      <c r="AE124" s="8">
        <f>AE48*Assumptions!$B$263*AE83*(1+Assumptions!$B$191)</f>
        <v/>
      </c>
      <c r="AF124" s="8">
        <f>AF48*Assumptions!$B$263*AF83*(1+Assumptions!$B$191)</f>
        <v/>
      </c>
      <c r="AG124" s="8">
        <f>AG48*Assumptions!$B$263*AG83*(1+Assumptions!$B$191)</f>
        <v/>
      </c>
      <c r="AH124" s="8">
        <f>AH48*Assumptions!$B$263*AH83*(1+Assumptions!$B$191)</f>
        <v/>
      </c>
      <c r="AI124" s="8">
        <f>AI48*Assumptions!$B$263*AI83*(1+Assumptions!$B$191)</f>
        <v/>
      </c>
      <c r="AJ124" s="8">
        <f>AJ48*Assumptions!$B$263*AJ83*(1+Assumptions!$B$191)</f>
        <v/>
      </c>
      <c r="AK124" s="8">
        <f>AK48*Assumptions!$B$263*AK83*(1+Assumptions!$B$191)</f>
        <v/>
      </c>
      <c r="AL124" s="8">
        <f>AL48*Assumptions!$B$263*AL83*(1+Assumptions!$B$191)</f>
        <v/>
      </c>
      <c r="AM124" s="8">
        <f>AM48*Assumptions!$B$263*AM83*(1+Assumptions!$B$191)</f>
        <v/>
      </c>
      <c r="AN124" s="8">
        <f>AN48*Assumptions!$B$263*AN83*(1+Assumptions!$B$191)</f>
        <v/>
      </c>
      <c r="AO124" s="8">
        <f>AO48*Assumptions!$B$263*AO83*(1+Assumptions!$B$191)</f>
        <v/>
      </c>
      <c r="AP124" s="8">
        <f>AP48*Assumptions!$B$263*AP83*(1+Assumptions!$B$191)</f>
        <v/>
      </c>
      <c r="AQ124" s="8">
        <f>AQ48*Assumptions!$B$263*AQ83*(1+Assumptions!$B$191)</f>
        <v/>
      </c>
      <c r="AR124" s="8">
        <f>AR48*Assumptions!$B$263*AR83*(1+Assumptions!$B$191)</f>
        <v/>
      </c>
      <c r="AS124" s="8">
        <f>AS48*Assumptions!$B$263*AS83*(1+Assumptions!$B$191)</f>
        <v/>
      </c>
      <c r="AT124" s="8">
        <f>AT48*Assumptions!$B$263*AT83*(1+Assumptions!$B$191)</f>
        <v/>
      </c>
      <c r="AU124" s="8">
        <f>AU48*Assumptions!$B$263*AU83*(1+Assumptions!$B$191)</f>
        <v/>
      </c>
      <c r="AV124" s="8">
        <f>AV48*Assumptions!$B$263*AV83*(1+Assumptions!$B$191)</f>
        <v/>
      </c>
      <c r="AW124" s="8">
        <f>AW48*Assumptions!$B$263*AW83*(1+Assumptions!$B$191)</f>
        <v/>
      </c>
      <c r="AX124" s="8">
        <f>AX48*Assumptions!$B$263*AX83*(1+Assumptions!$B$191)</f>
        <v/>
      </c>
      <c r="AY124" s="8">
        <f>AY48*Assumptions!$B$263*AY83*(1+Assumptions!$B$191)</f>
        <v/>
      </c>
      <c r="AZ124" s="8">
        <f>AZ48*Assumptions!$B$263*AZ83*(1+Assumptions!$B$191)</f>
        <v/>
      </c>
      <c r="BA124" s="8">
        <f>BA48*Assumptions!$B$263*BA83*(1+Assumptions!$B$191)</f>
        <v/>
      </c>
      <c r="BB124" s="8">
        <f>BB48*Assumptions!$B$263*BB83*(1+Assumptions!$B$191)</f>
        <v/>
      </c>
      <c r="BC124" s="8">
        <f>BC48*Assumptions!$B$263*BC83*(1+Assumptions!$B$191)</f>
        <v/>
      </c>
      <c r="BD124" s="8">
        <f>BD48*Assumptions!$B$263*BD83*(1+Assumptions!$B$191)</f>
        <v/>
      </c>
      <c r="BE124" s="8">
        <f>BE48*Assumptions!$B$263*BE83*(1+Assumptions!$B$191)</f>
        <v/>
      </c>
      <c r="BF124" s="8">
        <f>BF48*Assumptions!$B$263*BF83*(1+Assumptions!$B$191)</f>
        <v/>
      </c>
      <c r="BG124" s="8">
        <f>BG48*Assumptions!$B$263*BG83*(1+Assumptions!$B$191)</f>
        <v/>
      </c>
      <c r="BH124" s="8">
        <f>BH48*Assumptions!$B$263*BH83*(1+Assumptions!$B$191)</f>
        <v/>
      </c>
      <c r="BI124" s="8">
        <f>BI48*Assumptions!$B$263*BI83*(1+Assumptions!$B$191)</f>
        <v/>
      </c>
      <c r="BJ124" s="8">
        <f>BJ48*Assumptions!$B$263*BJ83*(1+Assumptions!$B$191)</f>
        <v/>
      </c>
    </row>
    <row r="125">
      <c r="A125" s="4" t="inlineStr">
        <is>
          <t>Finance &amp; compliance manager</t>
        </is>
      </c>
      <c r="B125" s="17" t="inlineStr">
        <is>
          <t>R</t>
        </is>
      </c>
      <c r="C125" s="8">
        <f>C49*Assumptions!$B$264*C83*(1+Assumptions!$B$191)</f>
        <v/>
      </c>
      <c r="D125" s="8">
        <f>D49*Assumptions!$B$264*D83*(1+Assumptions!$B$191)</f>
        <v/>
      </c>
      <c r="E125" s="8">
        <f>E49*Assumptions!$B$264*E83*(1+Assumptions!$B$191)</f>
        <v/>
      </c>
      <c r="F125" s="8">
        <f>F49*Assumptions!$B$264*F83*(1+Assumptions!$B$191)</f>
        <v/>
      </c>
      <c r="G125" s="8">
        <f>G49*Assumptions!$B$264*G83*(1+Assumptions!$B$191)</f>
        <v/>
      </c>
      <c r="H125" s="8">
        <f>H49*Assumptions!$B$264*H83*(1+Assumptions!$B$191)</f>
        <v/>
      </c>
      <c r="I125" s="8">
        <f>I49*Assumptions!$B$264*I83*(1+Assumptions!$B$191)</f>
        <v/>
      </c>
      <c r="J125" s="8">
        <f>J49*Assumptions!$B$264*J83*(1+Assumptions!$B$191)</f>
        <v/>
      </c>
      <c r="K125" s="8">
        <f>K49*Assumptions!$B$264*K83*(1+Assumptions!$B$191)</f>
        <v/>
      </c>
      <c r="L125" s="8">
        <f>L49*Assumptions!$B$264*L83*(1+Assumptions!$B$191)</f>
        <v/>
      </c>
      <c r="M125" s="8">
        <f>M49*Assumptions!$B$264*M83*(1+Assumptions!$B$191)</f>
        <v/>
      </c>
      <c r="N125" s="8">
        <f>N49*Assumptions!$B$264*N83*(1+Assumptions!$B$191)</f>
        <v/>
      </c>
      <c r="O125" s="8">
        <f>O49*Assumptions!$B$264*O83*(1+Assumptions!$B$191)</f>
        <v/>
      </c>
      <c r="P125" s="8">
        <f>P49*Assumptions!$B$264*P83*(1+Assumptions!$B$191)</f>
        <v/>
      </c>
      <c r="Q125" s="8">
        <f>Q49*Assumptions!$B$264*Q83*(1+Assumptions!$B$191)</f>
        <v/>
      </c>
      <c r="R125" s="8">
        <f>R49*Assumptions!$B$264*R83*(1+Assumptions!$B$191)</f>
        <v/>
      </c>
      <c r="S125" s="8">
        <f>S49*Assumptions!$B$264*S83*(1+Assumptions!$B$191)</f>
        <v/>
      </c>
      <c r="T125" s="8">
        <f>T49*Assumptions!$B$264*T83*(1+Assumptions!$B$191)</f>
        <v/>
      </c>
      <c r="U125" s="8">
        <f>U49*Assumptions!$B$264*U83*(1+Assumptions!$B$191)</f>
        <v/>
      </c>
      <c r="V125" s="8">
        <f>V49*Assumptions!$B$264*V83*(1+Assumptions!$B$191)</f>
        <v/>
      </c>
      <c r="W125" s="8">
        <f>W49*Assumptions!$B$264*W83*(1+Assumptions!$B$191)</f>
        <v/>
      </c>
      <c r="X125" s="8">
        <f>X49*Assumptions!$B$264*X83*(1+Assumptions!$B$191)</f>
        <v/>
      </c>
      <c r="Y125" s="8">
        <f>Y49*Assumptions!$B$264*Y83*(1+Assumptions!$B$191)</f>
        <v/>
      </c>
      <c r="Z125" s="8">
        <f>Z49*Assumptions!$B$264*Z83*(1+Assumptions!$B$191)</f>
        <v/>
      </c>
      <c r="AA125" s="8">
        <f>AA49*Assumptions!$B$264*AA83*(1+Assumptions!$B$191)</f>
        <v/>
      </c>
      <c r="AB125" s="8">
        <f>AB49*Assumptions!$B$264*AB83*(1+Assumptions!$B$191)</f>
        <v/>
      </c>
      <c r="AC125" s="8">
        <f>AC49*Assumptions!$B$264*AC83*(1+Assumptions!$B$191)</f>
        <v/>
      </c>
      <c r="AD125" s="8">
        <f>AD49*Assumptions!$B$264*AD83*(1+Assumptions!$B$191)</f>
        <v/>
      </c>
      <c r="AE125" s="8">
        <f>AE49*Assumptions!$B$264*AE83*(1+Assumptions!$B$191)</f>
        <v/>
      </c>
      <c r="AF125" s="8">
        <f>AF49*Assumptions!$B$264*AF83*(1+Assumptions!$B$191)</f>
        <v/>
      </c>
      <c r="AG125" s="8">
        <f>AG49*Assumptions!$B$264*AG83*(1+Assumptions!$B$191)</f>
        <v/>
      </c>
      <c r="AH125" s="8">
        <f>AH49*Assumptions!$B$264*AH83*(1+Assumptions!$B$191)</f>
        <v/>
      </c>
      <c r="AI125" s="8">
        <f>AI49*Assumptions!$B$264*AI83*(1+Assumptions!$B$191)</f>
        <v/>
      </c>
      <c r="AJ125" s="8">
        <f>AJ49*Assumptions!$B$264*AJ83*(1+Assumptions!$B$191)</f>
        <v/>
      </c>
      <c r="AK125" s="8">
        <f>AK49*Assumptions!$B$264*AK83*(1+Assumptions!$B$191)</f>
        <v/>
      </c>
      <c r="AL125" s="8">
        <f>AL49*Assumptions!$B$264*AL83*(1+Assumptions!$B$191)</f>
        <v/>
      </c>
      <c r="AM125" s="8">
        <f>AM49*Assumptions!$B$264*AM83*(1+Assumptions!$B$191)</f>
        <v/>
      </c>
      <c r="AN125" s="8">
        <f>AN49*Assumptions!$B$264*AN83*(1+Assumptions!$B$191)</f>
        <v/>
      </c>
      <c r="AO125" s="8">
        <f>AO49*Assumptions!$B$264*AO83*(1+Assumptions!$B$191)</f>
        <v/>
      </c>
      <c r="AP125" s="8">
        <f>AP49*Assumptions!$B$264*AP83*(1+Assumptions!$B$191)</f>
        <v/>
      </c>
      <c r="AQ125" s="8">
        <f>AQ49*Assumptions!$B$264*AQ83*(1+Assumptions!$B$191)</f>
        <v/>
      </c>
      <c r="AR125" s="8">
        <f>AR49*Assumptions!$B$264*AR83*(1+Assumptions!$B$191)</f>
        <v/>
      </c>
      <c r="AS125" s="8">
        <f>AS49*Assumptions!$B$264*AS83*(1+Assumptions!$B$191)</f>
        <v/>
      </c>
      <c r="AT125" s="8">
        <f>AT49*Assumptions!$B$264*AT83*(1+Assumptions!$B$191)</f>
        <v/>
      </c>
      <c r="AU125" s="8">
        <f>AU49*Assumptions!$B$264*AU83*(1+Assumptions!$B$191)</f>
        <v/>
      </c>
      <c r="AV125" s="8">
        <f>AV49*Assumptions!$B$264*AV83*(1+Assumptions!$B$191)</f>
        <v/>
      </c>
      <c r="AW125" s="8">
        <f>AW49*Assumptions!$B$264*AW83*(1+Assumptions!$B$191)</f>
        <v/>
      </c>
      <c r="AX125" s="8">
        <f>AX49*Assumptions!$B$264*AX83*(1+Assumptions!$B$191)</f>
        <v/>
      </c>
      <c r="AY125" s="8">
        <f>AY49*Assumptions!$B$264*AY83*(1+Assumptions!$B$191)</f>
        <v/>
      </c>
      <c r="AZ125" s="8">
        <f>AZ49*Assumptions!$B$264*AZ83*(1+Assumptions!$B$191)</f>
        <v/>
      </c>
      <c r="BA125" s="8">
        <f>BA49*Assumptions!$B$264*BA83*(1+Assumptions!$B$191)</f>
        <v/>
      </c>
      <c r="BB125" s="8">
        <f>BB49*Assumptions!$B$264*BB83*(1+Assumptions!$B$191)</f>
        <v/>
      </c>
      <c r="BC125" s="8">
        <f>BC49*Assumptions!$B$264*BC83*(1+Assumptions!$B$191)</f>
        <v/>
      </c>
      <c r="BD125" s="8">
        <f>BD49*Assumptions!$B$264*BD83*(1+Assumptions!$B$191)</f>
        <v/>
      </c>
      <c r="BE125" s="8">
        <f>BE49*Assumptions!$B$264*BE83*(1+Assumptions!$B$191)</f>
        <v/>
      </c>
      <c r="BF125" s="8">
        <f>BF49*Assumptions!$B$264*BF83*(1+Assumptions!$B$191)</f>
        <v/>
      </c>
      <c r="BG125" s="8">
        <f>BG49*Assumptions!$B$264*BG83*(1+Assumptions!$B$191)</f>
        <v/>
      </c>
      <c r="BH125" s="8">
        <f>BH49*Assumptions!$B$264*BH83*(1+Assumptions!$B$191)</f>
        <v/>
      </c>
      <c r="BI125" s="8">
        <f>BI49*Assumptions!$B$264*BI83*(1+Assumptions!$B$191)</f>
        <v/>
      </c>
      <c r="BJ125" s="8">
        <f>BJ49*Assumptions!$B$264*BJ83*(1+Assumptions!$B$191)</f>
        <v/>
      </c>
    </row>
    <row r="126">
      <c r="A126" s="4" t="inlineStr">
        <is>
          <t>Operations &amp; admin</t>
        </is>
      </c>
      <c r="B126" s="17" t="inlineStr">
        <is>
          <t>R</t>
        </is>
      </c>
      <c r="C126" s="8">
        <f>C50*Assumptions!$B$265*C83*(1+Assumptions!$B$191)</f>
        <v/>
      </c>
      <c r="D126" s="8">
        <f>D50*Assumptions!$B$265*D83*(1+Assumptions!$B$191)</f>
        <v/>
      </c>
      <c r="E126" s="8">
        <f>E50*Assumptions!$B$265*E83*(1+Assumptions!$B$191)</f>
        <v/>
      </c>
      <c r="F126" s="8">
        <f>F50*Assumptions!$B$265*F83*(1+Assumptions!$B$191)</f>
        <v/>
      </c>
      <c r="G126" s="8">
        <f>G50*Assumptions!$B$265*G83*(1+Assumptions!$B$191)</f>
        <v/>
      </c>
      <c r="H126" s="8">
        <f>H50*Assumptions!$B$265*H83*(1+Assumptions!$B$191)</f>
        <v/>
      </c>
      <c r="I126" s="8">
        <f>I50*Assumptions!$B$265*I83*(1+Assumptions!$B$191)</f>
        <v/>
      </c>
      <c r="J126" s="8">
        <f>J50*Assumptions!$B$265*J83*(1+Assumptions!$B$191)</f>
        <v/>
      </c>
      <c r="K126" s="8">
        <f>K50*Assumptions!$B$265*K83*(1+Assumptions!$B$191)</f>
        <v/>
      </c>
      <c r="L126" s="8">
        <f>L50*Assumptions!$B$265*L83*(1+Assumptions!$B$191)</f>
        <v/>
      </c>
      <c r="M126" s="8">
        <f>M50*Assumptions!$B$265*M83*(1+Assumptions!$B$191)</f>
        <v/>
      </c>
      <c r="N126" s="8">
        <f>N50*Assumptions!$B$265*N83*(1+Assumptions!$B$191)</f>
        <v/>
      </c>
      <c r="O126" s="8">
        <f>O50*Assumptions!$B$265*O83*(1+Assumptions!$B$191)</f>
        <v/>
      </c>
      <c r="P126" s="8">
        <f>P50*Assumptions!$B$265*P83*(1+Assumptions!$B$191)</f>
        <v/>
      </c>
      <c r="Q126" s="8">
        <f>Q50*Assumptions!$B$265*Q83*(1+Assumptions!$B$191)</f>
        <v/>
      </c>
      <c r="R126" s="8">
        <f>R50*Assumptions!$B$265*R83*(1+Assumptions!$B$191)</f>
        <v/>
      </c>
      <c r="S126" s="8">
        <f>S50*Assumptions!$B$265*S83*(1+Assumptions!$B$191)</f>
        <v/>
      </c>
      <c r="T126" s="8">
        <f>T50*Assumptions!$B$265*T83*(1+Assumptions!$B$191)</f>
        <v/>
      </c>
      <c r="U126" s="8">
        <f>U50*Assumptions!$B$265*U83*(1+Assumptions!$B$191)</f>
        <v/>
      </c>
      <c r="V126" s="8">
        <f>V50*Assumptions!$B$265*V83*(1+Assumptions!$B$191)</f>
        <v/>
      </c>
      <c r="W126" s="8">
        <f>W50*Assumptions!$B$265*W83*(1+Assumptions!$B$191)</f>
        <v/>
      </c>
      <c r="X126" s="8">
        <f>X50*Assumptions!$B$265*X83*(1+Assumptions!$B$191)</f>
        <v/>
      </c>
      <c r="Y126" s="8">
        <f>Y50*Assumptions!$B$265*Y83*(1+Assumptions!$B$191)</f>
        <v/>
      </c>
      <c r="Z126" s="8">
        <f>Z50*Assumptions!$B$265*Z83*(1+Assumptions!$B$191)</f>
        <v/>
      </c>
      <c r="AA126" s="8">
        <f>AA50*Assumptions!$B$265*AA83*(1+Assumptions!$B$191)</f>
        <v/>
      </c>
      <c r="AB126" s="8">
        <f>AB50*Assumptions!$B$265*AB83*(1+Assumptions!$B$191)</f>
        <v/>
      </c>
      <c r="AC126" s="8">
        <f>AC50*Assumptions!$B$265*AC83*(1+Assumptions!$B$191)</f>
        <v/>
      </c>
      <c r="AD126" s="8">
        <f>AD50*Assumptions!$B$265*AD83*(1+Assumptions!$B$191)</f>
        <v/>
      </c>
      <c r="AE126" s="8">
        <f>AE50*Assumptions!$B$265*AE83*(1+Assumptions!$B$191)</f>
        <v/>
      </c>
      <c r="AF126" s="8">
        <f>AF50*Assumptions!$B$265*AF83*(1+Assumptions!$B$191)</f>
        <v/>
      </c>
      <c r="AG126" s="8">
        <f>AG50*Assumptions!$B$265*AG83*(1+Assumptions!$B$191)</f>
        <v/>
      </c>
      <c r="AH126" s="8">
        <f>AH50*Assumptions!$B$265*AH83*(1+Assumptions!$B$191)</f>
        <v/>
      </c>
      <c r="AI126" s="8">
        <f>AI50*Assumptions!$B$265*AI83*(1+Assumptions!$B$191)</f>
        <v/>
      </c>
      <c r="AJ126" s="8">
        <f>AJ50*Assumptions!$B$265*AJ83*(1+Assumptions!$B$191)</f>
        <v/>
      </c>
      <c r="AK126" s="8">
        <f>AK50*Assumptions!$B$265*AK83*(1+Assumptions!$B$191)</f>
        <v/>
      </c>
      <c r="AL126" s="8">
        <f>AL50*Assumptions!$B$265*AL83*(1+Assumptions!$B$191)</f>
        <v/>
      </c>
      <c r="AM126" s="8">
        <f>AM50*Assumptions!$B$265*AM83*(1+Assumptions!$B$191)</f>
        <v/>
      </c>
      <c r="AN126" s="8">
        <f>AN50*Assumptions!$B$265*AN83*(1+Assumptions!$B$191)</f>
        <v/>
      </c>
      <c r="AO126" s="8">
        <f>AO50*Assumptions!$B$265*AO83*(1+Assumptions!$B$191)</f>
        <v/>
      </c>
      <c r="AP126" s="8">
        <f>AP50*Assumptions!$B$265*AP83*(1+Assumptions!$B$191)</f>
        <v/>
      </c>
      <c r="AQ126" s="8">
        <f>AQ50*Assumptions!$B$265*AQ83*(1+Assumptions!$B$191)</f>
        <v/>
      </c>
      <c r="AR126" s="8">
        <f>AR50*Assumptions!$B$265*AR83*(1+Assumptions!$B$191)</f>
        <v/>
      </c>
      <c r="AS126" s="8">
        <f>AS50*Assumptions!$B$265*AS83*(1+Assumptions!$B$191)</f>
        <v/>
      </c>
      <c r="AT126" s="8">
        <f>AT50*Assumptions!$B$265*AT83*(1+Assumptions!$B$191)</f>
        <v/>
      </c>
      <c r="AU126" s="8">
        <f>AU50*Assumptions!$B$265*AU83*(1+Assumptions!$B$191)</f>
        <v/>
      </c>
      <c r="AV126" s="8">
        <f>AV50*Assumptions!$B$265*AV83*(1+Assumptions!$B$191)</f>
        <v/>
      </c>
      <c r="AW126" s="8">
        <f>AW50*Assumptions!$B$265*AW83*(1+Assumptions!$B$191)</f>
        <v/>
      </c>
      <c r="AX126" s="8">
        <f>AX50*Assumptions!$B$265*AX83*(1+Assumptions!$B$191)</f>
        <v/>
      </c>
      <c r="AY126" s="8">
        <f>AY50*Assumptions!$B$265*AY83*(1+Assumptions!$B$191)</f>
        <v/>
      </c>
      <c r="AZ126" s="8">
        <f>AZ50*Assumptions!$B$265*AZ83*(1+Assumptions!$B$191)</f>
        <v/>
      </c>
      <c r="BA126" s="8">
        <f>BA50*Assumptions!$B$265*BA83*(1+Assumptions!$B$191)</f>
        <v/>
      </c>
      <c r="BB126" s="8">
        <f>BB50*Assumptions!$B$265*BB83*(1+Assumptions!$B$191)</f>
        <v/>
      </c>
      <c r="BC126" s="8">
        <f>BC50*Assumptions!$B$265*BC83*(1+Assumptions!$B$191)</f>
        <v/>
      </c>
      <c r="BD126" s="8">
        <f>BD50*Assumptions!$B$265*BD83*(1+Assumptions!$B$191)</f>
        <v/>
      </c>
      <c r="BE126" s="8">
        <f>BE50*Assumptions!$B$265*BE83*(1+Assumptions!$B$191)</f>
        <v/>
      </c>
      <c r="BF126" s="8">
        <f>BF50*Assumptions!$B$265*BF83*(1+Assumptions!$B$191)</f>
        <v/>
      </c>
      <c r="BG126" s="8">
        <f>BG50*Assumptions!$B$265*BG83*(1+Assumptions!$B$191)</f>
        <v/>
      </c>
      <c r="BH126" s="8">
        <f>BH50*Assumptions!$B$265*BH83*(1+Assumptions!$B$191)</f>
        <v/>
      </c>
      <c r="BI126" s="8">
        <f>BI50*Assumptions!$B$265*BI83*(1+Assumptions!$B$191)</f>
        <v/>
      </c>
      <c r="BJ126" s="8">
        <f>BJ50*Assumptions!$B$265*BJ83*(1+Assumptions!$B$191)</f>
        <v/>
      </c>
    </row>
    <row r="127">
      <c r="A127" s="4" t="inlineStr">
        <is>
          <t>Legal &amp; data-protection counsel</t>
        </is>
      </c>
      <c r="B127" s="17" t="inlineStr">
        <is>
          <t>R</t>
        </is>
      </c>
      <c r="C127" s="8">
        <f>C51*Assumptions!$B$266*C83*(1+Assumptions!$B$191)</f>
        <v/>
      </c>
      <c r="D127" s="8">
        <f>D51*Assumptions!$B$266*D83*(1+Assumptions!$B$191)</f>
        <v/>
      </c>
      <c r="E127" s="8">
        <f>E51*Assumptions!$B$266*E83*(1+Assumptions!$B$191)</f>
        <v/>
      </c>
      <c r="F127" s="8">
        <f>F51*Assumptions!$B$266*F83*(1+Assumptions!$B$191)</f>
        <v/>
      </c>
      <c r="G127" s="8">
        <f>G51*Assumptions!$B$266*G83*(1+Assumptions!$B$191)</f>
        <v/>
      </c>
      <c r="H127" s="8">
        <f>H51*Assumptions!$B$266*H83*(1+Assumptions!$B$191)</f>
        <v/>
      </c>
      <c r="I127" s="8">
        <f>I51*Assumptions!$B$266*I83*(1+Assumptions!$B$191)</f>
        <v/>
      </c>
      <c r="J127" s="8">
        <f>J51*Assumptions!$B$266*J83*(1+Assumptions!$B$191)</f>
        <v/>
      </c>
      <c r="K127" s="8">
        <f>K51*Assumptions!$B$266*K83*(1+Assumptions!$B$191)</f>
        <v/>
      </c>
      <c r="L127" s="8">
        <f>L51*Assumptions!$B$266*L83*(1+Assumptions!$B$191)</f>
        <v/>
      </c>
      <c r="M127" s="8">
        <f>M51*Assumptions!$B$266*M83*(1+Assumptions!$B$191)</f>
        <v/>
      </c>
      <c r="N127" s="8">
        <f>N51*Assumptions!$B$266*N83*(1+Assumptions!$B$191)</f>
        <v/>
      </c>
      <c r="O127" s="8">
        <f>O51*Assumptions!$B$266*O83*(1+Assumptions!$B$191)</f>
        <v/>
      </c>
      <c r="P127" s="8">
        <f>P51*Assumptions!$B$266*P83*(1+Assumptions!$B$191)</f>
        <v/>
      </c>
      <c r="Q127" s="8">
        <f>Q51*Assumptions!$B$266*Q83*(1+Assumptions!$B$191)</f>
        <v/>
      </c>
      <c r="R127" s="8">
        <f>R51*Assumptions!$B$266*R83*(1+Assumptions!$B$191)</f>
        <v/>
      </c>
      <c r="S127" s="8">
        <f>S51*Assumptions!$B$266*S83*(1+Assumptions!$B$191)</f>
        <v/>
      </c>
      <c r="T127" s="8">
        <f>T51*Assumptions!$B$266*T83*(1+Assumptions!$B$191)</f>
        <v/>
      </c>
      <c r="U127" s="8">
        <f>U51*Assumptions!$B$266*U83*(1+Assumptions!$B$191)</f>
        <v/>
      </c>
      <c r="V127" s="8">
        <f>V51*Assumptions!$B$266*V83*(1+Assumptions!$B$191)</f>
        <v/>
      </c>
      <c r="W127" s="8">
        <f>W51*Assumptions!$B$266*W83*(1+Assumptions!$B$191)</f>
        <v/>
      </c>
      <c r="X127" s="8">
        <f>X51*Assumptions!$B$266*X83*(1+Assumptions!$B$191)</f>
        <v/>
      </c>
      <c r="Y127" s="8">
        <f>Y51*Assumptions!$B$266*Y83*(1+Assumptions!$B$191)</f>
        <v/>
      </c>
      <c r="Z127" s="8">
        <f>Z51*Assumptions!$B$266*Z83*(1+Assumptions!$B$191)</f>
        <v/>
      </c>
      <c r="AA127" s="8">
        <f>AA51*Assumptions!$B$266*AA83*(1+Assumptions!$B$191)</f>
        <v/>
      </c>
      <c r="AB127" s="8">
        <f>AB51*Assumptions!$B$266*AB83*(1+Assumptions!$B$191)</f>
        <v/>
      </c>
      <c r="AC127" s="8">
        <f>AC51*Assumptions!$B$266*AC83*(1+Assumptions!$B$191)</f>
        <v/>
      </c>
      <c r="AD127" s="8">
        <f>AD51*Assumptions!$B$266*AD83*(1+Assumptions!$B$191)</f>
        <v/>
      </c>
      <c r="AE127" s="8">
        <f>AE51*Assumptions!$B$266*AE83*(1+Assumptions!$B$191)</f>
        <v/>
      </c>
      <c r="AF127" s="8">
        <f>AF51*Assumptions!$B$266*AF83*(1+Assumptions!$B$191)</f>
        <v/>
      </c>
      <c r="AG127" s="8">
        <f>AG51*Assumptions!$B$266*AG83*(1+Assumptions!$B$191)</f>
        <v/>
      </c>
      <c r="AH127" s="8">
        <f>AH51*Assumptions!$B$266*AH83*(1+Assumptions!$B$191)</f>
        <v/>
      </c>
      <c r="AI127" s="8">
        <f>AI51*Assumptions!$B$266*AI83*(1+Assumptions!$B$191)</f>
        <v/>
      </c>
      <c r="AJ127" s="8">
        <f>AJ51*Assumptions!$B$266*AJ83*(1+Assumptions!$B$191)</f>
        <v/>
      </c>
      <c r="AK127" s="8">
        <f>AK51*Assumptions!$B$266*AK83*(1+Assumptions!$B$191)</f>
        <v/>
      </c>
      <c r="AL127" s="8">
        <f>AL51*Assumptions!$B$266*AL83*(1+Assumptions!$B$191)</f>
        <v/>
      </c>
      <c r="AM127" s="8">
        <f>AM51*Assumptions!$B$266*AM83*(1+Assumptions!$B$191)</f>
        <v/>
      </c>
      <c r="AN127" s="8">
        <f>AN51*Assumptions!$B$266*AN83*(1+Assumptions!$B$191)</f>
        <v/>
      </c>
      <c r="AO127" s="8">
        <f>AO51*Assumptions!$B$266*AO83*(1+Assumptions!$B$191)</f>
        <v/>
      </c>
      <c r="AP127" s="8">
        <f>AP51*Assumptions!$B$266*AP83*(1+Assumptions!$B$191)</f>
        <v/>
      </c>
      <c r="AQ127" s="8">
        <f>AQ51*Assumptions!$B$266*AQ83*(1+Assumptions!$B$191)</f>
        <v/>
      </c>
      <c r="AR127" s="8">
        <f>AR51*Assumptions!$B$266*AR83*(1+Assumptions!$B$191)</f>
        <v/>
      </c>
      <c r="AS127" s="8">
        <f>AS51*Assumptions!$B$266*AS83*(1+Assumptions!$B$191)</f>
        <v/>
      </c>
      <c r="AT127" s="8">
        <f>AT51*Assumptions!$B$266*AT83*(1+Assumptions!$B$191)</f>
        <v/>
      </c>
      <c r="AU127" s="8">
        <f>AU51*Assumptions!$B$266*AU83*(1+Assumptions!$B$191)</f>
        <v/>
      </c>
      <c r="AV127" s="8">
        <f>AV51*Assumptions!$B$266*AV83*(1+Assumptions!$B$191)</f>
        <v/>
      </c>
      <c r="AW127" s="8">
        <f>AW51*Assumptions!$B$266*AW83*(1+Assumptions!$B$191)</f>
        <v/>
      </c>
      <c r="AX127" s="8">
        <f>AX51*Assumptions!$B$266*AX83*(1+Assumptions!$B$191)</f>
        <v/>
      </c>
      <c r="AY127" s="8">
        <f>AY51*Assumptions!$B$266*AY83*(1+Assumptions!$B$191)</f>
        <v/>
      </c>
      <c r="AZ127" s="8">
        <f>AZ51*Assumptions!$B$266*AZ83*(1+Assumptions!$B$191)</f>
        <v/>
      </c>
      <c r="BA127" s="8">
        <f>BA51*Assumptions!$B$266*BA83*(1+Assumptions!$B$191)</f>
        <v/>
      </c>
      <c r="BB127" s="8">
        <f>BB51*Assumptions!$B$266*BB83*(1+Assumptions!$B$191)</f>
        <v/>
      </c>
      <c r="BC127" s="8">
        <f>BC51*Assumptions!$B$266*BC83*(1+Assumptions!$B$191)</f>
        <v/>
      </c>
      <c r="BD127" s="8">
        <f>BD51*Assumptions!$B$266*BD83*(1+Assumptions!$B$191)</f>
        <v/>
      </c>
      <c r="BE127" s="8">
        <f>BE51*Assumptions!$B$266*BE83*(1+Assumptions!$B$191)</f>
        <v/>
      </c>
      <c r="BF127" s="8">
        <f>BF51*Assumptions!$B$266*BF83*(1+Assumptions!$B$191)</f>
        <v/>
      </c>
      <c r="BG127" s="8">
        <f>BG51*Assumptions!$B$266*BG83*(1+Assumptions!$B$191)</f>
        <v/>
      </c>
      <c r="BH127" s="8">
        <f>BH51*Assumptions!$B$266*BH83*(1+Assumptions!$B$191)</f>
        <v/>
      </c>
      <c r="BI127" s="8">
        <f>BI51*Assumptions!$B$266*BI83*(1+Assumptions!$B$191)</f>
        <v/>
      </c>
      <c r="BJ127" s="8">
        <f>BJ51*Assumptions!$B$266*BJ83*(1+Assumptions!$B$191)</f>
        <v/>
      </c>
    </row>
    <row r="128">
      <c r="A128" s="4" t="inlineStr">
        <is>
          <t>People &amp; HR partner</t>
        </is>
      </c>
      <c r="B128" s="17" t="inlineStr">
        <is>
          <t>R</t>
        </is>
      </c>
      <c r="C128" s="8">
        <f>C52*Assumptions!$B$267*C83*(1+Assumptions!$B$191)</f>
        <v/>
      </c>
      <c r="D128" s="8">
        <f>D52*Assumptions!$B$267*D83*(1+Assumptions!$B$191)</f>
        <v/>
      </c>
      <c r="E128" s="8">
        <f>E52*Assumptions!$B$267*E83*(1+Assumptions!$B$191)</f>
        <v/>
      </c>
      <c r="F128" s="8">
        <f>F52*Assumptions!$B$267*F83*(1+Assumptions!$B$191)</f>
        <v/>
      </c>
      <c r="G128" s="8">
        <f>G52*Assumptions!$B$267*G83*(1+Assumptions!$B$191)</f>
        <v/>
      </c>
      <c r="H128" s="8">
        <f>H52*Assumptions!$B$267*H83*(1+Assumptions!$B$191)</f>
        <v/>
      </c>
      <c r="I128" s="8">
        <f>I52*Assumptions!$B$267*I83*(1+Assumptions!$B$191)</f>
        <v/>
      </c>
      <c r="J128" s="8">
        <f>J52*Assumptions!$B$267*J83*(1+Assumptions!$B$191)</f>
        <v/>
      </c>
      <c r="K128" s="8">
        <f>K52*Assumptions!$B$267*K83*(1+Assumptions!$B$191)</f>
        <v/>
      </c>
      <c r="L128" s="8">
        <f>L52*Assumptions!$B$267*L83*(1+Assumptions!$B$191)</f>
        <v/>
      </c>
      <c r="M128" s="8">
        <f>M52*Assumptions!$B$267*M83*(1+Assumptions!$B$191)</f>
        <v/>
      </c>
      <c r="N128" s="8">
        <f>N52*Assumptions!$B$267*N83*(1+Assumptions!$B$191)</f>
        <v/>
      </c>
      <c r="O128" s="8">
        <f>O52*Assumptions!$B$267*O83*(1+Assumptions!$B$191)</f>
        <v/>
      </c>
      <c r="P128" s="8">
        <f>P52*Assumptions!$B$267*P83*(1+Assumptions!$B$191)</f>
        <v/>
      </c>
      <c r="Q128" s="8">
        <f>Q52*Assumptions!$B$267*Q83*(1+Assumptions!$B$191)</f>
        <v/>
      </c>
      <c r="R128" s="8">
        <f>R52*Assumptions!$B$267*R83*(1+Assumptions!$B$191)</f>
        <v/>
      </c>
      <c r="S128" s="8">
        <f>S52*Assumptions!$B$267*S83*(1+Assumptions!$B$191)</f>
        <v/>
      </c>
      <c r="T128" s="8">
        <f>T52*Assumptions!$B$267*T83*(1+Assumptions!$B$191)</f>
        <v/>
      </c>
      <c r="U128" s="8">
        <f>U52*Assumptions!$B$267*U83*(1+Assumptions!$B$191)</f>
        <v/>
      </c>
      <c r="V128" s="8">
        <f>V52*Assumptions!$B$267*V83*(1+Assumptions!$B$191)</f>
        <v/>
      </c>
      <c r="W128" s="8">
        <f>W52*Assumptions!$B$267*W83*(1+Assumptions!$B$191)</f>
        <v/>
      </c>
      <c r="X128" s="8">
        <f>X52*Assumptions!$B$267*X83*(1+Assumptions!$B$191)</f>
        <v/>
      </c>
      <c r="Y128" s="8">
        <f>Y52*Assumptions!$B$267*Y83*(1+Assumptions!$B$191)</f>
        <v/>
      </c>
      <c r="Z128" s="8">
        <f>Z52*Assumptions!$B$267*Z83*(1+Assumptions!$B$191)</f>
        <v/>
      </c>
      <c r="AA128" s="8">
        <f>AA52*Assumptions!$B$267*AA83*(1+Assumptions!$B$191)</f>
        <v/>
      </c>
      <c r="AB128" s="8">
        <f>AB52*Assumptions!$B$267*AB83*(1+Assumptions!$B$191)</f>
        <v/>
      </c>
      <c r="AC128" s="8">
        <f>AC52*Assumptions!$B$267*AC83*(1+Assumptions!$B$191)</f>
        <v/>
      </c>
      <c r="AD128" s="8">
        <f>AD52*Assumptions!$B$267*AD83*(1+Assumptions!$B$191)</f>
        <v/>
      </c>
      <c r="AE128" s="8">
        <f>AE52*Assumptions!$B$267*AE83*(1+Assumptions!$B$191)</f>
        <v/>
      </c>
      <c r="AF128" s="8">
        <f>AF52*Assumptions!$B$267*AF83*(1+Assumptions!$B$191)</f>
        <v/>
      </c>
      <c r="AG128" s="8">
        <f>AG52*Assumptions!$B$267*AG83*(1+Assumptions!$B$191)</f>
        <v/>
      </c>
      <c r="AH128" s="8">
        <f>AH52*Assumptions!$B$267*AH83*(1+Assumptions!$B$191)</f>
        <v/>
      </c>
      <c r="AI128" s="8">
        <f>AI52*Assumptions!$B$267*AI83*(1+Assumptions!$B$191)</f>
        <v/>
      </c>
      <c r="AJ128" s="8">
        <f>AJ52*Assumptions!$B$267*AJ83*(1+Assumptions!$B$191)</f>
        <v/>
      </c>
      <c r="AK128" s="8">
        <f>AK52*Assumptions!$B$267*AK83*(1+Assumptions!$B$191)</f>
        <v/>
      </c>
      <c r="AL128" s="8">
        <f>AL52*Assumptions!$B$267*AL83*(1+Assumptions!$B$191)</f>
        <v/>
      </c>
      <c r="AM128" s="8">
        <f>AM52*Assumptions!$B$267*AM83*(1+Assumptions!$B$191)</f>
        <v/>
      </c>
      <c r="AN128" s="8">
        <f>AN52*Assumptions!$B$267*AN83*(1+Assumptions!$B$191)</f>
        <v/>
      </c>
      <c r="AO128" s="8">
        <f>AO52*Assumptions!$B$267*AO83*(1+Assumptions!$B$191)</f>
        <v/>
      </c>
      <c r="AP128" s="8">
        <f>AP52*Assumptions!$B$267*AP83*(1+Assumptions!$B$191)</f>
        <v/>
      </c>
      <c r="AQ128" s="8">
        <f>AQ52*Assumptions!$B$267*AQ83*(1+Assumptions!$B$191)</f>
        <v/>
      </c>
      <c r="AR128" s="8">
        <f>AR52*Assumptions!$B$267*AR83*(1+Assumptions!$B$191)</f>
        <v/>
      </c>
      <c r="AS128" s="8">
        <f>AS52*Assumptions!$B$267*AS83*(1+Assumptions!$B$191)</f>
        <v/>
      </c>
      <c r="AT128" s="8">
        <f>AT52*Assumptions!$B$267*AT83*(1+Assumptions!$B$191)</f>
        <v/>
      </c>
      <c r="AU128" s="8">
        <f>AU52*Assumptions!$B$267*AU83*(1+Assumptions!$B$191)</f>
        <v/>
      </c>
      <c r="AV128" s="8">
        <f>AV52*Assumptions!$B$267*AV83*(1+Assumptions!$B$191)</f>
        <v/>
      </c>
      <c r="AW128" s="8">
        <f>AW52*Assumptions!$B$267*AW83*(1+Assumptions!$B$191)</f>
        <v/>
      </c>
      <c r="AX128" s="8">
        <f>AX52*Assumptions!$B$267*AX83*(1+Assumptions!$B$191)</f>
        <v/>
      </c>
      <c r="AY128" s="8">
        <f>AY52*Assumptions!$B$267*AY83*(1+Assumptions!$B$191)</f>
        <v/>
      </c>
      <c r="AZ128" s="8">
        <f>AZ52*Assumptions!$B$267*AZ83*(1+Assumptions!$B$191)</f>
        <v/>
      </c>
      <c r="BA128" s="8">
        <f>BA52*Assumptions!$B$267*BA83*(1+Assumptions!$B$191)</f>
        <v/>
      </c>
      <c r="BB128" s="8">
        <f>BB52*Assumptions!$B$267*BB83*(1+Assumptions!$B$191)</f>
        <v/>
      </c>
      <c r="BC128" s="8">
        <f>BC52*Assumptions!$B$267*BC83*(1+Assumptions!$B$191)</f>
        <v/>
      </c>
      <c r="BD128" s="8">
        <f>BD52*Assumptions!$B$267*BD83*(1+Assumptions!$B$191)</f>
        <v/>
      </c>
      <c r="BE128" s="8">
        <f>BE52*Assumptions!$B$267*BE83*(1+Assumptions!$B$191)</f>
        <v/>
      </c>
      <c r="BF128" s="8">
        <f>BF52*Assumptions!$B$267*BF83*(1+Assumptions!$B$191)</f>
        <v/>
      </c>
      <c r="BG128" s="8">
        <f>BG52*Assumptions!$B$267*BG83*(1+Assumptions!$B$191)</f>
        <v/>
      </c>
      <c r="BH128" s="8">
        <f>BH52*Assumptions!$B$267*BH83*(1+Assumptions!$B$191)</f>
        <v/>
      </c>
      <c r="BI128" s="8">
        <f>BI52*Assumptions!$B$267*BI83*(1+Assumptions!$B$191)</f>
        <v/>
      </c>
      <c r="BJ128" s="8">
        <f>BJ52*Assumptions!$B$267*BJ83*(1+Assumptions!$B$191)</f>
        <v/>
      </c>
    </row>
    <row r="129">
      <c r="A129" s="4" t="inlineStr">
        <is>
          <t>Finance analyst</t>
        </is>
      </c>
      <c r="B129" s="17" t="inlineStr">
        <is>
          <t>R</t>
        </is>
      </c>
      <c r="C129" s="8">
        <f>C53*Assumptions!$B$268*C83*(1+Assumptions!$B$191)</f>
        <v/>
      </c>
      <c r="D129" s="8">
        <f>D53*Assumptions!$B$268*D83*(1+Assumptions!$B$191)</f>
        <v/>
      </c>
      <c r="E129" s="8">
        <f>E53*Assumptions!$B$268*E83*(1+Assumptions!$B$191)</f>
        <v/>
      </c>
      <c r="F129" s="8">
        <f>F53*Assumptions!$B$268*F83*(1+Assumptions!$B$191)</f>
        <v/>
      </c>
      <c r="G129" s="8">
        <f>G53*Assumptions!$B$268*G83*(1+Assumptions!$B$191)</f>
        <v/>
      </c>
      <c r="H129" s="8">
        <f>H53*Assumptions!$B$268*H83*(1+Assumptions!$B$191)</f>
        <v/>
      </c>
      <c r="I129" s="8">
        <f>I53*Assumptions!$B$268*I83*(1+Assumptions!$B$191)</f>
        <v/>
      </c>
      <c r="J129" s="8">
        <f>J53*Assumptions!$B$268*J83*(1+Assumptions!$B$191)</f>
        <v/>
      </c>
      <c r="K129" s="8">
        <f>K53*Assumptions!$B$268*K83*(1+Assumptions!$B$191)</f>
        <v/>
      </c>
      <c r="L129" s="8">
        <f>L53*Assumptions!$B$268*L83*(1+Assumptions!$B$191)</f>
        <v/>
      </c>
      <c r="M129" s="8">
        <f>M53*Assumptions!$B$268*M83*(1+Assumptions!$B$191)</f>
        <v/>
      </c>
      <c r="N129" s="8">
        <f>N53*Assumptions!$B$268*N83*(1+Assumptions!$B$191)</f>
        <v/>
      </c>
      <c r="O129" s="8">
        <f>O53*Assumptions!$B$268*O83*(1+Assumptions!$B$191)</f>
        <v/>
      </c>
      <c r="P129" s="8">
        <f>P53*Assumptions!$B$268*P83*(1+Assumptions!$B$191)</f>
        <v/>
      </c>
      <c r="Q129" s="8">
        <f>Q53*Assumptions!$B$268*Q83*(1+Assumptions!$B$191)</f>
        <v/>
      </c>
      <c r="R129" s="8">
        <f>R53*Assumptions!$B$268*R83*(1+Assumptions!$B$191)</f>
        <v/>
      </c>
      <c r="S129" s="8">
        <f>S53*Assumptions!$B$268*S83*(1+Assumptions!$B$191)</f>
        <v/>
      </c>
      <c r="T129" s="8">
        <f>T53*Assumptions!$B$268*T83*(1+Assumptions!$B$191)</f>
        <v/>
      </c>
      <c r="U129" s="8">
        <f>U53*Assumptions!$B$268*U83*(1+Assumptions!$B$191)</f>
        <v/>
      </c>
      <c r="V129" s="8">
        <f>V53*Assumptions!$B$268*V83*(1+Assumptions!$B$191)</f>
        <v/>
      </c>
      <c r="W129" s="8">
        <f>W53*Assumptions!$B$268*W83*(1+Assumptions!$B$191)</f>
        <v/>
      </c>
      <c r="X129" s="8">
        <f>X53*Assumptions!$B$268*X83*(1+Assumptions!$B$191)</f>
        <v/>
      </c>
      <c r="Y129" s="8">
        <f>Y53*Assumptions!$B$268*Y83*(1+Assumptions!$B$191)</f>
        <v/>
      </c>
      <c r="Z129" s="8">
        <f>Z53*Assumptions!$B$268*Z83*(1+Assumptions!$B$191)</f>
        <v/>
      </c>
      <c r="AA129" s="8">
        <f>AA53*Assumptions!$B$268*AA83*(1+Assumptions!$B$191)</f>
        <v/>
      </c>
      <c r="AB129" s="8">
        <f>AB53*Assumptions!$B$268*AB83*(1+Assumptions!$B$191)</f>
        <v/>
      </c>
      <c r="AC129" s="8">
        <f>AC53*Assumptions!$B$268*AC83*(1+Assumptions!$B$191)</f>
        <v/>
      </c>
      <c r="AD129" s="8">
        <f>AD53*Assumptions!$B$268*AD83*(1+Assumptions!$B$191)</f>
        <v/>
      </c>
      <c r="AE129" s="8">
        <f>AE53*Assumptions!$B$268*AE83*(1+Assumptions!$B$191)</f>
        <v/>
      </c>
      <c r="AF129" s="8">
        <f>AF53*Assumptions!$B$268*AF83*(1+Assumptions!$B$191)</f>
        <v/>
      </c>
      <c r="AG129" s="8">
        <f>AG53*Assumptions!$B$268*AG83*(1+Assumptions!$B$191)</f>
        <v/>
      </c>
      <c r="AH129" s="8">
        <f>AH53*Assumptions!$B$268*AH83*(1+Assumptions!$B$191)</f>
        <v/>
      </c>
      <c r="AI129" s="8">
        <f>AI53*Assumptions!$B$268*AI83*(1+Assumptions!$B$191)</f>
        <v/>
      </c>
      <c r="AJ129" s="8">
        <f>AJ53*Assumptions!$B$268*AJ83*(1+Assumptions!$B$191)</f>
        <v/>
      </c>
      <c r="AK129" s="8">
        <f>AK53*Assumptions!$B$268*AK83*(1+Assumptions!$B$191)</f>
        <v/>
      </c>
      <c r="AL129" s="8">
        <f>AL53*Assumptions!$B$268*AL83*(1+Assumptions!$B$191)</f>
        <v/>
      </c>
      <c r="AM129" s="8">
        <f>AM53*Assumptions!$B$268*AM83*(1+Assumptions!$B$191)</f>
        <v/>
      </c>
      <c r="AN129" s="8">
        <f>AN53*Assumptions!$B$268*AN83*(1+Assumptions!$B$191)</f>
        <v/>
      </c>
      <c r="AO129" s="8">
        <f>AO53*Assumptions!$B$268*AO83*(1+Assumptions!$B$191)</f>
        <v/>
      </c>
      <c r="AP129" s="8">
        <f>AP53*Assumptions!$B$268*AP83*(1+Assumptions!$B$191)</f>
        <v/>
      </c>
      <c r="AQ129" s="8">
        <f>AQ53*Assumptions!$B$268*AQ83*(1+Assumptions!$B$191)</f>
        <v/>
      </c>
      <c r="AR129" s="8">
        <f>AR53*Assumptions!$B$268*AR83*(1+Assumptions!$B$191)</f>
        <v/>
      </c>
      <c r="AS129" s="8">
        <f>AS53*Assumptions!$B$268*AS83*(1+Assumptions!$B$191)</f>
        <v/>
      </c>
      <c r="AT129" s="8">
        <f>AT53*Assumptions!$B$268*AT83*(1+Assumptions!$B$191)</f>
        <v/>
      </c>
      <c r="AU129" s="8">
        <f>AU53*Assumptions!$B$268*AU83*(1+Assumptions!$B$191)</f>
        <v/>
      </c>
      <c r="AV129" s="8">
        <f>AV53*Assumptions!$B$268*AV83*(1+Assumptions!$B$191)</f>
        <v/>
      </c>
      <c r="AW129" s="8">
        <f>AW53*Assumptions!$B$268*AW83*(1+Assumptions!$B$191)</f>
        <v/>
      </c>
      <c r="AX129" s="8">
        <f>AX53*Assumptions!$B$268*AX83*(1+Assumptions!$B$191)</f>
        <v/>
      </c>
      <c r="AY129" s="8">
        <f>AY53*Assumptions!$B$268*AY83*(1+Assumptions!$B$191)</f>
        <v/>
      </c>
      <c r="AZ129" s="8">
        <f>AZ53*Assumptions!$B$268*AZ83*(1+Assumptions!$B$191)</f>
        <v/>
      </c>
      <c r="BA129" s="8">
        <f>BA53*Assumptions!$B$268*BA83*(1+Assumptions!$B$191)</f>
        <v/>
      </c>
      <c r="BB129" s="8">
        <f>BB53*Assumptions!$B$268*BB83*(1+Assumptions!$B$191)</f>
        <v/>
      </c>
      <c r="BC129" s="8">
        <f>BC53*Assumptions!$B$268*BC83*(1+Assumptions!$B$191)</f>
        <v/>
      </c>
      <c r="BD129" s="8">
        <f>BD53*Assumptions!$B$268*BD83*(1+Assumptions!$B$191)</f>
        <v/>
      </c>
      <c r="BE129" s="8">
        <f>BE53*Assumptions!$B$268*BE83*(1+Assumptions!$B$191)</f>
        <v/>
      </c>
      <c r="BF129" s="8">
        <f>BF53*Assumptions!$B$268*BF83*(1+Assumptions!$B$191)</f>
        <v/>
      </c>
      <c r="BG129" s="8">
        <f>BG53*Assumptions!$B$268*BG83*(1+Assumptions!$B$191)</f>
        <v/>
      </c>
      <c r="BH129" s="8">
        <f>BH53*Assumptions!$B$268*BH83*(1+Assumptions!$B$191)</f>
        <v/>
      </c>
      <c r="BI129" s="8">
        <f>BI53*Assumptions!$B$268*BI83*(1+Assumptions!$B$191)</f>
        <v/>
      </c>
      <c r="BJ129" s="8">
        <f>BJ53*Assumptions!$B$268*BJ83*(1+Assumptions!$B$191)</f>
        <v/>
      </c>
    </row>
    <row r="130">
      <c r="A130" s="4" t="inlineStr">
        <is>
          <t>CFO</t>
        </is>
      </c>
      <c r="B130" s="17" t="inlineStr">
        <is>
          <t>R</t>
        </is>
      </c>
      <c r="C130" s="8">
        <f>C54*Assumptions!$B$269*C83*(1+Assumptions!$B$191)</f>
        <v/>
      </c>
      <c r="D130" s="8">
        <f>D54*Assumptions!$B$269*D83*(1+Assumptions!$B$191)</f>
        <v/>
      </c>
      <c r="E130" s="8">
        <f>E54*Assumptions!$B$269*E83*(1+Assumptions!$B$191)</f>
        <v/>
      </c>
      <c r="F130" s="8">
        <f>F54*Assumptions!$B$269*F83*(1+Assumptions!$B$191)</f>
        <v/>
      </c>
      <c r="G130" s="8">
        <f>G54*Assumptions!$B$269*G83*(1+Assumptions!$B$191)</f>
        <v/>
      </c>
      <c r="H130" s="8">
        <f>H54*Assumptions!$B$269*H83*(1+Assumptions!$B$191)</f>
        <v/>
      </c>
      <c r="I130" s="8">
        <f>I54*Assumptions!$B$269*I83*(1+Assumptions!$B$191)</f>
        <v/>
      </c>
      <c r="J130" s="8">
        <f>J54*Assumptions!$B$269*J83*(1+Assumptions!$B$191)</f>
        <v/>
      </c>
      <c r="K130" s="8">
        <f>K54*Assumptions!$B$269*K83*(1+Assumptions!$B$191)</f>
        <v/>
      </c>
      <c r="L130" s="8">
        <f>L54*Assumptions!$B$269*L83*(1+Assumptions!$B$191)</f>
        <v/>
      </c>
      <c r="M130" s="8">
        <f>M54*Assumptions!$B$269*M83*(1+Assumptions!$B$191)</f>
        <v/>
      </c>
      <c r="N130" s="8">
        <f>N54*Assumptions!$B$269*N83*(1+Assumptions!$B$191)</f>
        <v/>
      </c>
      <c r="O130" s="8">
        <f>O54*Assumptions!$B$269*O83*(1+Assumptions!$B$191)</f>
        <v/>
      </c>
      <c r="P130" s="8">
        <f>P54*Assumptions!$B$269*P83*(1+Assumptions!$B$191)</f>
        <v/>
      </c>
      <c r="Q130" s="8">
        <f>Q54*Assumptions!$B$269*Q83*(1+Assumptions!$B$191)</f>
        <v/>
      </c>
      <c r="R130" s="8">
        <f>R54*Assumptions!$B$269*R83*(1+Assumptions!$B$191)</f>
        <v/>
      </c>
      <c r="S130" s="8">
        <f>S54*Assumptions!$B$269*S83*(1+Assumptions!$B$191)</f>
        <v/>
      </c>
      <c r="T130" s="8">
        <f>T54*Assumptions!$B$269*T83*(1+Assumptions!$B$191)</f>
        <v/>
      </c>
      <c r="U130" s="8">
        <f>U54*Assumptions!$B$269*U83*(1+Assumptions!$B$191)</f>
        <v/>
      </c>
      <c r="V130" s="8">
        <f>V54*Assumptions!$B$269*V83*(1+Assumptions!$B$191)</f>
        <v/>
      </c>
      <c r="W130" s="8">
        <f>W54*Assumptions!$B$269*W83*(1+Assumptions!$B$191)</f>
        <v/>
      </c>
      <c r="X130" s="8">
        <f>X54*Assumptions!$B$269*X83*(1+Assumptions!$B$191)</f>
        <v/>
      </c>
      <c r="Y130" s="8">
        <f>Y54*Assumptions!$B$269*Y83*(1+Assumptions!$B$191)</f>
        <v/>
      </c>
      <c r="Z130" s="8">
        <f>Z54*Assumptions!$B$269*Z83*(1+Assumptions!$B$191)</f>
        <v/>
      </c>
      <c r="AA130" s="8">
        <f>AA54*Assumptions!$B$269*AA83*(1+Assumptions!$B$191)</f>
        <v/>
      </c>
      <c r="AB130" s="8">
        <f>AB54*Assumptions!$B$269*AB83*(1+Assumptions!$B$191)</f>
        <v/>
      </c>
      <c r="AC130" s="8">
        <f>AC54*Assumptions!$B$269*AC83*(1+Assumptions!$B$191)</f>
        <v/>
      </c>
      <c r="AD130" s="8">
        <f>AD54*Assumptions!$B$269*AD83*(1+Assumptions!$B$191)</f>
        <v/>
      </c>
      <c r="AE130" s="8">
        <f>AE54*Assumptions!$B$269*AE83*(1+Assumptions!$B$191)</f>
        <v/>
      </c>
      <c r="AF130" s="8">
        <f>AF54*Assumptions!$B$269*AF83*(1+Assumptions!$B$191)</f>
        <v/>
      </c>
      <c r="AG130" s="8">
        <f>AG54*Assumptions!$B$269*AG83*(1+Assumptions!$B$191)</f>
        <v/>
      </c>
      <c r="AH130" s="8">
        <f>AH54*Assumptions!$B$269*AH83*(1+Assumptions!$B$191)</f>
        <v/>
      </c>
      <c r="AI130" s="8">
        <f>AI54*Assumptions!$B$269*AI83*(1+Assumptions!$B$191)</f>
        <v/>
      </c>
      <c r="AJ130" s="8">
        <f>AJ54*Assumptions!$B$269*AJ83*(1+Assumptions!$B$191)</f>
        <v/>
      </c>
      <c r="AK130" s="8">
        <f>AK54*Assumptions!$B$269*AK83*(1+Assumptions!$B$191)</f>
        <v/>
      </c>
      <c r="AL130" s="8">
        <f>AL54*Assumptions!$B$269*AL83*(1+Assumptions!$B$191)</f>
        <v/>
      </c>
      <c r="AM130" s="8">
        <f>AM54*Assumptions!$B$269*AM83*(1+Assumptions!$B$191)</f>
        <v/>
      </c>
      <c r="AN130" s="8">
        <f>AN54*Assumptions!$B$269*AN83*(1+Assumptions!$B$191)</f>
        <v/>
      </c>
      <c r="AO130" s="8">
        <f>AO54*Assumptions!$B$269*AO83*(1+Assumptions!$B$191)</f>
        <v/>
      </c>
      <c r="AP130" s="8">
        <f>AP54*Assumptions!$B$269*AP83*(1+Assumptions!$B$191)</f>
        <v/>
      </c>
      <c r="AQ130" s="8">
        <f>AQ54*Assumptions!$B$269*AQ83*(1+Assumptions!$B$191)</f>
        <v/>
      </c>
      <c r="AR130" s="8">
        <f>AR54*Assumptions!$B$269*AR83*(1+Assumptions!$B$191)</f>
        <v/>
      </c>
      <c r="AS130" s="8">
        <f>AS54*Assumptions!$B$269*AS83*(1+Assumptions!$B$191)</f>
        <v/>
      </c>
      <c r="AT130" s="8">
        <f>AT54*Assumptions!$B$269*AT83*(1+Assumptions!$B$191)</f>
        <v/>
      </c>
      <c r="AU130" s="8">
        <f>AU54*Assumptions!$B$269*AU83*(1+Assumptions!$B$191)</f>
        <v/>
      </c>
      <c r="AV130" s="8">
        <f>AV54*Assumptions!$B$269*AV83*(1+Assumptions!$B$191)</f>
        <v/>
      </c>
      <c r="AW130" s="8">
        <f>AW54*Assumptions!$B$269*AW83*(1+Assumptions!$B$191)</f>
        <v/>
      </c>
      <c r="AX130" s="8">
        <f>AX54*Assumptions!$B$269*AX83*(1+Assumptions!$B$191)</f>
        <v/>
      </c>
      <c r="AY130" s="8">
        <f>AY54*Assumptions!$B$269*AY83*(1+Assumptions!$B$191)</f>
        <v/>
      </c>
      <c r="AZ130" s="8">
        <f>AZ54*Assumptions!$B$269*AZ83*(1+Assumptions!$B$191)</f>
        <v/>
      </c>
      <c r="BA130" s="8">
        <f>BA54*Assumptions!$B$269*BA83*(1+Assumptions!$B$191)</f>
        <v/>
      </c>
      <c r="BB130" s="8">
        <f>BB54*Assumptions!$B$269*BB83*(1+Assumptions!$B$191)</f>
        <v/>
      </c>
      <c r="BC130" s="8">
        <f>BC54*Assumptions!$B$269*BC83*(1+Assumptions!$B$191)</f>
        <v/>
      </c>
      <c r="BD130" s="8">
        <f>BD54*Assumptions!$B$269*BD83*(1+Assumptions!$B$191)</f>
        <v/>
      </c>
      <c r="BE130" s="8">
        <f>BE54*Assumptions!$B$269*BE83*(1+Assumptions!$B$191)</f>
        <v/>
      </c>
      <c r="BF130" s="8">
        <f>BF54*Assumptions!$B$269*BF83*(1+Assumptions!$B$191)</f>
        <v/>
      </c>
      <c r="BG130" s="8">
        <f>BG54*Assumptions!$B$269*BG83*(1+Assumptions!$B$191)</f>
        <v/>
      </c>
      <c r="BH130" s="8">
        <f>BH54*Assumptions!$B$269*BH83*(1+Assumptions!$B$191)</f>
        <v/>
      </c>
      <c r="BI130" s="8">
        <f>BI54*Assumptions!$B$269*BI83*(1+Assumptions!$B$191)</f>
        <v/>
      </c>
      <c r="BJ130" s="8">
        <f>BJ54*Assumptions!$B$269*BJ83*(1+Assumptions!$B$191)</f>
        <v/>
      </c>
    </row>
    <row r="131">
      <c r="A131" s="4" t="inlineStr">
        <is>
          <t>CS agents VI</t>
        </is>
      </c>
      <c r="B131" s="17" t="inlineStr">
        <is>
          <t>R</t>
        </is>
      </c>
      <c r="C131" s="8">
        <f>C55*Assumptions!$B$270*C83*(1+Assumptions!$B$191)</f>
        <v/>
      </c>
      <c r="D131" s="8">
        <f>D55*Assumptions!$B$270*D83*(1+Assumptions!$B$191)</f>
        <v/>
      </c>
      <c r="E131" s="8">
        <f>E55*Assumptions!$B$270*E83*(1+Assumptions!$B$191)</f>
        <v/>
      </c>
      <c r="F131" s="8">
        <f>F55*Assumptions!$B$270*F83*(1+Assumptions!$B$191)</f>
        <v/>
      </c>
      <c r="G131" s="8">
        <f>G55*Assumptions!$B$270*G83*(1+Assumptions!$B$191)</f>
        <v/>
      </c>
      <c r="H131" s="8">
        <f>H55*Assumptions!$B$270*H83*(1+Assumptions!$B$191)</f>
        <v/>
      </c>
      <c r="I131" s="8">
        <f>I55*Assumptions!$B$270*I83*(1+Assumptions!$B$191)</f>
        <v/>
      </c>
      <c r="J131" s="8">
        <f>J55*Assumptions!$B$270*J83*(1+Assumptions!$B$191)</f>
        <v/>
      </c>
      <c r="K131" s="8">
        <f>K55*Assumptions!$B$270*K83*(1+Assumptions!$B$191)</f>
        <v/>
      </c>
      <c r="L131" s="8">
        <f>L55*Assumptions!$B$270*L83*(1+Assumptions!$B$191)</f>
        <v/>
      </c>
      <c r="M131" s="8">
        <f>M55*Assumptions!$B$270*M83*(1+Assumptions!$B$191)</f>
        <v/>
      </c>
      <c r="N131" s="8">
        <f>N55*Assumptions!$B$270*N83*(1+Assumptions!$B$191)</f>
        <v/>
      </c>
      <c r="O131" s="8">
        <f>O55*Assumptions!$B$270*O83*(1+Assumptions!$B$191)</f>
        <v/>
      </c>
      <c r="P131" s="8">
        <f>P55*Assumptions!$B$270*P83*(1+Assumptions!$B$191)</f>
        <v/>
      </c>
      <c r="Q131" s="8">
        <f>Q55*Assumptions!$B$270*Q83*(1+Assumptions!$B$191)</f>
        <v/>
      </c>
      <c r="R131" s="8">
        <f>R55*Assumptions!$B$270*R83*(1+Assumptions!$B$191)</f>
        <v/>
      </c>
      <c r="S131" s="8">
        <f>S55*Assumptions!$B$270*S83*(1+Assumptions!$B$191)</f>
        <v/>
      </c>
      <c r="T131" s="8">
        <f>T55*Assumptions!$B$270*T83*(1+Assumptions!$B$191)</f>
        <v/>
      </c>
      <c r="U131" s="8">
        <f>U55*Assumptions!$B$270*U83*(1+Assumptions!$B$191)</f>
        <v/>
      </c>
      <c r="V131" s="8">
        <f>V55*Assumptions!$B$270*V83*(1+Assumptions!$B$191)</f>
        <v/>
      </c>
      <c r="W131" s="8">
        <f>W55*Assumptions!$B$270*W83*(1+Assumptions!$B$191)</f>
        <v/>
      </c>
      <c r="X131" s="8">
        <f>X55*Assumptions!$B$270*X83*(1+Assumptions!$B$191)</f>
        <v/>
      </c>
      <c r="Y131" s="8">
        <f>Y55*Assumptions!$B$270*Y83*(1+Assumptions!$B$191)</f>
        <v/>
      </c>
      <c r="Z131" s="8">
        <f>Z55*Assumptions!$B$270*Z83*(1+Assumptions!$B$191)</f>
        <v/>
      </c>
      <c r="AA131" s="8">
        <f>AA55*Assumptions!$B$270*AA83*(1+Assumptions!$B$191)</f>
        <v/>
      </c>
      <c r="AB131" s="8">
        <f>AB55*Assumptions!$B$270*AB83*(1+Assumptions!$B$191)</f>
        <v/>
      </c>
      <c r="AC131" s="8">
        <f>AC55*Assumptions!$B$270*AC83*(1+Assumptions!$B$191)</f>
        <v/>
      </c>
      <c r="AD131" s="8">
        <f>AD55*Assumptions!$B$270*AD83*(1+Assumptions!$B$191)</f>
        <v/>
      </c>
      <c r="AE131" s="8">
        <f>AE55*Assumptions!$B$270*AE83*(1+Assumptions!$B$191)</f>
        <v/>
      </c>
      <c r="AF131" s="8">
        <f>AF55*Assumptions!$B$270*AF83*(1+Assumptions!$B$191)</f>
        <v/>
      </c>
      <c r="AG131" s="8">
        <f>AG55*Assumptions!$B$270*AG83*(1+Assumptions!$B$191)</f>
        <v/>
      </c>
      <c r="AH131" s="8">
        <f>AH55*Assumptions!$B$270*AH83*(1+Assumptions!$B$191)</f>
        <v/>
      </c>
      <c r="AI131" s="8">
        <f>AI55*Assumptions!$B$270*AI83*(1+Assumptions!$B$191)</f>
        <v/>
      </c>
      <c r="AJ131" s="8">
        <f>AJ55*Assumptions!$B$270*AJ83*(1+Assumptions!$B$191)</f>
        <v/>
      </c>
      <c r="AK131" s="8">
        <f>AK55*Assumptions!$B$270*AK83*(1+Assumptions!$B$191)</f>
        <v/>
      </c>
      <c r="AL131" s="8">
        <f>AL55*Assumptions!$B$270*AL83*(1+Assumptions!$B$191)</f>
        <v/>
      </c>
      <c r="AM131" s="8">
        <f>AM55*Assumptions!$B$270*AM83*(1+Assumptions!$B$191)</f>
        <v/>
      </c>
      <c r="AN131" s="8">
        <f>AN55*Assumptions!$B$270*AN83*(1+Assumptions!$B$191)</f>
        <v/>
      </c>
      <c r="AO131" s="8">
        <f>AO55*Assumptions!$B$270*AO83*(1+Assumptions!$B$191)</f>
        <v/>
      </c>
      <c r="AP131" s="8">
        <f>AP55*Assumptions!$B$270*AP83*(1+Assumptions!$B$191)</f>
        <v/>
      </c>
      <c r="AQ131" s="8">
        <f>AQ55*Assumptions!$B$270*AQ83*(1+Assumptions!$B$191)</f>
        <v/>
      </c>
      <c r="AR131" s="8">
        <f>AR55*Assumptions!$B$270*AR83*(1+Assumptions!$B$191)</f>
        <v/>
      </c>
      <c r="AS131" s="8">
        <f>AS55*Assumptions!$B$270*AS83*(1+Assumptions!$B$191)</f>
        <v/>
      </c>
      <c r="AT131" s="8">
        <f>AT55*Assumptions!$B$270*AT83*(1+Assumptions!$B$191)</f>
        <v/>
      </c>
      <c r="AU131" s="8">
        <f>AU55*Assumptions!$B$270*AU83*(1+Assumptions!$B$191)</f>
        <v/>
      </c>
      <c r="AV131" s="8">
        <f>AV55*Assumptions!$B$270*AV83*(1+Assumptions!$B$191)</f>
        <v/>
      </c>
      <c r="AW131" s="8">
        <f>AW55*Assumptions!$B$270*AW83*(1+Assumptions!$B$191)</f>
        <v/>
      </c>
      <c r="AX131" s="8">
        <f>AX55*Assumptions!$B$270*AX83*(1+Assumptions!$B$191)</f>
        <v/>
      </c>
      <c r="AY131" s="8">
        <f>AY55*Assumptions!$B$270*AY83*(1+Assumptions!$B$191)</f>
        <v/>
      </c>
      <c r="AZ131" s="8">
        <f>AZ55*Assumptions!$B$270*AZ83*(1+Assumptions!$B$191)</f>
        <v/>
      </c>
      <c r="BA131" s="8">
        <f>BA55*Assumptions!$B$270*BA83*(1+Assumptions!$B$191)</f>
        <v/>
      </c>
      <c r="BB131" s="8">
        <f>BB55*Assumptions!$B$270*BB83*(1+Assumptions!$B$191)</f>
        <v/>
      </c>
      <c r="BC131" s="8">
        <f>BC55*Assumptions!$B$270*BC83*(1+Assumptions!$B$191)</f>
        <v/>
      </c>
      <c r="BD131" s="8">
        <f>BD55*Assumptions!$B$270*BD83*(1+Assumptions!$B$191)</f>
        <v/>
      </c>
      <c r="BE131" s="8">
        <f>BE55*Assumptions!$B$270*BE83*(1+Assumptions!$B$191)</f>
        <v/>
      </c>
      <c r="BF131" s="8">
        <f>BF55*Assumptions!$B$270*BF83*(1+Assumptions!$B$191)</f>
        <v/>
      </c>
      <c r="BG131" s="8">
        <f>BG55*Assumptions!$B$270*BG83*(1+Assumptions!$B$191)</f>
        <v/>
      </c>
      <c r="BH131" s="8">
        <f>BH55*Assumptions!$B$270*BH83*(1+Assumptions!$B$191)</f>
        <v/>
      </c>
      <c r="BI131" s="8">
        <f>BI55*Assumptions!$B$270*BI83*(1+Assumptions!$B$191)</f>
        <v/>
      </c>
      <c r="BJ131" s="8">
        <f>BJ55*Assumptions!$B$270*BJ83*(1+Assumptions!$B$191)</f>
        <v/>
      </c>
    </row>
    <row r="132">
      <c r="A132" s="4" t="inlineStr">
        <is>
          <t>Finance, legal &amp; people team expansion</t>
        </is>
      </c>
      <c r="B132" s="17" t="inlineStr">
        <is>
          <t>R</t>
        </is>
      </c>
      <c r="C132" s="8">
        <f>C56*Assumptions!$B$271*C83*(1+Assumptions!$B$191)</f>
        <v/>
      </c>
      <c r="D132" s="8">
        <f>D56*Assumptions!$B$271*D83*(1+Assumptions!$B$191)</f>
        <v/>
      </c>
      <c r="E132" s="8">
        <f>E56*Assumptions!$B$271*E83*(1+Assumptions!$B$191)</f>
        <v/>
      </c>
      <c r="F132" s="8">
        <f>F56*Assumptions!$B$271*F83*(1+Assumptions!$B$191)</f>
        <v/>
      </c>
      <c r="G132" s="8">
        <f>G56*Assumptions!$B$271*G83*(1+Assumptions!$B$191)</f>
        <v/>
      </c>
      <c r="H132" s="8">
        <f>H56*Assumptions!$B$271*H83*(1+Assumptions!$B$191)</f>
        <v/>
      </c>
      <c r="I132" s="8">
        <f>I56*Assumptions!$B$271*I83*(1+Assumptions!$B$191)</f>
        <v/>
      </c>
      <c r="J132" s="8">
        <f>J56*Assumptions!$B$271*J83*(1+Assumptions!$B$191)</f>
        <v/>
      </c>
      <c r="K132" s="8">
        <f>K56*Assumptions!$B$271*K83*(1+Assumptions!$B$191)</f>
        <v/>
      </c>
      <c r="L132" s="8">
        <f>L56*Assumptions!$B$271*L83*(1+Assumptions!$B$191)</f>
        <v/>
      </c>
      <c r="M132" s="8">
        <f>M56*Assumptions!$B$271*M83*(1+Assumptions!$B$191)</f>
        <v/>
      </c>
      <c r="N132" s="8">
        <f>N56*Assumptions!$B$271*N83*(1+Assumptions!$B$191)</f>
        <v/>
      </c>
      <c r="O132" s="8">
        <f>O56*Assumptions!$B$271*O83*(1+Assumptions!$B$191)</f>
        <v/>
      </c>
      <c r="P132" s="8">
        <f>P56*Assumptions!$B$271*P83*(1+Assumptions!$B$191)</f>
        <v/>
      </c>
      <c r="Q132" s="8">
        <f>Q56*Assumptions!$B$271*Q83*(1+Assumptions!$B$191)</f>
        <v/>
      </c>
      <c r="R132" s="8">
        <f>R56*Assumptions!$B$271*R83*(1+Assumptions!$B$191)</f>
        <v/>
      </c>
      <c r="S132" s="8">
        <f>S56*Assumptions!$B$271*S83*(1+Assumptions!$B$191)</f>
        <v/>
      </c>
      <c r="T132" s="8">
        <f>T56*Assumptions!$B$271*T83*(1+Assumptions!$B$191)</f>
        <v/>
      </c>
      <c r="U132" s="8">
        <f>U56*Assumptions!$B$271*U83*(1+Assumptions!$B$191)</f>
        <v/>
      </c>
      <c r="V132" s="8">
        <f>V56*Assumptions!$B$271*V83*(1+Assumptions!$B$191)</f>
        <v/>
      </c>
      <c r="W132" s="8">
        <f>W56*Assumptions!$B$271*W83*(1+Assumptions!$B$191)</f>
        <v/>
      </c>
      <c r="X132" s="8">
        <f>X56*Assumptions!$B$271*X83*(1+Assumptions!$B$191)</f>
        <v/>
      </c>
      <c r="Y132" s="8">
        <f>Y56*Assumptions!$B$271*Y83*(1+Assumptions!$B$191)</f>
        <v/>
      </c>
      <c r="Z132" s="8">
        <f>Z56*Assumptions!$B$271*Z83*(1+Assumptions!$B$191)</f>
        <v/>
      </c>
      <c r="AA132" s="8">
        <f>AA56*Assumptions!$B$271*AA83*(1+Assumptions!$B$191)</f>
        <v/>
      </c>
      <c r="AB132" s="8">
        <f>AB56*Assumptions!$B$271*AB83*(1+Assumptions!$B$191)</f>
        <v/>
      </c>
      <c r="AC132" s="8">
        <f>AC56*Assumptions!$B$271*AC83*(1+Assumptions!$B$191)</f>
        <v/>
      </c>
      <c r="AD132" s="8">
        <f>AD56*Assumptions!$B$271*AD83*(1+Assumptions!$B$191)</f>
        <v/>
      </c>
      <c r="AE132" s="8">
        <f>AE56*Assumptions!$B$271*AE83*(1+Assumptions!$B$191)</f>
        <v/>
      </c>
      <c r="AF132" s="8">
        <f>AF56*Assumptions!$B$271*AF83*(1+Assumptions!$B$191)</f>
        <v/>
      </c>
      <c r="AG132" s="8">
        <f>AG56*Assumptions!$B$271*AG83*(1+Assumptions!$B$191)</f>
        <v/>
      </c>
      <c r="AH132" s="8">
        <f>AH56*Assumptions!$B$271*AH83*(1+Assumptions!$B$191)</f>
        <v/>
      </c>
      <c r="AI132" s="8">
        <f>AI56*Assumptions!$B$271*AI83*(1+Assumptions!$B$191)</f>
        <v/>
      </c>
      <c r="AJ132" s="8">
        <f>AJ56*Assumptions!$B$271*AJ83*(1+Assumptions!$B$191)</f>
        <v/>
      </c>
      <c r="AK132" s="8">
        <f>AK56*Assumptions!$B$271*AK83*(1+Assumptions!$B$191)</f>
        <v/>
      </c>
      <c r="AL132" s="8">
        <f>AL56*Assumptions!$B$271*AL83*(1+Assumptions!$B$191)</f>
        <v/>
      </c>
      <c r="AM132" s="8">
        <f>AM56*Assumptions!$B$271*AM83*(1+Assumptions!$B$191)</f>
        <v/>
      </c>
      <c r="AN132" s="8">
        <f>AN56*Assumptions!$B$271*AN83*(1+Assumptions!$B$191)</f>
        <v/>
      </c>
      <c r="AO132" s="8">
        <f>AO56*Assumptions!$B$271*AO83*(1+Assumptions!$B$191)</f>
        <v/>
      </c>
      <c r="AP132" s="8">
        <f>AP56*Assumptions!$B$271*AP83*(1+Assumptions!$B$191)</f>
        <v/>
      </c>
      <c r="AQ132" s="8">
        <f>AQ56*Assumptions!$B$271*AQ83*(1+Assumptions!$B$191)</f>
        <v/>
      </c>
      <c r="AR132" s="8">
        <f>AR56*Assumptions!$B$271*AR83*(1+Assumptions!$B$191)</f>
        <v/>
      </c>
      <c r="AS132" s="8">
        <f>AS56*Assumptions!$B$271*AS83*(1+Assumptions!$B$191)</f>
        <v/>
      </c>
      <c r="AT132" s="8">
        <f>AT56*Assumptions!$B$271*AT83*(1+Assumptions!$B$191)</f>
        <v/>
      </c>
      <c r="AU132" s="8">
        <f>AU56*Assumptions!$B$271*AU83*(1+Assumptions!$B$191)</f>
        <v/>
      </c>
      <c r="AV132" s="8">
        <f>AV56*Assumptions!$B$271*AV83*(1+Assumptions!$B$191)</f>
        <v/>
      </c>
      <c r="AW132" s="8">
        <f>AW56*Assumptions!$B$271*AW83*(1+Assumptions!$B$191)</f>
        <v/>
      </c>
      <c r="AX132" s="8">
        <f>AX56*Assumptions!$B$271*AX83*(1+Assumptions!$B$191)</f>
        <v/>
      </c>
      <c r="AY132" s="8">
        <f>AY56*Assumptions!$B$271*AY83*(1+Assumptions!$B$191)</f>
        <v/>
      </c>
      <c r="AZ132" s="8">
        <f>AZ56*Assumptions!$B$271*AZ83*(1+Assumptions!$B$191)</f>
        <v/>
      </c>
      <c r="BA132" s="8">
        <f>BA56*Assumptions!$B$271*BA83*(1+Assumptions!$B$191)</f>
        <v/>
      </c>
      <c r="BB132" s="8">
        <f>BB56*Assumptions!$B$271*BB83*(1+Assumptions!$B$191)</f>
        <v/>
      </c>
      <c r="BC132" s="8">
        <f>BC56*Assumptions!$B$271*BC83*(1+Assumptions!$B$191)</f>
        <v/>
      </c>
      <c r="BD132" s="8">
        <f>BD56*Assumptions!$B$271*BD83*(1+Assumptions!$B$191)</f>
        <v/>
      </c>
      <c r="BE132" s="8">
        <f>BE56*Assumptions!$B$271*BE83*(1+Assumptions!$B$191)</f>
        <v/>
      </c>
      <c r="BF132" s="8">
        <f>BF56*Assumptions!$B$271*BF83*(1+Assumptions!$B$191)</f>
        <v/>
      </c>
      <c r="BG132" s="8">
        <f>BG56*Assumptions!$B$271*BG83*(1+Assumptions!$B$191)</f>
        <v/>
      </c>
      <c r="BH132" s="8">
        <f>BH56*Assumptions!$B$271*BH83*(1+Assumptions!$B$191)</f>
        <v/>
      </c>
      <c r="BI132" s="8">
        <f>BI56*Assumptions!$B$271*BI83*(1+Assumptions!$B$191)</f>
        <v/>
      </c>
      <c r="BJ132" s="8">
        <f>BJ56*Assumptions!$B$271*BJ83*(1+Assumptions!$B$191)</f>
        <v/>
      </c>
    </row>
    <row r="133">
      <c r="A133" s="4" t="inlineStr">
        <is>
          <t>Country lead: Nigeria</t>
        </is>
      </c>
      <c r="B133" s="17" t="inlineStr">
        <is>
          <t>R</t>
        </is>
      </c>
      <c r="C133" s="8">
        <f>C57*Assumptions!$B$272*C83*(1+Assumptions!$B$191)</f>
        <v/>
      </c>
      <c r="D133" s="8">
        <f>D57*Assumptions!$B$272*D83*(1+Assumptions!$B$191)</f>
        <v/>
      </c>
      <c r="E133" s="8">
        <f>E57*Assumptions!$B$272*E83*(1+Assumptions!$B$191)</f>
        <v/>
      </c>
      <c r="F133" s="8">
        <f>F57*Assumptions!$B$272*F83*(1+Assumptions!$B$191)</f>
        <v/>
      </c>
      <c r="G133" s="8">
        <f>G57*Assumptions!$B$272*G83*(1+Assumptions!$B$191)</f>
        <v/>
      </c>
      <c r="H133" s="8">
        <f>H57*Assumptions!$B$272*H83*(1+Assumptions!$B$191)</f>
        <v/>
      </c>
      <c r="I133" s="8">
        <f>I57*Assumptions!$B$272*I83*(1+Assumptions!$B$191)</f>
        <v/>
      </c>
      <c r="J133" s="8">
        <f>J57*Assumptions!$B$272*J83*(1+Assumptions!$B$191)</f>
        <v/>
      </c>
      <c r="K133" s="8">
        <f>K57*Assumptions!$B$272*K83*(1+Assumptions!$B$191)</f>
        <v/>
      </c>
      <c r="L133" s="8">
        <f>L57*Assumptions!$B$272*L83*(1+Assumptions!$B$191)</f>
        <v/>
      </c>
      <c r="M133" s="8">
        <f>M57*Assumptions!$B$272*M83*(1+Assumptions!$B$191)</f>
        <v/>
      </c>
      <c r="N133" s="8">
        <f>N57*Assumptions!$B$272*N83*(1+Assumptions!$B$191)</f>
        <v/>
      </c>
      <c r="O133" s="8">
        <f>O57*Assumptions!$B$272*O83*(1+Assumptions!$B$191)</f>
        <v/>
      </c>
      <c r="P133" s="8">
        <f>P57*Assumptions!$B$272*P83*(1+Assumptions!$B$191)</f>
        <v/>
      </c>
      <c r="Q133" s="8">
        <f>Q57*Assumptions!$B$272*Q83*(1+Assumptions!$B$191)</f>
        <v/>
      </c>
      <c r="R133" s="8">
        <f>R57*Assumptions!$B$272*R83*(1+Assumptions!$B$191)</f>
        <v/>
      </c>
      <c r="S133" s="8">
        <f>S57*Assumptions!$B$272*S83*(1+Assumptions!$B$191)</f>
        <v/>
      </c>
      <c r="T133" s="8">
        <f>T57*Assumptions!$B$272*T83*(1+Assumptions!$B$191)</f>
        <v/>
      </c>
      <c r="U133" s="8">
        <f>U57*Assumptions!$B$272*U83*(1+Assumptions!$B$191)</f>
        <v/>
      </c>
      <c r="V133" s="8">
        <f>V57*Assumptions!$B$272*V83*(1+Assumptions!$B$191)</f>
        <v/>
      </c>
      <c r="W133" s="8">
        <f>W57*Assumptions!$B$272*W83*(1+Assumptions!$B$191)</f>
        <v/>
      </c>
      <c r="X133" s="8">
        <f>X57*Assumptions!$B$272*X83*(1+Assumptions!$B$191)</f>
        <v/>
      </c>
      <c r="Y133" s="8">
        <f>Y57*Assumptions!$B$272*Y83*(1+Assumptions!$B$191)</f>
        <v/>
      </c>
      <c r="Z133" s="8">
        <f>Z57*Assumptions!$B$272*Z83*(1+Assumptions!$B$191)</f>
        <v/>
      </c>
      <c r="AA133" s="8">
        <f>AA57*Assumptions!$B$272*AA83*(1+Assumptions!$B$191)</f>
        <v/>
      </c>
      <c r="AB133" s="8">
        <f>AB57*Assumptions!$B$272*AB83*(1+Assumptions!$B$191)</f>
        <v/>
      </c>
      <c r="AC133" s="8">
        <f>AC57*Assumptions!$B$272*AC83*(1+Assumptions!$B$191)</f>
        <v/>
      </c>
      <c r="AD133" s="8">
        <f>AD57*Assumptions!$B$272*AD83*(1+Assumptions!$B$191)</f>
        <v/>
      </c>
      <c r="AE133" s="8">
        <f>AE57*Assumptions!$B$272*AE83*(1+Assumptions!$B$191)</f>
        <v/>
      </c>
      <c r="AF133" s="8">
        <f>AF57*Assumptions!$B$272*AF83*(1+Assumptions!$B$191)</f>
        <v/>
      </c>
      <c r="AG133" s="8">
        <f>AG57*Assumptions!$B$272*AG83*(1+Assumptions!$B$191)</f>
        <v/>
      </c>
      <c r="AH133" s="8">
        <f>AH57*Assumptions!$B$272*AH83*(1+Assumptions!$B$191)</f>
        <v/>
      </c>
      <c r="AI133" s="8">
        <f>AI57*Assumptions!$B$272*AI83*(1+Assumptions!$B$191)</f>
        <v/>
      </c>
      <c r="AJ133" s="8">
        <f>AJ57*Assumptions!$B$272*AJ83*(1+Assumptions!$B$191)</f>
        <v/>
      </c>
      <c r="AK133" s="8">
        <f>AK57*Assumptions!$B$272*AK83*(1+Assumptions!$B$191)</f>
        <v/>
      </c>
      <c r="AL133" s="8">
        <f>AL57*Assumptions!$B$272*AL83*(1+Assumptions!$B$191)</f>
        <v/>
      </c>
      <c r="AM133" s="8">
        <f>AM57*Assumptions!$B$272*AM83*(1+Assumptions!$B$191)</f>
        <v/>
      </c>
      <c r="AN133" s="8">
        <f>AN57*Assumptions!$B$272*AN83*(1+Assumptions!$B$191)</f>
        <v/>
      </c>
      <c r="AO133" s="8">
        <f>AO57*Assumptions!$B$272*AO83*(1+Assumptions!$B$191)</f>
        <v/>
      </c>
      <c r="AP133" s="8">
        <f>AP57*Assumptions!$B$272*AP83*(1+Assumptions!$B$191)</f>
        <v/>
      </c>
      <c r="AQ133" s="8">
        <f>AQ57*Assumptions!$B$272*AQ83*(1+Assumptions!$B$191)</f>
        <v/>
      </c>
      <c r="AR133" s="8">
        <f>AR57*Assumptions!$B$272*AR83*(1+Assumptions!$B$191)</f>
        <v/>
      </c>
      <c r="AS133" s="8">
        <f>AS57*Assumptions!$B$272*AS83*(1+Assumptions!$B$191)</f>
        <v/>
      </c>
      <c r="AT133" s="8">
        <f>AT57*Assumptions!$B$272*AT83*(1+Assumptions!$B$191)</f>
        <v/>
      </c>
      <c r="AU133" s="8">
        <f>AU57*Assumptions!$B$272*AU83*(1+Assumptions!$B$191)</f>
        <v/>
      </c>
      <c r="AV133" s="8">
        <f>AV57*Assumptions!$B$272*AV83*(1+Assumptions!$B$191)</f>
        <v/>
      </c>
      <c r="AW133" s="8">
        <f>AW57*Assumptions!$B$272*AW83*(1+Assumptions!$B$191)</f>
        <v/>
      </c>
      <c r="AX133" s="8">
        <f>AX57*Assumptions!$B$272*AX83*(1+Assumptions!$B$191)</f>
        <v/>
      </c>
      <c r="AY133" s="8">
        <f>AY57*Assumptions!$B$272*AY83*(1+Assumptions!$B$191)</f>
        <v/>
      </c>
      <c r="AZ133" s="8">
        <f>AZ57*Assumptions!$B$272*AZ83*(1+Assumptions!$B$191)</f>
        <v/>
      </c>
      <c r="BA133" s="8">
        <f>BA57*Assumptions!$B$272*BA83*(1+Assumptions!$B$191)</f>
        <v/>
      </c>
      <c r="BB133" s="8">
        <f>BB57*Assumptions!$B$272*BB83*(1+Assumptions!$B$191)</f>
        <v/>
      </c>
      <c r="BC133" s="8">
        <f>BC57*Assumptions!$B$272*BC83*(1+Assumptions!$B$191)</f>
        <v/>
      </c>
      <c r="BD133" s="8">
        <f>BD57*Assumptions!$B$272*BD83*(1+Assumptions!$B$191)</f>
        <v/>
      </c>
      <c r="BE133" s="8">
        <f>BE57*Assumptions!$B$272*BE83*(1+Assumptions!$B$191)</f>
        <v/>
      </c>
      <c r="BF133" s="8">
        <f>BF57*Assumptions!$B$272*BF83*(1+Assumptions!$B$191)</f>
        <v/>
      </c>
      <c r="BG133" s="8">
        <f>BG57*Assumptions!$B$272*BG83*(1+Assumptions!$B$191)</f>
        <v/>
      </c>
      <c r="BH133" s="8">
        <f>BH57*Assumptions!$B$272*BH83*(1+Assumptions!$B$191)</f>
        <v/>
      </c>
      <c r="BI133" s="8">
        <f>BI57*Assumptions!$B$272*BI83*(1+Assumptions!$B$191)</f>
        <v/>
      </c>
      <c r="BJ133" s="8">
        <f>BJ57*Assumptions!$B$272*BJ83*(1+Assumptions!$B$191)</f>
        <v/>
      </c>
    </row>
    <row r="134">
      <c r="A134" s="4" t="inlineStr">
        <is>
          <t>Nigeria sales &amp; CS</t>
        </is>
      </c>
      <c r="B134" s="17" t="inlineStr">
        <is>
          <t>R</t>
        </is>
      </c>
      <c r="C134" s="8">
        <f>C58*Assumptions!$B$273*C83*(1+Assumptions!$B$191)</f>
        <v/>
      </c>
      <c r="D134" s="8">
        <f>D58*Assumptions!$B$273*D83*(1+Assumptions!$B$191)</f>
        <v/>
      </c>
      <c r="E134" s="8">
        <f>E58*Assumptions!$B$273*E83*(1+Assumptions!$B$191)</f>
        <v/>
      </c>
      <c r="F134" s="8">
        <f>F58*Assumptions!$B$273*F83*(1+Assumptions!$B$191)</f>
        <v/>
      </c>
      <c r="G134" s="8">
        <f>G58*Assumptions!$B$273*G83*(1+Assumptions!$B$191)</f>
        <v/>
      </c>
      <c r="H134" s="8">
        <f>H58*Assumptions!$B$273*H83*(1+Assumptions!$B$191)</f>
        <v/>
      </c>
      <c r="I134" s="8">
        <f>I58*Assumptions!$B$273*I83*(1+Assumptions!$B$191)</f>
        <v/>
      </c>
      <c r="J134" s="8">
        <f>J58*Assumptions!$B$273*J83*(1+Assumptions!$B$191)</f>
        <v/>
      </c>
      <c r="K134" s="8">
        <f>K58*Assumptions!$B$273*K83*(1+Assumptions!$B$191)</f>
        <v/>
      </c>
      <c r="L134" s="8">
        <f>L58*Assumptions!$B$273*L83*(1+Assumptions!$B$191)</f>
        <v/>
      </c>
      <c r="M134" s="8">
        <f>M58*Assumptions!$B$273*M83*(1+Assumptions!$B$191)</f>
        <v/>
      </c>
      <c r="N134" s="8">
        <f>N58*Assumptions!$B$273*N83*(1+Assumptions!$B$191)</f>
        <v/>
      </c>
      <c r="O134" s="8">
        <f>O58*Assumptions!$B$273*O83*(1+Assumptions!$B$191)</f>
        <v/>
      </c>
      <c r="P134" s="8">
        <f>P58*Assumptions!$B$273*P83*(1+Assumptions!$B$191)</f>
        <v/>
      </c>
      <c r="Q134" s="8">
        <f>Q58*Assumptions!$B$273*Q83*(1+Assumptions!$B$191)</f>
        <v/>
      </c>
      <c r="R134" s="8">
        <f>R58*Assumptions!$B$273*R83*(1+Assumptions!$B$191)</f>
        <v/>
      </c>
      <c r="S134" s="8">
        <f>S58*Assumptions!$B$273*S83*(1+Assumptions!$B$191)</f>
        <v/>
      </c>
      <c r="T134" s="8">
        <f>T58*Assumptions!$B$273*T83*(1+Assumptions!$B$191)</f>
        <v/>
      </c>
      <c r="U134" s="8">
        <f>U58*Assumptions!$B$273*U83*(1+Assumptions!$B$191)</f>
        <v/>
      </c>
      <c r="V134" s="8">
        <f>V58*Assumptions!$B$273*V83*(1+Assumptions!$B$191)</f>
        <v/>
      </c>
      <c r="W134" s="8">
        <f>W58*Assumptions!$B$273*W83*(1+Assumptions!$B$191)</f>
        <v/>
      </c>
      <c r="X134" s="8">
        <f>X58*Assumptions!$B$273*X83*(1+Assumptions!$B$191)</f>
        <v/>
      </c>
      <c r="Y134" s="8">
        <f>Y58*Assumptions!$B$273*Y83*(1+Assumptions!$B$191)</f>
        <v/>
      </c>
      <c r="Z134" s="8">
        <f>Z58*Assumptions!$B$273*Z83*(1+Assumptions!$B$191)</f>
        <v/>
      </c>
      <c r="AA134" s="8">
        <f>AA58*Assumptions!$B$273*AA83*(1+Assumptions!$B$191)</f>
        <v/>
      </c>
      <c r="AB134" s="8">
        <f>AB58*Assumptions!$B$273*AB83*(1+Assumptions!$B$191)</f>
        <v/>
      </c>
      <c r="AC134" s="8">
        <f>AC58*Assumptions!$B$273*AC83*(1+Assumptions!$B$191)</f>
        <v/>
      </c>
      <c r="AD134" s="8">
        <f>AD58*Assumptions!$B$273*AD83*(1+Assumptions!$B$191)</f>
        <v/>
      </c>
      <c r="AE134" s="8">
        <f>AE58*Assumptions!$B$273*AE83*(1+Assumptions!$B$191)</f>
        <v/>
      </c>
      <c r="AF134" s="8">
        <f>AF58*Assumptions!$B$273*AF83*(1+Assumptions!$B$191)</f>
        <v/>
      </c>
      <c r="AG134" s="8">
        <f>AG58*Assumptions!$B$273*AG83*(1+Assumptions!$B$191)</f>
        <v/>
      </c>
      <c r="AH134" s="8">
        <f>AH58*Assumptions!$B$273*AH83*(1+Assumptions!$B$191)</f>
        <v/>
      </c>
      <c r="AI134" s="8">
        <f>AI58*Assumptions!$B$273*AI83*(1+Assumptions!$B$191)</f>
        <v/>
      </c>
      <c r="AJ134" s="8">
        <f>AJ58*Assumptions!$B$273*AJ83*(1+Assumptions!$B$191)</f>
        <v/>
      </c>
      <c r="AK134" s="8">
        <f>AK58*Assumptions!$B$273*AK83*(1+Assumptions!$B$191)</f>
        <v/>
      </c>
      <c r="AL134" s="8">
        <f>AL58*Assumptions!$B$273*AL83*(1+Assumptions!$B$191)</f>
        <v/>
      </c>
      <c r="AM134" s="8">
        <f>AM58*Assumptions!$B$273*AM83*(1+Assumptions!$B$191)</f>
        <v/>
      </c>
      <c r="AN134" s="8">
        <f>AN58*Assumptions!$B$273*AN83*(1+Assumptions!$B$191)</f>
        <v/>
      </c>
      <c r="AO134" s="8">
        <f>AO58*Assumptions!$B$273*AO83*(1+Assumptions!$B$191)</f>
        <v/>
      </c>
      <c r="AP134" s="8">
        <f>AP58*Assumptions!$B$273*AP83*(1+Assumptions!$B$191)</f>
        <v/>
      </c>
      <c r="AQ134" s="8">
        <f>AQ58*Assumptions!$B$273*AQ83*(1+Assumptions!$B$191)</f>
        <v/>
      </c>
      <c r="AR134" s="8">
        <f>AR58*Assumptions!$B$273*AR83*(1+Assumptions!$B$191)</f>
        <v/>
      </c>
      <c r="AS134" s="8">
        <f>AS58*Assumptions!$B$273*AS83*(1+Assumptions!$B$191)</f>
        <v/>
      </c>
      <c r="AT134" s="8">
        <f>AT58*Assumptions!$B$273*AT83*(1+Assumptions!$B$191)</f>
        <v/>
      </c>
      <c r="AU134" s="8">
        <f>AU58*Assumptions!$B$273*AU83*(1+Assumptions!$B$191)</f>
        <v/>
      </c>
      <c r="AV134" s="8">
        <f>AV58*Assumptions!$B$273*AV83*(1+Assumptions!$B$191)</f>
        <v/>
      </c>
      <c r="AW134" s="8">
        <f>AW58*Assumptions!$B$273*AW83*(1+Assumptions!$B$191)</f>
        <v/>
      </c>
      <c r="AX134" s="8">
        <f>AX58*Assumptions!$B$273*AX83*(1+Assumptions!$B$191)</f>
        <v/>
      </c>
      <c r="AY134" s="8">
        <f>AY58*Assumptions!$B$273*AY83*(1+Assumptions!$B$191)</f>
        <v/>
      </c>
      <c r="AZ134" s="8">
        <f>AZ58*Assumptions!$B$273*AZ83*(1+Assumptions!$B$191)</f>
        <v/>
      </c>
      <c r="BA134" s="8">
        <f>BA58*Assumptions!$B$273*BA83*(1+Assumptions!$B$191)</f>
        <v/>
      </c>
      <c r="BB134" s="8">
        <f>BB58*Assumptions!$B$273*BB83*(1+Assumptions!$B$191)</f>
        <v/>
      </c>
      <c r="BC134" s="8">
        <f>BC58*Assumptions!$B$273*BC83*(1+Assumptions!$B$191)</f>
        <v/>
      </c>
      <c r="BD134" s="8">
        <f>BD58*Assumptions!$B$273*BD83*(1+Assumptions!$B$191)</f>
        <v/>
      </c>
      <c r="BE134" s="8">
        <f>BE58*Assumptions!$B$273*BE83*(1+Assumptions!$B$191)</f>
        <v/>
      </c>
      <c r="BF134" s="8">
        <f>BF58*Assumptions!$B$273*BF83*(1+Assumptions!$B$191)</f>
        <v/>
      </c>
      <c r="BG134" s="8">
        <f>BG58*Assumptions!$B$273*BG83*(1+Assumptions!$B$191)</f>
        <v/>
      </c>
      <c r="BH134" s="8">
        <f>BH58*Assumptions!$B$273*BH83*(1+Assumptions!$B$191)</f>
        <v/>
      </c>
      <c r="BI134" s="8">
        <f>BI58*Assumptions!$B$273*BI83*(1+Assumptions!$B$191)</f>
        <v/>
      </c>
      <c r="BJ134" s="8">
        <f>BJ58*Assumptions!$B$273*BJ83*(1+Assumptions!$B$191)</f>
        <v/>
      </c>
    </row>
    <row r="135">
      <c r="A135" s="4" t="inlineStr">
        <is>
          <t>Nigeria team expansion</t>
        </is>
      </c>
      <c r="B135" s="17" t="inlineStr">
        <is>
          <t>R</t>
        </is>
      </c>
      <c r="C135" s="8">
        <f>C59*Assumptions!$B$274*C83*(1+Assumptions!$B$191)</f>
        <v/>
      </c>
      <c r="D135" s="8">
        <f>D59*Assumptions!$B$274*D83*(1+Assumptions!$B$191)</f>
        <v/>
      </c>
      <c r="E135" s="8">
        <f>E59*Assumptions!$B$274*E83*(1+Assumptions!$B$191)</f>
        <v/>
      </c>
      <c r="F135" s="8">
        <f>F59*Assumptions!$B$274*F83*(1+Assumptions!$B$191)</f>
        <v/>
      </c>
      <c r="G135" s="8">
        <f>G59*Assumptions!$B$274*G83*(1+Assumptions!$B$191)</f>
        <v/>
      </c>
      <c r="H135" s="8">
        <f>H59*Assumptions!$B$274*H83*(1+Assumptions!$B$191)</f>
        <v/>
      </c>
      <c r="I135" s="8">
        <f>I59*Assumptions!$B$274*I83*(1+Assumptions!$B$191)</f>
        <v/>
      </c>
      <c r="J135" s="8">
        <f>J59*Assumptions!$B$274*J83*(1+Assumptions!$B$191)</f>
        <v/>
      </c>
      <c r="K135" s="8">
        <f>K59*Assumptions!$B$274*K83*(1+Assumptions!$B$191)</f>
        <v/>
      </c>
      <c r="L135" s="8">
        <f>L59*Assumptions!$B$274*L83*(1+Assumptions!$B$191)</f>
        <v/>
      </c>
      <c r="M135" s="8">
        <f>M59*Assumptions!$B$274*M83*(1+Assumptions!$B$191)</f>
        <v/>
      </c>
      <c r="N135" s="8">
        <f>N59*Assumptions!$B$274*N83*(1+Assumptions!$B$191)</f>
        <v/>
      </c>
      <c r="O135" s="8">
        <f>O59*Assumptions!$B$274*O83*(1+Assumptions!$B$191)</f>
        <v/>
      </c>
      <c r="P135" s="8">
        <f>P59*Assumptions!$B$274*P83*(1+Assumptions!$B$191)</f>
        <v/>
      </c>
      <c r="Q135" s="8">
        <f>Q59*Assumptions!$B$274*Q83*(1+Assumptions!$B$191)</f>
        <v/>
      </c>
      <c r="R135" s="8">
        <f>R59*Assumptions!$B$274*R83*(1+Assumptions!$B$191)</f>
        <v/>
      </c>
      <c r="S135" s="8">
        <f>S59*Assumptions!$B$274*S83*(1+Assumptions!$B$191)</f>
        <v/>
      </c>
      <c r="T135" s="8">
        <f>T59*Assumptions!$B$274*T83*(1+Assumptions!$B$191)</f>
        <v/>
      </c>
      <c r="U135" s="8">
        <f>U59*Assumptions!$B$274*U83*(1+Assumptions!$B$191)</f>
        <v/>
      </c>
      <c r="V135" s="8">
        <f>V59*Assumptions!$B$274*V83*(1+Assumptions!$B$191)</f>
        <v/>
      </c>
      <c r="W135" s="8">
        <f>W59*Assumptions!$B$274*W83*(1+Assumptions!$B$191)</f>
        <v/>
      </c>
      <c r="X135" s="8">
        <f>X59*Assumptions!$B$274*X83*(1+Assumptions!$B$191)</f>
        <v/>
      </c>
      <c r="Y135" s="8">
        <f>Y59*Assumptions!$B$274*Y83*(1+Assumptions!$B$191)</f>
        <v/>
      </c>
      <c r="Z135" s="8">
        <f>Z59*Assumptions!$B$274*Z83*(1+Assumptions!$B$191)</f>
        <v/>
      </c>
      <c r="AA135" s="8">
        <f>AA59*Assumptions!$B$274*AA83*(1+Assumptions!$B$191)</f>
        <v/>
      </c>
      <c r="AB135" s="8">
        <f>AB59*Assumptions!$B$274*AB83*(1+Assumptions!$B$191)</f>
        <v/>
      </c>
      <c r="AC135" s="8">
        <f>AC59*Assumptions!$B$274*AC83*(1+Assumptions!$B$191)</f>
        <v/>
      </c>
      <c r="AD135" s="8">
        <f>AD59*Assumptions!$B$274*AD83*(1+Assumptions!$B$191)</f>
        <v/>
      </c>
      <c r="AE135" s="8">
        <f>AE59*Assumptions!$B$274*AE83*(1+Assumptions!$B$191)</f>
        <v/>
      </c>
      <c r="AF135" s="8">
        <f>AF59*Assumptions!$B$274*AF83*(1+Assumptions!$B$191)</f>
        <v/>
      </c>
      <c r="AG135" s="8">
        <f>AG59*Assumptions!$B$274*AG83*(1+Assumptions!$B$191)</f>
        <v/>
      </c>
      <c r="AH135" s="8">
        <f>AH59*Assumptions!$B$274*AH83*(1+Assumptions!$B$191)</f>
        <v/>
      </c>
      <c r="AI135" s="8">
        <f>AI59*Assumptions!$B$274*AI83*(1+Assumptions!$B$191)</f>
        <v/>
      </c>
      <c r="AJ135" s="8">
        <f>AJ59*Assumptions!$B$274*AJ83*(1+Assumptions!$B$191)</f>
        <v/>
      </c>
      <c r="AK135" s="8">
        <f>AK59*Assumptions!$B$274*AK83*(1+Assumptions!$B$191)</f>
        <v/>
      </c>
      <c r="AL135" s="8">
        <f>AL59*Assumptions!$B$274*AL83*(1+Assumptions!$B$191)</f>
        <v/>
      </c>
      <c r="AM135" s="8">
        <f>AM59*Assumptions!$B$274*AM83*(1+Assumptions!$B$191)</f>
        <v/>
      </c>
      <c r="AN135" s="8">
        <f>AN59*Assumptions!$B$274*AN83*(1+Assumptions!$B$191)</f>
        <v/>
      </c>
      <c r="AO135" s="8">
        <f>AO59*Assumptions!$B$274*AO83*(1+Assumptions!$B$191)</f>
        <v/>
      </c>
      <c r="AP135" s="8">
        <f>AP59*Assumptions!$B$274*AP83*(1+Assumptions!$B$191)</f>
        <v/>
      </c>
      <c r="AQ135" s="8">
        <f>AQ59*Assumptions!$B$274*AQ83*(1+Assumptions!$B$191)</f>
        <v/>
      </c>
      <c r="AR135" s="8">
        <f>AR59*Assumptions!$B$274*AR83*(1+Assumptions!$B$191)</f>
        <v/>
      </c>
      <c r="AS135" s="8">
        <f>AS59*Assumptions!$B$274*AS83*(1+Assumptions!$B$191)</f>
        <v/>
      </c>
      <c r="AT135" s="8">
        <f>AT59*Assumptions!$B$274*AT83*(1+Assumptions!$B$191)</f>
        <v/>
      </c>
      <c r="AU135" s="8">
        <f>AU59*Assumptions!$B$274*AU83*(1+Assumptions!$B$191)</f>
        <v/>
      </c>
      <c r="AV135" s="8">
        <f>AV59*Assumptions!$B$274*AV83*(1+Assumptions!$B$191)</f>
        <v/>
      </c>
      <c r="AW135" s="8">
        <f>AW59*Assumptions!$B$274*AW83*(1+Assumptions!$B$191)</f>
        <v/>
      </c>
      <c r="AX135" s="8">
        <f>AX59*Assumptions!$B$274*AX83*(1+Assumptions!$B$191)</f>
        <v/>
      </c>
      <c r="AY135" s="8">
        <f>AY59*Assumptions!$B$274*AY83*(1+Assumptions!$B$191)</f>
        <v/>
      </c>
      <c r="AZ135" s="8">
        <f>AZ59*Assumptions!$B$274*AZ83*(1+Assumptions!$B$191)</f>
        <v/>
      </c>
      <c r="BA135" s="8">
        <f>BA59*Assumptions!$B$274*BA83*(1+Assumptions!$B$191)</f>
        <v/>
      </c>
      <c r="BB135" s="8">
        <f>BB59*Assumptions!$B$274*BB83*(1+Assumptions!$B$191)</f>
        <v/>
      </c>
      <c r="BC135" s="8">
        <f>BC59*Assumptions!$B$274*BC83*(1+Assumptions!$B$191)</f>
        <v/>
      </c>
      <c r="BD135" s="8">
        <f>BD59*Assumptions!$B$274*BD83*(1+Assumptions!$B$191)</f>
        <v/>
      </c>
      <c r="BE135" s="8">
        <f>BE59*Assumptions!$B$274*BE83*(1+Assumptions!$B$191)</f>
        <v/>
      </c>
      <c r="BF135" s="8">
        <f>BF59*Assumptions!$B$274*BF83*(1+Assumptions!$B$191)</f>
        <v/>
      </c>
      <c r="BG135" s="8">
        <f>BG59*Assumptions!$B$274*BG83*(1+Assumptions!$B$191)</f>
        <v/>
      </c>
      <c r="BH135" s="8">
        <f>BH59*Assumptions!$B$274*BH83*(1+Assumptions!$B$191)</f>
        <v/>
      </c>
      <c r="BI135" s="8">
        <f>BI59*Assumptions!$B$274*BI83*(1+Assumptions!$B$191)</f>
        <v/>
      </c>
      <c r="BJ135" s="8">
        <f>BJ59*Assumptions!$B$274*BJ83*(1+Assumptions!$B$191)</f>
        <v/>
      </c>
    </row>
    <row r="136">
      <c r="A136" s="4" t="inlineStr">
        <is>
          <t>Country lead: Kenya</t>
        </is>
      </c>
      <c r="B136" s="17" t="inlineStr">
        <is>
          <t>R</t>
        </is>
      </c>
      <c r="C136" s="8">
        <f>C60*Assumptions!$B$275*C83*(1+Assumptions!$B$191)</f>
        <v/>
      </c>
      <c r="D136" s="8">
        <f>D60*Assumptions!$B$275*D83*(1+Assumptions!$B$191)</f>
        <v/>
      </c>
      <c r="E136" s="8">
        <f>E60*Assumptions!$B$275*E83*(1+Assumptions!$B$191)</f>
        <v/>
      </c>
      <c r="F136" s="8">
        <f>F60*Assumptions!$B$275*F83*(1+Assumptions!$B$191)</f>
        <v/>
      </c>
      <c r="G136" s="8">
        <f>G60*Assumptions!$B$275*G83*(1+Assumptions!$B$191)</f>
        <v/>
      </c>
      <c r="H136" s="8">
        <f>H60*Assumptions!$B$275*H83*(1+Assumptions!$B$191)</f>
        <v/>
      </c>
      <c r="I136" s="8">
        <f>I60*Assumptions!$B$275*I83*(1+Assumptions!$B$191)</f>
        <v/>
      </c>
      <c r="J136" s="8">
        <f>J60*Assumptions!$B$275*J83*(1+Assumptions!$B$191)</f>
        <v/>
      </c>
      <c r="K136" s="8">
        <f>K60*Assumptions!$B$275*K83*(1+Assumptions!$B$191)</f>
        <v/>
      </c>
      <c r="L136" s="8">
        <f>L60*Assumptions!$B$275*L83*(1+Assumptions!$B$191)</f>
        <v/>
      </c>
      <c r="M136" s="8">
        <f>M60*Assumptions!$B$275*M83*(1+Assumptions!$B$191)</f>
        <v/>
      </c>
      <c r="N136" s="8">
        <f>N60*Assumptions!$B$275*N83*(1+Assumptions!$B$191)</f>
        <v/>
      </c>
      <c r="O136" s="8">
        <f>O60*Assumptions!$B$275*O83*(1+Assumptions!$B$191)</f>
        <v/>
      </c>
      <c r="P136" s="8">
        <f>P60*Assumptions!$B$275*P83*(1+Assumptions!$B$191)</f>
        <v/>
      </c>
      <c r="Q136" s="8">
        <f>Q60*Assumptions!$B$275*Q83*(1+Assumptions!$B$191)</f>
        <v/>
      </c>
      <c r="R136" s="8">
        <f>R60*Assumptions!$B$275*R83*(1+Assumptions!$B$191)</f>
        <v/>
      </c>
      <c r="S136" s="8">
        <f>S60*Assumptions!$B$275*S83*(1+Assumptions!$B$191)</f>
        <v/>
      </c>
      <c r="T136" s="8">
        <f>T60*Assumptions!$B$275*T83*(1+Assumptions!$B$191)</f>
        <v/>
      </c>
      <c r="U136" s="8">
        <f>U60*Assumptions!$B$275*U83*(1+Assumptions!$B$191)</f>
        <v/>
      </c>
      <c r="V136" s="8">
        <f>V60*Assumptions!$B$275*V83*(1+Assumptions!$B$191)</f>
        <v/>
      </c>
      <c r="W136" s="8">
        <f>W60*Assumptions!$B$275*W83*(1+Assumptions!$B$191)</f>
        <v/>
      </c>
      <c r="X136" s="8">
        <f>X60*Assumptions!$B$275*X83*(1+Assumptions!$B$191)</f>
        <v/>
      </c>
      <c r="Y136" s="8">
        <f>Y60*Assumptions!$B$275*Y83*(1+Assumptions!$B$191)</f>
        <v/>
      </c>
      <c r="Z136" s="8">
        <f>Z60*Assumptions!$B$275*Z83*(1+Assumptions!$B$191)</f>
        <v/>
      </c>
      <c r="AA136" s="8">
        <f>AA60*Assumptions!$B$275*AA83*(1+Assumptions!$B$191)</f>
        <v/>
      </c>
      <c r="AB136" s="8">
        <f>AB60*Assumptions!$B$275*AB83*(1+Assumptions!$B$191)</f>
        <v/>
      </c>
      <c r="AC136" s="8">
        <f>AC60*Assumptions!$B$275*AC83*(1+Assumptions!$B$191)</f>
        <v/>
      </c>
      <c r="AD136" s="8">
        <f>AD60*Assumptions!$B$275*AD83*(1+Assumptions!$B$191)</f>
        <v/>
      </c>
      <c r="AE136" s="8">
        <f>AE60*Assumptions!$B$275*AE83*(1+Assumptions!$B$191)</f>
        <v/>
      </c>
      <c r="AF136" s="8">
        <f>AF60*Assumptions!$B$275*AF83*(1+Assumptions!$B$191)</f>
        <v/>
      </c>
      <c r="AG136" s="8">
        <f>AG60*Assumptions!$B$275*AG83*(1+Assumptions!$B$191)</f>
        <v/>
      </c>
      <c r="AH136" s="8">
        <f>AH60*Assumptions!$B$275*AH83*(1+Assumptions!$B$191)</f>
        <v/>
      </c>
      <c r="AI136" s="8">
        <f>AI60*Assumptions!$B$275*AI83*(1+Assumptions!$B$191)</f>
        <v/>
      </c>
      <c r="AJ136" s="8">
        <f>AJ60*Assumptions!$B$275*AJ83*(1+Assumptions!$B$191)</f>
        <v/>
      </c>
      <c r="AK136" s="8">
        <f>AK60*Assumptions!$B$275*AK83*(1+Assumptions!$B$191)</f>
        <v/>
      </c>
      <c r="AL136" s="8">
        <f>AL60*Assumptions!$B$275*AL83*(1+Assumptions!$B$191)</f>
        <v/>
      </c>
      <c r="AM136" s="8">
        <f>AM60*Assumptions!$B$275*AM83*(1+Assumptions!$B$191)</f>
        <v/>
      </c>
      <c r="AN136" s="8">
        <f>AN60*Assumptions!$B$275*AN83*(1+Assumptions!$B$191)</f>
        <v/>
      </c>
      <c r="AO136" s="8">
        <f>AO60*Assumptions!$B$275*AO83*(1+Assumptions!$B$191)</f>
        <v/>
      </c>
      <c r="AP136" s="8">
        <f>AP60*Assumptions!$B$275*AP83*(1+Assumptions!$B$191)</f>
        <v/>
      </c>
      <c r="AQ136" s="8">
        <f>AQ60*Assumptions!$B$275*AQ83*(1+Assumptions!$B$191)</f>
        <v/>
      </c>
      <c r="AR136" s="8">
        <f>AR60*Assumptions!$B$275*AR83*(1+Assumptions!$B$191)</f>
        <v/>
      </c>
      <c r="AS136" s="8">
        <f>AS60*Assumptions!$B$275*AS83*(1+Assumptions!$B$191)</f>
        <v/>
      </c>
      <c r="AT136" s="8">
        <f>AT60*Assumptions!$B$275*AT83*(1+Assumptions!$B$191)</f>
        <v/>
      </c>
      <c r="AU136" s="8">
        <f>AU60*Assumptions!$B$275*AU83*(1+Assumptions!$B$191)</f>
        <v/>
      </c>
      <c r="AV136" s="8">
        <f>AV60*Assumptions!$B$275*AV83*(1+Assumptions!$B$191)</f>
        <v/>
      </c>
      <c r="AW136" s="8">
        <f>AW60*Assumptions!$B$275*AW83*(1+Assumptions!$B$191)</f>
        <v/>
      </c>
      <c r="AX136" s="8">
        <f>AX60*Assumptions!$B$275*AX83*(1+Assumptions!$B$191)</f>
        <v/>
      </c>
      <c r="AY136" s="8">
        <f>AY60*Assumptions!$B$275*AY83*(1+Assumptions!$B$191)</f>
        <v/>
      </c>
      <c r="AZ136" s="8">
        <f>AZ60*Assumptions!$B$275*AZ83*(1+Assumptions!$B$191)</f>
        <v/>
      </c>
      <c r="BA136" s="8">
        <f>BA60*Assumptions!$B$275*BA83*(1+Assumptions!$B$191)</f>
        <v/>
      </c>
      <c r="BB136" s="8">
        <f>BB60*Assumptions!$B$275*BB83*(1+Assumptions!$B$191)</f>
        <v/>
      </c>
      <c r="BC136" s="8">
        <f>BC60*Assumptions!$B$275*BC83*(1+Assumptions!$B$191)</f>
        <v/>
      </c>
      <c r="BD136" s="8">
        <f>BD60*Assumptions!$B$275*BD83*(1+Assumptions!$B$191)</f>
        <v/>
      </c>
      <c r="BE136" s="8">
        <f>BE60*Assumptions!$B$275*BE83*(1+Assumptions!$B$191)</f>
        <v/>
      </c>
      <c r="BF136" s="8">
        <f>BF60*Assumptions!$B$275*BF83*(1+Assumptions!$B$191)</f>
        <v/>
      </c>
      <c r="BG136" s="8">
        <f>BG60*Assumptions!$B$275*BG83*(1+Assumptions!$B$191)</f>
        <v/>
      </c>
      <c r="BH136" s="8">
        <f>BH60*Assumptions!$B$275*BH83*(1+Assumptions!$B$191)</f>
        <v/>
      </c>
      <c r="BI136" s="8">
        <f>BI60*Assumptions!$B$275*BI83*(1+Assumptions!$B$191)</f>
        <v/>
      </c>
      <c r="BJ136" s="8">
        <f>BJ60*Assumptions!$B$275*BJ83*(1+Assumptions!$B$191)</f>
        <v/>
      </c>
    </row>
    <row r="137">
      <c r="A137" s="4" t="inlineStr">
        <is>
          <t>Kenya sales &amp; CS</t>
        </is>
      </c>
      <c r="B137" s="17" t="inlineStr">
        <is>
          <t>R</t>
        </is>
      </c>
      <c r="C137" s="8">
        <f>C61*Assumptions!$B$276*C83*(1+Assumptions!$B$191)</f>
        <v/>
      </c>
      <c r="D137" s="8">
        <f>D61*Assumptions!$B$276*D83*(1+Assumptions!$B$191)</f>
        <v/>
      </c>
      <c r="E137" s="8">
        <f>E61*Assumptions!$B$276*E83*(1+Assumptions!$B$191)</f>
        <v/>
      </c>
      <c r="F137" s="8">
        <f>F61*Assumptions!$B$276*F83*(1+Assumptions!$B$191)</f>
        <v/>
      </c>
      <c r="G137" s="8">
        <f>G61*Assumptions!$B$276*G83*(1+Assumptions!$B$191)</f>
        <v/>
      </c>
      <c r="H137" s="8">
        <f>H61*Assumptions!$B$276*H83*(1+Assumptions!$B$191)</f>
        <v/>
      </c>
      <c r="I137" s="8">
        <f>I61*Assumptions!$B$276*I83*(1+Assumptions!$B$191)</f>
        <v/>
      </c>
      <c r="J137" s="8">
        <f>J61*Assumptions!$B$276*J83*(1+Assumptions!$B$191)</f>
        <v/>
      </c>
      <c r="K137" s="8">
        <f>K61*Assumptions!$B$276*K83*(1+Assumptions!$B$191)</f>
        <v/>
      </c>
      <c r="L137" s="8">
        <f>L61*Assumptions!$B$276*L83*(1+Assumptions!$B$191)</f>
        <v/>
      </c>
      <c r="M137" s="8">
        <f>M61*Assumptions!$B$276*M83*(1+Assumptions!$B$191)</f>
        <v/>
      </c>
      <c r="N137" s="8">
        <f>N61*Assumptions!$B$276*N83*(1+Assumptions!$B$191)</f>
        <v/>
      </c>
      <c r="O137" s="8">
        <f>O61*Assumptions!$B$276*O83*(1+Assumptions!$B$191)</f>
        <v/>
      </c>
      <c r="P137" s="8">
        <f>P61*Assumptions!$B$276*P83*(1+Assumptions!$B$191)</f>
        <v/>
      </c>
      <c r="Q137" s="8">
        <f>Q61*Assumptions!$B$276*Q83*(1+Assumptions!$B$191)</f>
        <v/>
      </c>
      <c r="R137" s="8">
        <f>R61*Assumptions!$B$276*R83*(1+Assumptions!$B$191)</f>
        <v/>
      </c>
      <c r="S137" s="8">
        <f>S61*Assumptions!$B$276*S83*(1+Assumptions!$B$191)</f>
        <v/>
      </c>
      <c r="T137" s="8">
        <f>T61*Assumptions!$B$276*T83*(1+Assumptions!$B$191)</f>
        <v/>
      </c>
      <c r="U137" s="8">
        <f>U61*Assumptions!$B$276*U83*(1+Assumptions!$B$191)</f>
        <v/>
      </c>
      <c r="V137" s="8">
        <f>V61*Assumptions!$B$276*V83*(1+Assumptions!$B$191)</f>
        <v/>
      </c>
      <c r="W137" s="8">
        <f>W61*Assumptions!$B$276*W83*(1+Assumptions!$B$191)</f>
        <v/>
      </c>
      <c r="X137" s="8">
        <f>X61*Assumptions!$B$276*X83*(1+Assumptions!$B$191)</f>
        <v/>
      </c>
      <c r="Y137" s="8">
        <f>Y61*Assumptions!$B$276*Y83*(1+Assumptions!$B$191)</f>
        <v/>
      </c>
      <c r="Z137" s="8">
        <f>Z61*Assumptions!$B$276*Z83*(1+Assumptions!$B$191)</f>
        <v/>
      </c>
      <c r="AA137" s="8">
        <f>AA61*Assumptions!$B$276*AA83*(1+Assumptions!$B$191)</f>
        <v/>
      </c>
      <c r="AB137" s="8">
        <f>AB61*Assumptions!$B$276*AB83*(1+Assumptions!$B$191)</f>
        <v/>
      </c>
      <c r="AC137" s="8">
        <f>AC61*Assumptions!$B$276*AC83*(1+Assumptions!$B$191)</f>
        <v/>
      </c>
      <c r="AD137" s="8">
        <f>AD61*Assumptions!$B$276*AD83*(1+Assumptions!$B$191)</f>
        <v/>
      </c>
      <c r="AE137" s="8">
        <f>AE61*Assumptions!$B$276*AE83*(1+Assumptions!$B$191)</f>
        <v/>
      </c>
      <c r="AF137" s="8">
        <f>AF61*Assumptions!$B$276*AF83*(1+Assumptions!$B$191)</f>
        <v/>
      </c>
      <c r="AG137" s="8">
        <f>AG61*Assumptions!$B$276*AG83*(1+Assumptions!$B$191)</f>
        <v/>
      </c>
      <c r="AH137" s="8">
        <f>AH61*Assumptions!$B$276*AH83*(1+Assumptions!$B$191)</f>
        <v/>
      </c>
      <c r="AI137" s="8">
        <f>AI61*Assumptions!$B$276*AI83*(1+Assumptions!$B$191)</f>
        <v/>
      </c>
      <c r="AJ137" s="8">
        <f>AJ61*Assumptions!$B$276*AJ83*(1+Assumptions!$B$191)</f>
        <v/>
      </c>
      <c r="AK137" s="8">
        <f>AK61*Assumptions!$B$276*AK83*(1+Assumptions!$B$191)</f>
        <v/>
      </c>
      <c r="AL137" s="8">
        <f>AL61*Assumptions!$B$276*AL83*(1+Assumptions!$B$191)</f>
        <v/>
      </c>
      <c r="AM137" s="8">
        <f>AM61*Assumptions!$B$276*AM83*(1+Assumptions!$B$191)</f>
        <v/>
      </c>
      <c r="AN137" s="8">
        <f>AN61*Assumptions!$B$276*AN83*(1+Assumptions!$B$191)</f>
        <v/>
      </c>
      <c r="AO137" s="8">
        <f>AO61*Assumptions!$B$276*AO83*(1+Assumptions!$B$191)</f>
        <v/>
      </c>
      <c r="AP137" s="8">
        <f>AP61*Assumptions!$B$276*AP83*(1+Assumptions!$B$191)</f>
        <v/>
      </c>
      <c r="AQ137" s="8">
        <f>AQ61*Assumptions!$B$276*AQ83*(1+Assumptions!$B$191)</f>
        <v/>
      </c>
      <c r="AR137" s="8">
        <f>AR61*Assumptions!$B$276*AR83*(1+Assumptions!$B$191)</f>
        <v/>
      </c>
      <c r="AS137" s="8">
        <f>AS61*Assumptions!$B$276*AS83*(1+Assumptions!$B$191)</f>
        <v/>
      </c>
      <c r="AT137" s="8">
        <f>AT61*Assumptions!$B$276*AT83*(1+Assumptions!$B$191)</f>
        <v/>
      </c>
      <c r="AU137" s="8">
        <f>AU61*Assumptions!$B$276*AU83*(1+Assumptions!$B$191)</f>
        <v/>
      </c>
      <c r="AV137" s="8">
        <f>AV61*Assumptions!$B$276*AV83*(1+Assumptions!$B$191)</f>
        <v/>
      </c>
      <c r="AW137" s="8">
        <f>AW61*Assumptions!$B$276*AW83*(1+Assumptions!$B$191)</f>
        <v/>
      </c>
      <c r="AX137" s="8">
        <f>AX61*Assumptions!$B$276*AX83*(1+Assumptions!$B$191)</f>
        <v/>
      </c>
      <c r="AY137" s="8">
        <f>AY61*Assumptions!$B$276*AY83*(1+Assumptions!$B$191)</f>
        <v/>
      </c>
      <c r="AZ137" s="8">
        <f>AZ61*Assumptions!$B$276*AZ83*(1+Assumptions!$B$191)</f>
        <v/>
      </c>
      <c r="BA137" s="8">
        <f>BA61*Assumptions!$B$276*BA83*(1+Assumptions!$B$191)</f>
        <v/>
      </c>
      <c r="BB137" s="8">
        <f>BB61*Assumptions!$B$276*BB83*(1+Assumptions!$B$191)</f>
        <v/>
      </c>
      <c r="BC137" s="8">
        <f>BC61*Assumptions!$B$276*BC83*(1+Assumptions!$B$191)</f>
        <v/>
      </c>
      <c r="BD137" s="8">
        <f>BD61*Assumptions!$B$276*BD83*(1+Assumptions!$B$191)</f>
        <v/>
      </c>
      <c r="BE137" s="8">
        <f>BE61*Assumptions!$B$276*BE83*(1+Assumptions!$B$191)</f>
        <v/>
      </c>
      <c r="BF137" s="8">
        <f>BF61*Assumptions!$B$276*BF83*(1+Assumptions!$B$191)</f>
        <v/>
      </c>
      <c r="BG137" s="8">
        <f>BG61*Assumptions!$B$276*BG83*(1+Assumptions!$B$191)</f>
        <v/>
      </c>
      <c r="BH137" s="8">
        <f>BH61*Assumptions!$B$276*BH83*(1+Assumptions!$B$191)</f>
        <v/>
      </c>
      <c r="BI137" s="8">
        <f>BI61*Assumptions!$B$276*BI83*(1+Assumptions!$B$191)</f>
        <v/>
      </c>
      <c r="BJ137" s="8">
        <f>BJ61*Assumptions!$B$276*BJ83*(1+Assumptions!$B$191)</f>
        <v/>
      </c>
    </row>
    <row r="138">
      <c r="A138" s="4" t="inlineStr">
        <is>
          <t>Kenya team expansion</t>
        </is>
      </c>
      <c r="B138" s="17" t="inlineStr">
        <is>
          <t>R</t>
        </is>
      </c>
      <c r="C138" s="8">
        <f>C62*Assumptions!$B$277*C83*(1+Assumptions!$B$191)</f>
        <v/>
      </c>
      <c r="D138" s="8">
        <f>D62*Assumptions!$B$277*D83*(1+Assumptions!$B$191)</f>
        <v/>
      </c>
      <c r="E138" s="8">
        <f>E62*Assumptions!$B$277*E83*(1+Assumptions!$B$191)</f>
        <v/>
      </c>
      <c r="F138" s="8">
        <f>F62*Assumptions!$B$277*F83*(1+Assumptions!$B$191)</f>
        <v/>
      </c>
      <c r="G138" s="8">
        <f>G62*Assumptions!$B$277*G83*(1+Assumptions!$B$191)</f>
        <v/>
      </c>
      <c r="H138" s="8">
        <f>H62*Assumptions!$B$277*H83*(1+Assumptions!$B$191)</f>
        <v/>
      </c>
      <c r="I138" s="8">
        <f>I62*Assumptions!$B$277*I83*(1+Assumptions!$B$191)</f>
        <v/>
      </c>
      <c r="J138" s="8">
        <f>J62*Assumptions!$B$277*J83*(1+Assumptions!$B$191)</f>
        <v/>
      </c>
      <c r="K138" s="8">
        <f>K62*Assumptions!$B$277*K83*(1+Assumptions!$B$191)</f>
        <v/>
      </c>
      <c r="L138" s="8">
        <f>L62*Assumptions!$B$277*L83*(1+Assumptions!$B$191)</f>
        <v/>
      </c>
      <c r="M138" s="8">
        <f>M62*Assumptions!$B$277*M83*(1+Assumptions!$B$191)</f>
        <v/>
      </c>
      <c r="N138" s="8">
        <f>N62*Assumptions!$B$277*N83*(1+Assumptions!$B$191)</f>
        <v/>
      </c>
      <c r="O138" s="8">
        <f>O62*Assumptions!$B$277*O83*(1+Assumptions!$B$191)</f>
        <v/>
      </c>
      <c r="P138" s="8">
        <f>P62*Assumptions!$B$277*P83*(1+Assumptions!$B$191)</f>
        <v/>
      </c>
      <c r="Q138" s="8">
        <f>Q62*Assumptions!$B$277*Q83*(1+Assumptions!$B$191)</f>
        <v/>
      </c>
      <c r="R138" s="8">
        <f>R62*Assumptions!$B$277*R83*(1+Assumptions!$B$191)</f>
        <v/>
      </c>
      <c r="S138" s="8">
        <f>S62*Assumptions!$B$277*S83*(1+Assumptions!$B$191)</f>
        <v/>
      </c>
      <c r="T138" s="8">
        <f>T62*Assumptions!$B$277*T83*(1+Assumptions!$B$191)</f>
        <v/>
      </c>
      <c r="U138" s="8">
        <f>U62*Assumptions!$B$277*U83*(1+Assumptions!$B$191)</f>
        <v/>
      </c>
      <c r="V138" s="8">
        <f>V62*Assumptions!$B$277*V83*(1+Assumptions!$B$191)</f>
        <v/>
      </c>
      <c r="W138" s="8">
        <f>W62*Assumptions!$B$277*W83*(1+Assumptions!$B$191)</f>
        <v/>
      </c>
      <c r="X138" s="8">
        <f>X62*Assumptions!$B$277*X83*(1+Assumptions!$B$191)</f>
        <v/>
      </c>
      <c r="Y138" s="8">
        <f>Y62*Assumptions!$B$277*Y83*(1+Assumptions!$B$191)</f>
        <v/>
      </c>
      <c r="Z138" s="8">
        <f>Z62*Assumptions!$B$277*Z83*(1+Assumptions!$B$191)</f>
        <v/>
      </c>
      <c r="AA138" s="8">
        <f>AA62*Assumptions!$B$277*AA83*(1+Assumptions!$B$191)</f>
        <v/>
      </c>
      <c r="AB138" s="8">
        <f>AB62*Assumptions!$B$277*AB83*(1+Assumptions!$B$191)</f>
        <v/>
      </c>
      <c r="AC138" s="8">
        <f>AC62*Assumptions!$B$277*AC83*(1+Assumptions!$B$191)</f>
        <v/>
      </c>
      <c r="AD138" s="8">
        <f>AD62*Assumptions!$B$277*AD83*(1+Assumptions!$B$191)</f>
        <v/>
      </c>
      <c r="AE138" s="8">
        <f>AE62*Assumptions!$B$277*AE83*(1+Assumptions!$B$191)</f>
        <v/>
      </c>
      <c r="AF138" s="8">
        <f>AF62*Assumptions!$B$277*AF83*(1+Assumptions!$B$191)</f>
        <v/>
      </c>
      <c r="AG138" s="8">
        <f>AG62*Assumptions!$B$277*AG83*(1+Assumptions!$B$191)</f>
        <v/>
      </c>
      <c r="AH138" s="8">
        <f>AH62*Assumptions!$B$277*AH83*(1+Assumptions!$B$191)</f>
        <v/>
      </c>
      <c r="AI138" s="8">
        <f>AI62*Assumptions!$B$277*AI83*(1+Assumptions!$B$191)</f>
        <v/>
      </c>
      <c r="AJ138" s="8">
        <f>AJ62*Assumptions!$B$277*AJ83*(1+Assumptions!$B$191)</f>
        <v/>
      </c>
      <c r="AK138" s="8">
        <f>AK62*Assumptions!$B$277*AK83*(1+Assumptions!$B$191)</f>
        <v/>
      </c>
      <c r="AL138" s="8">
        <f>AL62*Assumptions!$B$277*AL83*(1+Assumptions!$B$191)</f>
        <v/>
      </c>
      <c r="AM138" s="8">
        <f>AM62*Assumptions!$B$277*AM83*(1+Assumptions!$B$191)</f>
        <v/>
      </c>
      <c r="AN138" s="8">
        <f>AN62*Assumptions!$B$277*AN83*(1+Assumptions!$B$191)</f>
        <v/>
      </c>
      <c r="AO138" s="8">
        <f>AO62*Assumptions!$B$277*AO83*(1+Assumptions!$B$191)</f>
        <v/>
      </c>
      <c r="AP138" s="8">
        <f>AP62*Assumptions!$B$277*AP83*(1+Assumptions!$B$191)</f>
        <v/>
      </c>
      <c r="AQ138" s="8">
        <f>AQ62*Assumptions!$B$277*AQ83*(1+Assumptions!$B$191)</f>
        <v/>
      </c>
      <c r="AR138" s="8">
        <f>AR62*Assumptions!$B$277*AR83*(1+Assumptions!$B$191)</f>
        <v/>
      </c>
      <c r="AS138" s="8">
        <f>AS62*Assumptions!$B$277*AS83*(1+Assumptions!$B$191)</f>
        <v/>
      </c>
      <c r="AT138" s="8">
        <f>AT62*Assumptions!$B$277*AT83*(1+Assumptions!$B$191)</f>
        <v/>
      </c>
      <c r="AU138" s="8">
        <f>AU62*Assumptions!$B$277*AU83*(1+Assumptions!$B$191)</f>
        <v/>
      </c>
      <c r="AV138" s="8">
        <f>AV62*Assumptions!$B$277*AV83*(1+Assumptions!$B$191)</f>
        <v/>
      </c>
      <c r="AW138" s="8">
        <f>AW62*Assumptions!$B$277*AW83*(1+Assumptions!$B$191)</f>
        <v/>
      </c>
      <c r="AX138" s="8">
        <f>AX62*Assumptions!$B$277*AX83*(1+Assumptions!$B$191)</f>
        <v/>
      </c>
      <c r="AY138" s="8">
        <f>AY62*Assumptions!$B$277*AY83*(1+Assumptions!$B$191)</f>
        <v/>
      </c>
      <c r="AZ138" s="8">
        <f>AZ62*Assumptions!$B$277*AZ83*(1+Assumptions!$B$191)</f>
        <v/>
      </c>
      <c r="BA138" s="8">
        <f>BA62*Assumptions!$B$277*BA83*(1+Assumptions!$B$191)</f>
        <v/>
      </c>
      <c r="BB138" s="8">
        <f>BB62*Assumptions!$B$277*BB83*(1+Assumptions!$B$191)</f>
        <v/>
      </c>
      <c r="BC138" s="8">
        <f>BC62*Assumptions!$B$277*BC83*(1+Assumptions!$B$191)</f>
        <v/>
      </c>
      <c r="BD138" s="8">
        <f>BD62*Assumptions!$B$277*BD83*(1+Assumptions!$B$191)</f>
        <v/>
      </c>
      <c r="BE138" s="8">
        <f>BE62*Assumptions!$B$277*BE83*(1+Assumptions!$B$191)</f>
        <v/>
      </c>
      <c r="BF138" s="8">
        <f>BF62*Assumptions!$B$277*BF83*(1+Assumptions!$B$191)</f>
        <v/>
      </c>
      <c r="BG138" s="8">
        <f>BG62*Assumptions!$B$277*BG83*(1+Assumptions!$B$191)</f>
        <v/>
      </c>
      <c r="BH138" s="8">
        <f>BH62*Assumptions!$B$277*BH83*(1+Assumptions!$B$191)</f>
        <v/>
      </c>
      <c r="BI138" s="8">
        <f>BI62*Assumptions!$B$277*BI83*(1+Assumptions!$B$191)</f>
        <v/>
      </c>
      <c r="BJ138" s="8">
        <f>BJ62*Assumptions!$B$277*BJ83*(1+Assumptions!$B$191)</f>
        <v/>
      </c>
    </row>
    <row r="139">
      <c r="A139" s="4" t="inlineStr">
        <is>
          <t>Country lead: Ghana</t>
        </is>
      </c>
      <c r="B139" s="17" t="inlineStr">
        <is>
          <t>R</t>
        </is>
      </c>
      <c r="C139" s="8">
        <f>C63*Assumptions!$B$278*C83*(1+Assumptions!$B$191)</f>
        <v/>
      </c>
      <c r="D139" s="8">
        <f>D63*Assumptions!$B$278*D83*(1+Assumptions!$B$191)</f>
        <v/>
      </c>
      <c r="E139" s="8">
        <f>E63*Assumptions!$B$278*E83*(1+Assumptions!$B$191)</f>
        <v/>
      </c>
      <c r="F139" s="8">
        <f>F63*Assumptions!$B$278*F83*(1+Assumptions!$B$191)</f>
        <v/>
      </c>
      <c r="G139" s="8">
        <f>G63*Assumptions!$B$278*G83*(1+Assumptions!$B$191)</f>
        <v/>
      </c>
      <c r="H139" s="8">
        <f>H63*Assumptions!$B$278*H83*(1+Assumptions!$B$191)</f>
        <v/>
      </c>
      <c r="I139" s="8">
        <f>I63*Assumptions!$B$278*I83*(1+Assumptions!$B$191)</f>
        <v/>
      </c>
      <c r="J139" s="8">
        <f>J63*Assumptions!$B$278*J83*(1+Assumptions!$B$191)</f>
        <v/>
      </c>
      <c r="K139" s="8">
        <f>K63*Assumptions!$B$278*K83*(1+Assumptions!$B$191)</f>
        <v/>
      </c>
      <c r="L139" s="8">
        <f>L63*Assumptions!$B$278*L83*(1+Assumptions!$B$191)</f>
        <v/>
      </c>
      <c r="M139" s="8">
        <f>M63*Assumptions!$B$278*M83*(1+Assumptions!$B$191)</f>
        <v/>
      </c>
      <c r="N139" s="8">
        <f>N63*Assumptions!$B$278*N83*(1+Assumptions!$B$191)</f>
        <v/>
      </c>
      <c r="O139" s="8">
        <f>O63*Assumptions!$B$278*O83*(1+Assumptions!$B$191)</f>
        <v/>
      </c>
      <c r="P139" s="8">
        <f>P63*Assumptions!$B$278*P83*(1+Assumptions!$B$191)</f>
        <v/>
      </c>
      <c r="Q139" s="8">
        <f>Q63*Assumptions!$B$278*Q83*(1+Assumptions!$B$191)</f>
        <v/>
      </c>
      <c r="R139" s="8">
        <f>R63*Assumptions!$B$278*R83*(1+Assumptions!$B$191)</f>
        <v/>
      </c>
      <c r="S139" s="8">
        <f>S63*Assumptions!$B$278*S83*(1+Assumptions!$B$191)</f>
        <v/>
      </c>
      <c r="T139" s="8">
        <f>T63*Assumptions!$B$278*T83*(1+Assumptions!$B$191)</f>
        <v/>
      </c>
      <c r="U139" s="8">
        <f>U63*Assumptions!$B$278*U83*(1+Assumptions!$B$191)</f>
        <v/>
      </c>
      <c r="V139" s="8">
        <f>V63*Assumptions!$B$278*V83*(1+Assumptions!$B$191)</f>
        <v/>
      </c>
      <c r="W139" s="8">
        <f>W63*Assumptions!$B$278*W83*(1+Assumptions!$B$191)</f>
        <v/>
      </c>
      <c r="X139" s="8">
        <f>X63*Assumptions!$B$278*X83*(1+Assumptions!$B$191)</f>
        <v/>
      </c>
      <c r="Y139" s="8">
        <f>Y63*Assumptions!$B$278*Y83*(1+Assumptions!$B$191)</f>
        <v/>
      </c>
      <c r="Z139" s="8">
        <f>Z63*Assumptions!$B$278*Z83*(1+Assumptions!$B$191)</f>
        <v/>
      </c>
      <c r="AA139" s="8">
        <f>AA63*Assumptions!$B$278*AA83*(1+Assumptions!$B$191)</f>
        <v/>
      </c>
      <c r="AB139" s="8">
        <f>AB63*Assumptions!$B$278*AB83*(1+Assumptions!$B$191)</f>
        <v/>
      </c>
      <c r="AC139" s="8">
        <f>AC63*Assumptions!$B$278*AC83*(1+Assumptions!$B$191)</f>
        <v/>
      </c>
      <c r="AD139" s="8">
        <f>AD63*Assumptions!$B$278*AD83*(1+Assumptions!$B$191)</f>
        <v/>
      </c>
      <c r="AE139" s="8">
        <f>AE63*Assumptions!$B$278*AE83*(1+Assumptions!$B$191)</f>
        <v/>
      </c>
      <c r="AF139" s="8">
        <f>AF63*Assumptions!$B$278*AF83*(1+Assumptions!$B$191)</f>
        <v/>
      </c>
      <c r="AG139" s="8">
        <f>AG63*Assumptions!$B$278*AG83*(1+Assumptions!$B$191)</f>
        <v/>
      </c>
      <c r="AH139" s="8">
        <f>AH63*Assumptions!$B$278*AH83*(1+Assumptions!$B$191)</f>
        <v/>
      </c>
      <c r="AI139" s="8">
        <f>AI63*Assumptions!$B$278*AI83*(1+Assumptions!$B$191)</f>
        <v/>
      </c>
      <c r="AJ139" s="8">
        <f>AJ63*Assumptions!$B$278*AJ83*(1+Assumptions!$B$191)</f>
        <v/>
      </c>
      <c r="AK139" s="8">
        <f>AK63*Assumptions!$B$278*AK83*(1+Assumptions!$B$191)</f>
        <v/>
      </c>
      <c r="AL139" s="8">
        <f>AL63*Assumptions!$B$278*AL83*(1+Assumptions!$B$191)</f>
        <v/>
      </c>
      <c r="AM139" s="8">
        <f>AM63*Assumptions!$B$278*AM83*(1+Assumptions!$B$191)</f>
        <v/>
      </c>
      <c r="AN139" s="8">
        <f>AN63*Assumptions!$B$278*AN83*(1+Assumptions!$B$191)</f>
        <v/>
      </c>
      <c r="AO139" s="8">
        <f>AO63*Assumptions!$B$278*AO83*(1+Assumptions!$B$191)</f>
        <v/>
      </c>
      <c r="AP139" s="8">
        <f>AP63*Assumptions!$B$278*AP83*(1+Assumptions!$B$191)</f>
        <v/>
      </c>
      <c r="AQ139" s="8">
        <f>AQ63*Assumptions!$B$278*AQ83*(1+Assumptions!$B$191)</f>
        <v/>
      </c>
      <c r="AR139" s="8">
        <f>AR63*Assumptions!$B$278*AR83*(1+Assumptions!$B$191)</f>
        <v/>
      </c>
      <c r="AS139" s="8">
        <f>AS63*Assumptions!$B$278*AS83*(1+Assumptions!$B$191)</f>
        <v/>
      </c>
      <c r="AT139" s="8">
        <f>AT63*Assumptions!$B$278*AT83*(1+Assumptions!$B$191)</f>
        <v/>
      </c>
      <c r="AU139" s="8">
        <f>AU63*Assumptions!$B$278*AU83*(1+Assumptions!$B$191)</f>
        <v/>
      </c>
      <c r="AV139" s="8">
        <f>AV63*Assumptions!$B$278*AV83*(1+Assumptions!$B$191)</f>
        <v/>
      </c>
      <c r="AW139" s="8">
        <f>AW63*Assumptions!$B$278*AW83*(1+Assumptions!$B$191)</f>
        <v/>
      </c>
      <c r="AX139" s="8">
        <f>AX63*Assumptions!$B$278*AX83*(1+Assumptions!$B$191)</f>
        <v/>
      </c>
      <c r="AY139" s="8">
        <f>AY63*Assumptions!$B$278*AY83*(1+Assumptions!$B$191)</f>
        <v/>
      </c>
      <c r="AZ139" s="8">
        <f>AZ63*Assumptions!$B$278*AZ83*(1+Assumptions!$B$191)</f>
        <v/>
      </c>
      <c r="BA139" s="8">
        <f>BA63*Assumptions!$B$278*BA83*(1+Assumptions!$B$191)</f>
        <v/>
      </c>
      <c r="BB139" s="8">
        <f>BB63*Assumptions!$B$278*BB83*(1+Assumptions!$B$191)</f>
        <v/>
      </c>
      <c r="BC139" s="8">
        <f>BC63*Assumptions!$B$278*BC83*(1+Assumptions!$B$191)</f>
        <v/>
      </c>
      <c r="BD139" s="8">
        <f>BD63*Assumptions!$B$278*BD83*(1+Assumptions!$B$191)</f>
        <v/>
      </c>
      <c r="BE139" s="8">
        <f>BE63*Assumptions!$B$278*BE83*(1+Assumptions!$B$191)</f>
        <v/>
      </c>
      <c r="BF139" s="8">
        <f>BF63*Assumptions!$B$278*BF83*(1+Assumptions!$B$191)</f>
        <v/>
      </c>
      <c r="BG139" s="8">
        <f>BG63*Assumptions!$B$278*BG83*(1+Assumptions!$B$191)</f>
        <v/>
      </c>
      <c r="BH139" s="8">
        <f>BH63*Assumptions!$B$278*BH83*(1+Assumptions!$B$191)</f>
        <v/>
      </c>
      <c r="BI139" s="8">
        <f>BI63*Assumptions!$B$278*BI83*(1+Assumptions!$B$191)</f>
        <v/>
      </c>
      <c r="BJ139" s="8">
        <f>BJ63*Assumptions!$B$278*BJ83*(1+Assumptions!$B$191)</f>
        <v/>
      </c>
    </row>
    <row r="140">
      <c r="A140" s="4" t="inlineStr">
        <is>
          <t>Ghana sales &amp; CS</t>
        </is>
      </c>
      <c r="B140" s="17" t="inlineStr">
        <is>
          <t>R</t>
        </is>
      </c>
      <c r="C140" s="8">
        <f>C64*Assumptions!$B$279*C83*(1+Assumptions!$B$191)</f>
        <v/>
      </c>
      <c r="D140" s="8">
        <f>D64*Assumptions!$B$279*D83*(1+Assumptions!$B$191)</f>
        <v/>
      </c>
      <c r="E140" s="8">
        <f>E64*Assumptions!$B$279*E83*(1+Assumptions!$B$191)</f>
        <v/>
      </c>
      <c r="F140" s="8">
        <f>F64*Assumptions!$B$279*F83*(1+Assumptions!$B$191)</f>
        <v/>
      </c>
      <c r="G140" s="8">
        <f>G64*Assumptions!$B$279*G83*(1+Assumptions!$B$191)</f>
        <v/>
      </c>
      <c r="H140" s="8">
        <f>H64*Assumptions!$B$279*H83*(1+Assumptions!$B$191)</f>
        <v/>
      </c>
      <c r="I140" s="8">
        <f>I64*Assumptions!$B$279*I83*(1+Assumptions!$B$191)</f>
        <v/>
      </c>
      <c r="J140" s="8">
        <f>J64*Assumptions!$B$279*J83*(1+Assumptions!$B$191)</f>
        <v/>
      </c>
      <c r="K140" s="8">
        <f>K64*Assumptions!$B$279*K83*(1+Assumptions!$B$191)</f>
        <v/>
      </c>
      <c r="L140" s="8">
        <f>L64*Assumptions!$B$279*L83*(1+Assumptions!$B$191)</f>
        <v/>
      </c>
      <c r="M140" s="8">
        <f>M64*Assumptions!$B$279*M83*(1+Assumptions!$B$191)</f>
        <v/>
      </c>
      <c r="N140" s="8">
        <f>N64*Assumptions!$B$279*N83*(1+Assumptions!$B$191)</f>
        <v/>
      </c>
      <c r="O140" s="8">
        <f>O64*Assumptions!$B$279*O83*(1+Assumptions!$B$191)</f>
        <v/>
      </c>
      <c r="P140" s="8">
        <f>P64*Assumptions!$B$279*P83*(1+Assumptions!$B$191)</f>
        <v/>
      </c>
      <c r="Q140" s="8">
        <f>Q64*Assumptions!$B$279*Q83*(1+Assumptions!$B$191)</f>
        <v/>
      </c>
      <c r="R140" s="8">
        <f>R64*Assumptions!$B$279*R83*(1+Assumptions!$B$191)</f>
        <v/>
      </c>
      <c r="S140" s="8">
        <f>S64*Assumptions!$B$279*S83*(1+Assumptions!$B$191)</f>
        <v/>
      </c>
      <c r="T140" s="8">
        <f>T64*Assumptions!$B$279*T83*(1+Assumptions!$B$191)</f>
        <v/>
      </c>
      <c r="U140" s="8">
        <f>U64*Assumptions!$B$279*U83*(1+Assumptions!$B$191)</f>
        <v/>
      </c>
      <c r="V140" s="8">
        <f>V64*Assumptions!$B$279*V83*(1+Assumptions!$B$191)</f>
        <v/>
      </c>
      <c r="W140" s="8">
        <f>W64*Assumptions!$B$279*W83*(1+Assumptions!$B$191)</f>
        <v/>
      </c>
      <c r="X140" s="8">
        <f>X64*Assumptions!$B$279*X83*(1+Assumptions!$B$191)</f>
        <v/>
      </c>
      <c r="Y140" s="8">
        <f>Y64*Assumptions!$B$279*Y83*(1+Assumptions!$B$191)</f>
        <v/>
      </c>
      <c r="Z140" s="8">
        <f>Z64*Assumptions!$B$279*Z83*(1+Assumptions!$B$191)</f>
        <v/>
      </c>
      <c r="AA140" s="8">
        <f>AA64*Assumptions!$B$279*AA83*(1+Assumptions!$B$191)</f>
        <v/>
      </c>
      <c r="AB140" s="8">
        <f>AB64*Assumptions!$B$279*AB83*(1+Assumptions!$B$191)</f>
        <v/>
      </c>
      <c r="AC140" s="8">
        <f>AC64*Assumptions!$B$279*AC83*(1+Assumptions!$B$191)</f>
        <v/>
      </c>
      <c r="AD140" s="8">
        <f>AD64*Assumptions!$B$279*AD83*(1+Assumptions!$B$191)</f>
        <v/>
      </c>
      <c r="AE140" s="8">
        <f>AE64*Assumptions!$B$279*AE83*(1+Assumptions!$B$191)</f>
        <v/>
      </c>
      <c r="AF140" s="8">
        <f>AF64*Assumptions!$B$279*AF83*(1+Assumptions!$B$191)</f>
        <v/>
      </c>
      <c r="AG140" s="8">
        <f>AG64*Assumptions!$B$279*AG83*(1+Assumptions!$B$191)</f>
        <v/>
      </c>
      <c r="AH140" s="8">
        <f>AH64*Assumptions!$B$279*AH83*(1+Assumptions!$B$191)</f>
        <v/>
      </c>
      <c r="AI140" s="8">
        <f>AI64*Assumptions!$B$279*AI83*(1+Assumptions!$B$191)</f>
        <v/>
      </c>
      <c r="AJ140" s="8">
        <f>AJ64*Assumptions!$B$279*AJ83*(1+Assumptions!$B$191)</f>
        <v/>
      </c>
      <c r="AK140" s="8">
        <f>AK64*Assumptions!$B$279*AK83*(1+Assumptions!$B$191)</f>
        <v/>
      </c>
      <c r="AL140" s="8">
        <f>AL64*Assumptions!$B$279*AL83*(1+Assumptions!$B$191)</f>
        <v/>
      </c>
      <c r="AM140" s="8">
        <f>AM64*Assumptions!$B$279*AM83*(1+Assumptions!$B$191)</f>
        <v/>
      </c>
      <c r="AN140" s="8">
        <f>AN64*Assumptions!$B$279*AN83*(1+Assumptions!$B$191)</f>
        <v/>
      </c>
      <c r="AO140" s="8">
        <f>AO64*Assumptions!$B$279*AO83*(1+Assumptions!$B$191)</f>
        <v/>
      </c>
      <c r="AP140" s="8">
        <f>AP64*Assumptions!$B$279*AP83*(1+Assumptions!$B$191)</f>
        <v/>
      </c>
      <c r="AQ140" s="8">
        <f>AQ64*Assumptions!$B$279*AQ83*(1+Assumptions!$B$191)</f>
        <v/>
      </c>
      <c r="AR140" s="8">
        <f>AR64*Assumptions!$B$279*AR83*(1+Assumptions!$B$191)</f>
        <v/>
      </c>
      <c r="AS140" s="8">
        <f>AS64*Assumptions!$B$279*AS83*(1+Assumptions!$B$191)</f>
        <v/>
      </c>
      <c r="AT140" s="8">
        <f>AT64*Assumptions!$B$279*AT83*(1+Assumptions!$B$191)</f>
        <v/>
      </c>
      <c r="AU140" s="8">
        <f>AU64*Assumptions!$B$279*AU83*(1+Assumptions!$B$191)</f>
        <v/>
      </c>
      <c r="AV140" s="8">
        <f>AV64*Assumptions!$B$279*AV83*(1+Assumptions!$B$191)</f>
        <v/>
      </c>
      <c r="AW140" s="8">
        <f>AW64*Assumptions!$B$279*AW83*(1+Assumptions!$B$191)</f>
        <v/>
      </c>
      <c r="AX140" s="8">
        <f>AX64*Assumptions!$B$279*AX83*(1+Assumptions!$B$191)</f>
        <v/>
      </c>
      <c r="AY140" s="8">
        <f>AY64*Assumptions!$B$279*AY83*(1+Assumptions!$B$191)</f>
        <v/>
      </c>
      <c r="AZ140" s="8">
        <f>AZ64*Assumptions!$B$279*AZ83*(1+Assumptions!$B$191)</f>
        <v/>
      </c>
      <c r="BA140" s="8">
        <f>BA64*Assumptions!$B$279*BA83*(1+Assumptions!$B$191)</f>
        <v/>
      </c>
      <c r="BB140" s="8">
        <f>BB64*Assumptions!$B$279*BB83*(1+Assumptions!$B$191)</f>
        <v/>
      </c>
      <c r="BC140" s="8">
        <f>BC64*Assumptions!$B$279*BC83*(1+Assumptions!$B$191)</f>
        <v/>
      </c>
      <c r="BD140" s="8">
        <f>BD64*Assumptions!$B$279*BD83*(1+Assumptions!$B$191)</f>
        <v/>
      </c>
      <c r="BE140" s="8">
        <f>BE64*Assumptions!$B$279*BE83*(1+Assumptions!$B$191)</f>
        <v/>
      </c>
      <c r="BF140" s="8">
        <f>BF64*Assumptions!$B$279*BF83*(1+Assumptions!$B$191)</f>
        <v/>
      </c>
      <c r="BG140" s="8">
        <f>BG64*Assumptions!$B$279*BG83*(1+Assumptions!$B$191)</f>
        <v/>
      </c>
      <c r="BH140" s="8">
        <f>BH64*Assumptions!$B$279*BH83*(1+Assumptions!$B$191)</f>
        <v/>
      </c>
      <c r="BI140" s="8">
        <f>BI64*Assumptions!$B$279*BI83*(1+Assumptions!$B$191)</f>
        <v/>
      </c>
      <c r="BJ140" s="8">
        <f>BJ64*Assumptions!$B$279*BJ83*(1+Assumptions!$B$191)</f>
        <v/>
      </c>
    </row>
    <row r="141">
      <c r="A141" s="4" t="inlineStr">
        <is>
          <t>Ghana team expansion</t>
        </is>
      </c>
      <c r="B141" s="17" t="inlineStr">
        <is>
          <t>R</t>
        </is>
      </c>
      <c r="C141" s="8">
        <f>C65*Assumptions!$B$280*C83*(1+Assumptions!$B$191)</f>
        <v/>
      </c>
      <c r="D141" s="8">
        <f>D65*Assumptions!$B$280*D83*(1+Assumptions!$B$191)</f>
        <v/>
      </c>
      <c r="E141" s="8">
        <f>E65*Assumptions!$B$280*E83*(1+Assumptions!$B$191)</f>
        <v/>
      </c>
      <c r="F141" s="8">
        <f>F65*Assumptions!$B$280*F83*(1+Assumptions!$B$191)</f>
        <v/>
      </c>
      <c r="G141" s="8">
        <f>G65*Assumptions!$B$280*G83*(1+Assumptions!$B$191)</f>
        <v/>
      </c>
      <c r="H141" s="8">
        <f>H65*Assumptions!$B$280*H83*(1+Assumptions!$B$191)</f>
        <v/>
      </c>
      <c r="I141" s="8">
        <f>I65*Assumptions!$B$280*I83*(1+Assumptions!$B$191)</f>
        <v/>
      </c>
      <c r="J141" s="8">
        <f>J65*Assumptions!$B$280*J83*(1+Assumptions!$B$191)</f>
        <v/>
      </c>
      <c r="K141" s="8">
        <f>K65*Assumptions!$B$280*K83*(1+Assumptions!$B$191)</f>
        <v/>
      </c>
      <c r="L141" s="8">
        <f>L65*Assumptions!$B$280*L83*(1+Assumptions!$B$191)</f>
        <v/>
      </c>
      <c r="M141" s="8">
        <f>M65*Assumptions!$B$280*M83*(1+Assumptions!$B$191)</f>
        <v/>
      </c>
      <c r="N141" s="8">
        <f>N65*Assumptions!$B$280*N83*(1+Assumptions!$B$191)</f>
        <v/>
      </c>
      <c r="O141" s="8">
        <f>O65*Assumptions!$B$280*O83*(1+Assumptions!$B$191)</f>
        <v/>
      </c>
      <c r="P141" s="8">
        <f>P65*Assumptions!$B$280*P83*(1+Assumptions!$B$191)</f>
        <v/>
      </c>
      <c r="Q141" s="8">
        <f>Q65*Assumptions!$B$280*Q83*(1+Assumptions!$B$191)</f>
        <v/>
      </c>
      <c r="R141" s="8">
        <f>R65*Assumptions!$B$280*R83*(1+Assumptions!$B$191)</f>
        <v/>
      </c>
      <c r="S141" s="8">
        <f>S65*Assumptions!$B$280*S83*(1+Assumptions!$B$191)</f>
        <v/>
      </c>
      <c r="T141" s="8">
        <f>T65*Assumptions!$B$280*T83*(1+Assumptions!$B$191)</f>
        <v/>
      </c>
      <c r="U141" s="8">
        <f>U65*Assumptions!$B$280*U83*(1+Assumptions!$B$191)</f>
        <v/>
      </c>
      <c r="V141" s="8">
        <f>V65*Assumptions!$B$280*V83*(1+Assumptions!$B$191)</f>
        <v/>
      </c>
      <c r="W141" s="8">
        <f>W65*Assumptions!$B$280*W83*(1+Assumptions!$B$191)</f>
        <v/>
      </c>
      <c r="X141" s="8">
        <f>X65*Assumptions!$B$280*X83*(1+Assumptions!$B$191)</f>
        <v/>
      </c>
      <c r="Y141" s="8">
        <f>Y65*Assumptions!$B$280*Y83*(1+Assumptions!$B$191)</f>
        <v/>
      </c>
      <c r="Z141" s="8">
        <f>Z65*Assumptions!$B$280*Z83*(1+Assumptions!$B$191)</f>
        <v/>
      </c>
      <c r="AA141" s="8">
        <f>AA65*Assumptions!$B$280*AA83*(1+Assumptions!$B$191)</f>
        <v/>
      </c>
      <c r="AB141" s="8">
        <f>AB65*Assumptions!$B$280*AB83*(1+Assumptions!$B$191)</f>
        <v/>
      </c>
      <c r="AC141" s="8">
        <f>AC65*Assumptions!$B$280*AC83*(1+Assumptions!$B$191)</f>
        <v/>
      </c>
      <c r="AD141" s="8">
        <f>AD65*Assumptions!$B$280*AD83*(1+Assumptions!$B$191)</f>
        <v/>
      </c>
      <c r="AE141" s="8">
        <f>AE65*Assumptions!$B$280*AE83*(1+Assumptions!$B$191)</f>
        <v/>
      </c>
      <c r="AF141" s="8">
        <f>AF65*Assumptions!$B$280*AF83*(1+Assumptions!$B$191)</f>
        <v/>
      </c>
      <c r="AG141" s="8">
        <f>AG65*Assumptions!$B$280*AG83*(1+Assumptions!$B$191)</f>
        <v/>
      </c>
      <c r="AH141" s="8">
        <f>AH65*Assumptions!$B$280*AH83*(1+Assumptions!$B$191)</f>
        <v/>
      </c>
      <c r="AI141" s="8">
        <f>AI65*Assumptions!$B$280*AI83*(1+Assumptions!$B$191)</f>
        <v/>
      </c>
      <c r="AJ141" s="8">
        <f>AJ65*Assumptions!$B$280*AJ83*(1+Assumptions!$B$191)</f>
        <v/>
      </c>
      <c r="AK141" s="8">
        <f>AK65*Assumptions!$B$280*AK83*(1+Assumptions!$B$191)</f>
        <v/>
      </c>
      <c r="AL141" s="8">
        <f>AL65*Assumptions!$B$280*AL83*(1+Assumptions!$B$191)</f>
        <v/>
      </c>
      <c r="AM141" s="8">
        <f>AM65*Assumptions!$B$280*AM83*(1+Assumptions!$B$191)</f>
        <v/>
      </c>
      <c r="AN141" s="8">
        <f>AN65*Assumptions!$B$280*AN83*(1+Assumptions!$B$191)</f>
        <v/>
      </c>
      <c r="AO141" s="8">
        <f>AO65*Assumptions!$B$280*AO83*(1+Assumptions!$B$191)</f>
        <v/>
      </c>
      <c r="AP141" s="8">
        <f>AP65*Assumptions!$B$280*AP83*(1+Assumptions!$B$191)</f>
        <v/>
      </c>
      <c r="AQ141" s="8">
        <f>AQ65*Assumptions!$B$280*AQ83*(1+Assumptions!$B$191)</f>
        <v/>
      </c>
      <c r="AR141" s="8">
        <f>AR65*Assumptions!$B$280*AR83*(1+Assumptions!$B$191)</f>
        <v/>
      </c>
      <c r="AS141" s="8">
        <f>AS65*Assumptions!$B$280*AS83*(1+Assumptions!$B$191)</f>
        <v/>
      </c>
      <c r="AT141" s="8">
        <f>AT65*Assumptions!$B$280*AT83*(1+Assumptions!$B$191)</f>
        <v/>
      </c>
      <c r="AU141" s="8">
        <f>AU65*Assumptions!$B$280*AU83*(1+Assumptions!$B$191)</f>
        <v/>
      </c>
      <c r="AV141" s="8">
        <f>AV65*Assumptions!$B$280*AV83*(1+Assumptions!$B$191)</f>
        <v/>
      </c>
      <c r="AW141" s="8">
        <f>AW65*Assumptions!$B$280*AW83*(1+Assumptions!$B$191)</f>
        <v/>
      </c>
      <c r="AX141" s="8">
        <f>AX65*Assumptions!$B$280*AX83*(1+Assumptions!$B$191)</f>
        <v/>
      </c>
      <c r="AY141" s="8">
        <f>AY65*Assumptions!$B$280*AY83*(1+Assumptions!$B$191)</f>
        <v/>
      </c>
      <c r="AZ141" s="8">
        <f>AZ65*Assumptions!$B$280*AZ83*(1+Assumptions!$B$191)</f>
        <v/>
      </c>
      <c r="BA141" s="8">
        <f>BA65*Assumptions!$B$280*BA83*(1+Assumptions!$B$191)</f>
        <v/>
      </c>
      <c r="BB141" s="8">
        <f>BB65*Assumptions!$B$280*BB83*(1+Assumptions!$B$191)</f>
        <v/>
      </c>
      <c r="BC141" s="8">
        <f>BC65*Assumptions!$B$280*BC83*(1+Assumptions!$B$191)</f>
        <v/>
      </c>
      <c r="BD141" s="8">
        <f>BD65*Assumptions!$B$280*BD83*(1+Assumptions!$B$191)</f>
        <v/>
      </c>
      <c r="BE141" s="8">
        <f>BE65*Assumptions!$B$280*BE83*(1+Assumptions!$B$191)</f>
        <v/>
      </c>
      <c r="BF141" s="8">
        <f>BF65*Assumptions!$B$280*BF83*(1+Assumptions!$B$191)</f>
        <v/>
      </c>
      <c r="BG141" s="8">
        <f>BG65*Assumptions!$B$280*BG83*(1+Assumptions!$B$191)</f>
        <v/>
      </c>
      <c r="BH141" s="8">
        <f>BH65*Assumptions!$B$280*BH83*(1+Assumptions!$B$191)</f>
        <v/>
      </c>
      <c r="BI141" s="8">
        <f>BI65*Assumptions!$B$280*BI83*(1+Assumptions!$B$191)</f>
        <v/>
      </c>
      <c r="BJ141" s="8">
        <f>BJ65*Assumptions!$B$280*BJ83*(1+Assumptions!$B$191)</f>
        <v/>
      </c>
    </row>
    <row r="142"/>
    <row r="143">
      <c r="A143" s="19" t="inlineStr">
        <is>
          <t>Payroll by department</t>
        </is>
      </c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9" t="n"/>
      <c r="BJ143" s="19" t="n"/>
    </row>
    <row r="144">
      <c r="A144" s="4" t="inlineStr">
        <is>
          <t>Leadership</t>
        </is>
      </c>
      <c r="B144" s="17" t="inlineStr">
        <is>
          <t>R</t>
        </is>
      </c>
      <c r="C144" s="8">
        <f>C84+C85</f>
        <v/>
      </c>
      <c r="D144" s="8">
        <f>D84+D85</f>
        <v/>
      </c>
      <c r="E144" s="8">
        <f>E84+E85</f>
        <v/>
      </c>
      <c r="F144" s="8">
        <f>F84+F85</f>
        <v/>
      </c>
      <c r="G144" s="8">
        <f>G84+G85</f>
        <v/>
      </c>
      <c r="H144" s="8">
        <f>H84+H85</f>
        <v/>
      </c>
      <c r="I144" s="8">
        <f>I84+I85</f>
        <v/>
      </c>
      <c r="J144" s="8">
        <f>J84+J85</f>
        <v/>
      </c>
      <c r="K144" s="8">
        <f>K84+K85</f>
        <v/>
      </c>
      <c r="L144" s="8">
        <f>L84+L85</f>
        <v/>
      </c>
      <c r="M144" s="8">
        <f>M84+M85</f>
        <v/>
      </c>
      <c r="N144" s="8">
        <f>N84+N85</f>
        <v/>
      </c>
      <c r="O144" s="8">
        <f>O84+O85</f>
        <v/>
      </c>
      <c r="P144" s="8">
        <f>P84+P85</f>
        <v/>
      </c>
      <c r="Q144" s="8">
        <f>Q84+Q85</f>
        <v/>
      </c>
      <c r="R144" s="8">
        <f>R84+R85</f>
        <v/>
      </c>
      <c r="S144" s="8">
        <f>S84+S85</f>
        <v/>
      </c>
      <c r="T144" s="8">
        <f>T84+T85</f>
        <v/>
      </c>
      <c r="U144" s="8">
        <f>U84+U85</f>
        <v/>
      </c>
      <c r="V144" s="8">
        <f>V84+V85</f>
        <v/>
      </c>
      <c r="W144" s="8">
        <f>W84+W85</f>
        <v/>
      </c>
      <c r="X144" s="8">
        <f>X84+X85</f>
        <v/>
      </c>
      <c r="Y144" s="8">
        <f>Y84+Y85</f>
        <v/>
      </c>
      <c r="Z144" s="8">
        <f>Z84+Z85</f>
        <v/>
      </c>
      <c r="AA144" s="8">
        <f>AA84+AA85</f>
        <v/>
      </c>
      <c r="AB144" s="8">
        <f>AB84+AB85</f>
        <v/>
      </c>
      <c r="AC144" s="8">
        <f>AC84+AC85</f>
        <v/>
      </c>
      <c r="AD144" s="8">
        <f>AD84+AD85</f>
        <v/>
      </c>
      <c r="AE144" s="8">
        <f>AE84+AE85</f>
        <v/>
      </c>
      <c r="AF144" s="8">
        <f>AF84+AF85</f>
        <v/>
      </c>
      <c r="AG144" s="8">
        <f>AG84+AG85</f>
        <v/>
      </c>
      <c r="AH144" s="8">
        <f>AH84+AH85</f>
        <v/>
      </c>
      <c r="AI144" s="8">
        <f>AI84+AI85</f>
        <v/>
      </c>
      <c r="AJ144" s="8">
        <f>AJ84+AJ85</f>
        <v/>
      </c>
      <c r="AK144" s="8">
        <f>AK84+AK85</f>
        <v/>
      </c>
      <c r="AL144" s="8">
        <f>AL84+AL85</f>
        <v/>
      </c>
      <c r="AM144" s="8">
        <f>AM84+AM85</f>
        <v/>
      </c>
      <c r="AN144" s="8">
        <f>AN84+AN85</f>
        <v/>
      </c>
      <c r="AO144" s="8">
        <f>AO84+AO85</f>
        <v/>
      </c>
      <c r="AP144" s="8">
        <f>AP84+AP85</f>
        <v/>
      </c>
      <c r="AQ144" s="8">
        <f>AQ84+AQ85</f>
        <v/>
      </c>
      <c r="AR144" s="8">
        <f>AR84+AR85</f>
        <v/>
      </c>
      <c r="AS144" s="8">
        <f>AS84+AS85</f>
        <v/>
      </c>
      <c r="AT144" s="8">
        <f>AT84+AT85</f>
        <v/>
      </c>
      <c r="AU144" s="8">
        <f>AU84+AU85</f>
        <v/>
      </c>
      <c r="AV144" s="8">
        <f>AV84+AV85</f>
        <v/>
      </c>
      <c r="AW144" s="8">
        <f>AW84+AW85</f>
        <v/>
      </c>
      <c r="AX144" s="8">
        <f>AX84+AX85</f>
        <v/>
      </c>
      <c r="AY144" s="8">
        <f>AY84+AY85</f>
        <v/>
      </c>
      <c r="AZ144" s="8">
        <f>AZ84+AZ85</f>
        <v/>
      </c>
      <c r="BA144" s="8">
        <f>BA84+BA85</f>
        <v/>
      </c>
      <c r="BB144" s="8">
        <f>BB84+BB85</f>
        <v/>
      </c>
      <c r="BC144" s="8">
        <f>BC84+BC85</f>
        <v/>
      </c>
      <c r="BD144" s="8">
        <f>BD84+BD85</f>
        <v/>
      </c>
      <c r="BE144" s="8">
        <f>BE84+BE85</f>
        <v/>
      </c>
      <c r="BF144" s="8">
        <f>BF84+BF85</f>
        <v/>
      </c>
      <c r="BG144" s="8">
        <f>BG84+BG85</f>
        <v/>
      </c>
      <c r="BH144" s="8">
        <f>BH84+BH85</f>
        <v/>
      </c>
      <c r="BI144" s="8">
        <f>BI84+BI85</f>
        <v/>
      </c>
      <c r="BJ144" s="8">
        <f>BJ84+BJ85</f>
        <v/>
      </c>
    </row>
    <row r="145">
      <c r="A145" s="4" t="inlineStr">
        <is>
          <t>Engineering &amp; product</t>
        </is>
      </c>
      <c r="B145" s="17" t="inlineStr">
        <is>
          <t>R</t>
        </is>
      </c>
      <c r="C145" s="8">
        <f>C86+C87+C88+C89+C90+C91+C92+C93+C94+C95+C96+C97+C98+C99+C100+C101+C102</f>
        <v/>
      </c>
      <c r="D145" s="8">
        <f>D86+D87+D88+D89+D90+D91+D92+D93+D94+D95+D96+D97+D98+D99+D100+D101+D102</f>
        <v/>
      </c>
      <c r="E145" s="8">
        <f>E86+E87+E88+E89+E90+E91+E92+E93+E94+E95+E96+E97+E98+E99+E100+E101+E102</f>
        <v/>
      </c>
      <c r="F145" s="8">
        <f>F86+F87+F88+F89+F90+F91+F92+F93+F94+F95+F96+F97+F98+F99+F100+F101+F102</f>
        <v/>
      </c>
      <c r="G145" s="8">
        <f>G86+G87+G88+G89+G90+G91+G92+G93+G94+G95+G96+G97+G98+G99+G100+G101+G102</f>
        <v/>
      </c>
      <c r="H145" s="8">
        <f>H86+H87+H88+H89+H90+H91+H92+H93+H94+H95+H96+H97+H98+H99+H100+H101+H102</f>
        <v/>
      </c>
      <c r="I145" s="8">
        <f>I86+I87+I88+I89+I90+I91+I92+I93+I94+I95+I96+I97+I98+I99+I100+I101+I102</f>
        <v/>
      </c>
      <c r="J145" s="8">
        <f>J86+J87+J88+J89+J90+J91+J92+J93+J94+J95+J96+J97+J98+J99+J100+J101+J102</f>
        <v/>
      </c>
      <c r="K145" s="8">
        <f>K86+K87+K88+K89+K90+K91+K92+K93+K94+K95+K96+K97+K98+K99+K100+K101+K102</f>
        <v/>
      </c>
      <c r="L145" s="8">
        <f>L86+L87+L88+L89+L90+L91+L92+L93+L94+L95+L96+L97+L98+L99+L100+L101+L102</f>
        <v/>
      </c>
      <c r="M145" s="8">
        <f>M86+M87+M88+M89+M90+M91+M92+M93+M94+M95+M96+M97+M98+M99+M100+M101+M102</f>
        <v/>
      </c>
      <c r="N145" s="8">
        <f>N86+N87+N88+N89+N90+N91+N92+N93+N94+N95+N96+N97+N98+N99+N100+N101+N102</f>
        <v/>
      </c>
      <c r="O145" s="8">
        <f>O86+O87+O88+O89+O90+O91+O92+O93+O94+O95+O96+O97+O98+O99+O100+O101+O102</f>
        <v/>
      </c>
      <c r="P145" s="8">
        <f>P86+P87+P88+P89+P90+P91+P92+P93+P94+P95+P96+P97+P98+P99+P100+P101+P102</f>
        <v/>
      </c>
      <c r="Q145" s="8">
        <f>Q86+Q87+Q88+Q89+Q90+Q91+Q92+Q93+Q94+Q95+Q96+Q97+Q98+Q99+Q100+Q101+Q102</f>
        <v/>
      </c>
      <c r="R145" s="8">
        <f>R86+R87+R88+R89+R90+R91+R92+R93+R94+R95+R96+R97+R98+R99+R100+R101+R102</f>
        <v/>
      </c>
      <c r="S145" s="8">
        <f>S86+S87+S88+S89+S90+S91+S92+S93+S94+S95+S96+S97+S98+S99+S100+S101+S102</f>
        <v/>
      </c>
      <c r="T145" s="8">
        <f>T86+T87+T88+T89+T90+T91+T92+T93+T94+T95+T96+T97+T98+T99+T100+T101+T102</f>
        <v/>
      </c>
      <c r="U145" s="8">
        <f>U86+U87+U88+U89+U90+U91+U92+U93+U94+U95+U96+U97+U98+U99+U100+U101+U102</f>
        <v/>
      </c>
      <c r="V145" s="8">
        <f>V86+V87+V88+V89+V90+V91+V92+V93+V94+V95+V96+V97+V98+V99+V100+V101+V102</f>
        <v/>
      </c>
      <c r="W145" s="8">
        <f>W86+W87+W88+W89+W90+W91+W92+W93+W94+W95+W96+W97+W98+W99+W100+W101+W102</f>
        <v/>
      </c>
      <c r="X145" s="8">
        <f>X86+X87+X88+X89+X90+X91+X92+X93+X94+X95+X96+X97+X98+X99+X100+X101+X102</f>
        <v/>
      </c>
      <c r="Y145" s="8">
        <f>Y86+Y87+Y88+Y89+Y90+Y91+Y92+Y93+Y94+Y95+Y96+Y97+Y98+Y99+Y100+Y101+Y102</f>
        <v/>
      </c>
      <c r="Z145" s="8">
        <f>Z86+Z87+Z88+Z89+Z90+Z91+Z92+Z93+Z94+Z95+Z96+Z97+Z98+Z99+Z100+Z101+Z102</f>
        <v/>
      </c>
      <c r="AA145" s="8">
        <f>AA86+AA87+AA88+AA89+AA90+AA91+AA92+AA93+AA94+AA95+AA96+AA97+AA98+AA99+AA100+AA101+AA102</f>
        <v/>
      </c>
      <c r="AB145" s="8">
        <f>AB86+AB87+AB88+AB89+AB90+AB91+AB92+AB93+AB94+AB95+AB96+AB97+AB98+AB99+AB100+AB101+AB102</f>
        <v/>
      </c>
      <c r="AC145" s="8">
        <f>AC86+AC87+AC88+AC89+AC90+AC91+AC92+AC93+AC94+AC95+AC96+AC97+AC98+AC99+AC100+AC101+AC102</f>
        <v/>
      </c>
      <c r="AD145" s="8">
        <f>AD86+AD87+AD88+AD89+AD90+AD91+AD92+AD93+AD94+AD95+AD96+AD97+AD98+AD99+AD100+AD101+AD102</f>
        <v/>
      </c>
      <c r="AE145" s="8">
        <f>AE86+AE87+AE88+AE89+AE90+AE91+AE92+AE93+AE94+AE95+AE96+AE97+AE98+AE99+AE100+AE101+AE102</f>
        <v/>
      </c>
      <c r="AF145" s="8">
        <f>AF86+AF87+AF88+AF89+AF90+AF91+AF92+AF93+AF94+AF95+AF96+AF97+AF98+AF99+AF100+AF101+AF102</f>
        <v/>
      </c>
      <c r="AG145" s="8">
        <f>AG86+AG87+AG88+AG89+AG90+AG91+AG92+AG93+AG94+AG95+AG96+AG97+AG98+AG99+AG100+AG101+AG102</f>
        <v/>
      </c>
      <c r="AH145" s="8">
        <f>AH86+AH87+AH88+AH89+AH90+AH91+AH92+AH93+AH94+AH95+AH96+AH97+AH98+AH99+AH100+AH101+AH102</f>
        <v/>
      </c>
      <c r="AI145" s="8">
        <f>AI86+AI87+AI88+AI89+AI90+AI91+AI92+AI93+AI94+AI95+AI96+AI97+AI98+AI99+AI100+AI101+AI102</f>
        <v/>
      </c>
      <c r="AJ145" s="8">
        <f>AJ86+AJ87+AJ88+AJ89+AJ90+AJ91+AJ92+AJ93+AJ94+AJ95+AJ96+AJ97+AJ98+AJ99+AJ100+AJ101+AJ102</f>
        <v/>
      </c>
      <c r="AK145" s="8">
        <f>AK86+AK87+AK88+AK89+AK90+AK91+AK92+AK93+AK94+AK95+AK96+AK97+AK98+AK99+AK100+AK101+AK102</f>
        <v/>
      </c>
      <c r="AL145" s="8">
        <f>AL86+AL87+AL88+AL89+AL90+AL91+AL92+AL93+AL94+AL95+AL96+AL97+AL98+AL99+AL100+AL101+AL102</f>
        <v/>
      </c>
      <c r="AM145" s="8">
        <f>AM86+AM87+AM88+AM89+AM90+AM91+AM92+AM93+AM94+AM95+AM96+AM97+AM98+AM99+AM100+AM101+AM102</f>
        <v/>
      </c>
      <c r="AN145" s="8">
        <f>AN86+AN87+AN88+AN89+AN90+AN91+AN92+AN93+AN94+AN95+AN96+AN97+AN98+AN99+AN100+AN101+AN102</f>
        <v/>
      </c>
      <c r="AO145" s="8">
        <f>AO86+AO87+AO88+AO89+AO90+AO91+AO92+AO93+AO94+AO95+AO96+AO97+AO98+AO99+AO100+AO101+AO102</f>
        <v/>
      </c>
      <c r="AP145" s="8">
        <f>AP86+AP87+AP88+AP89+AP90+AP91+AP92+AP93+AP94+AP95+AP96+AP97+AP98+AP99+AP100+AP101+AP102</f>
        <v/>
      </c>
      <c r="AQ145" s="8">
        <f>AQ86+AQ87+AQ88+AQ89+AQ90+AQ91+AQ92+AQ93+AQ94+AQ95+AQ96+AQ97+AQ98+AQ99+AQ100+AQ101+AQ102</f>
        <v/>
      </c>
      <c r="AR145" s="8">
        <f>AR86+AR87+AR88+AR89+AR90+AR91+AR92+AR93+AR94+AR95+AR96+AR97+AR98+AR99+AR100+AR101+AR102</f>
        <v/>
      </c>
      <c r="AS145" s="8">
        <f>AS86+AS87+AS88+AS89+AS90+AS91+AS92+AS93+AS94+AS95+AS96+AS97+AS98+AS99+AS100+AS101+AS102</f>
        <v/>
      </c>
      <c r="AT145" s="8">
        <f>AT86+AT87+AT88+AT89+AT90+AT91+AT92+AT93+AT94+AT95+AT96+AT97+AT98+AT99+AT100+AT101+AT102</f>
        <v/>
      </c>
      <c r="AU145" s="8">
        <f>AU86+AU87+AU88+AU89+AU90+AU91+AU92+AU93+AU94+AU95+AU96+AU97+AU98+AU99+AU100+AU101+AU102</f>
        <v/>
      </c>
      <c r="AV145" s="8">
        <f>AV86+AV87+AV88+AV89+AV90+AV91+AV92+AV93+AV94+AV95+AV96+AV97+AV98+AV99+AV100+AV101+AV102</f>
        <v/>
      </c>
      <c r="AW145" s="8">
        <f>AW86+AW87+AW88+AW89+AW90+AW91+AW92+AW93+AW94+AW95+AW96+AW97+AW98+AW99+AW100+AW101+AW102</f>
        <v/>
      </c>
      <c r="AX145" s="8">
        <f>AX86+AX87+AX88+AX89+AX90+AX91+AX92+AX93+AX94+AX95+AX96+AX97+AX98+AX99+AX100+AX101+AX102</f>
        <v/>
      </c>
      <c r="AY145" s="8">
        <f>AY86+AY87+AY88+AY89+AY90+AY91+AY92+AY93+AY94+AY95+AY96+AY97+AY98+AY99+AY100+AY101+AY102</f>
        <v/>
      </c>
      <c r="AZ145" s="8">
        <f>AZ86+AZ87+AZ88+AZ89+AZ90+AZ91+AZ92+AZ93+AZ94+AZ95+AZ96+AZ97+AZ98+AZ99+AZ100+AZ101+AZ102</f>
        <v/>
      </c>
      <c r="BA145" s="8">
        <f>BA86+BA87+BA88+BA89+BA90+BA91+BA92+BA93+BA94+BA95+BA96+BA97+BA98+BA99+BA100+BA101+BA102</f>
        <v/>
      </c>
      <c r="BB145" s="8">
        <f>BB86+BB87+BB88+BB89+BB90+BB91+BB92+BB93+BB94+BB95+BB96+BB97+BB98+BB99+BB100+BB101+BB102</f>
        <v/>
      </c>
      <c r="BC145" s="8">
        <f>BC86+BC87+BC88+BC89+BC90+BC91+BC92+BC93+BC94+BC95+BC96+BC97+BC98+BC99+BC100+BC101+BC102</f>
        <v/>
      </c>
      <c r="BD145" s="8">
        <f>BD86+BD87+BD88+BD89+BD90+BD91+BD92+BD93+BD94+BD95+BD96+BD97+BD98+BD99+BD100+BD101+BD102</f>
        <v/>
      </c>
      <c r="BE145" s="8">
        <f>BE86+BE87+BE88+BE89+BE90+BE91+BE92+BE93+BE94+BE95+BE96+BE97+BE98+BE99+BE100+BE101+BE102</f>
        <v/>
      </c>
      <c r="BF145" s="8">
        <f>BF86+BF87+BF88+BF89+BF90+BF91+BF92+BF93+BF94+BF95+BF96+BF97+BF98+BF99+BF100+BF101+BF102</f>
        <v/>
      </c>
      <c r="BG145" s="8">
        <f>BG86+BG87+BG88+BG89+BG90+BG91+BG92+BG93+BG94+BG95+BG96+BG97+BG98+BG99+BG100+BG101+BG102</f>
        <v/>
      </c>
      <c r="BH145" s="8">
        <f>BH86+BH87+BH88+BH89+BH90+BH91+BH92+BH93+BH94+BH95+BH96+BH97+BH98+BH99+BH100+BH101+BH102</f>
        <v/>
      </c>
      <c r="BI145" s="8">
        <f>BI86+BI87+BI88+BI89+BI90+BI91+BI92+BI93+BI94+BI95+BI96+BI97+BI98+BI99+BI100+BI101+BI102</f>
        <v/>
      </c>
      <c r="BJ145" s="8">
        <f>BJ86+BJ87+BJ88+BJ89+BJ90+BJ91+BJ92+BJ93+BJ94+BJ95+BJ96+BJ97+BJ98+BJ99+BJ100+BJ101+BJ102</f>
        <v/>
      </c>
    </row>
    <row r="146">
      <c r="A146" s="4" t="inlineStr">
        <is>
          <t>Marketing</t>
        </is>
      </c>
      <c r="B146" s="17" t="inlineStr">
        <is>
          <t>R</t>
        </is>
      </c>
      <c r="C146" s="8">
        <f>C103+C104+C105+C106+C107+C108+C109</f>
        <v/>
      </c>
      <c r="D146" s="8">
        <f>D103+D104+D105+D106+D107+D108+D109</f>
        <v/>
      </c>
      <c r="E146" s="8">
        <f>E103+E104+E105+E106+E107+E108+E109</f>
        <v/>
      </c>
      <c r="F146" s="8">
        <f>F103+F104+F105+F106+F107+F108+F109</f>
        <v/>
      </c>
      <c r="G146" s="8">
        <f>G103+G104+G105+G106+G107+G108+G109</f>
        <v/>
      </c>
      <c r="H146" s="8">
        <f>H103+H104+H105+H106+H107+H108+H109</f>
        <v/>
      </c>
      <c r="I146" s="8">
        <f>I103+I104+I105+I106+I107+I108+I109</f>
        <v/>
      </c>
      <c r="J146" s="8">
        <f>J103+J104+J105+J106+J107+J108+J109</f>
        <v/>
      </c>
      <c r="K146" s="8">
        <f>K103+K104+K105+K106+K107+K108+K109</f>
        <v/>
      </c>
      <c r="L146" s="8">
        <f>L103+L104+L105+L106+L107+L108+L109</f>
        <v/>
      </c>
      <c r="M146" s="8">
        <f>M103+M104+M105+M106+M107+M108+M109</f>
        <v/>
      </c>
      <c r="N146" s="8">
        <f>N103+N104+N105+N106+N107+N108+N109</f>
        <v/>
      </c>
      <c r="O146" s="8">
        <f>O103+O104+O105+O106+O107+O108+O109</f>
        <v/>
      </c>
      <c r="P146" s="8">
        <f>P103+P104+P105+P106+P107+P108+P109</f>
        <v/>
      </c>
      <c r="Q146" s="8">
        <f>Q103+Q104+Q105+Q106+Q107+Q108+Q109</f>
        <v/>
      </c>
      <c r="R146" s="8">
        <f>R103+R104+R105+R106+R107+R108+R109</f>
        <v/>
      </c>
      <c r="S146" s="8">
        <f>S103+S104+S105+S106+S107+S108+S109</f>
        <v/>
      </c>
      <c r="T146" s="8">
        <f>T103+T104+T105+T106+T107+T108+T109</f>
        <v/>
      </c>
      <c r="U146" s="8">
        <f>U103+U104+U105+U106+U107+U108+U109</f>
        <v/>
      </c>
      <c r="V146" s="8">
        <f>V103+V104+V105+V106+V107+V108+V109</f>
        <v/>
      </c>
      <c r="W146" s="8">
        <f>W103+W104+W105+W106+W107+W108+W109</f>
        <v/>
      </c>
      <c r="X146" s="8">
        <f>X103+X104+X105+X106+X107+X108+X109</f>
        <v/>
      </c>
      <c r="Y146" s="8">
        <f>Y103+Y104+Y105+Y106+Y107+Y108+Y109</f>
        <v/>
      </c>
      <c r="Z146" s="8">
        <f>Z103+Z104+Z105+Z106+Z107+Z108+Z109</f>
        <v/>
      </c>
      <c r="AA146" s="8">
        <f>AA103+AA104+AA105+AA106+AA107+AA108+AA109</f>
        <v/>
      </c>
      <c r="AB146" s="8">
        <f>AB103+AB104+AB105+AB106+AB107+AB108+AB109</f>
        <v/>
      </c>
      <c r="AC146" s="8">
        <f>AC103+AC104+AC105+AC106+AC107+AC108+AC109</f>
        <v/>
      </c>
      <c r="AD146" s="8">
        <f>AD103+AD104+AD105+AD106+AD107+AD108+AD109</f>
        <v/>
      </c>
      <c r="AE146" s="8">
        <f>AE103+AE104+AE105+AE106+AE107+AE108+AE109</f>
        <v/>
      </c>
      <c r="AF146" s="8">
        <f>AF103+AF104+AF105+AF106+AF107+AF108+AF109</f>
        <v/>
      </c>
      <c r="AG146" s="8">
        <f>AG103+AG104+AG105+AG106+AG107+AG108+AG109</f>
        <v/>
      </c>
      <c r="AH146" s="8">
        <f>AH103+AH104+AH105+AH106+AH107+AH108+AH109</f>
        <v/>
      </c>
      <c r="AI146" s="8">
        <f>AI103+AI104+AI105+AI106+AI107+AI108+AI109</f>
        <v/>
      </c>
      <c r="AJ146" s="8">
        <f>AJ103+AJ104+AJ105+AJ106+AJ107+AJ108+AJ109</f>
        <v/>
      </c>
      <c r="AK146" s="8">
        <f>AK103+AK104+AK105+AK106+AK107+AK108+AK109</f>
        <v/>
      </c>
      <c r="AL146" s="8">
        <f>AL103+AL104+AL105+AL106+AL107+AL108+AL109</f>
        <v/>
      </c>
      <c r="AM146" s="8">
        <f>AM103+AM104+AM105+AM106+AM107+AM108+AM109</f>
        <v/>
      </c>
      <c r="AN146" s="8">
        <f>AN103+AN104+AN105+AN106+AN107+AN108+AN109</f>
        <v/>
      </c>
      <c r="AO146" s="8">
        <f>AO103+AO104+AO105+AO106+AO107+AO108+AO109</f>
        <v/>
      </c>
      <c r="AP146" s="8">
        <f>AP103+AP104+AP105+AP106+AP107+AP108+AP109</f>
        <v/>
      </c>
      <c r="AQ146" s="8">
        <f>AQ103+AQ104+AQ105+AQ106+AQ107+AQ108+AQ109</f>
        <v/>
      </c>
      <c r="AR146" s="8">
        <f>AR103+AR104+AR105+AR106+AR107+AR108+AR109</f>
        <v/>
      </c>
      <c r="AS146" s="8">
        <f>AS103+AS104+AS105+AS106+AS107+AS108+AS109</f>
        <v/>
      </c>
      <c r="AT146" s="8">
        <f>AT103+AT104+AT105+AT106+AT107+AT108+AT109</f>
        <v/>
      </c>
      <c r="AU146" s="8">
        <f>AU103+AU104+AU105+AU106+AU107+AU108+AU109</f>
        <v/>
      </c>
      <c r="AV146" s="8">
        <f>AV103+AV104+AV105+AV106+AV107+AV108+AV109</f>
        <v/>
      </c>
      <c r="AW146" s="8">
        <f>AW103+AW104+AW105+AW106+AW107+AW108+AW109</f>
        <v/>
      </c>
      <c r="AX146" s="8">
        <f>AX103+AX104+AX105+AX106+AX107+AX108+AX109</f>
        <v/>
      </c>
      <c r="AY146" s="8">
        <f>AY103+AY104+AY105+AY106+AY107+AY108+AY109</f>
        <v/>
      </c>
      <c r="AZ146" s="8">
        <f>AZ103+AZ104+AZ105+AZ106+AZ107+AZ108+AZ109</f>
        <v/>
      </c>
      <c r="BA146" s="8">
        <f>BA103+BA104+BA105+BA106+BA107+BA108+BA109</f>
        <v/>
      </c>
      <c r="BB146" s="8">
        <f>BB103+BB104+BB105+BB106+BB107+BB108+BB109</f>
        <v/>
      </c>
      <c r="BC146" s="8">
        <f>BC103+BC104+BC105+BC106+BC107+BC108+BC109</f>
        <v/>
      </c>
      <c r="BD146" s="8">
        <f>BD103+BD104+BD105+BD106+BD107+BD108+BD109</f>
        <v/>
      </c>
      <c r="BE146" s="8">
        <f>BE103+BE104+BE105+BE106+BE107+BE108+BE109</f>
        <v/>
      </c>
      <c r="BF146" s="8">
        <f>BF103+BF104+BF105+BF106+BF107+BF108+BF109</f>
        <v/>
      </c>
      <c r="BG146" s="8">
        <f>BG103+BG104+BG105+BG106+BG107+BG108+BG109</f>
        <v/>
      </c>
      <c r="BH146" s="8">
        <f>BH103+BH104+BH105+BH106+BH107+BH108+BH109</f>
        <v/>
      </c>
      <c r="BI146" s="8">
        <f>BI103+BI104+BI105+BI106+BI107+BI108+BI109</f>
        <v/>
      </c>
      <c r="BJ146" s="8">
        <f>BJ103+BJ104+BJ105+BJ106+BJ107+BJ108+BJ109</f>
        <v/>
      </c>
    </row>
    <row r="147">
      <c r="A147" s="4" t="inlineStr">
        <is>
          <t>Sales &amp; partnerships</t>
        </is>
      </c>
      <c r="B147" s="17" t="inlineStr">
        <is>
          <t>R</t>
        </is>
      </c>
      <c r="C147" s="8">
        <f>C110+C111+C112+C113+C114+C115+C116+C117+C118</f>
        <v/>
      </c>
      <c r="D147" s="8">
        <f>D110+D111+D112+D113+D114+D115+D116+D117+D118</f>
        <v/>
      </c>
      <c r="E147" s="8">
        <f>E110+E111+E112+E113+E114+E115+E116+E117+E118</f>
        <v/>
      </c>
      <c r="F147" s="8">
        <f>F110+F111+F112+F113+F114+F115+F116+F117+F118</f>
        <v/>
      </c>
      <c r="G147" s="8">
        <f>G110+G111+G112+G113+G114+G115+G116+G117+G118</f>
        <v/>
      </c>
      <c r="H147" s="8">
        <f>H110+H111+H112+H113+H114+H115+H116+H117+H118</f>
        <v/>
      </c>
      <c r="I147" s="8">
        <f>I110+I111+I112+I113+I114+I115+I116+I117+I118</f>
        <v/>
      </c>
      <c r="J147" s="8">
        <f>J110+J111+J112+J113+J114+J115+J116+J117+J118</f>
        <v/>
      </c>
      <c r="K147" s="8">
        <f>K110+K111+K112+K113+K114+K115+K116+K117+K118</f>
        <v/>
      </c>
      <c r="L147" s="8">
        <f>L110+L111+L112+L113+L114+L115+L116+L117+L118</f>
        <v/>
      </c>
      <c r="M147" s="8">
        <f>M110+M111+M112+M113+M114+M115+M116+M117+M118</f>
        <v/>
      </c>
      <c r="N147" s="8">
        <f>N110+N111+N112+N113+N114+N115+N116+N117+N118</f>
        <v/>
      </c>
      <c r="O147" s="8">
        <f>O110+O111+O112+O113+O114+O115+O116+O117+O118</f>
        <v/>
      </c>
      <c r="P147" s="8">
        <f>P110+P111+P112+P113+P114+P115+P116+P117+P118</f>
        <v/>
      </c>
      <c r="Q147" s="8">
        <f>Q110+Q111+Q112+Q113+Q114+Q115+Q116+Q117+Q118</f>
        <v/>
      </c>
      <c r="R147" s="8">
        <f>R110+R111+R112+R113+R114+R115+R116+R117+R118</f>
        <v/>
      </c>
      <c r="S147" s="8">
        <f>S110+S111+S112+S113+S114+S115+S116+S117+S118</f>
        <v/>
      </c>
      <c r="T147" s="8">
        <f>T110+T111+T112+T113+T114+T115+T116+T117+T118</f>
        <v/>
      </c>
      <c r="U147" s="8">
        <f>U110+U111+U112+U113+U114+U115+U116+U117+U118</f>
        <v/>
      </c>
      <c r="V147" s="8">
        <f>V110+V111+V112+V113+V114+V115+V116+V117+V118</f>
        <v/>
      </c>
      <c r="W147" s="8">
        <f>W110+W111+W112+W113+W114+W115+W116+W117+W118</f>
        <v/>
      </c>
      <c r="X147" s="8">
        <f>X110+X111+X112+X113+X114+X115+X116+X117+X118</f>
        <v/>
      </c>
      <c r="Y147" s="8">
        <f>Y110+Y111+Y112+Y113+Y114+Y115+Y116+Y117+Y118</f>
        <v/>
      </c>
      <c r="Z147" s="8">
        <f>Z110+Z111+Z112+Z113+Z114+Z115+Z116+Z117+Z118</f>
        <v/>
      </c>
      <c r="AA147" s="8">
        <f>AA110+AA111+AA112+AA113+AA114+AA115+AA116+AA117+AA118</f>
        <v/>
      </c>
      <c r="AB147" s="8">
        <f>AB110+AB111+AB112+AB113+AB114+AB115+AB116+AB117+AB118</f>
        <v/>
      </c>
      <c r="AC147" s="8">
        <f>AC110+AC111+AC112+AC113+AC114+AC115+AC116+AC117+AC118</f>
        <v/>
      </c>
      <c r="AD147" s="8">
        <f>AD110+AD111+AD112+AD113+AD114+AD115+AD116+AD117+AD118</f>
        <v/>
      </c>
      <c r="AE147" s="8">
        <f>AE110+AE111+AE112+AE113+AE114+AE115+AE116+AE117+AE118</f>
        <v/>
      </c>
      <c r="AF147" s="8">
        <f>AF110+AF111+AF112+AF113+AF114+AF115+AF116+AF117+AF118</f>
        <v/>
      </c>
      <c r="AG147" s="8">
        <f>AG110+AG111+AG112+AG113+AG114+AG115+AG116+AG117+AG118</f>
        <v/>
      </c>
      <c r="AH147" s="8">
        <f>AH110+AH111+AH112+AH113+AH114+AH115+AH116+AH117+AH118</f>
        <v/>
      </c>
      <c r="AI147" s="8">
        <f>AI110+AI111+AI112+AI113+AI114+AI115+AI116+AI117+AI118</f>
        <v/>
      </c>
      <c r="AJ147" s="8">
        <f>AJ110+AJ111+AJ112+AJ113+AJ114+AJ115+AJ116+AJ117+AJ118</f>
        <v/>
      </c>
      <c r="AK147" s="8">
        <f>AK110+AK111+AK112+AK113+AK114+AK115+AK116+AK117+AK118</f>
        <v/>
      </c>
      <c r="AL147" s="8">
        <f>AL110+AL111+AL112+AL113+AL114+AL115+AL116+AL117+AL118</f>
        <v/>
      </c>
      <c r="AM147" s="8">
        <f>AM110+AM111+AM112+AM113+AM114+AM115+AM116+AM117+AM118</f>
        <v/>
      </c>
      <c r="AN147" s="8">
        <f>AN110+AN111+AN112+AN113+AN114+AN115+AN116+AN117+AN118</f>
        <v/>
      </c>
      <c r="AO147" s="8">
        <f>AO110+AO111+AO112+AO113+AO114+AO115+AO116+AO117+AO118</f>
        <v/>
      </c>
      <c r="AP147" s="8">
        <f>AP110+AP111+AP112+AP113+AP114+AP115+AP116+AP117+AP118</f>
        <v/>
      </c>
      <c r="AQ147" s="8">
        <f>AQ110+AQ111+AQ112+AQ113+AQ114+AQ115+AQ116+AQ117+AQ118</f>
        <v/>
      </c>
      <c r="AR147" s="8">
        <f>AR110+AR111+AR112+AR113+AR114+AR115+AR116+AR117+AR118</f>
        <v/>
      </c>
      <c r="AS147" s="8">
        <f>AS110+AS111+AS112+AS113+AS114+AS115+AS116+AS117+AS118</f>
        <v/>
      </c>
      <c r="AT147" s="8">
        <f>AT110+AT111+AT112+AT113+AT114+AT115+AT116+AT117+AT118</f>
        <v/>
      </c>
      <c r="AU147" s="8">
        <f>AU110+AU111+AU112+AU113+AU114+AU115+AU116+AU117+AU118</f>
        <v/>
      </c>
      <c r="AV147" s="8">
        <f>AV110+AV111+AV112+AV113+AV114+AV115+AV116+AV117+AV118</f>
        <v/>
      </c>
      <c r="AW147" s="8">
        <f>AW110+AW111+AW112+AW113+AW114+AW115+AW116+AW117+AW118</f>
        <v/>
      </c>
      <c r="AX147" s="8">
        <f>AX110+AX111+AX112+AX113+AX114+AX115+AX116+AX117+AX118</f>
        <v/>
      </c>
      <c r="AY147" s="8">
        <f>AY110+AY111+AY112+AY113+AY114+AY115+AY116+AY117+AY118</f>
        <v/>
      </c>
      <c r="AZ147" s="8">
        <f>AZ110+AZ111+AZ112+AZ113+AZ114+AZ115+AZ116+AZ117+AZ118</f>
        <v/>
      </c>
      <c r="BA147" s="8">
        <f>BA110+BA111+BA112+BA113+BA114+BA115+BA116+BA117+BA118</f>
        <v/>
      </c>
      <c r="BB147" s="8">
        <f>BB110+BB111+BB112+BB113+BB114+BB115+BB116+BB117+BB118</f>
        <v/>
      </c>
      <c r="BC147" s="8">
        <f>BC110+BC111+BC112+BC113+BC114+BC115+BC116+BC117+BC118</f>
        <v/>
      </c>
      <c r="BD147" s="8">
        <f>BD110+BD111+BD112+BD113+BD114+BD115+BD116+BD117+BD118</f>
        <v/>
      </c>
      <c r="BE147" s="8">
        <f>BE110+BE111+BE112+BE113+BE114+BE115+BE116+BE117+BE118</f>
        <v/>
      </c>
      <c r="BF147" s="8">
        <f>BF110+BF111+BF112+BF113+BF114+BF115+BF116+BF117+BF118</f>
        <v/>
      </c>
      <c r="BG147" s="8">
        <f>BG110+BG111+BG112+BG113+BG114+BG115+BG116+BG117+BG118</f>
        <v/>
      </c>
      <c r="BH147" s="8">
        <f>BH110+BH111+BH112+BH113+BH114+BH115+BH116+BH117+BH118</f>
        <v/>
      </c>
      <c r="BI147" s="8">
        <f>BI110+BI111+BI112+BI113+BI114+BI115+BI116+BI117+BI118</f>
        <v/>
      </c>
      <c r="BJ147" s="8">
        <f>BJ110+BJ111+BJ112+BJ113+BJ114+BJ115+BJ116+BJ117+BJ118</f>
        <v/>
      </c>
    </row>
    <row r="148">
      <c r="A148" s="4" t="inlineStr">
        <is>
          <t>Customer success</t>
        </is>
      </c>
      <c r="B148" s="17" t="inlineStr">
        <is>
          <t>R</t>
        </is>
      </c>
      <c r="C148" s="8">
        <f>C119+C120+C121+C122+C123+C124+C131</f>
        <v/>
      </c>
      <c r="D148" s="8">
        <f>D119+D120+D121+D122+D123+D124+D131</f>
        <v/>
      </c>
      <c r="E148" s="8">
        <f>E119+E120+E121+E122+E123+E124+E131</f>
        <v/>
      </c>
      <c r="F148" s="8">
        <f>F119+F120+F121+F122+F123+F124+F131</f>
        <v/>
      </c>
      <c r="G148" s="8">
        <f>G119+G120+G121+G122+G123+G124+G131</f>
        <v/>
      </c>
      <c r="H148" s="8">
        <f>H119+H120+H121+H122+H123+H124+H131</f>
        <v/>
      </c>
      <c r="I148" s="8">
        <f>I119+I120+I121+I122+I123+I124+I131</f>
        <v/>
      </c>
      <c r="J148" s="8">
        <f>J119+J120+J121+J122+J123+J124+J131</f>
        <v/>
      </c>
      <c r="K148" s="8">
        <f>K119+K120+K121+K122+K123+K124+K131</f>
        <v/>
      </c>
      <c r="L148" s="8">
        <f>L119+L120+L121+L122+L123+L124+L131</f>
        <v/>
      </c>
      <c r="M148" s="8">
        <f>M119+M120+M121+M122+M123+M124+M131</f>
        <v/>
      </c>
      <c r="N148" s="8">
        <f>N119+N120+N121+N122+N123+N124+N131</f>
        <v/>
      </c>
      <c r="O148" s="8">
        <f>O119+O120+O121+O122+O123+O124+O131</f>
        <v/>
      </c>
      <c r="P148" s="8">
        <f>P119+P120+P121+P122+P123+P124+P131</f>
        <v/>
      </c>
      <c r="Q148" s="8">
        <f>Q119+Q120+Q121+Q122+Q123+Q124+Q131</f>
        <v/>
      </c>
      <c r="R148" s="8">
        <f>R119+R120+R121+R122+R123+R124+R131</f>
        <v/>
      </c>
      <c r="S148" s="8">
        <f>S119+S120+S121+S122+S123+S124+S131</f>
        <v/>
      </c>
      <c r="T148" s="8">
        <f>T119+T120+T121+T122+T123+T124+T131</f>
        <v/>
      </c>
      <c r="U148" s="8">
        <f>U119+U120+U121+U122+U123+U124+U131</f>
        <v/>
      </c>
      <c r="V148" s="8">
        <f>V119+V120+V121+V122+V123+V124+V131</f>
        <v/>
      </c>
      <c r="W148" s="8">
        <f>W119+W120+W121+W122+W123+W124+W131</f>
        <v/>
      </c>
      <c r="X148" s="8">
        <f>X119+X120+X121+X122+X123+X124+X131</f>
        <v/>
      </c>
      <c r="Y148" s="8">
        <f>Y119+Y120+Y121+Y122+Y123+Y124+Y131</f>
        <v/>
      </c>
      <c r="Z148" s="8">
        <f>Z119+Z120+Z121+Z122+Z123+Z124+Z131</f>
        <v/>
      </c>
      <c r="AA148" s="8">
        <f>AA119+AA120+AA121+AA122+AA123+AA124+AA131</f>
        <v/>
      </c>
      <c r="AB148" s="8">
        <f>AB119+AB120+AB121+AB122+AB123+AB124+AB131</f>
        <v/>
      </c>
      <c r="AC148" s="8">
        <f>AC119+AC120+AC121+AC122+AC123+AC124+AC131</f>
        <v/>
      </c>
      <c r="AD148" s="8">
        <f>AD119+AD120+AD121+AD122+AD123+AD124+AD131</f>
        <v/>
      </c>
      <c r="AE148" s="8">
        <f>AE119+AE120+AE121+AE122+AE123+AE124+AE131</f>
        <v/>
      </c>
      <c r="AF148" s="8">
        <f>AF119+AF120+AF121+AF122+AF123+AF124+AF131</f>
        <v/>
      </c>
      <c r="AG148" s="8">
        <f>AG119+AG120+AG121+AG122+AG123+AG124+AG131</f>
        <v/>
      </c>
      <c r="AH148" s="8">
        <f>AH119+AH120+AH121+AH122+AH123+AH124+AH131</f>
        <v/>
      </c>
      <c r="AI148" s="8">
        <f>AI119+AI120+AI121+AI122+AI123+AI124+AI131</f>
        <v/>
      </c>
      <c r="AJ148" s="8">
        <f>AJ119+AJ120+AJ121+AJ122+AJ123+AJ124+AJ131</f>
        <v/>
      </c>
      <c r="AK148" s="8">
        <f>AK119+AK120+AK121+AK122+AK123+AK124+AK131</f>
        <v/>
      </c>
      <c r="AL148" s="8">
        <f>AL119+AL120+AL121+AL122+AL123+AL124+AL131</f>
        <v/>
      </c>
      <c r="AM148" s="8">
        <f>AM119+AM120+AM121+AM122+AM123+AM124+AM131</f>
        <v/>
      </c>
      <c r="AN148" s="8">
        <f>AN119+AN120+AN121+AN122+AN123+AN124+AN131</f>
        <v/>
      </c>
      <c r="AO148" s="8">
        <f>AO119+AO120+AO121+AO122+AO123+AO124+AO131</f>
        <v/>
      </c>
      <c r="AP148" s="8">
        <f>AP119+AP120+AP121+AP122+AP123+AP124+AP131</f>
        <v/>
      </c>
      <c r="AQ148" s="8">
        <f>AQ119+AQ120+AQ121+AQ122+AQ123+AQ124+AQ131</f>
        <v/>
      </c>
      <c r="AR148" s="8">
        <f>AR119+AR120+AR121+AR122+AR123+AR124+AR131</f>
        <v/>
      </c>
      <c r="AS148" s="8">
        <f>AS119+AS120+AS121+AS122+AS123+AS124+AS131</f>
        <v/>
      </c>
      <c r="AT148" s="8">
        <f>AT119+AT120+AT121+AT122+AT123+AT124+AT131</f>
        <v/>
      </c>
      <c r="AU148" s="8">
        <f>AU119+AU120+AU121+AU122+AU123+AU124+AU131</f>
        <v/>
      </c>
      <c r="AV148" s="8">
        <f>AV119+AV120+AV121+AV122+AV123+AV124+AV131</f>
        <v/>
      </c>
      <c r="AW148" s="8">
        <f>AW119+AW120+AW121+AW122+AW123+AW124+AW131</f>
        <v/>
      </c>
      <c r="AX148" s="8">
        <f>AX119+AX120+AX121+AX122+AX123+AX124+AX131</f>
        <v/>
      </c>
      <c r="AY148" s="8">
        <f>AY119+AY120+AY121+AY122+AY123+AY124+AY131</f>
        <v/>
      </c>
      <c r="AZ148" s="8">
        <f>AZ119+AZ120+AZ121+AZ122+AZ123+AZ124+AZ131</f>
        <v/>
      </c>
      <c r="BA148" s="8">
        <f>BA119+BA120+BA121+BA122+BA123+BA124+BA131</f>
        <v/>
      </c>
      <c r="BB148" s="8">
        <f>BB119+BB120+BB121+BB122+BB123+BB124+BB131</f>
        <v/>
      </c>
      <c r="BC148" s="8">
        <f>BC119+BC120+BC121+BC122+BC123+BC124+BC131</f>
        <v/>
      </c>
      <c r="BD148" s="8">
        <f>BD119+BD120+BD121+BD122+BD123+BD124+BD131</f>
        <v/>
      </c>
      <c r="BE148" s="8">
        <f>BE119+BE120+BE121+BE122+BE123+BE124+BE131</f>
        <v/>
      </c>
      <c r="BF148" s="8">
        <f>BF119+BF120+BF121+BF122+BF123+BF124+BF131</f>
        <v/>
      </c>
      <c r="BG148" s="8">
        <f>BG119+BG120+BG121+BG122+BG123+BG124+BG131</f>
        <v/>
      </c>
      <c r="BH148" s="8">
        <f>BH119+BH120+BH121+BH122+BH123+BH124+BH131</f>
        <v/>
      </c>
      <c r="BI148" s="8">
        <f>BI119+BI120+BI121+BI122+BI123+BI124+BI131</f>
        <v/>
      </c>
      <c r="BJ148" s="8">
        <f>BJ119+BJ120+BJ121+BJ122+BJ123+BJ124+BJ131</f>
        <v/>
      </c>
    </row>
    <row r="149">
      <c r="A149" s="4" t="inlineStr">
        <is>
          <t>G&amp;A &amp; compliance</t>
        </is>
      </c>
      <c r="B149" s="17" t="inlineStr">
        <is>
          <t>R</t>
        </is>
      </c>
      <c r="C149" s="8">
        <f>C125+C126+C127+C128+C129+C130+C132</f>
        <v/>
      </c>
      <c r="D149" s="8">
        <f>D125+D126+D127+D128+D129+D130+D132</f>
        <v/>
      </c>
      <c r="E149" s="8">
        <f>E125+E126+E127+E128+E129+E130+E132</f>
        <v/>
      </c>
      <c r="F149" s="8">
        <f>F125+F126+F127+F128+F129+F130+F132</f>
        <v/>
      </c>
      <c r="G149" s="8">
        <f>G125+G126+G127+G128+G129+G130+G132</f>
        <v/>
      </c>
      <c r="H149" s="8">
        <f>H125+H126+H127+H128+H129+H130+H132</f>
        <v/>
      </c>
      <c r="I149" s="8">
        <f>I125+I126+I127+I128+I129+I130+I132</f>
        <v/>
      </c>
      <c r="J149" s="8">
        <f>J125+J126+J127+J128+J129+J130+J132</f>
        <v/>
      </c>
      <c r="K149" s="8">
        <f>K125+K126+K127+K128+K129+K130+K132</f>
        <v/>
      </c>
      <c r="L149" s="8">
        <f>L125+L126+L127+L128+L129+L130+L132</f>
        <v/>
      </c>
      <c r="M149" s="8">
        <f>M125+M126+M127+M128+M129+M130+M132</f>
        <v/>
      </c>
      <c r="N149" s="8">
        <f>N125+N126+N127+N128+N129+N130+N132</f>
        <v/>
      </c>
      <c r="O149" s="8">
        <f>O125+O126+O127+O128+O129+O130+O132</f>
        <v/>
      </c>
      <c r="P149" s="8">
        <f>P125+P126+P127+P128+P129+P130+P132</f>
        <v/>
      </c>
      <c r="Q149" s="8">
        <f>Q125+Q126+Q127+Q128+Q129+Q130+Q132</f>
        <v/>
      </c>
      <c r="R149" s="8">
        <f>R125+R126+R127+R128+R129+R130+R132</f>
        <v/>
      </c>
      <c r="S149" s="8">
        <f>S125+S126+S127+S128+S129+S130+S132</f>
        <v/>
      </c>
      <c r="T149" s="8">
        <f>T125+T126+T127+T128+T129+T130+T132</f>
        <v/>
      </c>
      <c r="U149" s="8">
        <f>U125+U126+U127+U128+U129+U130+U132</f>
        <v/>
      </c>
      <c r="V149" s="8">
        <f>V125+V126+V127+V128+V129+V130+V132</f>
        <v/>
      </c>
      <c r="W149" s="8">
        <f>W125+W126+W127+W128+W129+W130+W132</f>
        <v/>
      </c>
      <c r="X149" s="8">
        <f>X125+X126+X127+X128+X129+X130+X132</f>
        <v/>
      </c>
      <c r="Y149" s="8">
        <f>Y125+Y126+Y127+Y128+Y129+Y130+Y132</f>
        <v/>
      </c>
      <c r="Z149" s="8">
        <f>Z125+Z126+Z127+Z128+Z129+Z130+Z132</f>
        <v/>
      </c>
      <c r="AA149" s="8">
        <f>AA125+AA126+AA127+AA128+AA129+AA130+AA132</f>
        <v/>
      </c>
      <c r="AB149" s="8">
        <f>AB125+AB126+AB127+AB128+AB129+AB130+AB132</f>
        <v/>
      </c>
      <c r="AC149" s="8">
        <f>AC125+AC126+AC127+AC128+AC129+AC130+AC132</f>
        <v/>
      </c>
      <c r="AD149" s="8">
        <f>AD125+AD126+AD127+AD128+AD129+AD130+AD132</f>
        <v/>
      </c>
      <c r="AE149" s="8">
        <f>AE125+AE126+AE127+AE128+AE129+AE130+AE132</f>
        <v/>
      </c>
      <c r="AF149" s="8">
        <f>AF125+AF126+AF127+AF128+AF129+AF130+AF132</f>
        <v/>
      </c>
      <c r="AG149" s="8">
        <f>AG125+AG126+AG127+AG128+AG129+AG130+AG132</f>
        <v/>
      </c>
      <c r="AH149" s="8">
        <f>AH125+AH126+AH127+AH128+AH129+AH130+AH132</f>
        <v/>
      </c>
      <c r="AI149" s="8">
        <f>AI125+AI126+AI127+AI128+AI129+AI130+AI132</f>
        <v/>
      </c>
      <c r="AJ149" s="8">
        <f>AJ125+AJ126+AJ127+AJ128+AJ129+AJ130+AJ132</f>
        <v/>
      </c>
      <c r="AK149" s="8">
        <f>AK125+AK126+AK127+AK128+AK129+AK130+AK132</f>
        <v/>
      </c>
      <c r="AL149" s="8">
        <f>AL125+AL126+AL127+AL128+AL129+AL130+AL132</f>
        <v/>
      </c>
      <c r="AM149" s="8">
        <f>AM125+AM126+AM127+AM128+AM129+AM130+AM132</f>
        <v/>
      </c>
      <c r="AN149" s="8">
        <f>AN125+AN126+AN127+AN128+AN129+AN130+AN132</f>
        <v/>
      </c>
      <c r="AO149" s="8">
        <f>AO125+AO126+AO127+AO128+AO129+AO130+AO132</f>
        <v/>
      </c>
      <c r="AP149" s="8">
        <f>AP125+AP126+AP127+AP128+AP129+AP130+AP132</f>
        <v/>
      </c>
      <c r="AQ149" s="8">
        <f>AQ125+AQ126+AQ127+AQ128+AQ129+AQ130+AQ132</f>
        <v/>
      </c>
      <c r="AR149" s="8">
        <f>AR125+AR126+AR127+AR128+AR129+AR130+AR132</f>
        <v/>
      </c>
      <c r="AS149" s="8">
        <f>AS125+AS126+AS127+AS128+AS129+AS130+AS132</f>
        <v/>
      </c>
      <c r="AT149" s="8">
        <f>AT125+AT126+AT127+AT128+AT129+AT130+AT132</f>
        <v/>
      </c>
      <c r="AU149" s="8">
        <f>AU125+AU126+AU127+AU128+AU129+AU130+AU132</f>
        <v/>
      </c>
      <c r="AV149" s="8">
        <f>AV125+AV126+AV127+AV128+AV129+AV130+AV132</f>
        <v/>
      </c>
      <c r="AW149" s="8">
        <f>AW125+AW126+AW127+AW128+AW129+AW130+AW132</f>
        <v/>
      </c>
      <c r="AX149" s="8">
        <f>AX125+AX126+AX127+AX128+AX129+AX130+AX132</f>
        <v/>
      </c>
      <c r="AY149" s="8">
        <f>AY125+AY126+AY127+AY128+AY129+AY130+AY132</f>
        <v/>
      </c>
      <c r="AZ149" s="8">
        <f>AZ125+AZ126+AZ127+AZ128+AZ129+AZ130+AZ132</f>
        <v/>
      </c>
      <c r="BA149" s="8">
        <f>BA125+BA126+BA127+BA128+BA129+BA130+BA132</f>
        <v/>
      </c>
      <c r="BB149" s="8">
        <f>BB125+BB126+BB127+BB128+BB129+BB130+BB132</f>
        <v/>
      </c>
      <c r="BC149" s="8">
        <f>BC125+BC126+BC127+BC128+BC129+BC130+BC132</f>
        <v/>
      </c>
      <c r="BD149" s="8">
        <f>BD125+BD126+BD127+BD128+BD129+BD130+BD132</f>
        <v/>
      </c>
      <c r="BE149" s="8">
        <f>BE125+BE126+BE127+BE128+BE129+BE130+BE132</f>
        <v/>
      </c>
      <c r="BF149" s="8">
        <f>BF125+BF126+BF127+BF128+BF129+BF130+BF132</f>
        <v/>
      </c>
      <c r="BG149" s="8">
        <f>BG125+BG126+BG127+BG128+BG129+BG130+BG132</f>
        <v/>
      </c>
      <c r="BH149" s="8">
        <f>BH125+BH126+BH127+BH128+BH129+BH130+BH132</f>
        <v/>
      </c>
      <c r="BI149" s="8">
        <f>BI125+BI126+BI127+BI128+BI129+BI130+BI132</f>
        <v/>
      </c>
      <c r="BJ149" s="8">
        <f>BJ125+BJ126+BJ127+BJ128+BJ129+BJ130+BJ132</f>
        <v/>
      </c>
    </row>
    <row r="150">
      <c r="A150" s="4" t="inlineStr">
        <is>
          <t>Country teams</t>
        </is>
      </c>
      <c r="B150" s="17" t="inlineStr">
        <is>
          <t>R</t>
        </is>
      </c>
      <c r="C150" s="8">
        <f>C133+C134+C135+C136+C137+C138+C139+C140+C141</f>
        <v/>
      </c>
      <c r="D150" s="8">
        <f>D133+D134+D135+D136+D137+D138+D139+D140+D141</f>
        <v/>
      </c>
      <c r="E150" s="8">
        <f>E133+E134+E135+E136+E137+E138+E139+E140+E141</f>
        <v/>
      </c>
      <c r="F150" s="8">
        <f>F133+F134+F135+F136+F137+F138+F139+F140+F141</f>
        <v/>
      </c>
      <c r="G150" s="8">
        <f>G133+G134+G135+G136+G137+G138+G139+G140+G141</f>
        <v/>
      </c>
      <c r="H150" s="8">
        <f>H133+H134+H135+H136+H137+H138+H139+H140+H141</f>
        <v/>
      </c>
      <c r="I150" s="8">
        <f>I133+I134+I135+I136+I137+I138+I139+I140+I141</f>
        <v/>
      </c>
      <c r="J150" s="8">
        <f>J133+J134+J135+J136+J137+J138+J139+J140+J141</f>
        <v/>
      </c>
      <c r="K150" s="8">
        <f>K133+K134+K135+K136+K137+K138+K139+K140+K141</f>
        <v/>
      </c>
      <c r="L150" s="8">
        <f>L133+L134+L135+L136+L137+L138+L139+L140+L141</f>
        <v/>
      </c>
      <c r="M150" s="8">
        <f>M133+M134+M135+M136+M137+M138+M139+M140+M141</f>
        <v/>
      </c>
      <c r="N150" s="8">
        <f>N133+N134+N135+N136+N137+N138+N139+N140+N141</f>
        <v/>
      </c>
      <c r="O150" s="8">
        <f>O133+O134+O135+O136+O137+O138+O139+O140+O141</f>
        <v/>
      </c>
      <c r="P150" s="8">
        <f>P133+P134+P135+P136+P137+P138+P139+P140+P141</f>
        <v/>
      </c>
      <c r="Q150" s="8">
        <f>Q133+Q134+Q135+Q136+Q137+Q138+Q139+Q140+Q141</f>
        <v/>
      </c>
      <c r="R150" s="8">
        <f>R133+R134+R135+R136+R137+R138+R139+R140+R141</f>
        <v/>
      </c>
      <c r="S150" s="8">
        <f>S133+S134+S135+S136+S137+S138+S139+S140+S141</f>
        <v/>
      </c>
      <c r="T150" s="8">
        <f>T133+T134+T135+T136+T137+T138+T139+T140+T141</f>
        <v/>
      </c>
      <c r="U150" s="8">
        <f>U133+U134+U135+U136+U137+U138+U139+U140+U141</f>
        <v/>
      </c>
      <c r="V150" s="8">
        <f>V133+V134+V135+V136+V137+V138+V139+V140+V141</f>
        <v/>
      </c>
      <c r="W150" s="8">
        <f>W133+W134+W135+W136+W137+W138+W139+W140+W141</f>
        <v/>
      </c>
      <c r="X150" s="8">
        <f>X133+X134+X135+X136+X137+X138+X139+X140+X141</f>
        <v/>
      </c>
      <c r="Y150" s="8">
        <f>Y133+Y134+Y135+Y136+Y137+Y138+Y139+Y140+Y141</f>
        <v/>
      </c>
      <c r="Z150" s="8">
        <f>Z133+Z134+Z135+Z136+Z137+Z138+Z139+Z140+Z141</f>
        <v/>
      </c>
      <c r="AA150" s="8">
        <f>AA133+AA134+AA135+AA136+AA137+AA138+AA139+AA140+AA141</f>
        <v/>
      </c>
      <c r="AB150" s="8">
        <f>AB133+AB134+AB135+AB136+AB137+AB138+AB139+AB140+AB141</f>
        <v/>
      </c>
      <c r="AC150" s="8">
        <f>AC133+AC134+AC135+AC136+AC137+AC138+AC139+AC140+AC141</f>
        <v/>
      </c>
      <c r="AD150" s="8">
        <f>AD133+AD134+AD135+AD136+AD137+AD138+AD139+AD140+AD141</f>
        <v/>
      </c>
      <c r="AE150" s="8">
        <f>AE133+AE134+AE135+AE136+AE137+AE138+AE139+AE140+AE141</f>
        <v/>
      </c>
      <c r="AF150" s="8">
        <f>AF133+AF134+AF135+AF136+AF137+AF138+AF139+AF140+AF141</f>
        <v/>
      </c>
      <c r="AG150" s="8">
        <f>AG133+AG134+AG135+AG136+AG137+AG138+AG139+AG140+AG141</f>
        <v/>
      </c>
      <c r="AH150" s="8">
        <f>AH133+AH134+AH135+AH136+AH137+AH138+AH139+AH140+AH141</f>
        <v/>
      </c>
      <c r="AI150" s="8">
        <f>AI133+AI134+AI135+AI136+AI137+AI138+AI139+AI140+AI141</f>
        <v/>
      </c>
      <c r="AJ150" s="8">
        <f>AJ133+AJ134+AJ135+AJ136+AJ137+AJ138+AJ139+AJ140+AJ141</f>
        <v/>
      </c>
      <c r="AK150" s="8">
        <f>AK133+AK134+AK135+AK136+AK137+AK138+AK139+AK140+AK141</f>
        <v/>
      </c>
      <c r="AL150" s="8">
        <f>AL133+AL134+AL135+AL136+AL137+AL138+AL139+AL140+AL141</f>
        <v/>
      </c>
      <c r="AM150" s="8">
        <f>AM133+AM134+AM135+AM136+AM137+AM138+AM139+AM140+AM141</f>
        <v/>
      </c>
      <c r="AN150" s="8">
        <f>AN133+AN134+AN135+AN136+AN137+AN138+AN139+AN140+AN141</f>
        <v/>
      </c>
      <c r="AO150" s="8">
        <f>AO133+AO134+AO135+AO136+AO137+AO138+AO139+AO140+AO141</f>
        <v/>
      </c>
      <c r="AP150" s="8">
        <f>AP133+AP134+AP135+AP136+AP137+AP138+AP139+AP140+AP141</f>
        <v/>
      </c>
      <c r="AQ150" s="8">
        <f>AQ133+AQ134+AQ135+AQ136+AQ137+AQ138+AQ139+AQ140+AQ141</f>
        <v/>
      </c>
      <c r="AR150" s="8">
        <f>AR133+AR134+AR135+AR136+AR137+AR138+AR139+AR140+AR141</f>
        <v/>
      </c>
      <c r="AS150" s="8">
        <f>AS133+AS134+AS135+AS136+AS137+AS138+AS139+AS140+AS141</f>
        <v/>
      </c>
      <c r="AT150" s="8">
        <f>AT133+AT134+AT135+AT136+AT137+AT138+AT139+AT140+AT141</f>
        <v/>
      </c>
      <c r="AU150" s="8">
        <f>AU133+AU134+AU135+AU136+AU137+AU138+AU139+AU140+AU141</f>
        <v/>
      </c>
      <c r="AV150" s="8">
        <f>AV133+AV134+AV135+AV136+AV137+AV138+AV139+AV140+AV141</f>
        <v/>
      </c>
      <c r="AW150" s="8">
        <f>AW133+AW134+AW135+AW136+AW137+AW138+AW139+AW140+AW141</f>
        <v/>
      </c>
      <c r="AX150" s="8">
        <f>AX133+AX134+AX135+AX136+AX137+AX138+AX139+AX140+AX141</f>
        <v/>
      </c>
      <c r="AY150" s="8">
        <f>AY133+AY134+AY135+AY136+AY137+AY138+AY139+AY140+AY141</f>
        <v/>
      </c>
      <c r="AZ150" s="8">
        <f>AZ133+AZ134+AZ135+AZ136+AZ137+AZ138+AZ139+AZ140+AZ141</f>
        <v/>
      </c>
      <c r="BA150" s="8">
        <f>BA133+BA134+BA135+BA136+BA137+BA138+BA139+BA140+BA141</f>
        <v/>
      </c>
      <c r="BB150" s="8">
        <f>BB133+BB134+BB135+BB136+BB137+BB138+BB139+BB140+BB141</f>
        <v/>
      </c>
      <c r="BC150" s="8">
        <f>BC133+BC134+BC135+BC136+BC137+BC138+BC139+BC140+BC141</f>
        <v/>
      </c>
      <c r="BD150" s="8">
        <f>BD133+BD134+BD135+BD136+BD137+BD138+BD139+BD140+BD141</f>
        <v/>
      </c>
      <c r="BE150" s="8">
        <f>BE133+BE134+BE135+BE136+BE137+BE138+BE139+BE140+BE141</f>
        <v/>
      </c>
      <c r="BF150" s="8">
        <f>BF133+BF134+BF135+BF136+BF137+BF138+BF139+BF140+BF141</f>
        <v/>
      </c>
      <c r="BG150" s="8">
        <f>BG133+BG134+BG135+BG136+BG137+BG138+BG139+BG140+BG141</f>
        <v/>
      </c>
      <c r="BH150" s="8">
        <f>BH133+BH134+BH135+BH136+BH137+BH138+BH139+BH140+BH141</f>
        <v/>
      </c>
      <c r="BI150" s="8">
        <f>BI133+BI134+BI135+BI136+BI137+BI138+BI139+BI140+BI141</f>
        <v/>
      </c>
      <c r="BJ150" s="8">
        <f>BJ133+BJ134+BJ135+BJ136+BJ137+BJ138+BJ139+BJ140+BJ141</f>
        <v/>
      </c>
    </row>
    <row r="151">
      <c r="A151" s="3" t="inlineStr">
        <is>
          <t>Total payroll</t>
        </is>
      </c>
      <c r="B151" s="17" t="inlineStr">
        <is>
          <t>R</t>
        </is>
      </c>
      <c r="C151" s="42">
        <f>C144+C145+C146+C147+C148+C149+C150</f>
        <v/>
      </c>
      <c r="D151" s="42">
        <f>D144+D145+D146+D147+D148+D149+D150</f>
        <v/>
      </c>
      <c r="E151" s="42">
        <f>E144+E145+E146+E147+E148+E149+E150</f>
        <v/>
      </c>
      <c r="F151" s="42">
        <f>F144+F145+F146+F147+F148+F149+F150</f>
        <v/>
      </c>
      <c r="G151" s="42">
        <f>G144+G145+G146+G147+G148+G149+G150</f>
        <v/>
      </c>
      <c r="H151" s="42">
        <f>H144+H145+H146+H147+H148+H149+H150</f>
        <v/>
      </c>
      <c r="I151" s="42">
        <f>I144+I145+I146+I147+I148+I149+I150</f>
        <v/>
      </c>
      <c r="J151" s="42">
        <f>J144+J145+J146+J147+J148+J149+J150</f>
        <v/>
      </c>
      <c r="K151" s="42">
        <f>K144+K145+K146+K147+K148+K149+K150</f>
        <v/>
      </c>
      <c r="L151" s="42">
        <f>L144+L145+L146+L147+L148+L149+L150</f>
        <v/>
      </c>
      <c r="M151" s="42">
        <f>M144+M145+M146+M147+M148+M149+M150</f>
        <v/>
      </c>
      <c r="N151" s="42">
        <f>N144+N145+N146+N147+N148+N149+N150</f>
        <v/>
      </c>
      <c r="O151" s="42">
        <f>O144+O145+O146+O147+O148+O149+O150</f>
        <v/>
      </c>
      <c r="P151" s="42">
        <f>P144+P145+P146+P147+P148+P149+P150</f>
        <v/>
      </c>
      <c r="Q151" s="42">
        <f>Q144+Q145+Q146+Q147+Q148+Q149+Q150</f>
        <v/>
      </c>
      <c r="R151" s="42">
        <f>R144+R145+R146+R147+R148+R149+R150</f>
        <v/>
      </c>
      <c r="S151" s="42">
        <f>S144+S145+S146+S147+S148+S149+S150</f>
        <v/>
      </c>
      <c r="T151" s="42">
        <f>T144+T145+T146+T147+T148+T149+T150</f>
        <v/>
      </c>
      <c r="U151" s="42">
        <f>U144+U145+U146+U147+U148+U149+U150</f>
        <v/>
      </c>
      <c r="V151" s="42">
        <f>V144+V145+V146+V147+V148+V149+V150</f>
        <v/>
      </c>
      <c r="W151" s="42">
        <f>W144+W145+W146+W147+W148+W149+W150</f>
        <v/>
      </c>
      <c r="X151" s="42">
        <f>X144+X145+X146+X147+X148+X149+X150</f>
        <v/>
      </c>
      <c r="Y151" s="42">
        <f>Y144+Y145+Y146+Y147+Y148+Y149+Y150</f>
        <v/>
      </c>
      <c r="Z151" s="42">
        <f>Z144+Z145+Z146+Z147+Z148+Z149+Z150</f>
        <v/>
      </c>
      <c r="AA151" s="42">
        <f>AA144+AA145+AA146+AA147+AA148+AA149+AA150</f>
        <v/>
      </c>
      <c r="AB151" s="42">
        <f>AB144+AB145+AB146+AB147+AB148+AB149+AB150</f>
        <v/>
      </c>
      <c r="AC151" s="42">
        <f>AC144+AC145+AC146+AC147+AC148+AC149+AC150</f>
        <v/>
      </c>
      <c r="AD151" s="42">
        <f>AD144+AD145+AD146+AD147+AD148+AD149+AD150</f>
        <v/>
      </c>
      <c r="AE151" s="42">
        <f>AE144+AE145+AE146+AE147+AE148+AE149+AE150</f>
        <v/>
      </c>
      <c r="AF151" s="42">
        <f>AF144+AF145+AF146+AF147+AF148+AF149+AF150</f>
        <v/>
      </c>
      <c r="AG151" s="42">
        <f>AG144+AG145+AG146+AG147+AG148+AG149+AG150</f>
        <v/>
      </c>
      <c r="AH151" s="42">
        <f>AH144+AH145+AH146+AH147+AH148+AH149+AH150</f>
        <v/>
      </c>
      <c r="AI151" s="42">
        <f>AI144+AI145+AI146+AI147+AI148+AI149+AI150</f>
        <v/>
      </c>
      <c r="AJ151" s="42">
        <f>AJ144+AJ145+AJ146+AJ147+AJ148+AJ149+AJ150</f>
        <v/>
      </c>
      <c r="AK151" s="42">
        <f>AK144+AK145+AK146+AK147+AK148+AK149+AK150</f>
        <v/>
      </c>
      <c r="AL151" s="42">
        <f>AL144+AL145+AL146+AL147+AL148+AL149+AL150</f>
        <v/>
      </c>
      <c r="AM151" s="42">
        <f>AM144+AM145+AM146+AM147+AM148+AM149+AM150</f>
        <v/>
      </c>
      <c r="AN151" s="42">
        <f>AN144+AN145+AN146+AN147+AN148+AN149+AN150</f>
        <v/>
      </c>
      <c r="AO151" s="42">
        <f>AO144+AO145+AO146+AO147+AO148+AO149+AO150</f>
        <v/>
      </c>
      <c r="AP151" s="42">
        <f>AP144+AP145+AP146+AP147+AP148+AP149+AP150</f>
        <v/>
      </c>
      <c r="AQ151" s="42">
        <f>AQ144+AQ145+AQ146+AQ147+AQ148+AQ149+AQ150</f>
        <v/>
      </c>
      <c r="AR151" s="42">
        <f>AR144+AR145+AR146+AR147+AR148+AR149+AR150</f>
        <v/>
      </c>
      <c r="AS151" s="42">
        <f>AS144+AS145+AS146+AS147+AS148+AS149+AS150</f>
        <v/>
      </c>
      <c r="AT151" s="42">
        <f>AT144+AT145+AT146+AT147+AT148+AT149+AT150</f>
        <v/>
      </c>
      <c r="AU151" s="42">
        <f>AU144+AU145+AU146+AU147+AU148+AU149+AU150</f>
        <v/>
      </c>
      <c r="AV151" s="42">
        <f>AV144+AV145+AV146+AV147+AV148+AV149+AV150</f>
        <v/>
      </c>
      <c r="AW151" s="42">
        <f>AW144+AW145+AW146+AW147+AW148+AW149+AW150</f>
        <v/>
      </c>
      <c r="AX151" s="42">
        <f>AX144+AX145+AX146+AX147+AX148+AX149+AX150</f>
        <v/>
      </c>
      <c r="AY151" s="42">
        <f>AY144+AY145+AY146+AY147+AY148+AY149+AY150</f>
        <v/>
      </c>
      <c r="AZ151" s="42">
        <f>AZ144+AZ145+AZ146+AZ147+AZ148+AZ149+AZ150</f>
        <v/>
      </c>
      <c r="BA151" s="42">
        <f>BA144+BA145+BA146+BA147+BA148+BA149+BA150</f>
        <v/>
      </c>
      <c r="BB151" s="42">
        <f>BB144+BB145+BB146+BB147+BB148+BB149+BB150</f>
        <v/>
      </c>
      <c r="BC151" s="42">
        <f>BC144+BC145+BC146+BC147+BC148+BC149+BC150</f>
        <v/>
      </c>
      <c r="BD151" s="42">
        <f>BD144+BD145+BD146+BD147+BD148+BD149+BD150</f>
        <v/>
      </c>
      <c r="BE151" s="42">
        <f>BE144+BE145+BE146+BE147+BE148+BE149+BE150</f>
        <v/>
      </c>
      <c r="BF151" s="42">
        <f>BF144+BF145+BF146+BF147+BF148+BF149+BF150</f>
        <v/>
      </c>
      <c r="BG151" s="42">
        <f>BG144+BG145+BG146+BG147+BG148+BG149+BG150</f>
        <v/>
      </c>
      <c r="BH151" s="42">
        <f>BH144+BH145+BH146+BH147+BH148+BH149+BH150</f>
        <v/>
      </c>
      <c r="BI151" s="42">
        <f>BI144+BI145+BI146+BI147+BI148+BI149+BI150</f>
        <v/>
      </c>
      <c r="BJ151" s="42">
        <f>BJ144+BJ145+BJ146+BJ147+BJ148+BJ149+BJ150</f>
        <v/>
      </c>
    </row>
    <row r="152">
      <c r="A152" s="4" t="inlineStr">
        <is>
          <t>of which partnerships managers</t>
        </is>
      </c>
      <c r="B152" s="17" t="inlineStr">
        <is>
          <t>R</t>
        </is>
      </c>
      <c r="C152" s="8">
        <f>C110+C111+C112+C113+C117</f>
        <v/>
      </c>
      <c r="D152" s="8">
        <f>D110+D111+D112+D113+D117</f>
        <v/>
      </c>
      <c r="E152" s="8">
        <f>E110+E111+E112+E113+E117</f>
        <v/>
      </c>
      <c r="F152" s="8">
        <f>F110+F111+F112+F113+F117</f>
        <v/>
      </c>
      <c r="G152" s="8">
        <f>G110+G111+G112+G113+G117</f>
        <v/>
      </c>
      <c r="H152" s="8">
        <f>H110+H111+H112+H113+H117</f>
        <v/>
      </c>
      <c r="I152" s="8">
        <f>I110+I111+I112+I113+I117</f>
        <v/>
      </c>
      <c r="J152" s="8">
        <f>J110+J111+J112+J113+J117</f>
        <v/>
      </c>
      <c r="K152" s="8">
        <f>K110+K111+K112+K113+K117</f>
        <v/>
      </c>
      <c r="L152" s="8">
        <f>L110+L111+L112+L113+L117</f>
        <v/>
      </c>
      <c r="M152" s="8">
        <f>M110+M111+M112+M113+M117</f>
        <v/>
      </c>
      <c r="N152" s="8">
        <f>N110+N111+N112+N113+N117</f>
        <v/>
      </c>
      <c r="O152" s="8">
        <f>O110+O111+O112+O113+O117</f>
        <v/>
      </c>
      <c r="P152" s="8">
        <f>P110+P111+P112+P113+P117</f>
        <v/>
      </c>
      <c r="Q152" s="8">
        <f>Q110+Q111+Q112+Q113+Q117</f>
        <v/>
      </c>
      <c r="R152" s="8">
        <f>R110+R111+R112+R113+R117</f>
        <v/>
      </c>
      <c r="S152" s="8">
        <f>S110+S111+S112+S113+S117</f>
        <v/>
      </c>
      <c r="T152" s="8">
        <f>T110+T111+T112+T113+T117</f>
        <v/>
      </c>
      <c r="U152" s="8">
        <f>U110+U111+U112+U113+U117</f>
        <v/>
      </c>
      <c r="V152" s="8">
        <f>V110+V111+V112+V113+V117</f>
        <v/>
      </c>
      <c r="W152" s="8">
        <f>W110+W111+W112+W113+W117</f>
        <v/>
      </c>
      <c r="X152" s="8">
        <f>X110+X111+X112+X113+X117</f>
        <v/>
      </c>
      <c r="Y152" s="8">
        <f>Y110+Y111+Y112+Y113+Y117</f>
        <v/>
      </c>
      <c r="Z152" s="8">
        <f>Z110+Z111+Z112+Z113+Z117</f>
        <v/>
      </c>
      <c r="AA152" s="8">
        <f>AA110+AA111+AA112+AA113+AA117</f>
        <v/>
      </c>
      <c r="AB152" s="8">
        <f>AB110+AB111+AB112+AB113+AB117</f>
        <v/>
      </c>
      <c r="AC152" s="8">
        <f>AC110+AC111+AC112+AC113+AC117</f>
        <v/>
      </c>
      <c r="AD152" s="8">
        <f>AD110+AD111+AD112+AD113+AD117</f>
        <v/>
      </c>
      <c r="AE152" s="8">
        <f>AE110+AE111+AE112+AE113+AE117</f>
        <v/>
      </c>
      <c r="AF152" s="8">
        <f>AF110+AF111+AF112+AF113+AF117</f>
        <v/>
      </c>
      <c r="AG152" s="8">
        <f>AG110+AG111+AG112+AG113+AG117</f>
        <v/>
      </c>
      <c r="AH152" s="8">
        <f>AH110+AH111+AH112+AH113+AH117</f>
        <v/>
      </c>
      <c r="AI152" s="8">
        <f>AI110+AI111+AI112+AI113+AI117</f>
        <v/>
      </c>
      <c r="AJ152" s="8">
        <f>AJ110+AJ111+AJ112+AJ113+AJ117</f>
        <v/>
      </c>
      <c r="AK152" s="8">
        <f>AK110+AK111+AK112+AK113+AK117</f>
        <v/>
      </c>
      <c r="AL152" s="8">
        <f>AL110+AL111+AL112+AL113+AL117</f>
        <v/>
      </c>
      <c r="AM152" s="8">
        <f>AM110+AM111+AM112+AM113+AM117</f>
        <v/>
      </c>
      <c r="AN152" s="8">
        <f>AN110+AN111+AN112+AN113+AN117</f>
        <v/>
      </c>
      <c r="AO152" s="8">
        <f>AO110+AO111+AO112+AO113+AO117</f>
        <v/>
      </c>
      <c r="AP152" s="8">
        <f>AP110+AP111+AP112+AP113+AP117</f>
        <v/>
      </c>
      <c r="AQ152" s="8">
        <f>AQ110+AQ111+AQ112+AQ113+AQ117</f>
        <v/>
      </c>
      <c r="AR152" s="8">
        <f>AR110+AR111+AR112+AR113+AR117</f>
        <v/>
      </c>
      <c r="AS152" s="8">
        <f>AS110+AS111+AS112+AS113+AS117</f>
        <v/>
      </c>
      <c r="AT152" s="8">
        <f>AT110+AT111+AT112+AT113+AT117</f>
        <v/>
      </c>
      <c r="AU152" s="8">
        <f>AU110+AU111+AU112+AU113+AU117</f>
        <v/>
      </c>
      <c r="AV152" s="8">
        <f>AV110+AV111+AV112+AV113+AV117</f>
        <v/>
      </c>
      <c r="AW152" s="8">
        <f>AW110+AW111+AW112+AW113+AW117</f>
        <v/>
      </c>
      <c r="AX152" s="8">
        <f>AX110+AX111+AX112+AX113+AX117</f>
        <v/>
      </c>
      <c r="AY152" s="8">
        <f>AY110+AY111+AY112+AY113+AY117</f>
        <v/>
      </c>
      <c r="AZ152" s="8">
        <f>AZ110+AZ111+AZ112+AZ113+AZ117</f>
        <v/>
      </c>
      <c r="BA152" s="8">
        <f>BA110+BA111+BA112+BA113+BA117</f>
        <v/>
      </c>
      <c r="BB152" s="8">
        <f>BB110+BB111+BB112+BB113+BB117</f>
        <v/>
      </c>
      <c r="BC152" s="8">
        <f>BC110+BC111+BC112+BC113+BC117</f>
        <v/>
      </c>
      <c r="BD152" s="8">
        <f>BD110+BD111+BD112+BD113+BD117</f>
        <v/>
      </c>
      <c r="BE152" s="8">
        <f>BE110+BE111+BE112+BE113+BE117</f>
        <v/>
      </c>
      <c r="BF152" s="8">
        <f>BF110+BF111+BF112+BF113+BF117</f>
        <v/>
      </c>
      <c r="BG152" s="8">
        <f>BG110+BG111+BG112+BG113+BG117</f>
        <v/>
      </c>
      <c r="BH152" s="8">
        <f>BH110+BH111+BH112+BH113+BH117</f>
        <v/>
      </c>
      <c r="BI152" s="8">
        <f>BI110+BI111+BI112+BI113+BI117</f>
        <v/>
      </c>
      <c r="BJ152" s="8">
        <f>BJ110+BJ111+BJ112+BJ113+BJ117</f>
        <v/>
      </c>
    </row>
    <row r="153"/>
    <row r="154">
      <c r="A154" s="19" t="inlineStr">
        <is>
          <t>Cost of revenue (COGS)</t>
        </is>
      </c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19" t="n"/>
      <c r="BA154" s="19" t="n"/>
      <c r="BB154" s="19" t="n"/>
      <c r="BC154" s="19" t="n"/>
      <c r="BD154" s="19" t="n"/>
      <c r="BE154" s="19" t="n"/>
      <c r="BF154" s="19" t="n"/>
      <c r="BG154" s="19" t="n"/>
      <c r="BH154" s="19" t="n"/>
      <c r="BI154" s="19" t="n"/>
      <c r="BJ154" s="19" t="n"/>
    </row>
    <row r="155">
      <c r="A155" s="4" t="inlineStr">
        <is>
          <t>AI credits consumed by paying workspaces ('000; plan allowance x utilisation + packs)</t>
        </is>
      </c>
      <c r="B155" s="17" t="inlineStr">
        <is>
          <t>'000 credits</t>
        </is>
      </c>
      <c r="C155" s="10">
        <f>(Revenue_Build!C387*Pricing!$E$5+Revenue_Build!C390*Pricing!$E$6+Revenue_Build!C393*Pricing!$E$7+Revenue_Build!C396*Pricing!$E$8+Revenue_Build!C399*Pricing!$E$9+Revenue_Build!C402*Pricing!$E$10+Revenue_Build!C405*Pricing!$E$11+Revenue_Build!C408*Pricing!$E$12)*Assumptions!$B$181/1000+Revenue_Build!C495*Assumptions!$B$161*Assumptions!$B$163/1000</f>
        <v/>
      </c>
      <c r="D155" s="10">
        <f>(Revenue_Build!D387*Pricing!$E$5+Revenue_Build!D390*Pricing!$E$6+Revenue_Build!D393*Pricing!$E$7+Revenue_Build!D396*Pricing!$E$8+Revenue_Build!D399*Pricing!$E$9+Revenue_Build!D402*Pricing!$E$10+Revenue_Build!D405*Pricing!$E$11+Revenue_Build!D408*Pricing!$E$12)*Assumptions!$B$181/1000+Revenue_Build!D495*Assumptions!$B$161*Assumptions!$B$163/1000</f>
        <v/>
      </c>
      <c r="E155" s="10">
        <f>(Revenue_Build!E387*Pricing!$E$5+Revenue_Build!E390*Pricing!$E$6+Revenue_Build!E393*Pricing!$E$7+Revenue_Build!E396*Pricing!$E$8+Revenue_Build!E399*Pricing!$E$9+Revenue_Build!E402*Pricing!$E$10+Revenue_Build!E405*Pricing!$E$11+Revenue_Build!E408*Pricing!$E$12)*Assumptions!$B$181/1000+Revenue_Build!E495*Assumptions!$B$161*Assumptions!$B$163/1000</f>
        <v/>
      </c>
      <c r="F155" s="10">
        <f>(Revenue_Build!F387*Pricing!$E$5+Revenue_Build!F390*Pricing!$E$6+Revenue_Build!F393*Pricing!$E$7+Revenue_Build!F396*Pricing!$E$8+Revenue_Build!F399*Pricing!$E$9+Revenue_Build!F402*Pricing!$E$10+Revenue_Build!F405*Pricing!$E$11+Revenue_Build!F408*Pricing!$E$12)*Assumptions!$B$181/1000+Revenue_Build!F495*Assumptions!$B$161*Assumptions!$B$163/1000</f>
        <v/>
      </c>
      <c r="G155" s="10">
        <f>(Revenue_Build!G387*Pricing!$E$5+Revenue_Build!G390*Pricing!$E$6+Revenue_Build!G393*Pricing!$E$7+Revenue_Build!G396*Pricing!$E$8+Revenue_Build!G399*Pricing!$E$9+Revenue_Build!G402*Pricing!$E$10+Revenue_Build!G405*Pricing!$E$11+Revenue_Build!G408*Pricing!$E$12)*Assumptions!$B$181/1000+Revenue_Build!G495*Assumptions!$B$161*Assumptions!$B$163/1000</f>
        <v/>
      </c>
      <c r="H155" s="10">
        <f>(Revenue_Build!H387*Pricing!$E$5+Revenue_Build!H390*Pricing!$E$6+Revenue_Build!H393*Pricing!$E$7+Revenue_Build!H396*Pricing!$E$8+Revenue_Build!H399*Pricing!$E$9+Revenue_Build!H402*Pricing!$E$10+Revenue_Build!H405*Pricing!$E$11+Revenue_Build!H408*Pricing!$E$12)*Assumptions!$B$181/1000+Revenue_Build!H495*Assumptions!$B$161*Assumptions!$B$163/1000</f>
        <v/>
      </c>
      <c r="I155" s="10">
        <f>(Revenue_Build!I387*Pricing!$E$5+Revenue_Build!I390*Pricing!$E$6+Revenue_Build!I393*Pricing!$E$7+Revenue_Build!I396*Pricing!$E$8+Revenue_Build!I399*Pricing!$E$9+Revenue_Build!I402*Pricing!$E$10+Revenue_Build!I405*Pricing!$E$11+Revenue_Build!I408*Pricing!$E$12)*Assumptions!$B$181/1000+Revenue_Build!I495*Assumptions!$B$161*Assumptions!$B$163/1000</f>
        <v/>
      </c>
      <c r="J155" s="10">
        <f>(Revenue_Build!J387*Pricing!$E$5+Revenue_Build!J390*Pricing!$E$6+Revenue_Build!J393*Pricing!$E$7+Revenue_Build!J396*Pricing!$E$8+Revenue_Build!J399*Pricing!$E$9+Revenue_Build!J402*Pricing!$E$10+Revenue_Build!J405*Pricing!$E$11+Revenue_Build!J408*Pricing!$E$12)*Assumptions!$B$181/1000+Revenue_Build!J495*Assumptions!$B$161*Assumptions!$B$163/1000</f>
        <v/>
      </c>
      <c r="K155" s="10">
        <f>(Revenue_Build!K387*Pricing!$E$5+Revenue_Build!K390*Pricing!$E$6+Revenue_Build!K393*Pricing!$E$7+Revenue_Build!K396*Pricing!$E$8+Revenue_Build!K399*Pricing!$E$9+Revenue_Build!K402*Pricing!$E$10+Revenue_Build!K405*Pricing!$E$11+Revenue_Build!K408*Pricing!$E$12)*Assumptions!$B$181/1000+Revenue_Build!K495*Assumptions!$B$161*Assumptions!$B$163/1000</f>
        <v/>
      </c>
      <c r="L155" s="10">
        <f>(Revenue_Build!L387*Pricing!$E$5+Revenue_Build!L390*Pricing!$E$6+Revenue_Build!L393*Pricing!$E$7+Revenue_Build!L396*Pricing!$E$8+Revenue_Build!L399*Pricing!$E$9+Revenue_Build!L402*Pricing!$E$10+Revenue_Build!L405*Pricing!$E$11+Revenue_Build!L408*Pricing!$E$12)*Assumptions!$B$181/1000+Revenue_Build!L495*Assumptions!$B$161*Assumptions!$B$163/1000</f>
        <v/>
      </c>
      <c r="M155" s="10">
        <f>(Revenue_Build!M387*Pricing!$E$5+Revenue_Build!M390*Pricing!$E$6+Revenue_Build!M393*Pricing!$E$7+Revenue_Build!M396*Pricing!$E$8+Revenue_Build!M399*Pricing!$E$9+Revenue_Build!M402*Pricing!$E$10+Revenue_Build!M405*Pricing!$E$11+Revenue_Build!M408*Pricing!$E$12)*Assumptions!$B$181/1000+Revenue_Build!M495*Assumptions!$B$161*Assumptions!$B$163/1000</f>
        <v/>
      </c>
      <c r="N155" s="10">
        <f>(Revenue_Build!N387*Pricing!$E$5+Revenue_Build!N390*Pricing!$E$6+Revenue_Build!N393*Pricing!$E$7+Revenue_Build!N396*Pricing!$E$8+Revenue_Build!N399*Pricing!$E$9+Revenue_Build!N402*Pricing!$E$10+Revenue_Build!N405*Pricing!$E$11+Revenue_Build!N408*Pricing!$E$12)*Assumptions!$B$181/1000+Revenue_Build!N495*Assumptions!$B$161*Assumptions!$B$163/1000</f>
        <v/>
      </c>
      <c r="O155" s="10">
        <f>(Revenue_Build!O387*Pricing!$E$5+Revenue_Build!O390*Pricing!$E$6+Revenue_Build!O393*Pricing!$E$7+Revenue_Build!O396*Pricing!$E$8+Revenue_Build!O399*Pricing!$E$9+Revenue_Build!O402*Pricing!$E$10+Revenue_Build!O405*Pricing!$E$11+Revenue_Build!O408*Pricing!$E$12)*Assumptions!$B$181/1000+Revenue_Build!O495*Assumptions!$B$161*Assumptions!$B$163/1000</f>
        <v/>
      </c>
      <c r="P155" s="10">
        <f>(Revenue_Build!P387*Pricing!$E$5+Revenue_Build!P390*Pricing!$E$6+Revenue_Build!P393*Pricing!$E$7+Revenue_Build!P396*Pricing!$E$8+Revenue_Build!P399*Pricing!$E$9+Revenue_Build!P402*Pricing!$E$10+Revenue_Build!P405*Pricing!$E$11+Revenue_Build!P408*Pricing!$E$12)*Assumptions!$B$181/1000+Revenue_Build!P495*Assumptions!$B$161*Assumptions!$B$163/1000</f>
        <v/>
      </c>
      <c r="Q155" s="10">
        <f>(Revenue_Build!Q387*Pricing!$E$5+Revenue_Build!Q390*Pricing!$E$6+Revenue_Build!Q393*Pricing!$E$7+Revenue_Build!Q396*Pricing!$E$8+Revenue_Build!Q399*Pricing!$E$9+Revenue_Build!Q402*Pricing!$E$10+Revenue_Build!Q405*Pricing!$E$11+Revenue_Build!Q408*Pricing!$E$12)*Assumptions!$B$181/1000+Revenue_Build!Q495*Assumptions!$B$161*Assumptions!$B$163/1000</f>
        <v/>
      </c>
      <c r="R155" s="10">
        <f>(Revenue_Build!R387*Pricing!$E$5+Revenue_Build!R390*Pricing!$E$6+Revenue_Build!R393*Pricing!$E$7+Revenue_Build!R396*Pricing!$E$8+Revenue_Build!R399*Pricing!$E$9+Revenue_Build!R402*Pricing!$E$10+Revenue_Build!R405*Pricing!$E$11+Revenue_Build!R408*Pricing!$E$12)*Assumptions!$B$181/1000+Revenue_Build!R495*Assumptions!$B$161*Assumptions!$B$163/1000</f>
        <v/>
      </c>
      <c r="S155" s="10">
        <f>(Revenue_Build!S387*Pricing!$E$5+Revenue_Build!S390*Pricing!$E$6+Revenue_Build!S393*Pricing!$E$7+Revenue_Build!S396*Pricing!$E$8+Revenue_Build!S399*Pricing!$E$9+Revenue_Build!S402*Pricing!$E$10+Revenue_Build!S405*Pricing!$E$11+Revenue_Build!S408*Pricing!$E$12)*Assumptions!$B$181/1000+Revenue_Build!S495*Assumptions!$B$161*Assumptions!$B$163/1000</f>
        <v/>
      </c>
      <c r="T155" s="10">
        <f>(Revenue_Build!T387*Pricing!$E$5+Revenue_Build!T390*Pricing!$E$6+Revenue_Build!T393*Pricing!$E$7+Revenue_Build!T396*Pricing!$E$8+Revenue_Build!T399*Pricing!$E$9+Revenue_Build!T402*Pricing!$E$10+Revenue_Build!T405*Pricing!$E$11+Revenue_Build!T408*Pricing!$E$12)*Assumptions!$B$181/1000+Revenue_Build!T495*Assumptions!$B$161*Assumptions!$B$163/1000</f>
        <v/>
      </c>
      <c r="U155" s="10">
        <f>(Revenue_Build!U387*Pricing!$E$5+Revenue_Build!U390*Pricing!$E$6+Revenue_Build!U393*Pricing!$E$7+Revenue_Build!U396*Pricing!$E$8+Revenue_Build!U399*Pricing!$E$9+Revenue_Build!U402*Pricing!$E$10+Revenue_Build!U405*Pricing!$E$11+Revenue_Build!U408*Pricing!$E$12)*Assumptions!$B$181/1000+Revenue_Build!U495*Assumptions!$B$161*Assumptions!$B$163/1000</f>
        <v/>
      </c>
      <c r="V155" s="10">
        <f>(Revenue_Build!V387*Pricing!$E$5+Revenue_Build!V390*Pricing!$E$6+Revenue_Build!V393*Pricing!$E$7+Revenue_Build!V396*Pricing!$E$8+Revenue_Build!V399*Pricing!$E$9+Revenue_Build!V402*Pricing!$E$10+Revenue_Build!V405*Pricing!$E$11+Revenue_Build!V408*Pricing!$E$12)*Assumptions!$B$181/1000+Revenue_Build!V495*Assumptions!$B$161*Assumptions!$B$163/1000</f>
        <v/>
      </c>
      <c r="W155" s="10">
        <f>(Revenue_Build!W387*Pricing!$E$5+Revenue_Build!W390*Pricing!$E$6+Revenue_Build!W393*Pricing!$E$7+Revenue_Build!W396*Pricing!$E$8+Revenue_Build!W399*Pricing!$E$9+Revenue_Build!W402*Pricing!$E$10+Revenue_Build!W405*Pricing!$E$11+Revenue_Build!W408*Pricing!$E$12)*Assumptions!$B$181/1000+Revenue_Build!W495*Assumptions!$B$161*Assumptions!$B$163/1000</f>
        <v/>
      </c>
      <c r="X155" s="10">
        <f>(Revenue_Build!X387*Pricing!$E$5+Revenue_Build!X390*Pricing!$E$6+Revenue_Build!X393*Pricing!$E$7+Revenue_Build!X396*Pricing!$E$8+Revenue_Build!X399*Pricing!$E$9+Revenue_Build!X402*Pricing!$E$10+Revenue_Build!X405*Pricing!$E$11+Revenue_Build!X408*Pricing!$E$12)*Assumptions!$B$181/1000+Revenue_Build!X495*Assumptions!$B$161*Assumptions!$B$163/1000</f>
        <v/>
      </c>
      <c r="Y155" s="10">
        <f>(Revenue_Build!Y387*Pricing!$E$5+Revenue_Build!Y390*Pricing!$E$6+Revenue_Build!Y393*Pricing!$E$7+Revenue_Build!Y396*Pricing!$E$8+Revenue_Build!Y399*Pricing!$E$9+Revenue_Build!Y402*Pricing!$E$10+Revenue_Build!Y405*Pricing!$E$11+Revenue_Build!Y408*Pricing!$E$12)*Assumptions!$B$181/1000+Revenue_Build!Y495*Assumptions!$B$161*Assumptions!$B$163/1000</f>
        <v/>
      </c>
      <c r="Z155" s="10">
        <f>(Revenue_Build!Z387*Pricing!$E$5+Revenue_Build!Z390*Pricing!$E$6+Revenue_Build!Z393*Pricing!$E$7+Revenue_Build!Z396*Pricing!$E$8+Revenue_Build!Z399*Pricing!$E$9+Revenue_Build!Z402*Pricing!$E$10+Revenue_Build!Z405*Pricing!$E$11+Revenue_Build!Z408*Pricing!$E$12)*Assumptions!$B$181/1000+Revenue_Build!Z495*Assumptions!$B$161*Assumptions!$B$163/1000</f>
        <v/>
      </c>
      <c r="AA155" s="10">
        <f>(Revenue_Build!AA387*Pricing!$E$5+Revenue_Build!AA390*Pricing!$E$6+Revenue_Build!AA393*Pricing!$E$7+Revenue_Build!AA396*Pricing!$E$8+Revenue_Build!AA399*Pricing!$E$9+Revenue_Build!AA402*Pricing!$E$10+Revenue_Build!AA405*Pricing!$E$11+Revenue_Build!AA408*Pricing!$E$12)*Assumptions!$B$181/1000+Revenue_Build!AA495*Assumptions!$B$161*Assumptions!$B$163/1000</f>
        <v/>
      </c>
      <c r="AB155" s="10">
        <f>(Revenue_Build!AB387*Pricing!$E$5+Revenue_Build!AB390*Pricing!$E$6+Revenue_Build!AB393*Pricing!$E$7+Revenue_Build!AB396*Pricing!$E$8+Revenue_Build!AB399*Pricing!$E$9+Revenue_Build!AB402*Pricing!$E$10+Revenue_Build!AB405*Pricing!$E$11+Revenue_Build!AB408*Pricing!$E$12)*Assumptions!$B$181/1000+Revenue_Build!AB495*Assumptions!$B$161*Assumptions!$B$163/1000</f>
        <v/>
      </c>
      <c r="AC155" s="10">
        <f>(Revenue_Build!AC387*Pricing!$E$5+Revenue_Build!AC390*Pricing!$E$6+Revenue_Build!AC393*Pricing!$E$7+Revenue_Build!AC396*Pricing!$E$8+Revenue_Build!AC399*Pricing!$E$9+Revenue_Build!AC402*Pricing!$E$10+Revenue_Build!AC405*Pricing!$E$11+Revenue_Build!AC408*Pricing!$E$12)*Assumptions!$B$181/1000+Revenue_Build!AC495*Assumptions!$B$161*Assumptions!$B$163/1000</f>
        <v/>
      </c>
      <c r="AD155" s="10">
        <f>(Revenue_Build!AD387*Pricing!$E$5+Revenue_Build!AD390*Pricing!$E$6+Revenue_Build!AD393*Pricing!$E$7+Revenue_Build!AD396*Pricing!$E$8+Revenue_Build!AD399*Pricing!$E$9+Revenue_Build!AD402*Pricing!$E$10+Revenue_Build!AD405*Pricing!$E$11+Revenue_Build!AD408*Pricing!$E$12)*Assumptions!$B$181/1000+Revenue_Build!AD495*Assumptions!$B$161*Assumptions!$B$163/1000</f>
        <v/>
      </c>
      <c r="AE155" s="10">
        <f>(Revenue_Build!AE387*Pricing!$E$5+Revenue_Build!AE390*Pricing!$E$6+Revenue_Build!AE393*Pricing!$E$7+Revenue_Build!AE396*Pricing!$E$8+Revenue_Build!AE399*Pricing!$E$9+Revenue_Build!AE402*Pricing!$E$10+Revenue_Build!AE405*Pricing!$E$11+Revenue_Build!AE408*Pricing!$E$12)*Assumptions!$B$181/1000+Revenue_Build!AE495*Assumptions!$B$161*Assumptions!$B$163/1000</f>
        <v/>
      </c>
      <c r="AF155" s="10">
        <f>(Revenue_Build!AF387*Pricing!$E$5+Revenue_Build!AF390*Pricing!$E$6+Revenue_Build!AF393*Pricing!$E$7+Revenue_Build!AF396*Pricing!$E$8+Revenue_Build!AF399*Pricing!$E$9+Revenue_Build!AF402*Pricing!$E$10+Revenue_Build!AF405*Pricing!$E$11+Revenue_Build!AF408*Pricing!$E$12)*Assumptions!$B$181/1000+Revenue_Build!AF495*Assumptions!$B$161*Assumptions!$B$163/1000</f>
        <v/>
      </c>
      <c r="AG155" s="10">
        <f>(Revenue_Build!AG387*Pricing!$E$5+Revenue_Build!AG390*Pricing!$E$6+Revenue_Build!AG393*Pricing!$E$7+Revenue_Build!AG396*Pricing!$E$8+Revenue_Build!AG399*Pricing!$E$9+Revenue_Build!AG402*Pricing!$E$10+Revenue_Build!AG405*Pricing!$E$11+Revenue_Build!AG408*Pricing!$E$12)*Assumptions!$B$181/1000+Revenue_Build!AG495*Assumptions!$B$161*Assumptions!$B$163/1000</f>
        <v/>
      </c>
      <c r="AH155" s="10">
        <f>(Revenue_Build!AH387*Pricing!$E$5+Revenue_Build!AH390*Pricing!$E$6+Revenue_Build!AH393*Pricing!$E$7+Revenue_Build!AH396*Pricing!$E$8+Revenue_Build!AH399*Pricing!$E$9+Revenue_Build!AH402*Pricing!$E$10+Revenue_Build!AH405*Pricing!$E$11+Revenue_Build!AH408*Pricing!$E$12)*Assumptions!$B$181/1000+Revenue_Build!AH495*Assumptions!$B$161*Assumptions!$B$163/1000</f>
        <v/>
      </c>
      <c r="AI155" s="10">
        <f>(Revenue_Build!AI387*Pricing!$E$5+Revenue_Build!AI390*Pricing!$E$6+Revenue_Build!AI393*Pricing!$E$7+Revenue_Build!AI396*Pricing!$E$8+Revenue_Build!AI399*Pricing!$E$9+Revenue_Build!AI402*Pricing!$E$10+Revenue_Build!AI405*Pricing!$E$11+Revenue_Build!AI408*Pricing!$E$12)*Assumptions!$B$181/1000+Revenue_Build!AI495*Assumptions!$B$161*Assumptions!$B$163/1000</f>
        <v/>
      </c>
      <c r="AJ155" s="10">
        <f>(Revenue_Build!AJ387*Pricing!$E$5+Revenue_Build!AJ390*Pricing!$E$6+Revenue_Build!AJ393*Pricing!$E$7+Revenue_Build!AJ396*Pricing!$E$8+Revenue_Build!AJ399*Pricing!$E$9+Revenue_Build!AJ402*Pricing!$E$10+Revenue_Build!AJ405*Pricing!$E$11+Revenue_Build!AJ408*Pricing!$E$12)*Assumptions!$B$181/1000+Revenue_Build!AJ495*Assumptions!$B$161*Assumptions!$B$163/1000</f>
        <v/>
      </c>
      <c r="AK155" s="10">
        <f>(Revenue_Build!AK387*Pricing!$E$5+Revenue_Build!AK390*Pricing!$E$6+Revenue_Build!AK393*Pricing!$E$7+Revenue_Build!AK396*Pricing!$E$8+Revenue_Build!AK399*Pricing!$E$9+Revenue_Build!AK402*Pricing!$E$10+Revenue_Build!AK405*Pricing!$E$11+Revenue_Build!AK408*Pricing!$E$12)*Assumptions!$B$181/1000+Revenue_Build!AK495*Assumptions!$B$161*Assumptions!$B$163/1000</f>
        <v/>
      </c>
      <c r="AL155" s="10">
        <f>(Revenue_Build!AL387*Pricing!$E$5+Revenue_Build!AL390*Pricing!$E$6+Revenue_Build!AL393*Pricing!$E$7+Revenue_Build!AL396*Pricing!$E$8+Revenue_Build!AL399*Pricing!$E$9+Revenue_Build!AL402*Pricing!$E$10+Revenue_Build!AL405*Pricing!$E$11+Revenue_Build!AL408*Pricing!$E$12)*Assumptions!$B$181/1000+Revenue_Build!AL495*Assumptions!$B$161*Assumptions!$B$163/1000</f>
        <v/>
      </c>
      <c r="AM155" s="10">
        <f>(Revenue_Build!AM387*Pricing!$E$5+Revenue_Build!AM390*Pricing!$E$6+Revenue_Build!AM393*Pricing!$E$7+Revenue_Build!AM396*Pricing!$E$8+Revenue_Build!AM399*Pricing!$E$9+Revenue_Build!AM402*Pricing!$E$10+Revenue_Build!AM405*Pricing!$E$11+Revenue_Build!AM408*Pricing!$E$12)*Assumptions!$B$181/1000+Revenue_Build!AM495*Assumptions!$B$161*Assumptions!$B$163/1000</f>
        <v/>
      </c>
      <c r="AN155" s="10">
        <f>(Revenue_Build!AN387*Pricing!$E$5+Revenue_Build!AN390*Pricing!$E$6+Revenue_Build!AN393*Pricing!$E$7+Revenue_Build!AN396*Pricing!$E$8+Revenue_Build!AN399*Pricing!$E$9+Revenue_Build!AN402*Pricing!$E$10+Revenue_Build!AN405*Pricing!$E$11+Revenue_Build!AN408*Pricing!$E$12)*Assumptions!$B$181/1000+Revenue_Build!AN495*Assumptions!$B$161*Assumptions!$B$163/1000</f>
        <v/>
      </c>
      <c r="AO155" s="10">
        <f>(Revenue_Build!AO387*Pricing!$E$5+Revenue_Build!AO390*Pricing!$E$6+Revenue_Build!AO393*Pricing!$E$7+Revenue_Build!AO396*Pricing!$E$8+Revenue_Build!AO399*Pricing!$E$9+Revenue_Build!AO402*Pricing!$E$10+Revenue_Build!AO405*Pricing!$E$11+Revenue_Build!AO408*Pricing!$E$12)*Assumptions!$B$181/1000+Revenue_Build!AO495*Assumptions!$B$161*Assumptions!$B$163/1000</f>
        <v/>
      </c>
      <c r="AP155" s="10">
        <f>(Revenue_Build!AP387*Pricing!$E$5+Revenue_Build!AP390*Pricing!$E$6+Revenue_Build!AP393*Pricing!$E$7+Revenue_Build!AP396*Pricing!$E$8+Revenue_Build!AP399*Pricing!$E$9+Revenue_Build!AP402*Pricing!$E$10+Revenue_Build!AP405*Pricing!$E$11+Revenue_Build!AP408*Pricing!$E$12)*Assumptions!$B$181/1000+Revenue_Build!AP495*Assumptions!$B$161*Assumptions!$B$163/1000</f>
        <v/>
      </c>
      <c r="AQ155" s="10">
        <f>(Revenue_Build!AQ387*Pricing!$E$5+Revenue_Build!AQ390*Pricing!$E$6+Revenue_Build!AQ393*Pricing!$E$7+Revenue_Build!AQ396*Pricing!$E$8+Revenue_Build!AQ399*Pricing!$E$9+Revenue_Build!AQ402*Pricing!$E$10+Revenue_Build!AQ405*Pricing!$E$11+Revenue_Build!AQ408*Pricing!$E$12)*Assumptions!$B$181/1000+Revenue_Build!AQ495*Assumptions!$B$161*Assumptions!$B$163/1000</f>
        <v/>
      </c>
      <c r="AR155" s="10">
        <f>(Revenue_Build!AR387*Pricing!$E$5+Revenue_Build!AR390*Pricing!$E$6+Revenue_Build!AR393*Pricing!$E$7+Revenue_Build!AR396*Pricing!$E$8+Revenue_Build!AR399*Pricing!$E$9+Revenue_Build!AR402*Pricing!$E$10+Revenue_Build!AR405*Pricing!$E$11+Revenue_Build!AR408*Pricing!$E$12)*Assumptions!$B$181/1000+Revenue_Build!AR495*Assumptions!$B$161*Assumptions!$B$163/1000</f>
        <v/>
      </c>
      <c r="AS155" s="10">
        <f>(Revenue_Build!AS387*Pricing!$E$5+Revenue_Build!AS390*Pricing!$E$6+Revenue_Build!AS393*Pricing!$E$7+Revenue_Build!AS396*Pricing!$E$8+Revenue_Build!AS399*Pricing!$E$9+Revenue_Build!AS402*Pricing!$E$10+Revenue_Build!AS405*Pricing!$E$11+Revenue_Build!AS408*Pricing!$E$12)*Assumptions!$B$181/1000+Revenue_Build!AS495*Assumptions!$B$161*Assumptions!$B$163/1000</f>
        <v/>
      </c>
      <c r="AT155" s="10">
        <f>(Revenue_Build!AT387*Pricing!$E$5+Revenue_Build!AT390*Pricing!$E$6+Revenue_Build!AT393*Pricing!$E$7+Revenue_Build!AT396*Pricing!$E$8+Revenue_Build!AT399*Pricing!$E$9+Revenue_Build!AT402*Pricing!$E$10+Revenue_Build!AT405*Pricing!$E$11+Revenue_Build!AT408*Pricing!$E$12)*Assumptions!$B$181/1000+Revenue_Build!AT495*Assumptions!$B$161*Assumptions!$B$163/1000</f>
        <v/>
      </c>
      <c r="AU155" s="10">
        <f>(Revenue_Build!AU387*Pricing!$E$5+Revenue_Build!AU390*Pricing!$E$6+Revenue_Build!AU393*Pricing!$E$7+Revenue_Build!AU396*Pricing!$E$8+Revenue_Build!AU399*Pricing!$E$9+Revenue_Build!AU402*Pricing!$E$10+Revenue_Build!AU405*Pricing!$E$11+Revenue_Build!AU408*Pricing!$E$12)*Assumptions!$B$181/1000+Revenue_Build!AU495*Assumptions!$B$161*Assumptions!$B$163/1000</f>
        <v/>
      </c>
      <c r="AV155" s="10">
        <f>(Revenue_Build!AV387*Pricing!$E$5+Revenue_Build!AV390*Pricing!$E$6+Revenue_Build!AV393*Pricing!$E$7+Revenue_Build!AV396*Pricing!$E$8+Revenue_Build!AV399*Pricing!$E$9+Revenue_Build!AV402*Pricing!$E$10+Revenue_Build!AV405*Pricing!$E$11+Revenue_Build!AV408*Pricing!$E$12)*Assumptions!$B$181/1000+Revenue_Build!AV495*Assumptions!$B$161*Assumptions!$B$163/1000</f>
        <v/>
      </c>
      <c r="AW155" s="10">
        <f>(Revenue_Build!AW387*Pricing!$E$5+Revenue_Build!AW390*Pricing!$E$6+Revenue_Build!AW393*Pricing!$E$7+Revenue_Build!AW396*Pricing!$E$8+Revenue_Build!AW399*Pricing!$E$9+Revenue_Build!AW402*Pricing!$E$10+Revenue_Build!AW405*Pricing!$E$11+Revenue_Build!AW408*Pricing!$E$12)*Assumptions!$B$181/1000+Revenue_Build!AW495*Assumptions!$B$161*Assumptions!$B$163/1000</f>
        <v/>
      </c>
      <c r="AX155" s="10">
        <f>(Revenue_Build!AX387*Pricing!$E$5+Revenue_Build!AX390*Pricing!$E$6+Revenue_Build!AX393*Pricing!$E$7+Revenue_Build!AX396*Pricing!$E$8+Revenue_Build!AX399*Pricing!$E$9+Revenue_Build!AX402*Pricing!$E$10+Revenue_Build!AX405*Pricing!$E$11+Revenue_Build!AX408*Pricing!$E$12)*Assumptions!$B$181/1000+Revenue_Build!AX495*Assumptions!$B$161*Assumptions!$B$163/1000</f>
        <v/>
      </c>
      <c r="AY155" s="10">
        <f>(Revenue_Build!AY387*Pricing!$E$5+Revenue_Build!AY390*Pricing!$E$6+Revenue_Build!AY393*Pricing!$E$7+Revenue_Build!AY396*Pricing!$E$8+Revenue_Build!AY399*Pricing!$E$9+Revenue_Build!AY402*Pricing!$E$10+Revenue_Build!AY405*Pricing!$E$11+Revenue_Build!AY408*Pricing!$E$12)*Assumptions!$B$181/1000+Revenue_Build!AY495*Assumptions!$B$161*Assumptions!$B$163/1000</f>
        <v/>
      </c>
      <c r="AZ155" s="10">
        <f>(Revenue_Build!AZ387*Pricing!$E$5+Revenue_Build!AZ390*Pricing!$E$6+Revenue_Build!AZ393*Pricing!$E$7+Revenue_Build!AZ396*Pricing!$E$8+Revenue_Build!AZ399*Pricing!$E$9+Revenue_Build!AZ402*Pricing!$E$10+Revenue_Build!AZ405*Pricing!$E$11+Revenue_Build!AZ408*Pricing!$E$12)*Assumptions!$B$181/1000+Revenue_Build!AZ495*Assumptions!$B$161*Assumptions!$B$163/1000</f>
        <v/>
      </c>
      <c r="BA155" s="10">
        <f>(Revenue_Build!BA387*Pricing!$E$5+Revenue_Build!BA390*Pricing!$E$6+Revenue_Build!BA393*Pricing!$E$7+Revenue_Build!BA396*Pricing!$E$8+Revenue_Build!BA399*Pricing!$E$9+Revenue_Build!BA402*Pricing!$E$10+Revenue_Build!BA405*Pricing!$E$11+Revenue_Build!BA408*Pricing!$E$12)*Assumptions!$B$181/1000+Revenue_Build!BA495*Assumptions!$B$161*Assumptions!$B$163/1000</f>
        <v/>
      </c>
      <c r="BB155" s="10">
        <f>(Revenue_Build!BB387*Pricing!$E$5+Revenue_Build!BB390*Pricing!$E$6+Revenue_Build!BB393*Pricing!$E$7+Revenue_Build!BB396*Pricing!$E$8+Revenue_Build!BB399*Pricing!$E$9+Revenue_Build!BB402*Pricing!$E$10+Revenue_Build!BB405*Pricing!$E$11+Revenue_Build!BB408*Pricing!$E$12)*Assumptions!$B$181/1000+Revenue_Build!BB495*Assumptions!$B$161*Assumptions!$B$163/1000</f>
        <v/>
      </c>
      <c r="BC155" s="10">
        <f>(Revenue_Build!BC387*Pricing!$E$5+Revenue_Build!BC390*Pricing!$E$6+Revenue_Build!BC393*Pricing!$E$7+Revenue_Build!BC396*Pricing!$E$8+Revenue_Build!BC399*Pricing!$E$9+Revenue_Build!BC402*Pricing!$E$10+Revenue_Build!BC405*Pricing!$E$11+Revenue_Build!BC408*Pricing!$E$12)*Assumptions!$B$181/1000+Revenue_Build!BC495*Assumptions!$B$161*Assumptions!$B$163/1000</f>
        <v/>
      </c>
      <c r="BD155" s="10">
        <f>(Revenue_Build!BD387*Pricing!$E$5+Revenue_Build!BD390*Pricing!$E$6+Revenue_Build!BD393*Pricing!$E$7+Revenue_Build!BD396*Pricing!$E$8+Revenue_Build!BD399*Pricing!$E$9+Revenue_Build!BD402*Pricing!$E$10+Revenue_Build!BD405*Pricing!$E$11+Revenue_Build!BD408*Pricing!$E$12)*Assumptions!$B$181/1000+Revenue_Build!BD495*Assumptions!$B$161*Assumptions!$B$163/1000</f>
        <v/>
      </c>
      <c r="BE155" s="10">
        <f>(Revenue_Build!BE387*Pricing!$E$5+Revenue_Build!BE390*Pricing!$E$6+Revenue_Build!BE393*Pricing!$E$7+Revenue_Build!BE396*Pricing!$E$8+Revenue_Build!BE399*Pricing!$E$9+Revenue_Build!BE402*Pricing!$E$10+Revenue_Build!BE405*Pricing!$E$11+Revenue_Build!BE408*Pricing!$E$12)*Assumptions!$B$181/1000+Revenue_Build!BE495*Assumptions!$B$161*Assumptions!$B$163/1000</f>
        <v/>
      </c>
      <c r="BF155" s="10">
        <f>(Revenue_Build!BF387*Pricing!$E$5+Revenue_Build!BF390*Pricing!$E$6+Revenue_Build!BF393*Pricing!$E$7+Revenue_Build!BF396*Pricing!$E$8+Revenue_Build!BF399*Pricing!$E$9+Revenue_Build!BF402*Pricing!$E$10+Revenue_Build!BF405*Pricing!$E$11+Revenue_Build!BF408*Pricing!$E$12)*Assumptions!$B$181/1000+Revenue_Build!BF495*Assumptions!$B$161*Assumptions!$B$163/1000</f>
        <v/>
      </c>
      <c r="BG155" s="10">
        <f>(Revenue_Build!BG387*Pricing!$E$5+Revenue_Build!BG390*Pricing!$E$6+Revenue_Build!BG393*Pricing!$E$7+Revenue_Build!BG396*Pricing!$E$8+Revenue_Build!BG399*Pricing!$E$9+Revenue_Build!BG402*Pricing!$E$10+Revenue_Build!BG405*Pricing!$E$11+Revenue_Build!BG408*Pricing!$E$12)*Assumptions!$B$181/1000+Revenue_Build!BG495*Assumptions!$B$161*Assumptions!$B$163/1000</f>
        <v/>
      </c>
      <c r="BH155" s="10">
        <f>(Revenue_Build!BH387*Pricing!$E$5+Revenue_Build!BH390*Pricing!$E$6+Revenue_Build!BH393*Pricing!$E$7+Revenue_Build!BH396*Pricing!$E$8+Revenue_Build!BH399*Pricing!$E$9+Revenue_Build!BH402*Pricing!$E$10+Revenue_Build!BH405*Pricing!$E$11+Revenue_Build!BH408*Pricing!$E$12)*Assumptions!$B$181/1000+Revenue_Build!BH495*Assumptions!$B$161*Assumptions!$B$163/1000</f>
        <v/>
      </c>
      <c r="BI155" s="10">
        <f>(Revenue_Build!BI387*Pricing!$E$5+Revenue_Build!BI390*Pricing!$E$6+Revenue_Build!BI393*Pricing!$E$7+Revenue_Build!BI396*Pricing!$E$8+Revenue_Build!BI399*Pricing!$E$9+Revenue_Build!BI402*Pricing!$E$10+Revenue_Build!BI405*Pricing!$E$11+Revenue_Build!BI408*Pricing!$E$12)*Assumptions!$B$181/1000+Revenue_Build!BI495*Assumptions!$B$161*Assumptions!$B$163/1000</f>
        <v/>
      </c>
      <c r="BJ155" s="10">
        <f>(Revenue_Build!BJ387*Pricing!$E$5+Revenue_Build!BJ390*Pricing!$E$6+Revenue_Build!BJ393*Pricing!$E$7+Revenue_Build!BJ396*Pricing!$E$8+Revenue_Build!BJ399*Pricing!$E$9+Revenue_Build!BJ402*Pricing!$E$10+Revenue_Build!BJ405*Pricing!$E$11+Revenue_Build!BJ408*Pricing!$E$12)*Assumptions!$B$181/1000+Revenue_Build!BJ495*Assumptions!$B$161*Assumptions!$B$163/1000</f>
        <v/>
      </c>
    </row>
    <row r="156">
      <c r="A156" s="4" t="inlineStr">
        <is>
          <t>AI credits consumed by active Free users ('000)</t>
        </is>
      </c>
      <c r="B156" s="17" t="inlineStr">
        <is>
          <t>'000 credits</t>
        </is>
      </c>
      <c r="C156" s="10">
        <f>Revenue_Build!C101*Assumptions!$B$122*Assumptions!$B$181/1000</f>
        <v/>
      </c>
      <c r="D156" s="10">
        <f>Revenue_Build!D101*Assumptions!$B$122*Assumptions!$B$181/1000</f>
        <v/>
      </c>
      <c r="E156" s="10">
        <f>Revenue_Build!E101*Assumptions!$B$122*Assumptions!$B$181/1000</f>
        <v/>
      </c>
      <c r="F156" s="10">
        <f>Revenue_Build!F101*Assumptions!$B$122*Assumptions!$B$181/1000</f>
        <v/>
      </c>
      <c r="G156" s="10">
        <f>Revenue_Build!G101*Assumptions!$B$122*Assumptions!$B$181/1000</f>
        <v/>
      </c>
      <c r="H156" s="10">
        <f>Revenue_Build!H101*Assumptions!$B$122*Assumptions!$B$181/1000</f>
        <v/>
      </c>
      <c r="I156" s="10">
        <f>Revenue_Build!I101*Assumptions!$B$122*Assumptions!$B$181/1000</f>
        <v/>
      </c>
      <c r="J156" s="10">
        <f>Revenue_Build!J101*Assumptions!$B$122*Assumptions!$B$181/1000</f>
        <v/>
      </c>
      <c r="K156" s="10">
        <f>Revenue_Build!K101*Assumptions!$B$122*Assumptions!$B$181/1000</f>
        <v/>
      </c>
      <c r="L156" s="10">
        <f>Revenue_Build!L101*Assumptions!$B$122*Assumptions!$B$181/1000</f>
        <v/>
      </c>
      <c r="M156" s="10">
        <f>Revenue_Build!M101*Assumptions!$B$122*Assumptions!$B$181/1000</f>
        <v/>
      </c>
      <c r="N156" s="10">
        <f>Revenue_Build!N101*Assumptions!$B$122*Assumptions!$B$181/1000</f>
        <v/>
      </c>
      <c r="O156" s="10">
        <f>Revenue_Build!O101*Assumptions!$B$122*Assumptions!$B$181/1000</f>
        <v/>
      </c>
      <c r="P156" s="10">
        <f>Revenue_Build!P101*Assumptions!$B$122*Assumptions!$B$181/1000</f>
        <v/>
      </c>
      <c r="Q156" s="10">
        <f>Revenue_Build!Q101*Assumptions!$B$122*Assumptions!$B$181/1000</f>
        <v/>
      </c>
      <c r="R156" s="10">
        <f>Revenue_Build!R101*Assumptions!$B$122*Assumptions!$B$181/1000</f>
        <v/>
      </c>
      <c r="S156" s="10">
        <f>Revenue_Build!S101*Assumptions!$B$122*Assumptions!$B$181/1000</f>
        <v/>
      </c>
      <c r="T156" s="10">
        <f>Revenue_Build!T101*Assumptions!$B$122*Assumptions!$B$181/1000</f>
        <v/>
      </c>
      <c r="U156" s="10">
        <f>Revenue_Build!U101*Assumptions!$B$122*Assumptions!$B$181/1000</f>
        <v/>
      </c>
      <c r="V156" s="10">
        <f>Revenue_Build!V101*Assumptions!$B$122*Assumptions!$B$181/1000</f>
        <v/>
      </c>
      <c r="W156" s="10">
        <f>Revenue_Build!W101*Assumptions!$B$122*Assumptions!$B$181/1000</f>
        <v/>
      </c>
      <c r="X156" s="10">
        <f>Revenue_Build!X101*Assumptions!$B$122*Assumptions!$B$181/1000</f>
        <v/>
      </c>
      <c r="Y156" s="10">
        <f>Revenue_Build!Y101*Assumptions!$B$122*Assumptions!$B$181/1000</f>
        <v/>
      </c>
      <c r="Z156" s="10">
        <f>Revenue_Build!Z101*Assumptions!$B$122*Assumptions!$B$181/1000</f>
        <v/>
      </c>
      <c r="AA156" s="10">
        <f>Revenue_Build!AA101*Assumptions!$B$122*Assumptions!$B$181/1000</f>
        <v/>
      </c>
      <c r="AB156" s="10">
        <f>Revenue_Build!AB101*Assumptions!$B$122*Assumptions!$B$181/1000</f>
        <v/>
      </c>
      <c r="AC156" s="10">
        <f>Revenue_Build!AC101*Assumptions!$B$122*Assumptions!$B$181/1000</f>
        <v/>
      </c>
      <c r="AD156" s="10">
        <f>Revenue_Build!AD101*Assumptions!$B$122*Assumptions!$B$181/1000</f>
        <v/>
      </c>
      <c r="AE156" s="10">
        <f>Revenue_Build!AE101*Assumptions!$B$122*Assumptions!$B$181/1000</f>
        <v/>
      </c>
      <c r="AF156" s="10">
        <f>Revenue_Build!AF101*Assumptions!$B$122*Assumptions!$B$181/1000</f>
        <v/>
      </c>
      <c r="AG156" s="10">
        <f>Revenue_Build!AG101*Assumptions!$B$122*Assumptions!$B$181/1000</f>
        <v/>
      </c>
      <c r="AH156" s="10">
        <f>Revenue_Build!AH101*Assumptions!$B$122*Assumptions!$B$181/1000</f>
        <v/>
      </c>
      <c r="AI156" s="10">
        <f>Revenue_Build!AI101*Assumptions!$B$122*Assumptions!$B$181/1000</f>
        <v/>
      </c>
      <c r="AJ156" s="10">
        <f>Revenue_Build!AJ101*Assumptions!$B$122*Assumptions!$B$181/1000</f>
        <v/>
      </c>
      <c r="AK156" s="10">
        <f>Revenue_Build!AK101*Assumptions!$B$122*Assumptions!$B$181/1000</f>
        <v/>
      </c>
      <c r="AL156" s="10">
        <f>Revenue_Build!AL101*Assumptions!$B$122*Assumptions!$B$181/1000</f>
        <v/>
      </c>
      <c r="AM156" s="10">
        <f>Revenue_Build!AM101*Assumptions!$B$122*Assumptions!$B$181/1000</f>
        <v/>
      </c>
      <c r="AN156" s="10">
        <f>Revenue_Build!AN101*Assumptions!$B$122*Assumptions!$B$181/1000</f>
        <v/>
      </c>
      <c r="AO156" s="10">
        <f>Revenue_Build!AO101*Assumptions!$B$122*Assumptions!$B$181/1000</f>
        <v/>
      </c>
      <c r="AP156" s="10">
        <f>Revenue_Build!AP101*Assumptions!$B$122*Assumptions!$B$181/1000</f>
        <v/>
      </c>
      <c r="AQ156" s="10">
        <f>Revenue_Build!AQ101*Assumptions!$B$122*Assumptions!$B$181/1000</f>
        <v/>
      </c>
      <c r="AR156" s="10">
        <f>Revenue_Build!AR101*Assumptions!$B$122*Assumptions!$B$181/1000</f>
        <v/>
      </c>
      <c r="AS156" s="10">
        <f>Revenue_Build!AS101*Assumptions!$B$122*Assumptions!$B$181/1000</f>
        <v/>
      </c>
      <c r="AT156" s="10">
        <f>Revenue_Build!AT101*Assumptions!$B$122*Assumptions!$B$181/1000</f>
        <v/>
      </c>
      <c r="AU156" s="10">
        <f>Revenue_Build!AU101*Assumptions!$B$122*Assumptions!$B$181/1000</f>
        <v/>
      </c>
      <c r="AV156" s="10">
        <f>Revenue_Build!AV101*Assumptions!$B$122*Assumptions!$B$181/1000</f>
        <v/>
      </c>
      <c r="AW156" s="10">
        <f>Revenue_Build!AW101*Assumptions!$B$122*Assumptions!$B$181/1000</f>
        <v/>
      </c>
      <c r="AX156" s="10">
        <f>Revenue_Build!AX101*Assumptions!$B$122*Assumptions!$B$181/1000</f>
        <v/>
      </c>
      <c r="AY156" s="10">
        <f>Revenue_Build!AY101*Assumptions!$B$122*Assumptions!$B$181/1000</f>
        <v/>
      </c>
      <c r="AZ156" s="10">
        <f>Revenue_Build!AZ101*Assumptions!$B$122*Assumptions!$B$181/1000</f>
        <v/>
      </c>
      <c r="BA156" s="10">
        <f>Revenue_Build!BA101*Assumptions!$B$122*Assumptions!$B$181/1000</f>
        <v/>
      </c>
      <c r="BB156" s="10">
        <f>Revenue_Build!BB101*Assumptions!$B$122*Assumptions!$B$181/1000</f>
        <v/>
      </c>
      <c r="BC156" s="10">
        <f>Revenue_Build!BC101*Assumptions!$B$122*Assumptions!$B$181/1000</f>
        <v/>
      </c>
      <c r="BD156" s="10">
        <f>Revenue_Build!BD101*Assumptions!$B$122*Assumptions!$B$181/1000</f>
        <v/>
      </c>
      <c r="BE156" s="10">
        <f>Revenue_Build!BE101*Assumptions!$B$122*Assumptions!$B$181/1000</f>
        <v/>
      </c>
      <c r="BF156" s="10">
        <f>Revenue_Build!BF101*Assumptions!$B$122*Assumptions!$B$181/1000</f>
        <v/>
      </c>
      <c r="BG156" s="10">
        <f>Revenue_Build!BG101*Assumptions!$B$122*Assumptions!$B$181/1000</f>
        <v/>
      </c>
      <c r="BH156" s="10">
        <f>Revenue_Build!BH101*Assumptions!$B$122*Assumptions!$B$181/1000</f>
        <v/>
      </c>
      <c r="BI156" s="10">
        <f>Revenue_Build!BI101*Assumptions!$B$122*Assumptions!$B$181/1000</f>
        <v/>
      </c>
      <c r="BJ156" s="10">
        <f>Revenue_Build!BJ101*Assumptions!$B$122*Assumptions!$B$181/1000</f>
        <v/>
      </c>
    </row>
    <row r="157">
      <c r="A157" s="4" t="inlineStr">
        <is>
          <t>AI provider cost per 1,000 credits (R0.15 a credit in FY1)</t>
        </is>
      </c>
      <c r="B157" s="17" t="inlineStr">
        <is>
          <t>R</t>
        </is>
      </c>
      <c r="C157" s="45">
        <f>Assumptions!$B$182*(1-Assumptions!$B$183)^(C$5-1)</f>
        <v/>
      </c>
      <c r="D157" s="45">
        <f>Assumptions!$B$182*(1-Assumptions!$B$183)^(D$5-1)</f>
        <v/>
      </c>
      <c r="E157" s="45">
        <f>Assumptions!$B$182*(1-Assumptions!$B$183)^(E$5-1)</f>
        <v/>
      </c>
      <c r="F157" s="45">
        <f>Assumptions!$B$182*(1-Assumptions!$B$183)^(F$5-1)</f>
        <v/>
      </c>
      <c r="G157" s="45">
        <f>Assumptions!$B$182*(1-Assumptions!$B$183)^(G$5-1)</f>
        <v/>
      </c>
      <c r="H157" s="45">
        <f>Assumptions!$B$182*(1-Assumptions!$B$183)^(H$5-1)</f>
        <v/>
      </c>
      <c r="I157" s="45">
        <f>Assumptions!$B$182*(1-Assumptions!$B$183)^(I$5-1)</f>
        <v/>
      </c>
      <c r="J157" s="45">
        <f>Assumptions!$B$182*(1-Assumptions!$B$183)^(J$5-1)</f>
        <v/>
      </c>
      <c r="K157" s="45">
        <f>Assumptions!$B$182*(1-Assumptions!$B$183)^(K$5-1)</f>
        <v/>
      </c>
      <c r="L157" s="45">
        <f>Assumptions!$B$182*(1-Assumptions!$B$183)^(L$5-1)</f>
        <v/>
      </c>
      <c r="M157" s="45">
        <f>Assumptions!$B$182*(1-Assumptions!$B$183)^(M$5-1)</f>
        <v/>
      </c>
      <c r="N157" s="45">
        <f>Assumptions!$B$182*(1-Assumptions!$B$183)^(N$5-1)</f>
        <v/>
      </c>
      <c r="O157" s="45">
        <f>Assumptions!$B$182*(1-Assumptions!$B$183)^(O$5-1)</f>
        <v/>
      </c>
      <c r="P157" s="45">
        <f>Assumptions!$B$182*(1-Assumptions!$B$183)^(P$5-1)</f>
        <v/>
      </c>
      <c r="Q157" s="45">
        <f>Assumptions!$B$182*(1-Assumptions!$B$183)^(Q$5-1)</f>
        <v/>
      </c>
      <c r="R157" s="45">
        <f>Assumptions!$B$182*(1-Assumptions!$B$183)^(R$5-1)</f>
        <v/>
      </c>
      <c r="S157" s="45">
        <f>Assumptions!$B$182*(1-Assumptions!$B$183)^(S$5-1)</f>
        <v/>
      </c>
      <c r="T157" s="45">
        <f>Assumptions!$B$182*(1-Assumptions!$B$183)^(T$5-1)</f>
        <v/>
      </c>
      <c r="U157" s="45">
        <f>Assumptions!$B$182*(1-Assumptions!$B$183)^(U$5-1)</f>
        <v/>
      </c>
      <c r="V157" s="45">
        <f>Assumptions!$B$182*(1-Assumptions!$B$183)^(V$5-1)</f>
        <v/>
      </c>
      <c r="W157" s="45">
        <f>Assumptions!$B$182*(1-Assumptions!$B$183)^(W$5-1)</f>
        <v/>
      </c>
      <c r="X157" s="45">
        <f>Assumptions!$B$182*(1-Assumptions!$B$183)^(X$5-1)</f>
        <v/>
      </c>
      <c r="Y157" s="45">
        <f>Assumptions!$B$182*(1-Assumptions!$B$183)^(Y$5-1)</f>
        <v/>
      </c>
      <c r="Z157" s="45">
        <f>Assumptions!$B$182*(1-Assumptions!$B$183)^(Z$5-1)</f>
        <v/>
      </c>
      <c r="AA157" s="45">
        <f>Assumptions!$B$182*(1-Assumptions!$B$183)^(AA$5-1)</f>
        <v/>
      </c>
      <c r="AB157" s="45">
        <f>Assumptions!$B$182*(1-Assumptions!$B$183)^(AB$5-1)</f>
        <v/>
      </c>
      <c r="AC157" s="45">
        <f>Assumptions!$B$182*(1-Assumptions!$B$183)^(AC$5-1)</f>
        <v/>
      </c>
      <c r="AD157" s="45">
        <f>Assumptions!$B$182*(1-Assumptions!$B$183)^(AD$5-1)</f>
        <v/>
      </c>
      <c r="AE157" s="45">
        <f>Assumptions!$B$182*(1-Assumptions!$B$183)^(AE$5-1)</f>
        <v/>
      </c>
      <c r="AF157" s="45">
        <f>Assumptions!$B$182*(1-Assumptions!$B$183)^(AF$5-1)</f>
        <v/>
      </c>
      <c r="AG157" s="45">
        <f>Assumptions!$B$182*(1-Assumptions!$B$183)^(AG$5-1)</f>
        <v/>
      </c>
      <c r="AH157" s="45">
        <f>Assumptions!$B$182*(1-Assumptions!$B$183)^(AH$5-1)</f>
        <v/>
      </c>
      <c r="AI157" s="45">
        <f>Assumptions!$B$182*(1-Assumptions!$B$183)^(AI$5-1)</f>
        <v/>
      </c>
      <c r="AJ157" s="45">
        <f>Assumptions!$B$182*(1-Assumptions!$B$183)^(AJ$5-1)</f>
        <v/>
      </c>
      <c r="AK157" s="45">
        <f>Assumptions!$B$182*(1-Assumptions!$B$183)^(AK$5-1)</f>
        <v/>
      </c>
      <c r="AL157" s="45">
        <f>Assumptions!$B$182*(1-Assumptions!$B$183)^(AL$5-1)</f>
        <v/>
      </c>
      <c r="AM157" s="45">
        <f>Assumptions!$B$182*(1-Assumptions!$B$183)^(AM$5-1)</f>
        <v/>
      </c>
      <c r="AN157" s="45">
        <f>Assumptions!$B$182*(1-Assumptions!$B$183)^(AN$5-1)</f>
        <v/>
      </c>
      <c r="AO157" s="45">
        <f>Assumptions!$B$182*(1-Assumptions!$B$183)^(AO$5-1)</f>
        <v/>
      </c>
      <c r="AP157" s="45">
        <f>Assumptions!$B$182*(1-Assumptions!$B$183)^(AP$5-1)</f>
        <v/>
      </c>
      <c r="AQ157" s="45">
        <f>Assumptions!$B$182*(1-Assumptions!$B$183)^(AQ$5-1)</f>
        <v/>
      </c>
      <c r="AR157" s="45">
        <f>Assumptions!$B$182*(1-Assumptions!$B$183)^(AR$5-1)</f>
        <v/>
      </c>
      <c r="AS157" s="45">
        <f>Assumptions!$B$182*(1-Assumptions!$B$183)^(AS$5-1)</f>
        <v/>
      </c>
      <c r="AT157" s="45">
        <f>Assumptions!$B$182*(1-Assumptions!$B$183)^(AT$5-1)</f>
        <v/>
      </c>
      <c r="AU157" s="45">
        <f>Assumptions!$B$182*(1-Assumptions!$B$183)^(AU$5-1)</f>
        <v/>
      </c>
      <c r="AV157" s="45">
        <f>Assumptions!$B$182*(1-Assumptions!$B$183)^(AV$5-1)</f>
        <v/>
      </c>
      <c r="AW157" s="45">
        <f>Assumptions!$B$182*(1-Assumptions!$B$183)^(AW$5-1)</f>
        <v/>
      </c>
      <c r="AX157" s="45">
        <f>Assumptions!$B$182*(1-Assumptions!$B$183)^(AX$5-1)</f>
        <v/>
      </c>
      <c r="AY157" s="45">
        <f>Assumptions!$B$182*(1-Assumptions!$B$183)^(AY$5-1)</f>
        <v/>
      </c>
      <c r="AZ157" s="45">
        <f>Assumptions!$B$182*(1-Assumptions!$B$183)^(AZ$5-1)</f>
        <v/>
      </c>
      <c r="BA157" s="45">
        <f>Assumptions!$B$182*(1-Assumptions!$B$183)^(BA$5-1)</f>
        <v/>
      </c>
      <c r="BB157" s="45">
        <f>Assumptions!$B$182*(1-Assumptions!$B$183)^(BB$5-1)</f>
        <v/>
      </c>
      <c r="BC157" s="45">
        <f>Assumptions!$B$182*(1-Assumptions!$B$183)^(BC$5-1)</f>
        <v/>
      </c>
      <c r="BD157" s="45">
        <f>Assumptions!$B$182*(1-Assumptions!$B$183)^(BD$5-1)</f>
        <v/>
      </c>
      <c r="BE157" s="45">
        <f>Assumptions!$B$182*(1-Assumptions!$B$183)^(BE$5-1)</f>
        <v/>
      </c>
      <c r="BF157" s="45">
        <f>Assumptions!$B$182*(1-Assumptions!$B$183)^(BF$5-1)</f>
        <v/>
      </c>
      <c r="BG157" s="45">
        <f>Assumptions!$B$182*(1-Assumptions!$B$183)^(BG$5-1)</f>
        <v/>
      </c>
      <c r="BH157" s="45">
        <f>Assumptions!$B$182*(1-Assumptions!$B$183)^(BH$5-1)</f>
        <v/>
      </c>
      <c r="BI157" s="45">
        <f>Assumptions!$B$182*(1-Assumptions!$B$183)^(BI$5-1)</f>
        <v/>
      </c>
      <c r="BJ157" s="45">
        <f>Assumptions!$B$182*(1-Assumptions!$B$183)^(BJ$5-1)</f>
        <v/>
      </c>
    </row>
    <row r="158">
      <c r="A158" s="4" t="inlineStr">
        <is>
          <t>AI provider cost: paying workspaces</t>
        </is>
      </c>
      <c r="B158" s="17" t="inlineStr">
        <is>
          <t>R</t>
        </is>
      </c>
      <c r="C158" s="8">
        <f>C155*C157</f>
        <v/>
      </c>
      <c r="D158" s="8">
        <f>D155*D157</f>
        <v/>
      </c>
      <c r="E158" s="8">
        <f>E155*E157</f>
        <v/>
      </c>
      <c r="F158" s="8">
        <f>F155*F157</f>
        <v/>
      </c>
      <c r="G158" s="8">
        <f>G155*G157</f>
        <v/>
      </c>
      <c r="H158" s="8">
        <f>H155*H157</f>
        <v/>
      </c>
      <c r="I158" s="8">
        <f>I155*I157</f>
        <v/>
      </c>
      <c r="J158" s="8">
        <f>J155*J157</f>
        <v/>
      </c>
      <c r="K158" s="8">
        <f>K155*K157</f>
        <v/>
      </c>
      <c r="L158" s="8">
        <f>L155*L157</f>
        <v/>
      </c>
      <c r="M158" s="8">
        <f>M155*M157</f>
        <v/>
      </c>
      <c r="N158" s="8">
        <f>N155*N157</f>
        <v/>
      </c>
      <c r="O158" s="8">
        <f>O155*O157</f>
        <v/>
      </c>
      <c r="P158" s="8">
        <f>P155*P157</f>
        <v/>
      </c>
      <c r="Q158" s="8">
        <f>Q155*Q157</f>
        <v/>
      </c>
      <c r="R158" s="8">
        <f>R155*R157</f>
        <v/>
      </c>
      <c r="S158" s="8">
        <f>S155*S157</f>
        <v/>
      </c>
      <c r="T158" s="8">
        <f>T155*T157</f>
        <v/>
      </c>
      <c r="U158" s="8">
        <f>U155*U157</f>
        <v/>
      </c>
      <c r="V158" s="8">
        <f>V155*V157</f>
        <v/>
      </c>
      <c r="W158" s="8">
        <f>W155*W157</f>
        <v/>
      </c>
      <c r="X158" s="8">
        <f>X155*X157</f>
        <v/>
      </c>
      <c r="Y158" s="8">
        <f>Y155*Y157</f>
        <v/>
      </c>
      <c r="Z158" s="8">
        <f>Z155*Z157</f>
        <v/>
      </c>
      <c r="AA158" s="8">
        <f>AA155*AA157</f>
        <v/>
      </c>
      <c r="AB158" s="8">
        <f>AB155*AB157</f>
        <v/>
      </c>
      <c r="AC158" s="8">
        <f>AC155*AC157</f>
        <v/>
      </c>
      <c r="AD158" s="8">
        <f>AD155*AD157</f>
        <v/>
      </c>
      <c r="AE158" s="8">
        <f>AE155*AE157</f>
        <v/>
      </c>
      <c r="AF158" s="8">
        <f>AF155*AF157</f>
        <v/>
      </c>
      <c r="AG158" s="8">
        <f>AG155*AG157</f>
        <v/>
      </c>
      <c r="AH158" s="8">
        <f>AH155*AH157</f>
        <v/>
      </c>
      <c r="AI158" s="8">
        <f>AI155*AI157</f>
        <v/>
      </c>
      <c r="AJ158" s="8">
        <f>AJ155*AJ157</f>
        <v/>
      </c>
      <c r="AK158" s="8">
        <f>AK155*AK157</f>
        <v/>
      </c>
      <c r="AL158" s="8">
        <f>AL155*AL157</f>
        <v/>
      </c>
      <c r="AM158" s="8">
        <f>AM155*AM157</f>
        <v/>
      </c>
      <c r="AN158" s="8">
        <f>AN155*AN157</f>
        <v/>
      </c>
      <c r="AO158" s="8">
        <f>AO155*AO157</f>
        <v/>
      </c>
      <c r="AP158" s="8">
        <f>AP155*AP157</f>
        <v/>
      </c>
      <c r="AQ158" s="8">
        <f>AQ155*AQ157</f>
        <v/>
      </c>
      <c r="AR158" s="8">
        <f>AR155*AR157</f>
        <v/>
      </c>
      <c r="AS158" s="8">
        <f>AS155*AS157</f>
        <v/>
      </c>
      <c r="AT158" s="8">
        <f>AT155*AT157</f>
        <v/>
      </c>
      <c r="AU158" s="8">
        <f>AU155*AU157</f>
        <v/>
      </c>
      <c r="AV158" s="8">
        <f>AV155*AV157</f>
        <v/>
      </c>
      <c r="AW158" s="8">
        <f>AW155*AW157</f>
        <v/>
      </c>
      <c r="AX158" s="8">
        <f>AX155*AX157</f>
        <v/>
      </c>
      <c r="AY158" s="8">
        <f>AY155*AY157</f>
        <v/>
      </c>
      <c r="AZ158" s="8">
        <f>AZ155*AZ157</f>
        <v/>
      </c>
      <c r="BA158" s="8">
        <f>BA155*BA157</f>
        <v/>
      </c>
      <c r="BB158" s="8">
        <f>BB155*BB157</f>
        <v/>
      </c>
      <c r="BC158" s="8">
        <f>BC155*BC157</f>
        <v/>
      </c>
      <c r="BD158" s="8">
        <f>BD155*BD157</f>
        <v/>
      </c>
      <c r="BE158" s="8">
        <f>BE155*BE157</f>
        <v/>
      </c>
      <c r="BF158" s="8">
        <f>BF155*BF157</f>
        <v/>
      </c>
      <c r="BG158" s="8">
        <f>BG155*BG157</f>
        <v/>
      </c>
      <c r="BH158" s="8">
        <f>BH155*BH157</f>
        <v/>
      </c>
      <c r="BI158" s="8">
        <f>BI155*BI157</f>
        <v/>
      </c>
      <c r="BJ158" s="8">
        <f>BJ155*BJ157</f>
        <v/>
      </c>
    </row>
    <row r="159">
      <c r="A159" s="4" t="inlineStr">
        <is>
          <t>Free plan cost (AI credits + hosting per active Free user)</t>
        </is>
      </c>
      <c r="B159" s="17" t="inlineStr">
        <is>
          <t>R</t>
        </is>
      </c>
      <c r="C159" s="8">
        <f>C156*C157+Revenue_Build!C101*Assumptions!$B$123</f>
        <v/>
      </c>
      <c r="D159" s="8">
        <f>D156*D157+Revenue_Build!D101*Assumptions!$B$123</f>
        <v/>
      </c>
      <c r="E159" s="8">
        <f>E156*E157+Revenue_Build!E101*Assumptions!$B$123</f>
        <v/>
      </c>
      <c r="F159" s="8">
        <f>F156*F157+Revenue_Build!F101*Assumptions!$B$123</f>
        <v/>
      </c>
      <c r="G159" s="8">
        <f>G156*G157+Revenue_Build!G101*Assumptions!$B$123</f>
        <v/>
      </c>
      <c r="H159" s="8">
        <f>H156*H157+Revenue_Build!H101*Assumptions!$B$123</f>
        <v/>
      </c>
      <c r="I159" s="8">
        <f>I156*I157+Revenue_Build!I101*Assumptions!$B$123</f>
        <v/>
      </c>
      <c r="J159" s="8">
        <f>J156*J157+Revenue_Build!J101*Assumptions!$B$123</f>
        <v/>
      </c>
      <c r="K159" s="8">
        <f>K156*K157+Revenue_Build!K101*Assumptions!$B$123</f>
        <v/>
      </c>
      <c r="L159" s="8">
        <f>L156*L157+Revenue_Build!L101*Assumptions!$B$123</f>
        <v/>
      </c>
      <c r="M159" s="8">
        <f>M156*M157+Revenue_Build!M101*Assumptions!$B$123</f>
        <v/>
      </c>
      <c r="N159" s="8">
        <f>N156*N157+Revenue_Build!N101*Assumptions!$B$123</f>
        <v/>
      </c>
      <c r="O159" s="8">
        <f>O156*O157+Revenue_Build!O101*Assumptions!$B$123</f>
        <v/>
      </c>
      <c r="P159" s="8">
        <f>P156*P157+Revenue_Build!P101*Assumptions!$B$123</f>
        <v/>
      </c>
      <c r="Q159" s="8">
        <f>Q156*Q157+Revenue_Build!Q101*Assumptions!$B$123</f>
        <v/>
      </c>
      <c r="R159" s="8">
        <f>R156*R157+Revenue_Build!R101*Assumptions!$B$123</f>
        <v/>
      </c>
      <c r="S159" s="8">
        <f>S156*S157+Revenue_Build!S101*Assumptions!$B$123</f>
        <v/>
      </c>
      <c r="T159" s="8">
        <f>T156*T157+Revenue_Build!T101*Assumptions!$B$123</f>
        <v/>
      </c>
      <c r="U159" s="8">
        <f>U156*U157+Revenue_Build!U101*Assumptions!$B$123</f>
        <v/>
      </c>
      <c r="V159" s="8">
        <f>V156*V157+Revenue_Build!V101*Assumptions!$B$123</f>
        <v/>
      </c>
      <c r="W159" s="8">
        <f>W156*W157+Revenue_Build!W101*Assumptions!$B$123</f>
        <v/>
      </c>
      <c r="X159" s="8">
        <f>X156*X157+Revenue_Build!X101*Assumptions!$B$123</f>
        <v/>
      </c>
      <c r="Y159" s="8">
        <f>Y156*Y157+Revenue_Build!Y101*Assumptions!$B$123</f>
        <v/>
      </c>
      <c r="Z159" s="8">
        <f>Z156*Z157+Revenue_Build!Z101*Assumptions!$B$123</f>
        <v/>
      </c>
      <c r="AA159" s="8">
        <f>AA156*AA157+Revenue_Build!AA101*Assumptions!$B$123</f>
        <v/>
      </c>
      <c r="AB159" s="8">
        <f>AB156*AB157+Revenue_Build!AB101*Assumptions!$B$123</f>
        <v/>
      </c>
      <c r="AC159" s="8">
        <f>AC156*AC157+Revenue_Build!AC101*Assumptions!$B$123</f>
        <v/>
      </c>
      <c r="AD159" s="8">
        <f>AD156*AD157+Revenue_Build!AD101*Assumptions!$B$123</f>
        <v/>
      </c>
      <c r="AE159" s="8">
        <f>AE156*AE157+Revenue_Build!AE101*Assumptions!$B$123</f>
        <v/>
      </c>
      <c r="AF159" s="8">
        <f>AF156*AF157+Revenue_Build!AF101*Assumptions!$B$123</f>
        <v/>
      </c>
      <c r="AG159" s="8">
        <f>AG156*AG157+Revenue_Build!AG101*Assumptions!$B$123</f>
        <v/>
      </c>
      <c r="AH159" s="8">
        <f>AH156*AH157+Revenue_Build!AH101*Assumptions!$B$123</f>
        <v/>
      </c>
      <c r="AI159" s="8">
        <f>AI156*AI157+Revenue_Build!AI101*Assumptions!$B$123</f>
        <v/>
      </c>
      <c r="AJ159" s="8">
        <f>AJ156*AJ157+Revenue_Build!AJ101*Assumptions!$B$123</f>
        <v/>
      </c>
      <c r="AK159" s="8">
        <f>AK156*AK157+Revenue_Build!AK101*Assumptions!$B$123</f>
        <v/>
      </c>
      <c r="AL159" s="8">
        <f>AL156*AL157+Revenue_Build!AL101*Assumptions!$B$123</f>
        <v/>
      </c>
      <c r="AM159" s="8">
        <f>AM156*AM157+Revenue_Build!AM101*Assumptions!$B$123</f>
        <v/>
      </c>
      <c r="AN159" s="8">
        <f>AN156*AN157+Revenue_Build!AN101*Assumptions!$B$123</f>
        <v/>
      </c>
      <c r="AO159" s="8">
        <f>AO156*AO157+Revenue_Build!AO101*Assumptions!$B$123</f>
        <v/>
      </c>
      <c r="AP159" s="8">
        <f>AP156*AP157+Revenue_Build!AP101*Assumptions!$B$123</f>
        <v/>
      </c>
      <c r="AQ159" s="8">
        <f>AQ156*AQ157+Revenue_Build!AQ101*Assumptions!$B$123</f>
        <v/>
      </c>
      <c r="AR159" s="8">
        <f>AR156*AR157+Revenue_Build!AR101*Assumptions!$B$123</f>
        <v/>
      </c>
      <c r="AS159" s="8">
        <f>AS156*AS157+Revenue_Build!AS101*Assumptions!$B$123</f>
        <v/>
      </c>
      <c r="AT159" s="8">
        <f>AT156*AT157+Revenue_Build!AT101*Assumptions!$B$123</f>
        <v/>
      </c>
      <c r="AU159" s="8">
        <f>AU156*AU157+Revenue_Build!AU101*Assumptions!$B$123</f>
        <v/>
      </c>
      <c r="AV159" s="8">
        <f>AV156*AV157+Revenue_Build!AV101*Assumptions!$B$123</f>
        <v/>
      </c>
      <c r="AW159" s="8">
        <f>AW156*AW157+Revenue_Build!AW101*Assumptions!$B$123</f>
        <v/>
      </c>
      <c r="AX159" s="8">
        <f>AX156*AX157+Revenue_Build!AX101*Assumptions!$B$123</f>
        <v/>
      </c>
      <c r="AY159" s="8">
        <f>AY156*AY157+Revenue_Build!AY101*Assumptions!$B$123</f>
        <v/>
      </c>
      <c r="AZ159" s="8">
        <f>AZ156*AZ157+Revenue_Build!AZ101*Assumptions!$B$123</f>
        <v/>
      </c>
      <c r="BA159" s="8">
        <f>BA156*BA157+Revenue_Build!BA101*Assumptions!$B$123</f>
        <v/>
      </c>
      <c r="BB159" s="8">
        <f>BB156*BB157+Revenue_Build!BB101*Assumptions!$B$123</f>
        <v/>
      </c>
      <c r="BC159" s="8">
        <f>BC156*BC157+Revenue_Build!BC101*Assumptions!$B$123</f>
        <v/>
      </c>
      <c r="BD159" s="8">
        <f>BD156*BD157+Revenue_Build!BD101*Assumptions!$B$123</f>
        <v/>
      </c>
      <c r="BE159" s="8">
        <f>BE156*BE157+Revenue_Build!BE101*Assumptions!$B$123</f>
        <v/>
      </c>
      <c r="BF159" s="8">
        <f>BF156*BF157+Revenue_Build!BF101*Assumptions!$B$123</f>
        <v/>
      </c>
      <c r="BG159" s="8">
        <f>BG156*BG157+Revenue_Build!BG101*Assumptions!$B$123</f>
        <v/>
      </c>
      <c r="BH159" s="8">
        <f>BH156*BH157+Revenue_Build!BH101*Assumptions!$B$123</f>
        <v/>
      </c>
      <c r="BI159" s="8">
        <f>BI156*BI157+Revenue_Build!BI101*Assumptions!$B$123</f>
        <v/>
      </c>
      <c r="BJ159" s="8">
        <f>BJ156*BJ157+Revenue_Build!BJ101*Assumptions!$B$123</f>
        <v/>
      </c>
    </row>
    <row r="160">
      <c r="A160" s="4" t="inlineStr">
        <is>
          <t>AI provider cost incl. Free plan</t>
        </is>
      </c>
      <c r="B160" s="17" t="inlineStr">
        <is>
          <t>R</t>
        </is>
      </c>
      <c r="C160" s="8">
        <f>C158+C159</f>
        <v/>
      </c>
      <c r="D160" s="8">
        <f>D158+D159</f>
        <v/>
      </c>
      <c r="E160" s="8">
        <f>E158+E159</f>
        <v/>
      </c>
      <c r="F160" s="8">
        <f>F158+F159</f>
        <v/>
      </c>
      <c r="G160" s="8">
        <f>G158+G159</f>
        <v/>
      </c>
      <c r="H160" s="8">
        <f>H158+H159</f>
        <v/>
      </c>
      <c r="I160" s="8">
        <f>I158+I159</f>
        <v/>
      </c>
      <c r="J160" s="8">
        <f>J158+J159</f>
        <v/>
      </c>
      <c r="K160" s="8">
        <f>K158+K159</f>
        <v/>
      </c>
      <c r="L160" s="8">
        <f>L158+L159</f>
        <v/>
      </c>
      <c r="M160" s="8">
        <f>M158+M159</f>
        <v/>
      </c>
      <c r="N160" s="8">
        <f>N158+N159</f>
        <v/>
      </c>
      <c r="O160" s="8">
        <f>O158+O159</f>
        <v/>
      </c>
      <c r="P160" s="8">
        <f>P158+P159</f>
        <v/>
      </c>
      <c r="Q160" s="8">
        <f>Q158+Q159</f>
        <v/>
      </c>
      <c r="R160" s="8">
        <f>R158+R159</f>
        <v/>
      </c>
      <c r="S160" s="8">
        <f>S158+S159</f>
        <v/>
      </c>
      <c r="T160" s="8">
        <f>T158+T159</f>
        <v/>
      </c>
      <c r="U160" s="8">
        <f>U158+U159</f>
        <v/>
      </c>
      <c r="V160" s="8">
        <f>V158+V159</f>
        <v/>
      </c>
      <c r="W160" s="8">
        <f>W158+W159</f>
        <v/>
      </c>
      <c r="X160" s="8">
        <f>X158+X159</f>
        <v/>
      </c>
      <c r="Y160" s="8">
        <f>Y158+Y159</f>
        <v/>
      </c>
      <c r="Z160" s="8">
        <f>Z158+Z159</f>
        <v/>
      </c>
      <c r="AA160" s="8">
        <f>AA158+AA159</f>
        <v/>
      </c>
      <c r="AB160" s="8">
        <f>AB158+AB159</f>
        <v/>
      </c>
      <c r="AC160" s="8">
        <f>AC158+AC159</f>
        <v/>
      </c>
      <c r="AD160" s="8">
        <f>AD158+AD159</f>
        <v/>
      </c>
      <c r="AE160" s="8">
        <f>AE158+AE159</f>
        <v/>
      </c>
      <c r="AF160" s="8">
        <f>AF158+AF159</f>
        <v/>
      </c>
      <c r="AG160" s="8">
        <f>AG158+AG159</f>
        <v/>
      </c>
      <c r="AH160" s="8">
        <f>AH158+AH159</f>
        <v/>
      </c>
      <c r="AI160" s="8">
        <f>AI158+AI159</f>
        <v/>
      </c>
      <c r="AJ160" s="8">
        <f>AJ158+AJ159</f>
        <v/>
      </c>
      <c r="AK160" s="8">
        <f>AK158+AK159</f>
        <v/>
      </c>
      <c r="AL160" s="8">
        <f>AL158+AL159</f>
        <v/>
      </c>
      <c r="AM160" s="8">
        <f>AM158+AM159</f>
        <v/>
      </c>
      <c r="AN160" s="8">
        <f>AN158+AN159</f>
        <v/>
      </c>
      <c r="AO160" s="8">
        <f>AO158+AO159</f>
        <v/>
      </c>
      <c r="AP160" s="8">
        <f>AP158+AP159</f>
        <v/>
      </c>
      <c r="AQ160" s="8">
        <f>AQ158+AQ159</f>
        <v/>
      </c>
      <c r="AR160" s="8">
        <f>AR158+AR159</f>
        <v/>
      </c>
      <c r="AS160" s="8">
        <f>AS158+AS159</f>
        <v/>
      </c>
      <c r="AT160" s="8">
        <f>AT158+AT159</f>
        <v/>
      </c>
      <c r="AU160" s="8">
        <f>AU158+AU159</f>
        <v/>
      </c>
      <c r="AV160" s="8">
        <f>AV158+AV159</f>
        <v/>
      </c>
      <c r="AW160" s="8">
        <f>AW158+AW159</f>
        <v/>
      </c>
      <c r="AX160" s="8">
        <f>AX158+AX159</f>
        <v/>
      </c>
      <c r="AY160" s="8">
        <f>AY158+AY159</f>
        <v/>
      </c>
      <c r="AZ160" s="8">
        <f>AZ158+AZ159</f>
        <v/>
      </c>
      <c r="BA160" s="8">
        <f>BA158+BA159</f>
        <v/>
      </c>
      <c r="BB160" s="8">
        <f>BB158+BB159</f>
        <v/>
      </c>
      <c r="BC160" s="8">
        <f>BC158+BC159</f>
        <v/>
      </c>
      <c r="BD160" s="8">
        <f>BD158+BD159</f>
        <v/>
      </c>
      <c r="BE160" s="8">
        <f>BE158+BE159</f>
        <v/>
      </c>
      <c r="BF160" s="8">
        <f>BF158+BF159</f>
        <v/>
      </c>
      <c r="BG160" s="8">
        <f>BG158+BG159</f>
        <v/>
      </c>
      <c r="BH160" s="8">
        <f>BH158+BH159</f>
        <v/>
      </c>
      <c r="BI160" s="8">
        <f>BI158+BI159</f>
        <v/>
      </c>
      <c r="BJ160" s="8">
        <f>BJ158+BJ159</f>
        <v/>
      </c>
    </row>
    <row r="161">
      <c r="A161" s="4" t="inlineStr">
        <is>
          <t>Hosting (lean base before seed, full base after)</t>
        </is>
      </c>
      <c r="B161" s="17" t="inlineStr">
        <is>
          <t>R</t>
        </is>
      </c>
      <c r="C161" s="8">
        <f>IF(Revenue_Build!C8=1,Assumptions!$B$184,Assumptions!$B$25)+Assumptions!$B$185*Revenue_Build!C411</f>
        <v/>
      </c>
      <c r="D161" s="8">
        <f>IF(Revenue_Build!D8=1,Assumptions!$B$184,Assumptions!$B$25)+Assumptions!$B$185*Revenue_Build!D411</f>
        <v/>
      </c>
      <c r="E161" s="8">
        <f>IF(Revenue_Build!E8=1,Assumptions!$B$184,Assumptions!$B$25)+Assumptions!$B$185*Revenue_Build!E411</f>
        <v/>
      </c>
      <c r="F161" s="8">
        <f>IF(Revenue_Build!F8=1,Assumptions!$B$184,Assumptions!$B$25)+Assumptions!$B$185*Revenue_Build!F411</f>
        <v/>
      </c>
      <c r="G161" s="8">
        <f>IF(Revenue_Build!G8=1,Assumptions!$B$184,Assumptions!$B$25)+Assumptions!$B$185*Revenue_Build!G411</f>
        <v/>
      </c>
      <c r="H161" s="8">
        <f>IF(Revenue_Build!H8=1,Assumptions!$B$184,Assumptions!$B$25)+Assumptions!$B$185*Revenue_Build!H411</f>
        <v/>
      </c>
      <c r="I161" s="8">
        <f>IF(Revenue_Build!I8=1,Assumptions!$B$184,Assumptions!$B$25)+Assumptions!$B$185*Revenue_Build!I411</f>
        <v/>
      </c>
      <c r="J161" s="8">
        <f>IF(Revenue_Build!J8=1,Assumptions!$B$184,Assumptions!$B$25)+Assumptions!$B$185*Revenue_Build!J411</f>
        <v/>
      </c>
      <c r="K161" s="8">
        <f>IF(Revenue_Build!K8=1,Assumptions!$B$184,Assumptions!$B$25)+Assumptions!$B$185*Revenue_Build!K411</f>
        <v/>
      </c>
      <c r="L161" s="8">
        <f>IF(Revenue_Build!L8=1,Assumptions!$B$184,Assumptions!$B$25)+Assumptions!$B$185*Revenue_Build!L411</f>
        <v/>
      </c>
      <c r="M161" s="8">
        <f>IF(Revenue_Build!M8=1,Assumptions!$B$184,Assumptions!$B$25)+Assumptions!$B$185*Revenue_Build!M411</f>
        <v/>
      </c>
      <c r="N161" s="8">
        <f>IF(Revenue_Build!N8=1,Assumptions!$B$184,Assumptions!$B$25)+Assumptions!$B$185*Revenue_Build!N411</f>
        <v/>
      </c>
      <c r="O161" s="8">
        <f>IF(Revenue_Build!O8=1,Assumptions!$B$184,Assumptions!$B$25)+Assumptions!$B$185*Revenue_Build!O411</f>
        <v/>
      </c>
      <c r="P161" s="8">
        <f>IF(Revenue_Build!P8=1,Assumptions!$B$184,Assumptions!$B$25)+Assumptions!$B$185*Revenue_Build!P411</f>
        <v/>
      </c>
      <c r="Q161" s="8">
        <f>IF(Revenue_Build!Q8=1,Assumptions!$B$184,Assumptions!$B$25)+Assumptions!$B$185*Revenue_Build!Q411</f>
        <v/>
      </c>
      <c r="R161" s="8">
        <f>IF(Revenue_Build!R8=1,Assumptions!$B$184,Assumptions!$B$25)+Assumptions!$B$185*Revenue_Build!R411</f>
        <v/>
      </c>
      <c r="S161" s="8">
        <f>IF(Revenue_Build!S8=1,Assumptions!$B$184,Assumptions!$B$25)+Assumptions!$B$185*Revenue_Build!S411</f>
        <v/>
      </c>
      <c r="T161" s="8">
        <f>IF(Revenue_Build!T8=1,Assumptions!$B$184,Assumptions!$B$25)+Assumptions!$B$185*Revenue_Build!T411</f>
        <v/>
      </c>
      <c r="U161" s="8">
        <f>IF(Revenue_Build!U8=1,Assumptions!$B$184,Assumptions!$B$25)+Assumptions!$B$185*Revenue_Build!U411</f>
        <v/>
      </c>
      <c r="V161" s="8">
        <f>IF(Revenue_Build!V8=1,Assumptions!$B$184,Assumptions!$B$25)+Assumptions!$B$185*Revenue_Build!V411</f>
        <v/>
      </c>
      <c r="W161" s="8">
        <f>IF(Revenue_Build!W8=1,Assumptions!$B$184,Assumptions!$B$25)+Assumptions!$B$185*Revenue_Build!W411</f>
        <v/>
      </c>
      <c r="X161" s="8">
        <f>IF(Revenue_Build!X8=1,Assumptions!$B$184,Assumptions!$B$25)+Assumptions!$B$185*Revenue_Build!X411</f>
        <v/>
      </c>
      <c r="Y161" s="8">
        <f>IF(Revenue_Build!Y8=1,Assumptions!$B$184,Assumptions!$B$25)+Assumptions!$B$185*Revenue_Build!Y411</f>
        <v/>
      </c>
      <c r="Z161" s="8">
        <f>IF(Revenue_Build!Z8=1,Assumptions!$B$184,Assumptions!$B$25)+Assumptions!$B$185*Revenue_Build!Z411</f>
        <v/>
      </c>
      <c r="AA161" s="8">
        <f>IF(Revenue_Build!AA8=1,Assumptions!$B$184,Assumptions!$B$25)+Assumptions!$B$185*Revenue_Build!AA411</f>
        <v/>
      </c>
      <c r="AB161" s="8">
        <f>IF(Revenue_Build!AB8=1,Assumptions!$B$184,Assumptions!$B$25)+Assumptions!$B$185*Revenue_Build!AB411</f>
        <v/>
      </c>
      <c r="AC161" s="8">
        <f>IF(Revenue_Build!AC8=1,Assumptions!$B$184,Assumptions!$B$25)+Assumptions!$B$185*Revenue_Build!AC411</f>
        <v/>
      </c>
      <c r="AD161" s="8">
        <f>IF(Revenue_Build!AD8=1,Assumptions!$B$184,Assumptions!$B$25)+Assumptions!$B$185*Revenue_Build!AD411</f>
        <v/>
      </c>
      <c r="AE161" s="8">
        <f>IF(Revenue_Build!AE8=1,Assumptions!$B$184,Assumptions!$B$25)+Assumptions!$B$185*Revenue_Build!AE411</f>
        <v/>
      </c>
      <c r="AF161" s="8">
        <f>IF(Revenue_Build!AF8=1,Assumptions!$B$184,Assumptions!$B$25)+Assumptions!$B$185*Revenue_Build!AF411</f>
        <v/>
      </c>
      <c r="AG161" s="8">
        <f>IF(Revenue_Build!AG8=1,Assumptions!$B$184,Assumptions!$B$25)+Assumptions!$B$185*Revenue_Build!AG411</f>
        <v/>
      </c>
      <c r="AH161" s="8">
        <f>IF(Revenue_Build!AH8=1,Assumptions!$B$184,Assumptions!$B$25)+Assumptions!$B$185*Revenue_Build!AH411</f>
        <v/>
      </c>
      <c r="AI161" s="8">
        <f>IF(Revenue_Build!AI8=1,Assumptions!$B$184,Assumptions!$B$25)+Assumptions!$B$185*Revenue_Build!AI411</f>
        <v/>
      </c>
      <c r="AJ161" s="8">
        <f>IF(Revenue_Build!AJ8=1,Assumptions!$B$184,Assumptions!$B$25)+Assumptions!$B$185*Revenue_Build!AJ411</f>
        <v/>
      </c>
      <c r="AK161" s="8">
        <f>IF(Revenue_Build!AK8=1,Assumptions!$B$184,Assumptions!$B$25)+Assumptions!$B$185*Revenue_Build!AK411</f>
        <v/>
      </c>
      <c r="AL161" s="8">
        <f>IF(Revenue_Build!AL8=1,Assumptions!$B$184,Assumptions!$B$25)+Assumptions!$B$185*Revenue_Build!AL411</f>
        <v/>
      </c>
      <c r="AM161" s="8">
        <f>IF(Revenue_Build!AM8=1,Assumptions!$B$184,Assumptions!$B$25)+Assumptions!$B$185*Revenue_Build!AM411</f>
        <v/>
      </c>
      <c r="AN161" s="8">
        <f>IF(Revenue_Build!AN8=1,Assumptions!$B$184,Assumptions!$B$25)+Assumptions!$B$185*Revenue_Build!AN411</f>
        <v/>
      </c>
      <c r="AO161" s="8">
        <f>IF(Revenue_Build!AO8=1,Assumptions!$B$184,Assumptions!$B$25)+Assumptions!$B$185*Revenue_Build!AO411</f>
        <v/>
      </c>
      <c r="AP161" s="8">
        <f>IF(Revenue_Build!AP8=1,Assumptions!$B$184,Assumptions!$B$25)+Assumptions!$B$185*Revenue_Build!AP411</f>
        <v/>
      </c>
      <c r="AQ161" s="8">
        <f>IF(Revenue_Build!AQ8=1,Assumptions!$B$184,Assumptions!$B$25)+Assumptions!$B$185*Revenue_Build!AQ411</f>
        <v/>
      </c>
      <c r="AR161" s="8">
        <f>IF(Revenue_Build!AR8=1,Assumptions!$B$184,Assumptions!$B$25)+Assumptions!$B$185*Revenue_Build!AR411</f>
        <v/>
      </c>
      <c r="AS161" s="8">
        <f>IF(Revenue_Build!AS8=1,Assumptions!$B$184,Assumptions!$B$25)+Assumptions!$B$185*Revenue_Build!AS411</f>
        <v/>
      </c>
      <c r="AT161" s="8">
        <f>IF(Revenue_Build!AT8=1,Assumptions!$B$184,Assumptions!$B$25)+Assumptions!$B$185*Revenue_Build!AT411</f>
        <v/>
      </c>
      <c r="AU161" s="8">
        <f>IF(Revenue_Build!AU8=1,Assumptions!$B$184,Assumptions!$B$25)+Assumptions!$B$185*Revenue_Build!AU411</f>
        <v/>
      </c>
      <c r="AV161" s="8">
        <f>IF(Revenue_Build!AV8=1,Assumptions!$B$184,Assumptions!$B$25)+Assumptions!$B$185*Revenue_Build!AV411</f>
        <v/>
      </c>
      <c r="AW161" s="8">
        <f>IF(Revenue_Build!AW8=1,Assumptions!$B$184,Assumptions!$B$25)+Assumptions!$B$185*Revenue_Build!AW411</f>
        <v/>
      </c>
      <c r="AX161" s="8">
        <f>IF(Revenue_Build!AX8=1,Assumptions!$B$184,Assumptions!$B$25)+Assumptions!$B$185*Revenue_Build!AX411</f>
        <v/>
      </c>
      <c r="AY161" s="8">
        <f>IF(Revenue_Build!AY8=1,Assumptions!$B$184,Assumptions!$B$25)+Assumptions!$B$185*Revenue_Build!AY411</f>
        <v/>
      </c>
      <c r="AZ161" s="8">
        <f>IF(Revenue_Build!AZ8=1,Assumptions!$B$184,Assumptions!$B$25)+Assumptions!$B$185*Revenue_Build!AZ411</f>
        <v/>
      </c>
      <c r="BA161" s="8">
        <f>IF(Revenue_Build!BA8=1,Assumptions!$B$184,Assumptions!$B$25)+Assumptions!$B$185*Revenue_Build!BA411</f>
        <v/>
      </c>
      <c r="BB161" s="8">
        <f>IF(Revenue_Build!BB8=1,Assumptions!$B$184,Assumptions!$B$25)+Assumptions!$B$185*Revenue_Build!BB411</f>
        <v/>
      </c>
      <c r="BC161" s="8">
        <f>IF(Revenue_Build!BC8=1,Assumptions!$B$184,Assumptions!$B$25)+Assumptions!$B$185*Revenue_Build!BC411</f>
        <v/>
      </c>
      <c r="BD161" s="8">
        <f>IF(Revenue_Build!BD8=1,Assumptions!$B$184,Assumptions!$B$25)+Assumptions!$B$185*Revenue_Build!BD411</f>
        <v/>
      </c>
      <c r="BE161" s="8">
        <f>IF(Revenue_Build!BE8=1,Assumptions!$B$184,Assumptions!$B$25)+Assumptions!$B$185*Revenue_Build!BE411</f>
        <v/>
      </c>
      <c r="BF161" s="8">
        <f>IF(Revenue_Build!BF8=1,Assumptions!$B$184,Assumptions!$B$25)+Assumptions!$B$185*Revenue_Build!BF411</f>
        <v/>
      </c>
      <c r="BG161" s="8">
        <f>IF(Revenue_Build!BG8=1,Assumptions!$B$184,Assumptions!$B$25)+Assumptions!$B$185*Revenue_Build!BG411</f>
        <v/>
      </c>
      <c r="BH161" s="8">
        <f>IF(Revenue_Build!BH8=1,Assumptions!$B$184,Assumptions!$B$25)+Assumptions!$B$185*Revenue_Build!BH411</f>
        <v/>
      </c>
      <c r="BI161" s="8">
        <f>IF(Revenue_Build!BI8=1,Assumptions!$B$184,Assumptions!$B$25)+Assumptions!$B$185*Revenue_Build!BI411</f>
        <v/>
      </c>
      <c r="BJ161" s="8">
        <f>IF(Revenue_Build!BJ8=1,Assumptions!$B$184,Assumptions!$B$25)+Assumptions!$B$185*Revenue_Build!BJ411</f>
        <v/>
      </c>
    </row>
    <row r="162">
      <c r="A162" s="4" t="inlineStr">
        <is>
          <t>WhatsApp Meta fees (pass-through cost)</t>
        </is>
      </c>
      <c r="B162" s="17" t="inlineStr">
        <is>
          <t>R</t>
        </is>
      </c>
      <c r="C162" s="8">
        <f>Revenue_Build!C497*Assumptions!$B$172</f>
        <v/>
      </c>
      <c r="D162" s="8">
        <f>Revenue_Build!D497*Assumptions!$B$172</f>
        <v/>
      </c>
      <c r="E162" s="8">
        <f>Revenue_Build!E497*Assumptions!$B$172</f>
        <v/>
      </c>
      <c r="F162" s="8">
        <f>Revenue_Build!F497*Assumptions!$B$172</f>
        <v/>
      </c>
      <c r="G162" s="8">
        <f>Revenue_Build!G497*Assumptions!$B$172</f>
        <v/>
      </c>
      <c r="H162" s="8">
        <f>Revenue_Build!H497*Assumptions!$B$172</f>
        <v/>
      </c>
      <c r="I162" s="8">
        <f>Revenue_Build!I497*Assumptions!$B$172</f>
        <v/>
      </c>
      <c r="J162" s="8">
        <f>Revenue_Build!J497*Assumptions!$B$172</f>
        <v/>
      </c>
      <c r="K162" s="8">
        <f>Revenue_Build!K497*Assumptions!$B$172</f>
        <v/>
      </c>
      <c r="L162" s="8">
        <f>Revenue_Build!L497*Assumptions!$B$172</f>
        <v/>
      </c>
      <c r="M162" s="8">
        <f>Revenue_Build!M497*Assumptions!$B$172</f>
        <v/>
      </c>
      <c r="N162" s="8">
        <f>Revenue_Build!N497*Assumptions!$B$172</f>
        <v/>
      </c>
      <c r="O162" s="8">
        <f>Revenue_Build!O497*Assumptions!$B$172</f>
        <v/>
      </c>
      <c r="P162" s="8">
        <f>Revenue_Build!P497*Assumptions!$B$172</f>
        <v/>
      </c>
      <c r="Q162" s="8">
        <f>Revenue_Build!Q497*Assumptions!$B$172</f>
        <v/>
      </c>
      <c r="R162" s="8">
        <f>Revenue_Build!R497*Assumptions!$B$172</f>
        <v/>
      </c>
      <c r="S162" s="8">
        <f>Revenue_Build!S497*Assumptions!$B$172</f>
        <v/>
      </c>
      <c r="T162" s="8">
        <f>Revenue_Build!T497*Assumptions!$B$172</f>
        <v/>
      </c>
      <c r="U162" s="8">
        <f>Revenue_Build!U497*Assumptions!$B$172</f>
        <v/>
      </c>
      <c r="V162" s="8">
        <f>Revenue_Build!V497*Assumptions!$B$172</f>
        <v/>
      </c>
      <c r="W162" s="8">
        <f>Revenue_Build!W497*Assumptions!$B$172</f>
        <v/>
      </c>
      <c r="X162" s="8">
        <f>Revenue_Build!X497*Assumptions!$B$172</f>
        <v/>
      </c>
      <c r="Y162" s="8">
        <f>Revenue_Build!Y497*Assumptions!$B$172</f>
        <v/>
      </c>
      <c r="Z162" s="8">
        <f>Revenue_Build!Z497*Assumptions!$B$172</f>
        <v/>
      </c>
      <c r="AA162" s="8">
        <f>Revenue_Build!AA497*Assumptions!$B$172</f>
        <v/>
      </c>
      <c r="AB162" s="8">
        <f>Revenue_Build!AB497*Assumptions!$B$172</f>
        <v/>
      </c>
      <c r="AC162" s="8">
        <f>Revenue_Build!AC497*Assumptions!$B$172</f>
        <v/>
      </c>
      <c r="AD162" s="8">
        <f>Revenue_Build!AD497*Assumptions!$B$172</f>
        <v/>
      </c>
      <c r="AE162" s="8">
        <f>Revenue_Build!AE497*Assumptions!$B$172</f>
        <v/>
      </c>
      <c r="AF162" s="8">
        <f>Revenue_Build!AF497*Assumptions!$B$172</f>
        <v/>
      </c>
      <c r="AG162" s="8">
        <f>Revenue_Build!AG497*Assumptions!$B$172</f>
        <v/>
      </c>
      <c r="AH162" s="8">
        <f>Revenue_Build!AH497*Assumptions!$B$172</f>
        <v/>
      </c>
      <c r="AI162" s="8">
        <f>Revenue_Build!AI497*Assumptions!$B$172</f>
        <v/>
      </c>
      <c r="AJ162" s="8">
        <f>Revenue_Build!AJ497*Assumptions!$B$172</f>
        <v/>
      </c>
      <c r="AK162" s="8">
        <f>Revenue_Build!AK497*Assumptions!$B$172</f>
        <v/>
      </c>
      <c r="AL162" s="8">
        <f>Revenue_Build!AL497*Assumptions!$B$172</f>
        <v/>
      </c>
      <c r="AM162" s="8">
        <f>Revenue_Build!AM497*Assumptions!$B$172</f>
        <v/>
      </c>
      <c r="AN162" s="8">
        <f>Revenue_Build!AN497*Assumptions!$B$172</f>
        <v/>
      </c>
      <c r="AO162" s="8">
        <f>Revenue_Build!AO497*Assumptions!$B$172</f>
        <v/>
      </c>
      <c r="AP162" s="8">
        <f>Revenue_Build!AP497*Assumptions!$B$172</f>
        <v/>
      </c>
      <c r="AQ162" s="8">
        <f>Revenue_Build!AQ497*Assumptions!$B$172</f>
        <v/>
      </c>
      <c r="AR162" s="8">
        <f>Revenue_Build!AR497*Assumptions!$B$172</f>
        <v/>
      </c>
      <c r="AS162" s="8">
        <f>Revenue_Build!AS497*Assumptions!$B$172</f>
        <v/>
      </c>
      <c r="AT162" s="8">
        <f>Revenue_Build!AT497*Assumptions!$B$172</f>
        <v/>
      </c>
      <c r="AU162" s="8">
        <f>Revenue_Build!AU497*Assumptions!$B$172</f>
        <v/>
      </c>
      <c r="AV162" s="8">
        <f>Revenue_Build!AV497*Assumptions!$B$172</f>
        <v/>
      </c>
      <c r="AW162" s="8">
        <f>Revenue_Build!AW497*Assumptions!$B$172</f>
        <v/>
      </c>
      <c r="AX162" s="8">
        <f>Revenue_Build!AX497*Assumptions!$B$172</f>
        <v/>
      </c>
      <c r="AY162" s="8">
        <f>Revenue_Build!AY497*Assumptions!$B$172</f>
        <v/>
      </c>
      <c r="AZ162" s="8">
        <f>Revenue_Build!AZ497*Assumptions!$B$172</f>
        <v/>
      </c>
      <c r="BA162" s="8">
        <f>Revenue_Build!BA497*Assumptions!$B$172</f>
        <v/>
      </c>
      <c r="BB162" s="8">
        <f>Revenue_Build!BB497*Assumptions!$B$172</f>
        <v/>
      </c>
      <c r="BC162" s="8">
        <f>Revenue_Build!BC497*Assumptions!$B$172</f>
        <v/>
      </c>
      <c r="BD162" s="8">
        <f>Revenue_Build!BD497*Assumptions!$B$172</f>
        <v/>
      </c>
      <c r="BE162" s="8">
        <f>Revenue_Build!BE497*Assumptions!$B$172</f>
        <v/>
      </c>
      <c r="BF162" s="8">
        <f>Revenue_Build!BF497*Assumptions!$B$172</f>
        <v/>
      </c>
      <c r="BG162" s="8">
        <f>Revenue_Build!BG497*Assumptions!$B$172</f>
        <v/>
      </c>
      <c r="BH162" s="8">
        <f>Revenue_Build!BH497*Assumptions!$B$172</f>
        <v/>
      </c>
      <c r="BI162" s="8">
        <f>Revenue_Build!BI497*Assumptions!$B$172</f>
        <v/>
      </c>
      <c r="BJ162" s="8">
        <f>Revenue_Build!BJ497*Assumptions!$B$172</f>
        <v/>
      </c>
    </row>
    <row r="163">
      <c r="A163" s="4" t="inlineStr">
        <is>
          <t>Non-SA share of paying workspaces</t>
        </is>
      </c>
      <c r="B163" s="17" t="inlineStr">
        <is>
          <t>%</t>
        </is>
      </c>
      <c r="C163" s="9">
        <f>IF(Revenue_Build!C411=0,0,1-Revenue_Build!C360/Revenue_Build!C411)</f>
        <v/>
      </c>
      <c r="D163" s="9">
        <f>IF(Revenue_Build!D411=0,0,1-Revenue_Build!D360/Revenue_Build!D411)</f>
        <v/>
      </c>
      <c r="E163" s="9">
        <f>IF(Revenue_Build!E411=0,0,1-Revenue_Build!E360/Revenue_Build!E411)</f>
        <v/>
      </c>
      <c r="F163" s="9">
        <f>IF(Revenue_Build!F411=0,0,1-Revenue_Build!F360/Revenue_Build!F411)</f>
        <v/>
      </c>
      <c r="G163" s="9">
        <f>IF(Revenue_Build!G411=0,0,1-Revenue_Build!G360/Revenue_Build!G411)</f>
        <v/>
      </c>
      <c r="H163" s="9">
        <f>IF(Revenue_Build!H411=0,0,1-Revenue_Build!H360/Revenue_Build!H411)</f>
        <v/>
      </c>
      <c r="I163" s="9">
        <f>IF(Revenue_Build!I411=0,0,1-Revenue_Build!I360/Revenue_Build!I411)</f>
        <v/>
      </c>
      <c r="J163" s="9">
        <f>IF(Revenue_Build!J411=0,0,1-Revenue_Build!J360/Revenue_Build!J411)</f>
        <v/>
      </c>
      <c r="K163" s="9">
        <f>IF(Revenue_Build!K411=0,0,1-Revenue_Build!K360/Revenue_Build!K411)</f>
        <v/>
      </c>
      <c r="L163" s="9">
        <f>IF(Revenue_Build!L411=0,0,1-Revenue_Build!L360/Revenue_Build!L411)</f>
        <v/>
      </c>
      <c r="M163" s="9">
        <f>IF(Revenue_Build!M411=0,0,1-Revenue_Build!M360/Revenue_Build!M411)</f>
        <v/>
      </c>
      <c r="N163" s="9">
        <f>IF(Revenue_Build!N411=0,0,1-Revenue_Build!N360/Revenue_Build!N411)</f>
        <v/>
      </c>
      <c r="O163" s="9">
        <f>IF(Revenue_Build!O411=0,0,1-Revenue_Build!O360/Revenue_Build!O411)</f>
        <v/>
      </c>
      <c r="P163" s="9">
        <f>IF(Revenue_Build!P411=0,0,1-Revenue_Build!P360/Revenue_Build!P411)</f>
        <v/>
      </c>
      <c r="Q163" s="9">
        <f>IF(Revenue_Build!Q411=0,0,1-Revenue_Build!Q360/Revenue_Build!Q411)</f>
        <v/>
      </c>
      <c r="R163" s="9">
        <f>IF(Revenue_Build!R411=0,0,1-Revenue_Build!R360/Revenue_Build!R411)</f>
        <v/>
      </c>
      <c r="S163" s="9">
        <f>IF(Revenue_Build!S411=0,0,1-Revenue_Build!S360/Revenue_Build!S411)</f>
        <v/>
      </c>
      <c r="T163" s="9">
        <f>IF(Revenue_Build!T411=0,0,1-Revenue_Build!T360/Revenue_Build!T411)</f>
        <v/>
      </c>
      <c r="U163" s="9">
        <f>IF(Revenue_Build!U411=0,0,1-Revenue_Build!U360/Revenue_Build!U411)</f>
        <v/>
      </c>
      <c r="V163" s="9">
        <f>IF(Revenue_Build!V411=0,0,1-Revenue_Build!V360/Revenue_Build!V411)</f>
        <v/>
      </c>
      <c r="W163" s="9">
        <f>IF(Revenue_Build!W411=0,0,1-Revenue_Build!W360/Revenue_Build!W411)</f>
        <v/>
      </c>
      <c r="X163" s="9">
        <f>IF(Revenue_Build!X411=0,0,1-Revenue_Build!X360/Revenue_Build!X411)</f>
        <v/>
      </c>
      <c r="Y163" s="9">
        <f>IF(Revenue_Build!Y411=0,0,1-Revenue_Build!Y360/Revenue_Build!Y411)</f>
        <v/>
      </c>
      <c r="Z163" s="9">
        <f>IF(Revenue_Build!Z411=0,0,1-Revenue_Build!Z360/Revenue_Build!Z411)</f>
        <v/>
      </c>
      <c r="AA163" s="9">
        <f>IF(Revenue_Build!AA411=0,0,1-Revenue_Build!AA360/Revenue_Build!AA411)</f>
        <v/>
      </c>
      <c r="AB163" s="9">
        <f>IF(Revenue_Build!AB411=0,0,1-Revenue_Build!AB360/Revenue_Build!AB411)</f>
        <v/>
      </c>
      <c r="AC163" s="9">
        <f>IF(Revenue_Build!AC411=0,0,1-Revenue_Build!AC360/Revenue_Build!AC411)</f>
        <v/>
      </c>
      <c r="AD163" s="9">
        <f>IF(Revenue_Build!AD411=0,0,1-Revenue_Build!AD360/Revenue_Build!AD411)</f>
        <v/>
      </c>
      <c r="AE163" s="9">
        <f>IF(Revenue_Build!AE411=0,0,1-Revenue_Build!AE360/Revenue_Build!AE411)</f>
        <v/>
      </c>
      <c r="AF163" s="9">
        <f>IF(Revenue_Build!AF411=0,0,1-Revenue_Build!AF360/Revenue_Build!AF411)</f>
        <v/>
      </c>
      <c r="AG163" s="9">
        <f>IF(Revenue_Build!AG411=0,0,1-Revenue_Build!AG360/Revenue_Build!AG411)</f>
        <v/>
      </c>
      <c r="AH163" s="9">
        <f>IF(Revenue_Build!AH411=0,0,1-Revenue_Build!AH360/Revenue_Build!AH411)</f>
        <v/>
      </c>
      <c r="AI163" s="9">
        <f>IF(Revenue_Build!AI411=0,0,1-Revenue_Build!AI360/Revenue_Build!AI411)</f>
        <v/>
      </c>
      <c r="AJ163" s="9">
        <f>IF(Revenue_Build!AJ411=0,0,1-Revenue_Build!AJ360/Revenue_Build!AJ411)</f>
        <v/>
      </c>
      <c r="AK163" s="9">
        <f>IF(Revenue_Build!AK411=0,0,1-Revenue_Build!AK360/Revenue_Build!AK411)</f>
        <v/>
      </c>
      <c r="AL163" s="9">
        <f>IF(Revenue_Build!AL411=0,0,1-Revenue_Build!AL360/Revenue_Build!AL411)</f>
        <v/>
      </c>
      <c r="AM163" s="9">
        <f>IF(Revenue_Build!AM411=0,0,1-Revenue_Build!AM360/Revenue_Build!AM411)</f>
        <v/>
      </c>
      <c r="AN163" s="9">
        <f>IF(Revenue_Build!AN411=0,0,1-Revenue_Build!AN360/Revenue_Build!AN411)</f>
        <v/>
      </c>
      <c r="AO163" s="9">
        <f>IF(Revenue_Build!AO411=0,0,1-Revenue_Build!AO360/Revenue_Build!AO411)</f>
        <v/>
      </c>
      <c r="AP163" s="9">
        <f>IF(Revenue_Build!AP411=0,0,1-Revenue_Build!AP360/Revenue_Build!AP411)</f>
        <v/>
      </c>
      <c r="AQ163" s="9">
        <f>IF(Revenue_Build!AQ411=0,0,1-Revenue_Build!AQ360/Revenue_Build!AQ411)</f>
        <v/>
      </c>
      <c r="AR163" s="9">
        <f>IF(Revenue_Build!AR411=0,0,1-Revenue_Build!AR360/Revenue_Build!AR411)</f>
        <v/>
      </c>
      <c r="AS163" s="9">
        <f>IF(Revenue_Build!AS411=0,0,1-Revenue_Build!AS360/Revenue_Build!AS411)</f>
        <v/>
      </c>
      <c r="AT163" s="9">
        <f>IF(Revenue_Build!AT411=0,0,1-Revenue_Build!AT360/Revenue_Build!AT411)</f>
        <v/>
      </c>
      <c r="AU163" s="9">
        <f>IF(Revenue_Build!AU411=0,0,1-Revenue_Build!AU360/Revenue_Build!AU411)</f>
        <v/>
      </c>
      <c r="AV163" s="9">
        <f>IF(Revenue_Build!AV411=0,0,1-Revenue_Build!AV360/Revenue_Build!AV411)</f>
        <v/>
      </c>
      <c r="AW163" s="9">
        <f>IF(Revenue_Build!AW411=0,0,1-Revenue_Build!AW360/Revenue_Build!AW411)</f>
        <v/>
      </c>
      <c r="AX163" s="9">
        <f>IF(Revenue_Build!AX411=0,0,1-Revenue_Build!AX360/Revenue_Build!AX411)</f>
        <v/>
      </c>
      <c r="AY163" s="9">
        <f>IF(Revenue_Build!AY411=0,0,1-Revenue_Build!AY360/Revenue_Build!AY411)</f>
        <v/>
      </c>
      <c r="AZ163" s="9">
        <f>IF(Revenue_Build!AZ411=0,0,1-Revenue_Build!AZ360/Revenue_Build!AZ411)</f>
        <v/>
      </c>
      <c r="BA163" s="9">
        <f>IF(Revenue_Build!BA411=0,0,1-Revenue_Build!BA360/Revenue_Build!BA411)</f>
        <v/>
      </c>
      <c r="BB163" s="9">
        <f>IF(Revenue_Build!BB411=0,0,1-Revenue_Build!BB360/Revenue_Build!BB411)</f>
        <v/>
      </c>
      <c r="BC163" s="9">
        <f>IF(Revenue_Build!BC411=0,0,1-Revenue_Build!BC360/Revenue_Build!BC411)</f>
        <v/>
      </c>
      <c r="BD163" s="9">
        <f>IF(Revenue_Build!BD411=0,0,1-Revenue_Build!BD360/Revenue_Build!BD411)</f>
        <v/>
      </c>
      <c r="BE163" s="9">
        <f>IF(Revenue_Build!BE411=0,0,1-Revenue_Build!BE360/Revenue_Build!BE411)</f>
        <v/>
      </c>
      <c r="BF163" s="9">
        <f>IF(Revenue_Build!BF411=0,0,1-Revenue_Build!BF360/Revenue_Build!BF411)</f>
        <v/>
      </c>
      <c r="BG163" s="9">
        <f>IF(Revenue_Build!BG411=0,0,1-Revenue_Build!BG360/Revenue_Build!BG411)</f>
        <v/>
      </c>
      <c r="BH163" s="9">
        <f>IF(Revenue_Build!BH411=0,0,1-Revenue_Build!BH360/Revenue_Build!BH411)</f>
        <v/>
      </c>
      <c r="BI163" s="9">
        <f>IF(Revenue_Build!BI411=0,0,1-Revenue_Build!BI360/Revenue_Build!BI411)</f>
        <v/>
      </c>
      <c r="BJ163" s="9">
        <f>IF(Revenue_Build!BJ411=0,0,1-Revenue_Build!BJ360/Revenue_Build!BJ411)</f>
        <v/>
      </c>
    </row>
    <row r="164">
      <c r="A164" s="4" t="inlineStr">
        <is>
          <t>Blended processing rate (card/EFT + mobile money)</t>
        </is>
      </c>
      <c r="B164" s="17" t="inlineStr">
        <is>
          <t>%</t>
        </is>
      </c>
      <c r="C164" s="27">
        <f>Assumptions!$B$186+C163*Assumptions!$B$187</f>
        <v/>
      </c>
      <c r="D164" s="27">
        <f>Assumptions!$B$186+D163*Assumptions!$B$187</f>
        <v/>
      </c>
      <c r="E164" s="27">
        <f>Assumptions!$B$186+E163*Assumptions!$B$187</f>
        <v/>
      </c>
      <c r="F164" s="27">
        <f>Assumptions!$B$186+F163*Assumptions!$B$187</f>
        <v/>
      </c>
      <c r="G164" s="27">
        <f>Assumptions!$B$186+G163*Assumptions!$B$187</f>
        <v/>
      </c>
      <c r="H164" s="27">
        <f>Assumptions!$B$186+H163*Assumptions!$B$187</f>
        <v/>
      </c>
      <c r="I164" s="27">
        <f>Assumptions!$B$186+I163*Assumptions!$B$187</f>
        <v/>
      </c>
      <c r="J164" s="27">
        <f>Assumptions!$B$186+J163*Assumptions!$B$187</f>
        <v/>
      </c>
      <c r="K164" s="27">
        <f>Assumptions!$B$186+K163*Assumptions!$B$187</f>
        <v/>
      </c>
      <c r="L164" s="27">
        <f>Assumptions!$B$186+L163*Assumptions!$B$187</f>
        <v/>
      </c>
      <c r="M164" s="27">
        <f>Assumptions!$B$186+M163*Assumptions!$B$187</f>
        <v/>
      </c>
      <c r="N164" s="27">
        <f>Assumptions!$B$186+N163*Assumptions!$B$187</f>
        <v/>
      </c>
      <c r="O164" s="27">
        <f>Assumptions!$B$186+O163*Assumptions!$B$187</f>
        <v/>
      </c>
      <c r="P164" s="27">
        <f>Assumptions!$B$186+P163*Assumptions!$B$187</f>
        <v/>
      </c>
      <c r="Q164" s="27">
        <f>Assumptions!$B$186+Q163*Assumptions!$B$187</f>
        <v/>
      </c>
      <c r="R164" s="27">
        <f>Assumptions!$B$186+R163*Assumptions!$B$187</f>
        <v/>
      </c>
      <c r="S164" s="27">
        <f>Assumptions!$B$186+S163*Assumptions!$B$187</f>
        <v/>
      </c>
      <c r="T164" s="27">
        <f>Assumptions!$B$186+T163*Assumptions!$B$187</f>
        <v/>
      </c>
      <c r="U164" s="27">
        <f>Assumptions!$B$186+U163*Assumptions!$B$187</f>
        <v/>
      </c>
      <c r="V164" s="27">
        <f>Assumptions!$B$186+V163*Assumptions!$B$187</f>
        <v/>
      </c>
      <c r="W164" s="27">
        <f>Assumptions!$B$186+W163*Assumptions!$B$187</f>
        <v/>
      </c>
      <c r="X164" s="27">
        <f>Assumptions!$B$186+X163*Assumptions!$B$187</f>
        <v/>
      </c>
      <c r="Y164" s="27">
        <f>Assumptions!$B$186+Y163*Assumptions!$B$187</f>
        <v/>
      </c>
      <c r="Z164" s="27">
        <f>Assumptions!$B$186+Z163*Assumptions!$B$187</f>
        <v/>
      </c>
      <c r="AA164" s="27">
        <f>Assumptions!$B$186+AA163*Assumptions!$B$187</f>
        <v/>
      </c>
      <c r="AB164" s="27">
        <f>Assumptions!$B$186+AB163*Assumptions!$B$187</f>
        <v/>
      </c>
      <c r="AC164" s="27">
        <f>Assumptions!$B$186+AC163*Assumptions!$B$187</f>
        <v/>
      </c>
      <c r="AD164" s="27">
        <f>Assumptions!$B$186+AD163*Assumptions!$B$187</f>
        <v/>
      </c>
      <c r="AE164" s="27">
        <f>Assumptions!$B$186+AE163*Assumptions!$B$187</f>
        <v/>
      </c>
      <c r="AF164" s="27">
        <f>Assumptions!$B$186+AF163*Assumptions!$B$187</f>
        <v/>
      </c>
      <c r="AG164" s="27">
        <f>Assumptions!$B$186+AG163*Assumptions!$B$187</f>
        <v/>
      </c>
      <c r="AH164" s="27">
        <f>Assumptions!$B$186+AH163*Assumptions!$B$187</f>
        <v/>
      </c>
      <c r="AI164" s="27">
        <f>Assumptions!$B$186+AI163*Assumptions!$B$187</f>
        <v/>
      </c>
      <c r="AJ164" s="27">
        <f>Assumptions!$B$186+AJ163*Assumptions!$B$187</f>
        <v/>
      </c>
      <c r="AK164" s="27">
        <f>Assumptions!$B$186+AK163*Assumptions!$B$187</f>
        <v/>
      </c>
      <c r="AL164" s="27">
        <f>Assumptions!$B$186+AL163*Assumptions!$B$187</f>
        <v/>
      </c>
      <c r="AM164" s="27">
        <f>Assumptions!$B$186+AM163*Assumptions!$B$187</f>
        <v/>
      </c>
      <c r="AN164" s="27">
        <f>Assumptions!$B$186+AN163*Assumptions!$B$187</f>
        <v/>
      </c>
      <c r="AO164" s="27">
        <f>Assumptions!$B$186+AO163*Assumptions!$B$187</f>
        <v/>
      </c>
      <c r="AP164" s="27">
        <f>Assumptions!$B$186+AP163*Assumptions!$B$187</f>
        <v/>
      </c>
      <c r="AQ164" s="27">
        <f>Assumptions!$B$186+AQ163*Assumptions!$B$187</f>
        <v/>
      </c>
      <c r="AR164" s="27">
        <f>Assumptions!$B$186+AR163*Assumptions!$B$187</f>
        <v/>
      </c>
      <c r="AS164" s="27">
        <f>Assumptions!$B$186+AS163*Assumptions!$B$187</f>
        <v/>
      </c>
      <c r="AT164" s="27">
        <f>Assumptions!$B$186+AT163*Assumptions!$B$187</f>
        <v/>
      </c>
      <c r="AU164" s="27">
        <f>Assumptions!$B$186+AU163*Assumptions!$B$187</f>
        <v/>
      </c>
      <c r="AV164" s="27">
        <f>Assumptions!$B$186+AV163*Assumptions!$B$187</f>
        <v/>
      </c>
      <c r="AW164" s="27">
        <f>Assumptions!$B$186+AW163*Assumptions!$B$187</f>
        <v/>
      </c>
      <c r="AX164" s="27">
        <f>Assumptions!$B$186+AX163*Assumptions!$B$187</f>
        <v/>
      </c>
      <c r="AY164" s="27">
        <f>Assumptions!$B$186+AY163*Assumptions!$B$187</f>
        <v/>
      </c>
      <c r="AZ164" s="27">
        <f>Assumptions!$B$186+AZ163*Assumptions!$B$187</f>
        <v/>
      </c>
      <c r="BA164" s="27">
        <f>Assumptions!$B$186+BA163*Assumptions!$B$187</f>
        <v/>
      </c>
      <c r="BB164" s="27">
        <f>Assumptions!$B$186+BB163*Assumptions!$B$187</f>
        <v/>
      </c>
      <c r="BC164" s="27">
        <f>Assumptions!$B$186+BC163*Assumptions!$B$187</f>
        <v/>
      </c>
      <c r="BD164" s="27">
        <f>Assumptions!$B$186+BD163*Assumptions!$B$187</f>
        <v/>
      </c>
      <c r="BE164" s="27">
        <f>Assumptions!$B$186+BE163*Assumptions!$B$187</f>
        <v/>
      </c>
      <c r="BF164" s="27">
        <f>Assumptions!$B$186+BF163*Assumptions!$B$187</f>
        <v/>
      </c>
      <c r="BG164" s="27">
        <f>Assumptions!$B$186+BG163*Assumptions!$B$187</f>
        <v/>
      </c>
      <c r="BH164" s="27">
        <f>Assumptions!$B$186+BH163*Assumptions!$B$187</f>
        <v/>
      </c>
      <c r="BI164" s="27">
        <f>Assumptions!$B$186+BI163*Assumptions!$B$187</f>
        <v/>
      </c>
      <c r="BJ164" s="27">
        <f>Assumptions!$B$186+BJ163*Assumptions!$B$187</f>
        <v/>
      </c>
    </row>
    <row r="165">
      <c r="A165" s="4" t="inlineStr">
        <is>
          <t>Payment processing (excl. commerce fee, netted from GMV)</t>
        </is>
      </c>
      <c r="B165" s="17" t="inlineStr">
        <is>
          <t>R</t>
        </is>
      </c>
      <c r="C165" s="8">
        <f>(Revenue_Build!C504-Revenue_Build!C501)*C164</f>
        <v/>
      </c>
      <c r="D165" s="8">
        <f>(Revenue_Build!D504-Revenue_Build!D501)*D164</f>
        <v/>
      </c>
      <c r="E165" s="8">
        <f>(Revenue_Build!E504-Revenue_Build!E501)*E164</f>
        <v/>
      </c>
      <c r="F165" s="8">
        <f>(Revenue_Build!F504-Revenue_Build!F501)*F164</f>
        <v/>
      </c>
      <c r="G165" s="8">
        <f>(Revenue_Build!G504-Revenue_Build!G501)*G164</f>
        <v/>
      </c>
      <c r="H165" s="8">
        <f>(Revenue_Build!H504-Revenue_Build!H501)*H164</f>
        <v/>
      </c>
      <c r="I165" s="8">
        <f>(Revenue_Build!I504-Revenue_Build!I501)*I164</f>
        <v/>
      </c>
      <c r="J165" s="8">
        <f>(Revenue_Build!J504-Revenue_Build!J501)*J164</f>
        <v/>
      </c>
      <c r="K165" s="8">
        <f>(Revenue_Build!K504-Revenue_Build!K501)*K164</f>
        <v/>
      </c>
      <c r="L165" s="8">
        <f>(Revenue_Build!L504-Revenue_Build!L501)*L164</f>
        <v/>
      </c>
      <c r="M165" s="8">
        <f>(Revenue_Build!M504-Revenue_Build!M501)*M164</f>
        <v/>
      </c>
      <c r="N165" s="8">
        <f>(Revenue_Build!N504-Revenue_Build!N501)*N164</f>
        <v/>
      </c>
      <c r="O165" s="8">
        <f>(Revenue_Build!O504-Revenue_Build!O501)*O164</f>
        <v/>
      </c>
      <c r="P165" s="8">
        <f>(Revenue_Build!P504-Revenue_Build!P501)*P164</f>
        <v/>
      </c>
      <c r="Q165" s="8">
        <f>(Revenue_Build!Q504-Revenue_Build!Q501)*Q164</f>
        <v/>
      </c>
      <c r="R165" s="8">
        <f>(Revenue_Build!R504-Revenue_Build!R501)*R164</f>
        <v/>
      </c>
      <c r="S165" s="8">
        <f>(Revenue_Build!S504-Revenue_Build!S501)*S164</f>
        <v/>
      </c>
      <c r="T165" s="8">
        <f>(Revenue_Build!T504-Revenue_Build!T501)*T164</f>
        <v/>
      </c>
      <c r="U165" s="8">
        <f>(Revenue_Build!U504-Revenue_Build!U501)*U164</f>
        <v/>
      </c>
      <c r="V165" s="8">
        <f>(Revenue_Build!V504-Revenue_Build!V501)*V164</f>
        <v/>
      </c>
      <c r="W165" s="8">
        <f>(Revenue_Build!W504-Revenue_Build!W501)*W164</f>
        <v/>
      </c>
      <c r="X165" s="8">
        <f>(Revenue_Build!X504-Revenue_Build!X501)*X164</f>
        <v/>
      </c>
      <c r="Y165" s="8">
        <f>(Revenue_Build!Y504-Revenue_Build!Y501)*Y164</f>
        <v/>
      </c>
      <c r="Z165" s="8">
        <f>(Revenue_Build!Z504-Revenue_Build!Z501)*Z164</f>
        <v/>
      </c>
      <c r="AA165" s="8">
        <f>(Revenue_Build!AA504-Revenue_Build!AA501)*AA164</f>
        <v/>
      </c>
      <c r="AB165" s="8">
        <f>(Revenue_Build!AB504-Revenue_Build!AB501)*AB164</f>
        <v/>
      </c>
      <c r="AC165" s="8">
        <f>(Revenue_Build!AC504-Revenue_Build!AC501)*AC164</f>
        <v/>
      </c>
      <c r="AD165" s="8">
        <f>(Revenue_Build!AD504-Revenue_Build!AD501)*AD164</f>
        <v/>
      </c>
      <c r="AE165" s="8">
        <f>(Revenue_Build!AE504-Revenue_Build!AE501)*AE164</f>
        <v/>
      </c>
      <c r="AF165" s="8">
        <f>(Revenue_Build!AF504-Revenue_Build!AF501)*AF164</f>
        <v/>
      </c>
      <c r="AG165" s="8">
        <f>(Revenue_Build!AG504-Revenue_Build!AG501)*AG164</f>
        <v/>
      </c>
      <c r="AH165" s="8">
        <f>(Revenue_Build!AH504-Revenue_Build!AH501)*AH164</f>
        <v/>
      </c>
      <c r="AI165" s="8">
        <f>(Revenue_Build!AI504-Revenue_Build!AI501)*AI164</f>
        <v/>
      </c>
      <c r="AJ165" s="8">
        <f>(Revenue_Build!AJ504-Revenue_Build!AJ501)*AJ164</f>
        <v/>
      </c>
      <c r="AK165" s="8">
        <f>(Revenue_Build!AK504-Revenue_Build!AK501)*AK164</f>
        <v/>
      </c>
      <c r="AL165" s="8">
        <f>(Revenue_Build!AL504-Revenue_Build!AL501)*AL164</f>
        <v/>
      </c>
      <c r="AM165" s="8">
        <f>(Revenue_Build!AM504-Revenue_Build!AM501)*AM164</f>
        <v/>
      </c>
      <c r="AN165" s="8">
        <f>(Revenue_Build!AN504-Revenue_Build!AN501)*AN164</f>
        <v/>
      </c>
      <c r="AO165" s="8">
        <f>(Revenue_Build!AO504-Revenue_Build!AO501)*AO164</f>
        <v/>
      </c>
      <c r="AP165" s="8">
        <f>(Revenue_Build!AP504-Revenue_Build!AP501)*AP164</f>
        <v/>
      </c>
      <c r="AQ165" s="8">
        <f>(Revenue_Build!AQ504-Revenue_Build!AQ501)*AQ164</f>
        <v/>
      </c>
      <c r="AR165" s="8">
        <f>(Revenue_Build!AR504-Revenue_Build!AR501)*AR164</f>
        <v/>
      </c>
      <c r="AS165" s="8">
        <f>(Revenue_Build!AS504-Revenue_Build!AS501)*AS164</f>
        <v/>
      </c>
      <c r="AT165" s="8">
        <f>(Revenue_Build!AT504-Revenue_Build!AT501)*AT164</f>
        <v/>
      </c>
      <c r="AU165" s="8">
        <f>(Revenue_Build!AU504-Revenue_Build!AU501)*AU164</f>
        <v/>
      </c>
      <c r="AV165" s="8">
        <f>(Revenue_Build!AV504-Revenue_Build!AV501)*AV164</f>
        <v/>
      </c>
      <c r="AW165" s="8">
        <f>(Revenue_Build!AW504-Revenue_Build!AW501)*AW164</f>
        <v/>
      </c>
      <c r="AX165" s="8">
        <f>(Revenue_Build!AX504-Revenue_Build!AX501)*AX164</f>
        <v/>
      </c>
      <c r="AY165" s="8">
        <f>(Revenue_Build!AY504-Revenue_Build!AY501)*AY164</f>
        <v/>
      </c>
      <c r="AZ165" s="8">
        <f>(Revenue_Build!AZ504-Revenue_Build!AZ501)*AZ164</f>
        <v/>
      </c>
      <c r="BA165" s="8">
        <f>(Revenue_Build!BA504-Revenue_Build!BA501)*BA164</f>
        <v/>
      </c>
      <c r="BB165" s="8">
        <f>(Revenue_Build!BB504-Revenue_Build!BB501)*BB164</f>
        <v/>
      </c>
      <c r="BC165" s="8">
        <f>(Revenue_Build!BC504-Revenue_Build!BC501)*BC164</f>
        <v/>
      </c>
      <c r="BD165" s="8">
        <f>(Revenue_Build!BD504-Revenue_Build!BD501)*BD164</f>
        <v/>
      </c>
      <c r="BE165" s="8">
        <f>(Revenue_Build!BE504-Revenue_Build!BE501)*BE164</f>
        <v/>
      </c>
      <c r="BF165" s="8">
        <f>(Revenue_Build!BF504-Revenue_Build!BF501)*BF164</f>
        <v/>
      </c>
      <c r="BG165" s="8">
        <f>(Revenue_Build!BG504-Revenue_Build!BG501)*BG164</f>
        <v/>
      </c>
      <c r="BH165" s="8">
        <f>(Revenue_Build!BH504-Revenue_Build!BH501)*BH164</f>
        <v/>
      </c>
      <c r="BI165" s="8">
        <f>(Revenue_Build!BI504-Revenue_Build!BI501)*BI164</f>
        <v/>
      </c>
      <c r="BJ165" s="8">
        <f>(Revenue_Build!BJ504-Revenue_Build!BJ501)*BJ164</f>
        <v/>
      </c>
    </row>
    <row r="166">
      <c r="A166" s="4" t="inlineStr">
        <is>
          <t>Variable support cost</t>
        </is>
      </c>
      <c r="B166" s="17" t="inlineStr">
        <is>
          <t>R</t>
        </is>
      </c>
      <c r="C166" s="8">
        <f>Revenue_Build!C411*Assumptions!$B$188</f>
        <v/>
      </c>
      <c r="D166" s="8">
        <f>Revenue_Build!D411*Assumptions!$B$188</f>
        <v/>
      </c>
      <c r="E166" s="8">
        <f>Revenue_Build!E411*Assumptions!$B$188</f>
        <v/>
      </c>
      <c r="F166" s="8">
        <f>Revenue_Build!F411*Assumptions!$B$188</f>
        <v/>
      </c>
      <c r="G166" s="8">
        <f>Revenue_Build!G411*Assumptions!$B$188</f>
        <v/>
      </c>
      <c r="H166" s="8">
        <f>Revenue_Build!H411*Assumptions!$B$188</f>
        <v/>
      </c>
      <c r="I166" s="8">
        <f>Revenue_Build!I411*Assumptions!$B$188</f>
        <v/>
      </c>
      <c r="J166" s="8">
        <f>Revenue_Build!J411*Assumptions!$B$188</f>
        <v/>
      </c>
      <c r="K166" s="8">
        <f>Revenue_Build!K411*Assumptions!$B$188</f>
        <v/>
      </c>
      <c r="L166" s="8">
        <f>Revenue_Build!L411*Assumptions!$B$188</f>
        <v/>
      </c>
      <c r="M166" s="8">
        <f>Revenue_Build!M411*Assumptions!$B$188</f>
        <v/>
      </c>
      <c r="N166" s="8">
        <f>Revenue_Build!N411*Assumptions!$B$188</f>
        <v/>
      </c>
      <c r="O166" s="8">
        <f>Revenue_Build!O411*Assumptions!$B$188</f>
        <v/>
      </c>
      <c r="P166" s="8">
        <f>Revenue_Build!P411*Assumptions!$B$188</f>
        <v/>
      </c>
      <c r="Q166" s="8">
        <f>Revenue_Build!Q411*Assumptions!$B$188</f>
        <v/>
      </c>
      <c r="R166" s="8">
        <f>Revenue_Build!R411*Assumptions!$B$188</f>
        <v/>
      </c>
      <c r="S166" s="8">
        <f>Revenue_Build!S411*Assumptions!$B$188</f>
        <v/>
      </c>
      <c r="T166" s="8">
        <f>Revenue_Build!T411*Assumptions!$B$188</f>
        <v/>
      </c>
      <c r="U166" s="8">
        <f>Revenue_Build!U411*Assumptions!$B$188</f>
        <v/>
      </c>
      <c r="V166" s="8">
        <f>Revenue_Build!V411*Assumptions!$B$188</f>
        <v/>
      </c>
      <c r="W166" s="8">
        <f>Revenue_Build!W411*Assumptions!$B$188</f>
        <v/>
      </c>
      <c r="X166" s="8">
        <f>Revenue_Build!X411*Assumptions!$B$188</f>
        <v/>
      </c>
      <c r="Y166" s="8">
        <f>Revenue_Build!Y411*Assumptions!$B$188</f>
        <v/>
      </c>
      <c r="Z166" s="8">
        <f>Revenue_Build!Z411*Assumptions!$B$188</f>
        <v/>
      </c>
      <c r="AA166" s="8">
        <f>Revenue_Build!AA411*Assumptions!$B$188</f>
        <v/>
      </c>
      <c r="AB166" s="8">
        <f>Revenue_Build!AB411*Assumptions!$B$188</f>
        <v/>
      </c>
      <c r="AC166" s="8">
        <f>Revenue_Build!AC411*Assumptions!$B$188</f>
        <v/>
      </c>
      <c r="AD166" s="8">
        <f>Revenue_Build!AD411*Assumptions!$B$188</f>
        <v/>
      </c>
      <c r="AE166" s="8">
        <f>Revenue_Build!AE411*Assumptions!$B$188</f>
        <v/>
      </c>
      <c r="AF166" s="8">
        <f>Revenue_Build!AF411*Assumptions!$B$188</f>
        <v/>
      </c>
      <c r="AG166" s="8">
        <f>Revenue_Build!AG411*Assumptions!$B$188</f>
        <v/>
      </c>
      <c r="AH166" s="8">
        <f>Revenue_Build!AH411*Assumptions!$B$188</f>
        <v/>
      </c>
      <c r="AI166" s="8">
        <f>Revenue_Build!AI411*Assumptions!$B$188</f>
        <v/>
      </c>
      <c r="AJ166" s="8">
        <f>Revenue_Build!AJ411*Assumptions!$B$188</f>
        <v/>
      </c>
      <c r="AK166" s="8">
        <f>Revenue_Build!AK411*Assumptions!$B$188</f>
        <v/>
      </c>
      <c r="AL166" s="8">
        <f>Revenue_Build!AL411*Assumptions!$B$188</f>
        <v/>
      </c>
      <c r="AM166" s="8">
        <f>Revenue_Build!AM411*Assumptions!$B$188</f>
        <v/>
      </c>
      <c r="AN166" s="8">
        <f>Revenue_Build!AN411*Assumptions!$B$188</f>
        <v/>
      </c>
      <c r="AO166" s="8">
        <f>Revenue_Build!AO411*Assumptions!$B$188</f>
        <v/>
      </c>
      <c r="AP166" s="8">
        <f>Revenue_Build!AP411*Assumptions!$B$188</f>
        <v/>
      </c>
      <c r="AQ166" s="8">
        <f>Revenue_Build!AQ411*Assumptions!$B$188</f>
        <v/>
      </c>
      <c r="AR166" s="8">
        <f>Revenue_Build!AR411*Assumptions!$B$188</f>
        <v/>
      </c>
      <c r="AS166" s="8">
        <f>Revenue_Build!AS411*Assumptions!$B$188</f>
        <v/>
      </c>
      <c r="AT166" s="8">
        <f>Revenue_Build!AT411*Assumptions!$B$188</f>
        <v/>
      </c>
      <c r="AU166" s="8">
        <f>Revenue_Build!AU411*Assumptions!$B$188</f>
        <v/>
      </c>
      <c r="AV166" s="8">
        <f>Revenue_Build!AV411*Assumptions!$B$188</f>
        <v/>
      </c>
      <c r="AW166" s="8">
        <f>Revenue_Build!AW411*Assumptions!$B$188</f>
        <v/>
      </c>
      <c r="AX166" s="8">
        <f>Revenue_Build!AX411*Assumptions!$B$188</f>
        <v/>
      </c>
      <c r="AY166" s="8">
        <f>Revenue_Build!AY411*Assumptions!$B$188</f>
        <v/>
      </c>
      <c r="AZ166" s="8">
        <f>Revenue_Build!AZ411*Assumptions!$B$188</f>
        <v/>
      </c>
      <c r="BA166" s="8">
        <f>Revenue_Build!BA411*Assumptions!$B$188</f>
        <v/>
      </c>
      <c r="BB166" s="8">
        <f>Revenue_Build!BB411*Assumptions!$B$188</f>
        <v/>
      </c>
      <c r="BC166" s="8">
        <f>Revenue_Build!BC411*Assumptions!$B$188</f>
        <v/>
      </c>
      <c r="BD166" s="8">
        <f>Revenue_Build!BD411*Assumptions!$B$188</f>
        <v/>
      </c>
      <c r="BE166" s="8">
        <f>Revenue_Build!BE411*Assumptions!$B$188</f>
        <v/>
      </c>
      <c r="BF166" s="8">
        <f>Revenue_Build!BF411*Assumptions!$B$188</f>
        <v/>
      </c>
      <c r="BG166" s="8">
        <f>Revenue_Build!BG411*Assumptions!$B$188</f>
        <v/>
      </c>
      <c r="BH166" s="8">
        <f>Revenue_Build!BH411*Assumptions!$B$188</f>
        <v/>
      </c>
      <c r="BI166" s="8">
        <f>Revenue_Build!BI411*Assumptions!$B$188</f>
        <v/>
      </c>
      <c r="BJ166" s="8">
        <f>Revenue_Build!BJ411*Assumptions!$B$188</f>
        <v/>
      </c>
    </row>
    <row r="167">
      <c r="A167" s="4" t="inlineStr">
        <is>
          <t>Customer success team (payroll)</t>
        </is>
      </c>
      <c r="B167" s="17" t="inlineStr">
        <is>
          <t>R</t>
        </is>
      </c>
      <c r="C167" s="8">
        <f>C148</f>
        <v/>
      </c>
      <c r="D167" s="8">
        <f>D148</f>
        <v/>
      </c>
      <c r="E167" s="8">
        <f>E148</f>
        <v/>
      </c>
      <c r="F167" s="8">
        <f>F148</f>
        <v/>
      </c>
      <c r="G167" s="8">
        <f>G148</f>
        <v/>
      </c>
      <c r="H167" s="8">
        <f>H148</f>
        <v/>
      </c>
      <c r="I167" s="8">
        <f>I148</f>
        <v/>
      </c>
      <c r="J167" s="8">
        <f>J148</f>
        <v/>
      </c>
      <c r="K167" s="8">
        <f>K148</f>
        <v/>
      </c>
      <c r="L167" s="8">
        <f>L148</f>
        <v/>
      </c>
      <c r="M167" s="8">
        <f>M148</f>
        <v/>
      </c>
      <c r="N167" s="8">
        <f>N148</f>
        <v/>
      </c>
      <c r="O167" s="8">
        <f>O148</f>
        <v/>
      </c>
      <c r="P167" s="8">
        <f>P148</f>
        <v/>
      </c>
      <c r="Q167" s="8">
        <f>Q148</f>
        <v/>
      </c>
      <c r="R167" s="8">
        <f>R148</f>
        <v/>
      </c>
      <c r="S167" s="8">
        <f>S148</f>
        <v/>
      </c>
      <c r="T167" s="8">
        <f>T148</f>
        <v/>
      </c>
      <c r="U167" s="8">
        <f>U148</f>
        <v/>
      </c>
      <c r="V167" s="8">
        <f>V148</f>
        <v/>
      </c>
      <c r="W167" s="8">
        <f>W148</f>
        <v/>
      </c>
      <c r="X167" s="8">
        <f>X148</f>
        <v/>
      </c>
      <c r="Y167" s="8">
        <f>Y148</f>
        <v/>
      </c>
      <c r="Z167" s="8">
        <f>Z148</f>
        <v/>
      </c>
      <c r="AA167" s="8">
        <f>AA148</f>
        <v/>
      </c>
      <c r="AB167" s="8">
        <f>AB148</f>
        <v/>
      </c>
      <c r="AC167" s="8">
        <f>AC148</f>
        <v/>
      </c>
      <c r="AD167" s="8">
        <f>AD148</f>
        <v/>
      </c>
      <c r="AE167" s="8">
        <f>AE148</f>
        <v/>
      </c>
      <c r="AF167" s="8">
        <f>AF148</f>
        <v/>
      </c>
      <c r="AG167" s="8">
        <f>AG148</f>
        <v/>
      </c>
      <c r="AH167" s="8">
        <f>AH148</f>
        <v/>
      </c>
      <c r="AI167" s="8">
        <f>AI148</f>
        <v/>
      </c>
      <c r="AJ167" s="8">
        <f>AJ148</f>
        <v/>
      </c>
      <c r="AK167" s="8">
        <f>AK148</f>
        <v/>
      </c>
      <c r="AL167" s="8">
        <f>AL148</f>
        <v/>
      </c>
      <c r="AM167" s="8">
        <f>AM148</f>
        <v/>
      </c>
      <c r="AN167" s="8">
        <f>AN148</f>
        <v/>
      </c>
      <c r="AO167" s="8">
        <f>AO148</f>
        <v/>
      </c>
      <c r="AP167" s="8">
        <f>AP148</f>
        <v/>
      </c>
      <c r="AQ167" s="8">
        <f>AQ148</f>
        <v/>
      </c>
      <c r="AR167" s="8">
        <f>AR148</f>
        <v/>
      </c>
      <c r="AS167" s="8">
        <f>AS148</f>
        <v/>
      </c>
      <c r="AT167" s="8">
        <f>AT148</f>
        <v/>
      </c>
      <c r="AU167" s="8">
        <f>AU148</f>
        <v/>
      </c>
      <c r="AV167" s="8">
        <f>AV148</f>
        <v/>
      </c>
      <c r="AW167" s="8">
        <f>AW148</f>
        <v/>
      </c>
      <c r="AX167" s="8">
        <f>AX148</f>
        <v/>
      </c>
      <c r="AY167" s="8">
        <f>AY148</f>
        <v/>
      </c>
      <c r="AZ167" s="8">
        <f>AZ148</f>
        <v/>
      </c>
      <c r="BA167" s="8">
        <f>BA148</f>
        <v/>
      </c>
      <c r="BB167" s="8">
        <f>BB148</f>
        <v/>
      </c>
      <c r="BC167" s="8">
        <f>BC148</f>
        <v/>
      </c>
      <c r="BD167" s="8">
        <f>BD148</f>
        <v/>
      </c>
      <c r="BE167" s="8">
        <f>BE148</f>
        <v/>
      </c>
      <c r="BF167" s="8">
        <f>BF148</f>
        <v/>
      </c>
      <c r="BG167" s="8">
        <f>BG148</f>
        <v/>
      </c>
      <c r="BH167" s="8">
        <f>BH148</f>
        <v/>
      </c>
      <c r="BI167" s="8">
        <f>BI148</f>
        <v/>
      </c>
      <c r="BJ167" s="8">
        <f>BJ148</f>
        <v/>
      </c>
    </row>
    <row r="168">
      <c r="A168" s="3" t="inlineStr">
        <is>
          <t>Total COGS</t>
        </is>
      </c>
      <c r="B168" s="17" t="inlineStr">
        <is>
          <t>R</t>
        </is>
      </c>
      <c r="C168" s="42">
        <f>C160+C161+C162+C165+C166+C167</f>
        <v/>
      </c>
      <c r="D168" s="42">
        <f>D160+D161+D162+D165+D166+D167</f>
        <v/>
      </c>
      <c r="E168" s="42">
        <f>E160+E161+E162+E165+E166+E167</f>
        <v/>
      </c>
      <c r="F168" s="42">
        <f>F160+F161+F162+F165+F166+F167</f>
        <v/>
      </c>
      <c r="G168" s="42">
        <f>G160+G161+G162+G165+G166+G167</f>
        <v/>
      </c>
      <c r="H168" s="42">
        <f>H160+H161+H162+H165+H166+H167</f>
        <v/>
      </c>
      <c r="I168" s="42">
        <f>I160+I161+I162+I165+I166+I167</f>
        <v/>
      </c>
      <c r="J168" s="42">
        <f>J160+J161+J162+J165+J166+J167</f>
        <v/>
      </c>
      <c r="K168" s="42">
        <f>K160+K161+K162+K165+K166+K167</f>
        <v/>
      </c>
      <c r="L168" s="42">
        <f>L160+L161+L162+L165+L166+L167</f>
        <v/>
      </c>
      <c r="M168" s="42">
        <f>M160+M161+M162+M165+M166+M167</f>
        <v/>
      </c>
      <c r="N168" s="42">
        <f>N160+N161+N162+N165+N166+N167</f>
        <v/>
      </c>
      <c r="O168" s="42">
        <f>O160+O161+O162+O165+O166+O167</f>
        <v/>
      </c>
      <c r="P168" s="42">
        <f>P160+P161+P162+P165+P166+P167</f>
        <v/>
      </c>
      <c r="Q168" s="42">
        <f>Q160+Q161+Q162+Q165+Q166+Q167</f>
        <v/>
      </c>
      <c r="R168" s="42">
        <f>R160+R161+R162+R165+R166+R167</f>
        <v/>
      </c>
      <c r="S168" s="42">
        <f>S160+S161+S162+S165+S166+S167</f>
        <v/>
      </c>
      <c r="T168" s="42">
        <f>T160+T161+T162+T165+T166+T167</f>
        <v/>
      </c>
      <c r="U168" s="42">
        <f>U160+U161+U162+U165+U166+U167</f>
        <v/>
      </c>
      <c r="V168" s="42">
        <f>V160+V161+V162+V165+V166+V167</f>
        <v/>
      </c>
      <c r="W168" s="42">
        <f>W160+W161+W162+W165+W166+W167</f>
        <v/>
      </c>
      <c r="X168" s="42">
        <f>X160+X161+X162+X165+X166+X167</f>
        <v/>
      </c>
      <c r="Y168" s="42">
        <f>Y160+Y161+Y162+Y165+Y166+Y167</f>
        <v/>
      </c>
      <c r="Z168" s="42">
        <f>Z160+Z161+Z162+Z165+Z166+Z167</f>
        <v/>
      </c>
      <c r="AA168" s="42">
        <f>AA160+AA161+AA162+AA165+AA166+AA167</f>
        <v/>
      </c>
      <c r="AB168" s="42">
        <f>AB160+AB161+AB162+AB165+AB166+AB167</f>
        <v/>
      </c>
      <c r="AC168" s="42">
        <f>AC160+AC161+AC162+AC165+AC166+AC167</f>
        <v/>
      </c>
      <c r="AD168" s="42">
        <f>AD160+AD161+AD162+AD165+AD166+AD167</f>
        <v/>
      </c>
      <c r="AE168" s="42">
        <f>AE160+AE161+AE162+AE165+AE166+AE167</f>
        <v/>
      </c>
      <c r="AF168" s="42">
        <f>AF160+AF161+AF162+AF165+AF166+AF167</f>
        <v/>
      </c>
      <c r="AG168" s="42">
        <f>AG160+AG161+AG162+AG165+AG166+AG167</f>
        <v/>
      </c>
      <c r="AH168" s="42">
        <f>AH160+AH161+AH162+AH165+AH166+AH167</f>
        <v/>
      </c>
      <c r="AI168" s="42">
        <f>AI160+AI161+AI162+AI165+AI166+AI167</f>
        <v/>
      </c>
      <c r="AJ168" s="42">
        <f>AJ160+AJ161+AJ162+AJ165+AJ166+AJ167</f>
        <v/>
      </c>
      <c r="AK168" s="42">
        <f>AK160+AK161+AK162+AK165+AK166+AK167</f>
        <v/>
      </c>
      <c r="AL168" s="42">
        <f>AL160+AL161+AL162+AL165+AL166+AL167</f>
        <v/>
      </c>
      <c r="AM168" s="42">
        <f>AM160+AM161+AM162+AM165+AM166+AM167</f>
        <v/>
      </c>
      <c r="AN168" s="42">
        <f>AN160+AN161+AN162+AN165+AN166+AN167</f>
        <v/>
      </c>
      <c r="AO168" s="42">
        <f>AO160+AO161+AO162+AO165+AO166+AO167</f>
        <v/>
      </c>
      <c r="AP168" s="42">
        <f>AP160+AP161+AP162+AP165+AP166+AP167</f>
        <v/>
      </c>
      <c r="AQ168" s="42">
        <f>AQ160+AQ161+AQ162+AQ165+AQ166+AQ167</f>
        <v/>
      </c>
      <c r="AR168" s="42">
        <f>AR160+AR161+AR162+AR165+AR166+AR167</f>
        <v/>
      </c>
      <c r="AS168" s="42">
        <f>AS160+AS161+AS162+AS165+AS166+AS167</f>
        <v/>
      </c>
      <c r="AT168" s="42">
        <f>AT160+AT161+AT162+AT165+AT166+AT167</f>
        <v/>
      </c>
      <c r="AU168" s="42">
        <f>AU160+AU161+AU162+AU165+AU166+AU167</f>
        <v/>
      </c>
      <c r="AV168" s="42">
        <f>AV160+AV161+AV162+AV165+AV166+AV167</f>
        <v/>
      </c>
      <c r="AW168" s="42">
        <f>AW160+AW161+AW162+AW165+AW166+AW167</f>
        <v/>
      </c>
      <c r="AX168" s="42">
        <f>AX160+AX161+AX162+AX165+AX166+AX167</f>
        <v/>
      </c>
      <c r="AY168" s="42">
        <f>AY160+AY161+AY162+AY165+AY166+AY167</f>
        <v/>
      </c>
      <c r="AZ168" s="42">
        <f>AZ160+AZ161+AZ162+AZ165+AZ166+AZ167</f>
        <v/>
      </c>
      <c r="BA168" s="42">
        <f>BA160+BA161+BA162+BA165+BA166+BA167</f>
        <v/>
      </c>
      <c r="BB168" s="42">
        <f>BB160+BB161+BB162+BB165+BB166+BB167</f>
        <v/>
      </c>
      <c r="BC168" s="42">
        <f>BC160+BC161+BC162+BC165+BC166+BC167</f>
        <v/>
      </c>
      <c r="BD168" s="42">
        <f>BD160+BD161+BD162+BD165+BD166+BD167</f>
        <v/>
      </c>
      <c r="BE168" s="42">
        <f>BE160+BE161+BE162+BE165+BE166+BE167</f>
        <v/>
      </c>
      <c r="BF168" s="42">
        <f>BF160+BF161+BF162+BF165+BF166+BF167</f>
        <v/>
      </c>
      <c r="BG168" s="42">
        <f>BG160+BG161+BG162+BG165+BG166+BG167</f>
        <v/>
      </c>
      <c r="BH168" s="42">
        <f>BH160+BH161+BH162+BH165+BH166+BH167</f>
        <v/>
      </c>
      <c r="BI168" s="42">
        <f>BI160+BI161+BI162+BI165+BI166+BI167</f>
        <v/>
      </c>
      <c r="BJ168" s="42">
        <f>BJ160+BJ161+BJ162+BJ165+BJ166+BJ167</f>
        <v/>
      </c>
    </row>
    <row r="169"/>
    <row r="170">
      <c r="A170" s="19" t="inlineStr">
        <is>
          <t>Operating expenses: marketing &amp; sales programmes (capped / scaled with MRR; zero before seed except the first-group set-up)</t>
        </is>
      </c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19" t="n"/>
      <c r="BA170" s="19" t="n"/>
      <c r="BB170" s="19" t="n"/>
      <c r="BC170" s="19" t="n"/>
      <c r="BD170" s="19" t="n"/>
      <c r="BE170" s="19" t="n"/>
      <c r="BF170" s="19" t="n"/>
      <c r="BG170" s="19" t="n"/>
      <c r="BH170" s="19" t="n"/>
      <c r="BI170" s="19" t="n"/>
      <c r="BJ170" s="19" t="n"/>
    </row>
    <row r="171">
      <c r="A171" s="4" t="inlineStr">
        <is>
          <t>Paid acquisition (after cap)</t>
        </is>
      </c>
      <c r="B171" s="17" t="inlineStr">
        <is>
          <t>R</t>
        </is>
      </c>
      <c r="C171" s="8">
        <f>Revenue_Build!C142</f>
        <v/>
      </c>
      <c r="D171" s="8">
        <f>Revenue_Build!D142</f>
        <v/>
      </c>
      <c r="E171" s="8">
        <f>Revenue_Build!E142</f>
        <v/>
      </c>
      <c r="F171" s="8">
        <f>Revenue_Build!F142</f>
        <v/>
      </c>
      <c r="G171" s="8">
        <f>Revenue_Build!G142</f>
        <v/>
      </c>
      <c r="H171" s="8">
        <f>Revenue_Build!H142</f>
        <v/>
      </c>
      <c r="I171" s="8">
        <f>Revenue_Build!I142</f>
        <v/>
      </c>
      <c r="J171" s="8">
        <f>Revenue_Build!J142</f>
        <v/>
      </c>
      <c r="K171" s="8">
        <f>Revenue_Build!K142</f>
        <v/>
      </c>
      <c r="L171" s="8">
        <f>Revenue_Build!L142</f>
        <v/>
      </c>
      <c r="M171" s="8">
        <f>Revenue_Build!M142</f>
        <v/>
      </c>
      <c r="N171" s="8">
        <f>Revenue_Build!N142</f>
        <v/>
      </c>
      <c r="O171" s="8">
        <f>Revenue_Build!O142</f>
        <v/>
      </c>
      <c r="P171" s="8">
        <f>Revenue_Build!P142</f>
        <v/>
      </c>
      <c r="Q171" s="8">
        <f>Revenue_Build!Q142</f>
        <v/>
      </c>
      <c r="R171" s="8">
        <f>Revenue_Build!R142</f>
        <v/>
      </c>
      <c r="S171" s="8">
        <f>Revenue_Build!S142</f>
        <v/>
      </c>
      <c r="T171" s="8">
        <f>Revenue_Build!T142</f>
        <v/>
      </c>
      <c r="U171" s="8">
        <f>Revenue_Build!U142</f>
        <v/>
      </c>
      <c r="V171" s="8">
        <f>Revenue_Build!V142</f>
        <v/>
      </c>
      <c r="W171" s="8">
        <f>Revenue_Build!W142</f>
        <v/>
      </c>
      <c r="X171" s="8">
        <f>Revenue_Build!X142</f>
        <v/>
      </c>
      <c r="Y171" s="8">
        <f>Revenue_Build!Y142</f>
        <v/>
      </c>
      <c r="Z171" s="8">
        <f>Revenue_Build!Z142</f>
        <v/>
      </c>
      <c r="AA171" s="8">
        <f>Revenue_Build!AA142</f>
        <v/>
      </c>
      <c r="AB171" s="8">
        <f>Revenue_Build!AB142</f>
        <v/>
      </c>
      <c r="AC171" s="8">
        <f>Revenue_Build!AC142</f>
        <v/>
      </c>
      <c r="AD171" s="8">
        <f>Revenue_Build!AD142</f>
        <v/>
      </c>
      <c r="AE171" s="8">
        <f>Revenue_Build!AE142</f>
        <v/>
      </c>
      <c r="AF171" s="8">
        <f>Revenue_Build!AF142</f>
        <v/>
      </c>
      <c r="AG171" s="8">
        <f>Revenue_Build!AG142</f>
        <v/>
      </c>
      <c r="AH171" s="8">
        <f>Revenue_Build!AH142</f>
        <v/>
      </c>
      <c r="AI171" s="8">
        <f>Revenue_Build!AI142</f>
        <v/>
      </c>
      <c r="AJ171" s="8">
        <f>Revenue_Build!AJ142</f>
        <v/>
      </c>
      <c r="AK171" s="8">
        <f>Revenue_Build!AK142</f>
        <v/>
      </c>
      <c r="AL171" s="8">
        <f>Revenue_Build!AL142</f>
        <v/>
      </c>
      <c r="AM171" s="8">
        <f>Revenue_Build!AM142</f>
        <v/>
      </c>
      <c r="AN171" s="8">
        <f>Revenue_Build!AN142</f>
        <v/>
      </c>
      <c r="AO171" s="8">
        <f>Revenue_Build!AO142</f>
        <v/>
      </c>
      <c r="AP171" s="8">
        <f>Revenue_Build!AP142</f>
        <v/>
      </c>
      <c r="AQ171" s="8">
        <f>Revenue_Build!AQ142</f>
        <v/>
      </c>
      <c r="AR171" s="8">
        <f>Revenue_Build!AR142</f>
        <v/>
      </c>
      <c r="AS171" s="8">
        <f>Revenue_Build!AS142</f>
        <v/>
      </c>
      <c r="AT171" s="8">
        <f>Revenue_Build!AT142</f>
        <v/>
      </c>
      <c r="AU171" s="8">
        <f>Revenue_Build!AU142</f>
        <v/>
      </c>
      <c r="AV171" s="8">
        <f>Revenue_Build!AV142</f>
        <v/>
      </c>
      <c r="AW171" s="8">
        <f>Revenue_Build!AW142</f>
        <v/>
      </c>
      <c r="AX171" s="8">
        <f>Revenue_Build!AX142</f>
        <v/>
      </c>
      <c r="AY171" s="8">
        <f>Revenue_Build!AY142</f>
        <v/>
      </c>
      <c r="AZ171" s="8">
        <f>Revenue_Build!AZ142</f>
        <v/>
      </c>
      <c r="BA171" s="8">
        <f>Revenue_Build!BA142</f>
        <v/>
      </c>
      <c r="BB171" s="8">
        <f>Revenue_Build!BB142</f>
        <v/>
      </c>
      <c r="BC171" s="8">
        <f>Revenue_Build!BC142</f>
        <v/>
      </c>
      <c r="BD171" s="8">
        <f>Revenue_Build!BD142</f>
        <v/>
      </c>
      <c r="BE171" s="8">
        <f>Revenue_Build!BE142</f>
        <v/>
      </c>
      <c r="BF171" s="8">
        <f>Revenue_Build!BF142</f>
        <v/>
      </c>
      <c r="BG171" s="8">
        <f>Revenue_Build!BG142</f>
        <v/>
      </c>
      <c r="BH171" s="8">
        <f>Revenue_Build!BH142</f>
        <v/>
      </c>
      <c r="BI171" s="8">
        <f>Revenue_Build!BI142</f>
        <v/>
      </c>
      <c r="BJ171" s="8">
        <f>Revenue_Build!BJ142</f>
        <v/>
      </c>
    </row>
    <row r="172">
      <c r="A172" s="4" t="inlineStr">
        <is>
          <t>Brand, content &amp; community = MIN(ceiling, floor + % of MRR)</t>
        </is>
      </c>
      <c r="B172" s="17" t="inlineStr">
        <is>
          <t>R</t>
        </is>
      </c>
      <c r="C172" s="8">
        <f>Revenue_Build!C8*MIN(CHOOSE(C$5,Assumptions!$B$196,Assumptions!$B$197,Assumptions!$B$198,Assumptions!$B$199,Assumptions!$B$200),Assumptions!$B$201+Assumptions!$B$202*Revenue_Build!C10)</f>
        <v/>
      </c>
      <c r="D172" s="8">
        <f>Revenue_Build!D8*MIN(CHOOSE(D$5,Assumptions!$B$196,Assumptions!$B$197,Assumptions!$B$198,Assumptions!$B$199,Assumptions!$B$200),Assumptions!$B$201+Assumptions!$B$202*Revenue_Build!D10)</f>
        <v/>
      </c>
      <c r="E172" s="8">
        <f>Revenue_Build!E8*MIN(CHOOSE(E$5,Assumptions!$B$196,Assumptions!$B$197,Assumptions!$B$198,Assumptions!$B$199,Assumptions!$B$200),Assumptions!$B$201+Assumptions!$B$202*Revenue_Build!E10)</f>
        <v/>
      </c>
      <c r="F172" s="8">
        <f>Revenue_Build!F8*MIN(CHOOSE(F$5,Assumptions!$B$196,Assumptions!$B$197,Assumptions!$B$198,Assumptions!$B$199,Assumptions!$B$200),Assumptions!$B$201+Assumptions!$B$202*Revenue_Build!F10)</f>
        <v/>
      </c>
      <c r="G172" s="8">
        <f>Revenue_Build!G8*MIN(CHOOSE(G$5,Assumptions!$B$196,Assumptions!$B$197,Assumptions!$B$198,Assumptions!$B$199,Assumptions!$B$200),Assumptions!$B$201+Assumptions!$B$202*Revenue_Build!G10)</f>
        <v/>
      </c>
      <c r="H172" s="8">
        <f>Revenue_Build!H8*MIN(CHOOSE(H$5,Assumptions!$B$196,Assumptions!$B$197,Assumptions!$B$198,Assumptions!$B$199,Assumptions!$B$200),Assumptions!$B$201+Assumptions!$B$202*Revenue_Build!H10)</f>
        <v/>
      </c>
      <c r="I172" s="8">
        <f>Revenue_Build!I8*MIN(CHOOSE(I$5,Assumptions!$B$196,Assumptions!$B$197,Assumptions!$B$198,Assumptions!$B$199,Assumptions!$B$200),Assumptions!$B$201+Assumptions!$B$202*Revenue_Build!I10)</f>
        <v/>
      </c>
      <c r="J172" s="8">
        <f>Revenue_Build!J8*MIN(CHOOSE(J$5,Assumptions!$B$196,Assumptions!$B$197,Assumptions!$B$198,Assumptions!$B$199,Assumptions!$B$200),Assumptions!$B$201+Assumptions!$B$202*Revenue_Build!J10)</f>
        <v/>
      </c>
      <c r="K172" s="8">
        <f>Revenue_Build!K8*MIN(CHOOSE(K$5,Assumptions!$B$196,Assumptions!$B$197,Assumptions!$B$198,Assumptions!$B$199,Assumptions!$B$200),Assumptions!$B$201+Assumptions!$B$202*Revenue_Build!K10)</f>
        <v/>
      </c>
      <c r="L172" s="8">
        <f>Revenue_Build!L8*MIN(CHOOSE(L$5,Assumptions!$B$196,Assumptions!$B$197,Assumptions!$B$198,Assumptions!$B$199,Assumptions!$B$200),Assumptions!$B$201+Assumptions!$B$202*Revenue_Build!L10)</f>
        <v/>
      </c>
      <c r="M172" s="8">
        <f>Revenue_Build!M8*MIN(CHOOSE(M$5,Assumptions!$B$196,Assumptions!$B$197,Assumptions!$B$198,Assumptions!$B$199,Assumptions!$B$200),Assumptions!$B$201+Assumptions!$B$202*Revenue_Build!M10)</f>
        <v/>
      </c>
      <c r="N172" s="8">
        <f>Revenue_Build!N8*MIN(CHOOSE(N$5,Assumptions!$B$196,Assumptions!$B$197,Assumptions!$B$198,Assumptions!$B$199,Assumptions!$B$200),Assumptions!$B$201+Assumptions!$B$202*Revenue_Build!N10)</f>
        <v/>
      </c>
      <c r="O172" s="8">
        <f>Revenue_Build!O8*MIN(CHOOSE(O$5,Assumptions!$B$196,Assumptions!$B$197,Assumptions!$B$198,Assumptions!$B$199,Assumptions!$B$200),Assumptions!$B$201+Assumptions!$B$202*Revenue_Build!O10)</f>
        <v/>
      </c>
      <c r="P172" s="8">
        <f>Revenue_Build!P8*MIN(CHOOSE(P$5,Assumptions!$B$196,Assumptions!$B$197,Assumptions!$B$198,Assumptions!$B$199,Assumptions!$B$200),Assumptions!$B$201+Assumptions!$B$202*Revenue_Build!P10)</f>
        <v/>
      </c>
      <c r="Q172" s="8">
        <f>Revenue_Build!Q8*MIN(CHOOSE(Q$5,Assumptions!$B$196,Assumptions!$B$197,Assumptions!$B$198,Assumptions!$B$199,Assumptions!$B$200),Assumptions!$B$201+Assumptions!$B$202*Revenue_Build!Q10)</f>
        <v/>
      </c>
      <c r="R172" s="8">
        <f>Revenue_Build!R8*MIN(CHOOSE(R$5,Assumptions!$B$196,Assumptions!$B$197,Assumptions!$B$198,Assumptions!$B$199,Assumptions!$B$200),Assumptions!$B$201+Assumptions!$B$202*Revenue_Build!R10)</f>
        <v/>
      </c>
      <c r="S172" s="8">
        <f>Revenue_Build!S8*MIN(CHOOSE(S$5,Assumptions!$B$196,Assumptions!$B$197,Assumptions!$B$198,Assumptions!$B$199,Assumptions!$B$200),Assumptions!$B$201+Assumptions!$B$202*Revenue_Build!S10)</f>
        <v/>
      </c>
      <c r="T172" s="8">
        <f>Revenue_Build!T8*MIN(CHOOSE(T$5,Assumptions!$B$196,Assumptions!$B$197,Assumptions!$B$198,Assumptions!$B$199,Assumptions!$B$200),Assumptions!$B$201+Assumptions!$B$202*Revenue_Build!T10)</f>
        <v/>
      </c>
      <c r="U172" s="8">
        <f>Revenue_Build!U8*MIN(CHOOSE(U$5,Assumptions!$B$196,Assumptions!$B$197,Assumptions!$B$198,Assumptions!$B$199,Assumptions!$B$200),Assumptions!$B$201+Assumptions!$B$202*Revenue_Build!U10)</f>
        <v/>
      </c>
      <c r="V172" s="8">
        <f>Revenue_Build!V8*MIN(CHOOSE(V$5,Assumptions!$B$196,Assumptions!$B$197,Assumptions!$B$198,Assumptions!$B$199,Assumptions!$B$200),Assumptions!$B$201+Assumptions!$B$202*Revenue_Build!V10)</f>
        <v/>
      </c>
      <c r="W172" s="8">
        <f>Revenue_Build!W8*MIN(CHOOSE(W$5,Assumptions!$B$196,Assumptions!$B$197,Assumptions!$B$198,Assumptions!$B$199,Assumptions!$B$200),Assumptions!$B$201+Assumptions!$B$202*Revenue_Build!W10)</f>
        <v/>
      </c>
      <c r="X172" s="8">
        <f>Revenue_Build!X8*MIN(CHOOSE(X$5,Assumptions!$B$196,Assumptions!$B$197,Assumptions!$B$198,Assumptions!$B$199,Assumptions!$B$200),Assumptions!$B$201+Assumptions!$B$202*Revenue_Build!X10)</f>
        <v/>
      </c>
      <c r="Y172" s="8">
        <f>Revenue_Build!Y8*MIN(CHOOSE(Y$5,Assumptions!$B$196,Assumptions!$B$197,Assumptions!$B$198,Assumptions!$B$199,Assumptions!$B$200),Assumptions!$B$201+Assumptions!$B$202*Revenue_Build!Y10)</f>
        <v/>
      </c>
      <c r="Z172" s="8">
        <f>Revenue_Build!Z8*MIN(CHOOSE(Z$5,Assumptions!$B$196,Assumptions!$B$197,Assumptions!$B$198,Assumptions!$B$199,Assumptions!$B$200),Assumptions!$B$201+Assumptions!$B$202*Revenue_Build!Z10)</f>
        <v/>
      </c>
      <c r="AA172" s="8">
        <f>Revenue_Build!AA8*MIN(CHOOSE(AA$5,Assumptions!$B$196,Assumptions!$B$197,Assumptions!$B$198,Assumptions!$B$199,Assumptions!$B$200),Assumptions!$B$201+Assumptions!$B$202*Revenue_Build!AA10)</f>
        <v/>
      </c>
      <c r="AB172" s="8">
        <f>Revenue_Build!AB8*MIN(CHOOSE(AB$5,Assumptions!$B$196,Assumptions!$B$197,Assumptions!$B$198,Assumptions!$B$199,Assumptions!$B$200),Assumptions!$B$201+Assumptions!$B$202*Revenue_Build!AB10)</f>
        <v/>
      </c>
      <c r="AC172" s="8">
        <f>Revenue_Build!AC8*MIN(CHOOSE(AC$5,Assumptions!$B$196,Assumptions!$B$197,Assumptions!$B$198,Assumptions!$B$199,Assumptions!$B$200),Assumptions!$B$201+Assumptions!$B$202*Revenue_Build!AC10)</f>
        <v/>
      </c>
      <c r="AD172" s="8">
        <f>Revenue_Build!AD8*MIN(CHOOSE(AD$5,Assumptions!$B$196,Assumptions!$B$197,Assumptions!$B$198,Assumptions!$B$199,Assumptions!$B$200),Assumptions!$B$201+Assumptions!$B$202*Revenue_Build!AD10)</f>
        <v/>
      </c>
      <c r="AE172" s="8">
        <f>Revenue_Build!AE8*MIN(CHOOSE(AE$5,Assumptions!$B$196,Assumptions!$B$197,Assumptions!$B$198,Assumptions!$B$199,Assumptions!$B$200),Assumptions!$B$201+Assumptions!$B$202*Revenue_Build!AE10)</f>
        <v/>
      </c>
      <c r="AF172" s="8">
        <f>Revenue_Build!AF8*MIN(CHOOSE(AF$5,Assumptions!$B$196,Assumptions!$B$197,Assumptions!$B$198,Assumptions!$B$199,Assumptions!$B$200),Assumptions!$B$201+Assumptions!$B$202*Revenue_Build!AF10)</f>
        <v/>
      </c>
      <c r="AG172" s="8">
        <f>Revenue_Build!AG8*MIN(CHOOSE(AG$5,Assumptions!$B$196,Assumptions!$B$197,Assumptions!$B$198,Assumptions!$B$199,Assumptions!$B$200),Assumptions!$B$201+Assumptions!$B$202*Revenue_Build!AG10)</f>
        <v/>
      </c>
      <c r="AH172" s="8">
        <f>Revenue_Build!AH8*MIN(CHOOSE(AH$5,Assumptions!$B$196,Assumptions!$B$197,Assumptions!$B$198,Assumptions!$B$199,Assumptions!$B$200),Assumptions!$B$201+Assumptions!$B$202*Revenue_Build!AH10)</f>
        <v/>
      </c>
      <c r="AI172" s="8">
        <f>Revenue_Build!AI8*MIN(CHOOSE(AI$5,Assumptions!$B$196,Assumptions!$B$197,Assumptions!$B$198,Assumptions!$B$199,Assumptions!$B$200),Assumptions!$B$201+Assumptions!$B$202*Revenue_Build!AI10)</f>
        <v/>
      </c>
      <c r="AJ172" s="8">
        <f>Revenue_Build!AJ8*MIN(CHOOSE(AJ$5,Assumptions!$B$196,Assumptions!$B$197,Assumptions!$B$198,Assumptions!$B$199,Assumptions!$B$200),Assumptions!$B$201+Assumptions!$B$202*Revenue_Build!AJ10)</f>
        <v/>
      </c>
      <c r="AK172" s="8">
        <f>Revenue_Build!AK8*MIN(CHOOSE(AK$5,Assumptions!$B$196,Assumptions!$B$197,Assumptions!$B$198,Assumptions!$B$199,Assumptions!$B$200),Assumptions!$B$201+Assumptions!$B$202*Revenue_Build!AK10)</f>
        <v/>
      </c>
      <c r="AL172" s="8">
        <f>Revenue_Build!AL8*MIN(CHOOSE(AL$5,Assumptions!$B$196,Assumptions!$B$197,Assumptions!$B$198,Assumptions!$B$199,Assumptions!$B$200),Assumptions!$B$201+Assumptions!$B$202*Revenue_Build!AL10)</f>
        <v/>
      </c>
      <c r="AM172" s="8">
        <f>Revenue_Build!AM8*MIN(CHOOSE(AM$5,Assumptions!$B$196,Assumptions!$B$197,Assumptions!$B$198,Assumptions!$B$199,Assumptions!$B$200),Assumptions!$B$201+Assumptions!$B$202*Revenue_Build!AM10)</f>
        <v/>
      </c>
      <c r="AN172" s="8">
        <f>Revenue_Build!AN8*MIN(CHOOSE(AN$5,Assumptions!$B$196,Assumptions!$B$197,Assumptions!$B$198,Assumptions!$B$199,Assumptions!$B$200),Assumptions!$B$201+Assumptions!$B$202*Revenue_Build!AN10)</f>
        <v/>
      </c>
      <c r="AO172" s="8">
        <f>Revenue_Build!AO8*MIN(CHOOSE(AO$5,Assumptions!$B$196,Assumptions!$B$197,Assumptions!$B$198,Assumptions!$B$199,Assumptions!$B$200),Assumptions!$B$201+Assumptions!$B$202*Revenue_Build!AO10)</f>
        <v/>
      </c>
      <c r="AP172" s="8">
        <f>Revenue_Build!AP8*MIN(CHOOSE(AP$5,Assumptions!$B$196,Assumptions!$B$197,Assumptions!$B$198,Assumptions!$B$199,Assumptions!$B$200),Assumptions!$B$201+Assumptions!$B$202*Revenue_Build!AP10)</f>
        <v/>
      </c>
      <c r="AQ172" s="8">
        <f>Revenue_Build!AQ8*MIN(CHOOSE(AQ$5,Assumptions!$B$196,Assumptions!$B$197,Assumptions!$B$198,Assumptions!$B$199,Assumptions!$B$200),Assumptions!$B$201+Assumptions!$B$202*Revenue_Build!AQ10)</f>
        <v/>
      </c>
      <c r="AR172" s="8">
        <f>Revenue_Build!AR8*MIN(CHOOSE(AR$5,Assumptions!$B$196,Assumptions!$B$197,Assumptions!$B$198,Assumptions!$B$199,Assumptions!$B$200),Assumptions!$B$201+Assumptions!$B$202*Revenue_Build!AR10)</f>
        <v/>
      </c>
      <c r="AS172" s="8">
        <f>Revenue_Build!AS8*MIN(CHOOSE(AS$5,Assumptions!$B$196,Assumptions!$B$197,Assumptions!$B$198,Assumptions!$B$199,Assumptions!$B$200),Assumptions!$B$201+Assumptions!$B$202*Revenue_Build!AS10)</f>
        <v/>
      </c>
      <c r="AT172" s="8">
        <f>Revenue_Build!AT8*MIN(CHOOSE(AT$5,Assumptions!$B$196,Assumptions!$B$197,Assumptions!$B$198,Assumptions!$B$199,Assumptions!$B$200),Assumptions!$B$201+Assumptions!$B$202*Revenue_Build!AT10)</f>
        <v/>
      </c>
      <c r="AU172" s="8">
        <f>Revenue_Build!AU8*MIN(CHOOSE(AU$5,Assumptions!$B$196,Assumptions!$B$197,Assumptions!$B$198,Assumptions!$B$199,Assumptions!$B$200),Assumptions!$B$201+Assumptions!$B$202*Revenue_Build!AU10)</f>
        <v/>
      </c>
      <c r="AV172" s="8">
        <f>Revenue_Build!AV8*MIN(CHOOSE(AV$5,Assumptions!$B$196,Assumptions!$B$197,Assumptions!$B$198,Assumptions!$B$199,Assumptions!$B$200),Assumptions!$B$201+Assumptions!$B$202*Revenue_Build!AV10)</f>
        <v/>
      </c>
      <c r="AW172" s="8">
        <f>Revenue_Build!AW8*MIN(CHOOSE(AW$5,Assumptions!$B$196,Assumptions!$B$197,Assumptions!$B$198,Assumptions!$B$199,Assumptions!$B$200),Assumptions!$B$201+Assumptions!$B$202*Revenue_Build!AW10)</f>
        <v/>
      </c>
      <c r="AX172" s="8">
        <f>Revenue_Build!AX8*MIN(CHOOSE(AX$5,Assumptions!$B$196,Assumptions!$B$197,Assumptions!$B$198,Assumptions!$B$199,Assumptions!$B$200),Assumptions!$B$201+Assumptions!$B$202*Revenue_Build!AX10)</f>
        <v/>
      </c>
      <c r="AY172" s="8">
        <f>Revenue_Build!AY8*MIN(CHOOSE(AY$5,Assumptions!$B$196,Assumptions!$B$197,Assumptions!$B$198,Assumptions!$B$199,Assumptions!$B$200),Assumptions!$B$201+Assumptions!$B$202*Revenue_Build!AY10)</f>
        <v/>
      </c>
      <c r="AZ172" s="8">
        <f>Revenue_Build!AZ8*MIN(CHOOSE(AZ$5,Assumptions!$B$196,Assumptions!$B$197,Assumptions!$B$198,Assumptions!$B$199,Assumptions!$B$200),Assumptions!$B$201+Assumptions!$B$202*Revenue_Build!AZ10)</f>
        <v/>
      </c>
      <c r="BA172" s="8">
        <f>Revenue_Build!BA8*MIN(CHOOSE(BA$5,Assumptions!$B$196,Assumptions!$B$197,Assumptions!$B$198,Assumptions!$B$199,Assumptions!$B$200),Assumptions!$B$201+Assumptions!$B$202*Revenue_Build!BA10)</f>
        <v/>
      </c>
      <c r="BB172" s="8">
        <f>Revenue_Build!BB8*MIN(CHOOSE(BB$5,Assumptions!$B$196,Assumptions!$B$197,Assumptions!$B$198,Assumptions!$B$199,Assumptions!$B$200),Assumptions!$B$201+Assumptions!$B$202*Revenue_Build!BB10)</f>
        <v/>
      </c>
      <c r="BC172" s="8">
        <f>Revenue_Build!BC8*MIN(CHOOSE(BC$5,Assumptions!$B$196,Assumptions!$B$197,Assumptions!$B$198,Assumptions!$B$199,Assumptions!$B$200),Assumptions!$B$201+Assumptions!$B$202*Revenue_Build!BC10)</f>
        <v/>
      </c>
      <c r="BD172" s="8">
        <f>Revenue_Build!BD8*MIN(CHOOSE(BD$5,Assumptions!$B$196,Assumptions!$B$197,Assumptions!$B$198,Assumptions!$B$199,Assumptions!$B$200),Assumptions!$B$201+Assumptions!$B$202*Revenue_Build!BD10)</f>
        <v/>
      </c>
      <c r="BE172" s="8">
        <f>Revenue_Build!BE8*MIN(CHOOSE(BE$5,Assumptions!$B$196,Assumptions!$B$197,Assumptions!$B$198,Assumptions!$B$199,Assumptions!$B$200),Assumptions!$B$201+Assumptions!$B$202*Revenue_Build!BE10)</f>
        <v/>
      </c>
      <c r="BF172" s="8">
        <f>Revenue_Build!BF8*MIN(CHOOSE(BF$5,Assumptions!$B$196,Assumptions!$B$197,Assumptions!$B$198,Assumptions!$B$199,Assumptions!$B$200),Assumptions!$B$201+Assumptions!$B$202*Revenue_Build!BF10)</f>
        <v/>
      </c>
      <c r="BG172" s="8">
        <f>Revenue_Build!BG8*MIN(CHOOSE(BG$5,Assumptions!$B$196,Assumptions!$B$197,Assumptions!$B$198,Assumptions!$B$199,Assumptions!$B$200),Assumptions!$B$201+Assumptions!$B$202*Revenue_Build!BG10)</f>
        <v/>
      </c>
      <c r="BH172" s="8">
        <f>Revenue_Build!BH8*MIN(CHOOSE(BH$5,Assumptions!$B$196,Assumptions!$B$197,Assumptions!$B$198,Assumptions!$B$199,Assumptions!$B$200),Assumptions!$B$201+Assumptions!$B$202*Revenue_Build!BH10)</f>
        <v/>
      </c>
      <c r="BI172" s="8">
        <f>Revenue_Build!BI8*MIN(CHOOSE(BI$5,Assumptions!$B$196,Assumptions!$B$197,Assumptions!$B$198,Assumptions!$B$199,Assumptions!$B$200),Assumptions!$B$201+Assumptions!$B$202*Revenue_Build!BI10)</f>
        <v/>
      </c>
      <c r="BJ172" s="8">
        <f>Revenue_Build!BJ8*MIN(CHOOSE(BJ$5,Assumptions!$B$196,Assumptions!$B$197,Assumptions!$B$198,Assumptions!$B$199,Assumptions!$B$200),Assumptions!$B$201+Assumptions!$B$202*Revenue_Build!BJ10)</f>
        <v/>
      </c>
    </row>
    <row r="173">
      <c r="A173" s="4" t="inlineStr">
        <is>
          <t>Wave-1 launch marketing (NG/KE/GH, spread over 3 months)</t>
        </is>
      </c>
      <c r="B173" s="17" t="inlineStr">
        <is>
          <t>R</t>
        </is>
      </c>
      <c r="C173" s="8">
        <f>Assumptions!$B$67*(Revenue_Build!C15-0)/3+Assumptions!$B$77*(Revenue_Build!C17-0)/3+Assumptions!$B$87*(Revenue_Build!C19-0)/3</f>
        <v/>
      </c>
      <c r="D173" s="8">
        <f>Assumptions!$B$67*(Revenue_Build!D15-0)/3+Assumptions!$B$77*(Revenue_Build!D17-0)/3+Assumptions!$B$87*(Revenue_Build!D19-0)/3</f>
        <v/>
      </c>
      <c r="E173" s="8">
        <f>Assumptions!$B$67*(Revenue_Build!E15-0)/3+Assumptions!$B$77*(Revenue_Build!E17-0)/3+Assumptions!$B$87*(Revenue_Build!E19-0)/3</f>
        <v/>
      </c>
      <c r="F173" s="8">
        <f>Assumptions!$B$67*(Revenue_Build!F15-Revenue_Build!C15)/3+Assumptions!$B$77*(Revenue_Build!F17-Revenue_Build!C17)/3+Assumptions!$B$87*(Revenue_Build!F19-Revenue_Build!C19)/3</f>
        <v/>
      </c>
      <c r="G173" s="8">
        <f>Assumptions!$B$67*(Revenue_Build!G15-Revenue_Build!D15)/3+Assumptions!$B$77*(Revenue_Build!G17-Revenue_Build!D17)/3+Assumptions!$B$87*(Revenue_Build!G19-Revenue_Build!D19)/3</f>
        <v/>
      </c>
      <c r="H173" s="8">
        <f>Assumptions!$B$67*(Revenue_Build!H15-Revenue_Build!E15)/3+Assumptions!$B$77*(Revenue_Build!H17-Revenue_Build!E17)/3+Assumptions!$B$87*(Revenue_Build!H19-Revenue_Build!E19)/3</f>
        <v/>
      </c>
      <c r="I173" s="8">
        <f>Assumptions!$B$67*(Revenue_Build!I15-Revenue_Build!F15)/3+Assumptions!$B$77*(Revenue_Build!I17-Revenue_Build!F17)/3+Assumptions!$B$87*(Revenue_Build!I19-Revenue_Build!F19)/3</f>
        <v/>
      </c>
      <c r="J173" s="8">
        <f>Assumptions!$B$67*(Revenue_Build!J15-Revenue_Build!G15)/3+Assumptions!$B$77*(Revenue_Build!J17-Revenue_Build!G17)/3+Assumptions!$B$87*(Revenue_Build!J19-Revenue_Build!G19)/3</f>
        <v/>
      </c>
      <c r="K173" s="8">
        <f>Assumptions!$B$67*(Revenue_Build!K15-Revenue_Build!H15)/3+Assumptions!$B$77*(Revenue_Build!K17-Revenue_Build!H17)/3+Assumptions!$B$87*(Revenue_Build!K19-Revenue_Build!H19)/3</f>
        <v/>
      </c>
      <c r="L173" s="8">
        <f>Assumptions!$B$67*(Revenue_Build!L15-Revenue_Build!I15)/3+Assumptions!$B$77*(Revenue_Build!L17-Revenue_Build!I17)/3+Assumptions!$B$87*(Revenue_Build!L19-Revenue_Build!I19)/3</f>
        <v/>
      </c>
      <c r="M173" s="8">
        <f>Assumptions!$B$67*(Revenue_Build!M15-Revenue_Build!J15)/3+Assumptions!$B$77*(Revenue_Build!M17-Revenue_Build!J17)/3+Assumptions!$B$87*(Revenue_Build!M19-Revenue_Build!J19)/3</f>
        <v/>
      </c>
      <c r="N173" s="8">
        <f>Assumptions!$B$67*(Revenue_Build!N15-Revenue_Build!K15)/3+Assumptions!$B$77*(Revenue_Build!N17-Revenue_Build!K17)/3+Assumptions!$B$87*(Revenue_Build!N19-Revenue_Build!K19)/3</f>
        <v/>
      </c>
      <c r="O173" s="8">
        <f>Assumptions!$B$67*(Revenue_Build!O15-Revenue_Build!L15)/3+Assumptions!$B$77*(Revenue_Build!O17-Revenue_Build!L17)/3+Assumptions!$B$87*(Revenue_Build!O19-Revenue_Build!L19)/3</f>
        <v/>
      </c>
      <c r="P173" s="8">
        <f>Assumptions!$B$67*(Revenue_Build!P15-Revenue_Build!M15)/3+Assumptions!$B$77*(Revenue_Build!P17-Revenue_Build!M17)/3+Assumptions!$B$87*(Revenue_Build!P19-Revenue_Build!M19)/3</f>
        <v/>
      </c>
      <c r="Q173" s="8">
        <f>Assumptions!$B$67*(Revenue_Build!Q15-Revenue_Build!N15)/3+Assumptions!$B$77*(Revenue_Build!Q17-Revenue_Build!N17)/3+Assumptions!$B$87*(Revenue_Build!Q19-Revenue_Build!N19)/3</f>
        <v/>
      </c>
      <c r="R173" s="8">
        <f>Assumptions!$B$67*(Revenue_Build!R15-Revenue_Build!O15)/3+Assumptions!$B$77*(Revenue_Build!R17-Revenue_Build!O17)/3+Assumptions!$B$87*(Revenue_Build!R19-Revenue_Build!O19)/3</f>
        <v/>
      </c>
      <c r="S173" s="8">
        <f>Assumptions!$B$67*(Revenue_Build!S15-Revenue_Build!P15)/3+Assumptions!$B$77*(Revenue_Build!S17-Revenue_Build!P17)/3+Assumptions!$B$87*(Revenue_Build!S19-Revenue_Build!P19)/3</f>
        <v/>
      </c>
      <c r="T173" s="8">
        <f>Assumptions!$B$67*(Revenue_Build!T15-Revenue_Build!Q15)/3+Assumptions!$B$77*(Revenue_Build!T17-Revenue_Build!Q17)/3+Assumptions!$B$87*(Revenue_Build!T19-Revenue_Build!Q19)/3</f>
        <v/>
      </c>
      <c r="U173" s="8">
        <f>Assumptions!$B$67*(Revenue_Build!U15-Revenue_Build!R15)/3+Assumptions!$B$77*(Revenue_Build!U17-Revenue_Build!R17)/3+Assumptions!$B$87*(Revenue_Build!U19-Revenue_Build!R19)/3</f>
        <v/>
      </c>
      <c r="V173" s="8">
        <f>Assumptions!$B$67*(Revenue_Build!V15-Revenue_Build!S15)/3+Assumptions!$B$77*(Revenue_Build!V17-Revenue_Build!S17)/3+Assumptions!$B$87*(Revenue_Build!V19-Revenue_Build!S19)/3</f>
        <v/>
      </c>
      <c r="W173" s="8">
        <f>Assumptions!$B$67*(Revenue_Build!W15-Revenue_Build!T15)/3+Assumptions!$B$77*(Revenue_Build!W17-Revenue_Build!T17)/3+Assumptions!$B$87*(Revenue_Build!W19-Revenue_Build!T19)/3</f>
        <v/>
      </c>
      <c r="X173" s="8">
        <f>Assumptions!$B$67*(Revenue_Build!X15-Revenue_Build!U15)/3+Assumptions!$B$77*(Revenue_Build!X17-Revenue_Build!U17)/3+Assumptions!$B$87*(Revenue_Build!X19-Revenue_Build!U19)/3</f>
        <v/>
      </c>
      <c r="Y173" s="8">
        <f>Assumptions!$B$67*(Revenue_Build!Y15-Revenue_Build!V15)/3+Assumptions!$B$77*(Revenue_Build!Y17-Revenue_Build!V17)/3+Assumptions!$B$87*(Revenue_Build!Y19-Revenue_Build!V19)/3</f>
        <v/>
      </c>
      <c r="Z173" s="8">
        <f>Assumptions!$B$67*(Revenue_Build!Z15-Revenue_Build!W15)/3+Assumptions!$B$77*(Revenue_Build!Z17-Revenue_Build!W17)/3+Assumptions!$B$87*(Revenue_Build!Z19-Revenue_Build!W19)/3</f>
        <v/>
      </c>
      <c r="AA173" s="8">
        <f>Assumptions!$B$67*(Revenue_Build!AA15-Revenue_Build!X15)/3+Assumptions!$B$77*(Revenue_Build!AA17-Revenue_Build!X17)/3+Assumptions!$B$87*(Revenue_Build!AA19-Revenue_Build!X19)/3</f>
        <v/>
      </c>
      <c r="AB173" s="8">
        <f>Assumptions!$B$67*(Revenue_Build!AB15-Revenue_Build!Y15)/3+Assumptions!$B$77*(Revenue_Build!AB17-Revenue_Build!Y17)/3+Assumptions!$B$87*(Revenue_Build!AB19-Revenue_Build!Y19)/3</f>
        <v/>
      </c>
      <c r="AC173" s="8">
        <f>Assumptions!$B$67*(Revenue_Build!AC15-Revenue_Build!Z15)/3+Assumptions!$B$77*(Revenue_Build!AC17-Revenue_Build!Z17)/3+Assumptions!$B$87*(Revenue_Build!AC19-Revenue_Build!Z19)/3</f>
        <v/>
      </c>
      <c r="AD173" s="8">
        <f>Assumptions!$B$67*(Revenue_Build!AD15-Revenue_Build!AA15)/3+Assumptions!$B$77*(Revenue_Build!AD17-Revenue_Build!AA17)/3+Assumptions!$B$87*(Revenue_Build!AD19-Revenue_Build!AA19)/3</f>
        <v/>
      </c>
      <c r="AE173" s="8">
        <f>Assumptions!$B$67*(Revenue_Build!AE15-Revenue_Build!AB15)/3+Assumptions!$B$77*(Revenue_Build!AE17-Revenue_Build!AB17)/3+Assumptions!$B$87*(Revenue_Build!AE19-Revenue_Build!AB19)/3</f>
        <v/>
      </c>
      <c r="AF173" s="8">
        <f>Assumptions!$B$67*(Revenue_Build!AF15-Revenue_Build!AC15)/3+Assumptions!$B$77*(Revenue_Build!AF17-Revenue_Build!AC17)/3+Assumptions!$B$87*(Revenue_Build!AF19-Revenue_Build!AC19)/3</f>
        <v/>
      </c>
      <c r="AG173" s="8">
        <f>Assumptions!$B$67*(Revenue_Build!AG15-Revenue_Build!AD15)/3+Assumptions!$B$77*(Revenue_Build!AG17-Revenue_Build!AD17)/3+Assumptions!$B$87*(Revenue_Build!AG19-Revenue_Build!AD19)/3</f>
        <v/>
      </c>
      <c r="AH173" s="8">
        <f>Assumptions!$B$67*(Revenue_Build!AH15-Revenue_Build!AE15)/3+Assumptions!$B$77*(Revenue_Build!AH17-Revenue_Build!AE17)/3+Assumptions!$B$87*(Revenue_Build!AH19-Revenue_Build!AE19)/3</f>
        <v/>
      </c>
      <c r="AI173" s="8">
        <f>Assumptions!$B$67*(Revenue_Build!AI15-Revenue_Build!AF15)/3+Assumptions!$B$77*(Revenue_Build!AI17-Revenue_Build!AF17)/3+Assumptions!$B$87*(Revenue_Build!AI19-Revenue_Build!AF19)/3</f>
        <v/>
      </c>
      <c r="AJ173" s="8">
        <f>Assumptions!$B$67*(Revenue_Build!AJ15-Revenue_Build!AG15)/3+Assumptions!$B$77*(Revenue_Build!AJ17-Revenue_Build!AG17)/3+Assumptions!$B$87*(Revenue_Build!AJ19-Revenue_Build!AG19)/3</f>
        <v/>
      </c>
      <c r="AK173" s="8">
        <f>Assumptions!$B$67*(Revenue_Build!AK15-Revenue_Build!AH15)/3+Assumptions!$B$77*(Revenue_Build!AK17-Revenue_Build!AH17)/3+Assumptions!$B$87*(Revenue_Build!AK19-Revenue_Build!AH19)/3</f>
        <v/>
      </c>
      <c r="AL173" s="8">
        <f>Assumptions!$B$67*(Revenue_Build!AL15-Revenue_Build!AI15)/3+Assumptions!$B$77*(Revenue_Build!AL17-Revenue_Build!AI17)/3+Assumptions!$B$87*(Revenue_Build!AL19-Revenue_Build!AI19)/3</f>
        <v/>
      </c>
      <c r="AM173" s="8">
        <f>Assumptions!$B$67*(Revenue_Build!AM15-Revenue_Build!AJ15)/3+Assumptions!$B$77*(Revenue_Build!AM17-Revenue_Build!AJ17)/3+Assumptions!$B$87*(Revenue_Build!AM19-Revenue_Build!AJ19)/3</f>
        <v/>
      </c>
      <c r="AN173" s="8">
        <f>Assumptions!$B$67*(Revenue_Build!AN15-Revenue_Build!AK15)/3+Assumptions!$B$77*(Revenue_Build!AN17-Revenue_Build!AK17)/3+Assumptions!$B$87*(Revenue_Build!AN19-Revenue_Build!AK19)/3</f>
        <v/>
      </c>
      <c r="AO173" s="8">
        <f>Assumptions!$B$67*(Revenue_Build!AO15-Revenue_Build!AL15)/3+Assumptions!$B$77*(Revenue_Build!AO17-Revenue_Build!AL17)/3+Assumptions!$B$87*(Revenue_Build!AO19-Revenue_Build!AL19)/3</f>
        <v/>
      </c>
      <c r="AP173" s="8">
        <f>Assumptions!$B$67*(Revenue_Build!AP15-Revenue_Build!AM15)/3+Assumptions!$B$77*(Revenue_Build!AP17-Revenue_Build!AM17)/3+Assumptions!$B$87*(Revenue_Build!AP19-Revenue_Build!AM19)/3</f>
        <v/>
      </c>
      <c r="AQ173" s="8">
        <f>Assumptions!$B$67*(Revenue_Build!AQ15-Revenue_Build!AN15)/3+Assumptions!$B$77*(Revenue_Build!AQ17-Revenue_Build!AN17)/3+Assumptions!$B$87*(Revenue_Build!AQ19-Revenue_Build!AN19)/3</f>
        <v/>
      </c>
      <c r="AR173" s="8">
        <f>Assumptions!$B$67*(Revenue_Build!AR15-Revenue_Build!AO15)/3+Assumptions!$B$77*(Revenue_Build!AR17-Revenue_Build!AO17)/3+Assumptions!$B$87*(Revenue_Build!AR19-Revenue_Build!AO19)/3</f>
        <v/>
      </c>
      <c r="AS173" s="8">
        <f>Assumptions!$B$67*(Revenue_Build!AS15-Revenue_Build!AP15)/3+Assumptions!$B$77*(Revenue_Build!AS17-Revenue_Build!AP17)/3+Assumptions!$B$87*(Revenue_Build!AS19-Revenue_Build!AP19)/3</f>
        <v/>
      </c>
      <c r="AT173" s="8">
        <f>Assumptions!$B$67*(Revenue_Build!AT15-Revenue_Build!AQ15)/3+Assumptions!$B$77*(Revenue_Build!AT17-Revenue_Build!AQ17)/3+Assumptions!$B$87*(Revenue_Build!AT19-Revenue_Build!AQ19)/3</f>
        <v/>
      </c>
      <c r="AU173" s="8">
        <f>Assumptions!$B$67*(Revenue_Build!AU15-Revenue_Build!AR15)/3+Assumptions!$B$77*(Revenue_Build!AU17-Revenue_Build!AR17)/3+Assumptions!$B$87*(Revenue_Build!AU19-Revenue_Build!AR19)/3</f>
        <v/>
      </c>
      <c r="AV173" s="8">
        <f>Assumptions!$B$67*(Revenue_Build!AV15-Revenue_Build!AS15)/3+Assumptions!$B$77*(Revenue_Build!AV17-Revenue_Build!AS17)/3+Assumptions!$B$87*(Revenue_Build!AV19-Revenue_Build!AS19)/3</f>
        <v/>
      </c>
      <c r="AW173" s="8">
        <f>Assumptions!$B$67*(Revenue_Build!AW15-Revenue_Build!AT15)/3+Assumptions!$B$77*(Revenue_Build!AW17-Revenue_Build!AT17)/3+Assumptions!$B$87*(Revenue_Build!AW19-Revenue_Build!AT19)/3</f>
        <v/>
      </c>
      <c r="AX173" s="8">
        <f>Assumptions!$B$67*(Revenue_Build!AX15-Revenue_Build!AU15)/3+Assumptions!$B$77*(Revenue_Build!AX17-Revenue_Build!AU17)/3+Assumptions!$B$87*(Revenue_Build!AX19-Revenue_Build!AU19)/3</f>
        <v/>
      </c>
      <c r="AY173" s="8">
        <f>Assumptions!$B$67*(Revenue_Build!AY15-Revenue_Build!AV15)/3+Assumptions!$B$77*(Revenue_Build!AY17-Revenue_Build!AV17)/3+Assumptions!$B$87*(Revenue_Build!AY19-Revenue_Build!AV19)/3</f>
        <v/>
      </c>
      <c r="AZ173" s="8">
        <f>Assumptions!$B$67*(Revenue_Build!AZ15-Revenue_Build!AW15)/3+Assumptions!$B$77*(Revenue_Build!AZ17-Revenue_Build!AW17)/3+Assumptions!$B$87*(Revenue_Build!AZ19-Revenue_Build!AW19)/3</f>
        <v/>
      </c>
      <c r="BA173" s="8">
        <f>Assumptions!$B$67*(Revenue_Build!BA15-Revenue_Build!AX15)/3+Assumptions!$B$77*(Revenue_Build!BA17-Revenue_Build!AX17)/3+Assumptions!$B$87*(Revenue_Build!BA19-Revenue_Build!AX19)/3</f>
        <v/>
      </c>
      <c r="BB173" s="8">
        <f>Assumptions!$B$67*(Revenue_Build!BB15-Revenue_Build!AY15)/3+Assumptions!$B$77*(Revenue_Build!BB17-Revenue_Build!AY17)/3+Assumptions!$B$87*(Revenue_Build!BB19-Revenue_Build!AY19)/3</f>
        <v/>
      </c>
      <c r="BC173" s="8">
        <f>Assumptions!$B$67*(Revenue_Build!BC15-Revenue_Build!AZ15)/3+Assumptions!$B$77*(Revenue_Build!BC17-Revenue_Build!AZ17)/3+Assumptions!$B$87*(Revenue_Build!BC19-Revenue_Build!AZ19)/3</f>
        <v/>
      </c>
      <c r="BD173" s="8">
        <f>Assumptions!$B$67*(Revenue_Build!BD15-Revenue_Build!BA15)/3+Assumptions!$B$77*(Revenue_Build!BD17-Revenue_Build!BA17)/3+Assumptions!$B$87*(Revenue_Build!BD19-Revenue_Build!BA19)/3</f>
        <v/>
      </c>
      <c r="BE173" s="8">
        <f>Assumptions!$B$67*(Revenue_Build!BE15-Revenue_Build!BB15)/3+Assumptions!$B$77*(Revenue_Build!BE17-Revenue_Build!BB17)/3+Assumptions!$B$87*(Revenue_Build!BE19-Revenue_Build!BB19)/3</f>
        <v/>
      </c>
      <c r="BF173" s="8">
        <f>Assumptions!$B$67*(Revenue_Build!BF15-Revenue_Build!BC15)/3+Assumptions!$B$77*(Revenue_Build!BF17-Revenue_Build!BC17)/3+Assumptions!$B$87*(Revenue_Build!BF19-Revenue_Build!BC19)/3</f>
        <v/>
      </c>
      <c r="BG173" s="8">
        <f>Assumptions!$B$67*(Revenue_Build!BG15-Revenue_Build!BD15)/3+Assumptions!$B$77*(Revenue_Build!BG17-Revenue_Build!BD17)/3+Assumptions!$B$87*(Revenue_Build!BG19-Revenue_Build!BD19)/3</f>
        <v/>
      </c>
      <c r="BH173" s="8">
        <f>Assumptions!$B$67*(Revenue_Build!BH15-Revenue_Build!BE15)/3+Assumptions!$B$77*(Revenue_Build!BH17-Revenue_Build!BE17)/3+Assumptions!$B$87*(Revenue_Build!BH19-Revenue_Build!BE19)/3</f>
        <v/>
      </c>
      <c r="BI173" s="8">
        <f>Assumptions!$B$67*(Revenue_Build!BI15-Revenue_Build!BF15)/3+Assumptions!$B$77*(Revenue_Build!BI17-Revenue_Build!BF17)/3+Assumptions!$B$87*(Revenue_Build!BI19-Revenue_Build!BF19)/3</f>
        <v/>
      </c>
      <c r="BJ173" s="8">
        <f>Assumptions!$B$67*(Revenue_Build!BJ15-Revenue_Build!BG15)/3+Assumptions!$B$77*(Revenue_Build!BJ17-Revenue_Build!BG17)/3+Assumptions!$B$87*(Revenue_Build!BJ19-Revenue_Build!BG19)/3</f>
        <v/>
      </c>
    </row>
    <row r="174">
      <c r="A174" s="4" t="inlineStr">
        <is>
          <t>Rest of Africa &amp; BW/NA self-serve marketing</t>
        </is>
      </c>
      <c r="B174" s="17" t="inlineStr">
        <is>
          <t>R</t>
        </is>
      </c>
      <c r="C174" s="8">
        <f>Revenue_Build!C21*Assumptions!$B$106+Revenue_Build!C23*Assumptions!$B$107</f>
        <v/>
      </c>
      <c r="D174" s="8">
        <f>Revenue_Build!D21*Assumptions!$B$106+Revenue_Build!D23*Assumptions!$B$107</f>
        <v/>
      </c>
      <c r="E174" s="8">
        <f>Revenue_Build!E21*Assumptions!$B$106+Revenue_Build!E23*Assumptions!$B$107</f>
        <v/>
      </c>
      <c r="F174" s="8">
        <f>Revenue_Build!F21*Assumptions!$B$106+Revenue_Build!F23*Assumptions!$B$107</f>
        <v/>
      </c>
      <c r="G174" s="8">
        <f>Revenue_Build!G21*Assumptions!$B$106+Revenue_Build!G23*Assumptions!$B$107</f>
        <v/>
      </c>
      <c r="H174" s="8">
        <f>Revenue_Build!H21*Assumptions!$B$106+Revenue_Build!H23*Assumptions!$B$107</f>
        <v/>
      </c>
      <c r="I174" s="8">
        <f>Revenue_Build!I21*Assumptions!$B$106+Revenue_Build!I23*Assumptions!$B$107</f>
        <v/>
      </c>
      <c r="J174" s="8">
        <f>Revenue_Build!J21*Assumptions!$B$106+Revenue_Build!J23*Assumptions!$B$107</f>
        <v/>
      </c>
      <c r="K174" s="8">
        <f>Revenue_Build!K21*Assumptions!$B$106+Revenue_Build!K23*Assumptions!$B$107</f>
        <v/>
      </c>
      <c r="L174" s="8">
        <f>Revenue_Build!L21*Assumptions!$B$106+Revenue_Build!L23*Assumptions!$B$107</f>
        <v/>
      </c>
      <c r="M174" s="8">
        <f>Revenue_Build!M21*Assumptions!$B$106+Revenue_Build!M23*Assumptions!$B$107</f>
        <v/>
      </c>
      <c r="N174" s="8">
        <f>Revenue_Build!N21*Assumptions!$B$106+Revenue_Build!N23*Assumptions!$B$107</f>
        <v/>
      </c>
      <c r="O174" s="8">
        <f>Revenue_Build!O21*Assumptions!$B$106+Revenue_Build!O23*Assumptions!$B$107</f>
        <v/>
      </c>
      <c r="P174" s="8">
        <f>Revenue_Build!P21*Assumptions!$B$106+Revenue_Build!P23*Assumptions!$B$107</f>
        <v/>
      </c>
      <c r="Q174" s="8">
        <f>Revenue_Build!Q21*Assumptions!$B$106+Revenue_Build!Q23*Assumptions!$B$107</f>
        <v/>
      </c>
      <c r="R174" s="8">
        <f>Revenue_Build!R21*Assumptions!$B$106+Revenue_Build!R23*Assumptions!$B$107</f>
        <v/>
      </c>
      <c r="S174" s="8">
        <f>Revenue_Build!S21*Assumptions!$B$106+Revenue_Build!S23*Assumptions!$B$107</f>
        <v/>
      </c>
      <c r="T174" s="8">
        <f>Revenue_Build!T21*Assumptions!$B$106+Revenue_Build!T23*Assumptions!$B$107</f>
        <v/>
      </c>
      <c r="U174" s="8">
        <f>Revenue_Build!U21*Assumptions!$B$106+Revenue_Build!U23*Assumptions!$B$107</f>
        <v/>
      </c>
      <c r="V174" s="8">
        <f>Revenue_Build!V21*Assumptions!$B$106+Revenue_Build!V23*Assumptions!$B$107</f>
        <v/>
      </c>
      <c r="W174" s="8">
        <f>Revenue_Build!W21*Assumptions!$B$106+Revenue_Build!W23*Assumptions!$B$107</f>
        <v/>
      </c>
      <c r="X174" s="8">
        <f>Revenue_Build!X21*Assumptions!$B$106+Revenue_Build!X23*Assumptions!$B$107</f>
        <v/>
      </c>
      <c r="Y174" s="8">
        <f>Revenue_Build!Y21*Assumptions!$B$106+Revenue_Build!Y23*Assumptions!$B$107</f>
        <v/>
      </c>
      <c r="Z174" s="8">
        <f>Revenue_Build!Z21*Assumptions!$B$106+Revenue_Build!Z23*Assumptions!$B$107</f>
        <v/>
      </c>
      <c r="AA174" s="8">
        <f>Revenue_Build!AA21*Assumptions!$B$106+Revenue_Build!AA23*Assumptions!$B$107</f>
        <v/>
      </c>
      <c r="AB174" s="8">
        <f>Revenue_Build!AB21*Assumptions!$B$106+Revenue_Build!AB23*Assumptions!$B$107</f>
        <v/>
      </c>
      <c r="AC174" s="8">
        <f>Revenue_Build!AC21*Assumptions!$B$106+Revenue_Build!AC23*Assumptions!$B$107</f>
        <v/>
      </c>
      <c r="AD174" s="8">
        <f>Revenue_Build!AD21*Assumptions!$B$106+Revenue_Build!AD23*Assumptions!$B$107</f>
        <v/>
      </c>
      <c r="AE174" s="8">
        <f>Revenue_Build!AE21*Assumptions!$B$106+Revenue_Build!AE23*Assumptions!$B$107</f>
        <v/>
      </c>
      <c r="AF174" s="8">
        <f>Revenue_Build!AF21*Assumptions!$B$106+Revenue_Build!AF23*Assumptions!$B$107</f>
        <v/>
      </c>
      <c r="AG174" s="8">
        <f>Revenue_Build!AG21*Assumptions!$B$106+Revenue_Build!AG23*Assumptions!$B$107</f>
        <v/>
      </c>
      <c r="AH174" s="8">
        <f>Revenue_Build!AH21*Assumptions!$B$106+Revenue_Build!AH23*Assumptions!$B$107</f>
        <v/>
      </c>
      <c r="AI174" s="8">
        <f>Revenue_Build!AI21*Assumptions!$B$106+Revenue_Build!AI23*Assumptions!$B$107</f>
        <v/>
      </c>
      <c r="AJ174" s="8">
        <f>Revenue_Build!AJ21*Assumptions!$B$106+Revenue_Build!AJ23*Assumptions!$B$107</f>
        <v/>
      </c>
      <c r="AK174" s="8">
        <f>Revenue_Build!AK21*Assumptions!$B$106+Revenue_Build!AK23*Assumptions!$B$107</f>
        <v/>
      </c>
      <c r="AL174" s="8">
        <f>Revenue_Build!AL21*Assumptions!$B$106+Revenue_Build!AL23*Assumptions!$B$107</f>
        <v/>
      </c>
      <c r="AM174" s="8">
        <f>Revenue_Build!AM21*Assumptions!$B$106+Revenue_Build!AM23*Assumptions!$B$107</f>
        <v/>
      </c>
      <c r="AN174" s="8">
        <f>Revenue_Build!AN21*Assumptions!$B$106+Revenue_Build!AN23*Assumptions!$B$107</f>
        <v/>
      </c>
      <c r="AO174" s="8">
        <f>Revenue_Build!AO21*Assumptions!$B$106+Revenue_Build!AO23*Assumptions!$B$107</f>
        <v/>
      </c>
      <c r="AP174" s="8">
        <f>Revenue_Build!AP21*Assumptions!$B$106+Revenue_Build!AP23*Assumptions!$B$107</f>
        <v/>
      </c>
      <c r="AQ174" s="8">
        <f>Revenue_Build!AQ21*Assumptions!$B$106+Revenue_Build!AQ23*Assumptions!$B$107</f>
        <v/>
      </c>
      <c r="AR174" s="8">
        <f>Revenue_Build!AR21*Assumptions!$B$106+Revenue_Build!AR23*Assumptions!$B$107</f>
        <v/>
      </c>
      <c r="AS174" s="8">
        <f>Revenue_Build!AS21*Assumptions!$B$106+Revenue_Build!AS23*Assumptions!$B$107</f>
        <v/>
      </c>
      <c r="AT174" s="8">
        <f>Revenue_Build!AT21*Assumptions!$B$106+Revenue_Build!AT23*Assumptions!$B$107</f>
        <v/>
      </c>
      <c r="AU174" s="8">
        <f>Revenue_Build!AU21*Assumptions!$B$106+Revenue_Build!AU23*Assumptions!$B$107</f>
        <v/>
      </c>
      <c r="AV174" s="8">
        <f>Revenue_Build!AV21*Assumptions!$B$106+Revenue_Build!AV23*Assumptions!$B$107</f>
        <v/>
      </c>
      <c r="AW174" s="8">
        <f>Revenue_Build!AW21*Assumptions!$B$106+Revenue_Build!AW23*Assumptions!$B$107</f>
        <v/>
      </c>
      <c r="AX174" s="8">
        <f>Revenue_Build!AX21*Assumptions!$B$106+Revenue_Build!AX23*Assumptions!$B$107</f>
        <v/>
      </c>
      <c r="AY174" s="8">
        <f>Revenue_Build!AY21*Assumptions!$B$106+Revenue_Build!AY23*Assumptions!$B$107</f>
        <v/>
      </c>
      <c r="AZ174" s="8">
        <f>Revenue_Build!AZ21*Assumptions!$B$106+Revenue_Build!AZ23*Assumptions!$B$107</f>
        <v/>
      </c>
      <c r="BA174" s="8">
        <f>Revenue_Build!BA21*Assumptions!$B$106+Revenue_Build!BA23*Assumptions!$B$107</f>
        <v/>
      </c>
      <c r="BB174" s="8">
        <f>Revenue_Build!BB21*Assumptions!$B$106+Revenue_Build!BB23*Assumptions!$B$107</f>
        <v/>
      </c>
      <c r="BC174" s="8">
        <f>Revenue_Build!BC21*Assumptions!$B$106+Revenue_Build!BC23*Assumptions!$B$107</f>
        <v/>
      </c>
      <c r="BD174" s="8">
        <f>Revenue_Build!BD21*Assumptions!$B$106+Revenue_Build!BD23*Assumptions!$B$107</f>
        <v/>
      </c>
      <c r="BE174" s="8">
        <f>Revenue_Build!BE21*Assumptions!$B$106+Revenue_Build!BE23*Assumptions!$B$107</f>
        <v/>
      </c>
      <c r="BF174" s="8">
        <f>Revenue_Build!BF21*Assumptions!$B$106+Revenue_Build!BF23*Assumptions!$B$107</f>
        <v/>
      </c>
      <c r="BG174" s="8">
        <f>Revenue_Build!BG21*Assumptions!$B$106+Revenue_Build!BG23*Assumptions!$B$107</f>
        <v/>
      </c>
      <c r="BH174" s="8">
        <f>Revenue_Build!BH21*Assumptions!$B$106+Revenue_Build!BH23*Assumptions!$B$107</f>
        <v/>
      </c>
      <c r="BI174" s="8">
        <f>Revenue_Build!BI21*Assumptions!$B$106+Revenue_Build!BI23*Assumptions!$B$107</f>
        <v/>
      </c>
      <c r="BJ174" s="8">
        <f>Revenue_Build!BJ21*Assumptions!$B$106+Revenue_Build!BJ23*Assumptions!$B$107</f>
        <v/>
      </c>
    </row>
    <row r="175">
      <c r="A175" s="4" t="inlineStr">
        <is>
          <t>First group set up by hand</t>
        </is>
      </c>
      <c r="B175" s="17" t="inlineStr">
        <is>
          <t>R</t>
        </is>
      </c>
      <c r="C175" s="8">
        <f>Revenue_Build!C9*Assumptions!$B$24</f>
        <v/>
      </c>
      <c r="D175" s="8">
        <f>Revenue_Build!D9*Assumptions!$B$24</f>
        <v/>
      </c>
      <c r="E175" s="8">
        <f>Revenue_Build!E9*Assumptions!$B$24</f>
        <v/>
      </c>
      <c r="F175" s="8">
        <f>Revenue_Build!F9*Assumptions!$B$24</f>
        <v/>
      </c>
      <c r="G175" s="8">
        <f>Revenue_Build!G9*Assumptions!$B$24</f>
        <v/>
      </c>
      <c r="H175" s="8">
        <f>Revenue_Build!H9*Assumptions!$B$24</f>
        <v/>
      </c>
      <c r="I175" s="8">
        <f>Revenue_Build!I9*Assumptions!$B$24</f>
        <v/>
      </c>
      <c r="J175" s="8">
        <f>Revenue_Build!J9*Assumptions!$B$24</f>
        <v/>
      </c>
      <c r="K175" s="8">
        <f>Revenue_Build!K9*Assumptions!$B$24</f>
        <v/>
      </c>
      <c r="L175" s="8">
        <f>Revenue_Build!L9*Assumptions!$B$24</f>
        <v/>
      </c>
      <c r="M175" s="8">
        <f>Revenue_Build!M9*Assumptions!$B$24</f>
        <v/>
      </c>
      <c r="N175" s="8">
        <f>Revenue_Build!N9*Assumptions!$B$24</f>
        <v/>
      </c>
      <c r="O175" s="8">
        <f>Revenue_Build!O9*Assumptions!$B$24</f>
        <v/>
      </c>
      <c r="P175" s="8">
        <f>Revenue_Build!P9*Assumptions!$B$24</f>
        <v/>
      </c>
      <c r="Q175" s="8">
        <f>Revenue_Build!Q9*Assumptions!$B$24</f>
        <v/>
      </c>
      <c r="R175" s="8">
        <f>Revenue_Build!R9*Assumptions!$B$24</f>
        <v/>
      </c>
      <c r="S175" s="8">
        <f>Revenue_Build!S9*Assumptions!$B$24</f>
        <v/>
      </c>
      <c r="T175" s="8">
        <f>Revenue_Build!T9*Assumptions!$B$24</f>
        <v/>
      </c>
      <c r="U175" s="8">
        <f>Revenue_Build!U9*Assumptions!$B$24</f>
        <v/>
      </c>
      <c r="V175" s="8">
        <f>Revenue_Build!V9*Assumptions!$B$24</f>
        <v/>
      </c>
      <c r="W175" s="8">
        <f>Revenue_Build!W9*Assumptions!$B$24</f>
        <v/>
      </c>
      <c r="X175" s="8">
        <f>Revenue_Build!X9*Assumptions!$B$24</f>
        <v/>
      </c>
      <c r="Y175" s="8">
        <f>Revenue_Build!Y9*Assumptions!$B$24</f>
        <v/>
      </c>
      <c r="Z175" s="8">
        <f>Revenue_Build!Z9*Assumptions!$B$24</f>
        <v/>
      </c>
      <c r="AA175" s="8">
        <f>Revenue_Build!AA9*Assumptions!$B$24</f>
        <v/>
      </c>
      <c r="AB175" s="8">
        <f>Revenue_Build!AB9*Assumptions!$B$24</f>
        <v/>
      </c>
      <c r="AC175" s="8">
        <f>Revenue_Build!AC9*Assumptions!$B$24</f>
        <v/>
      </c>
      <c r="AD175" s="8">
        <f>Revenue_Build!AD9*Assumptions!$B$24</f>
        <v/>
      </c>
      <c r="AE175" s="8">
        <f>Revenue_Build!AE9*Assumptions!$B$24</f>
        <v/>
      </c>
      <c r="AF175" s="8">
        <f>Revenue_Build!AF9*Assumptions!$B$24</f>
        <v/>
      </c>
      <c r="AG175" s="8">
        <f>Revenue_Build!AG9*Assumptions!$B$24</f>
        <v/>
      </c>
      <c r="AH175" s="8">
        <f>Revenue_Build!AH9*Assumptions!$B$24</f>
        <v/>
      </c>
      <c r="AI175" s="8">
        <f>Revenue_Build!AI9*Assumptions!$B$24</f>
        <v/>
      </c>
      <c r="AJ175" s="8">
        <f>Revenue_Build!AJ9*Assumptions!$B$24</f>
        <v/>
      </c>
      <c r="AK175" s="8">
        <f>Revenue_Build!AK9*Assumptions!$B$24</f>
        <v/>
      </c>
      <c r="AL175" s="8">
        <f>Revenue_Build!AL9*Assumptions!$B$24</f>
        <v/>
      </c>
      <c r="AM175" s="8">
        <f>Revenue_Build!AM9*Assumptions!$B$24</f>
        <v/>
      </c>
      <c r="AN175" s="8">
        <f>Revenue_Build!AN9*Assumptions!$B$24</f>
        <v/>
      </c>
      <c r="AO175" s="8">
        <f>Revenue_Build!AO9*Assumptions!$B$24</f>
        <v/>
      </c>
      <c r="AP175" s="8">
        <f>Revenue_Build!AP9*Assumptions!$B$24</f>
        <v/>
      </c>
      <c r="AQ175" s="8">
        <f>Revenue_Build!AQ9*Assumptions!$B$24</f>
        <v/>
      </c>
      <c r="AR175" s="8">
        <f>Revenue_Build!AR9*Assumptions!$B$24</f>
        <v/>
      </c>
      <c r="AS175" s="8">
        <f>Revenue_Build!AS9*Assumptions!$B$24</f>
        <v/>
      </c>
      <c r="AT175" s="8">
        <f>Revenue_Build!AT9*Assumptions!$B$24</f>
        <v/>
      </c>
      <c r="AU175" s="8">
        <f>Revenue_Build!AU9*Assumptions!$B$24</f>
        <v/>
      </c>
      <c r="AV175" s="8">
        <f>Revenue_Build!AV9*Assumptions!$B$24</f>
        <v/>
      </c>
      <c r="AW175" s="8">
        <f>Revenue_Build!AW9*Assumptions!$B$24</f>
        <v/>
      </c>
      <c r="AX175" s="8">
        <f>Revenue_Build!AX9*Assumptions!$B$24</f>
        <v/>
      </c>
      <c r="AY175" s="8">
        <f>Revenue_Build!AY9*Assumptions!$B$24</f>
        <v/>
      </c>
      <c r="AZ175" s="8">
        <f>Revenue_Build!AZ9*Assumptions!$B$24</f>
        <v/>
      </c>
      <c r="BA175" s="8">
        <f>Revenue_Build!BA9*Assumptions!$B$24</f>
        <v/>
      </c>
      <c r="BB175" s="8">
        <f>Revenue_Build!BB9*Assumptions!$B$24</f>
        <v/>
      </c>
      <c r="BC175" s="8">
        <f>Revenue_Build!BC9*Assumptions!$B$24</f>
        <v/>
      </c>
      <c r="BD175" s="8">
        <f>Revenue_Build!BD9*Assumptions!$B$24</f>
        <v/>
      </c>
      <c r="BE175" s="8">
        <f>Revenue_Build!BE9*Assumptions!$B$24</f>
        <v/>
      </c>
      <c r="BF175" s="8">
        <f>Revenue_Build!BF9*Assumptions!$B$24</f>
        <v/>
      </c>
      <c r="BG175" s="8">
        <f>Revenue_Build!BG9*Assumptions!$B$24</f>
        <v/>
      </c>
      <c r="BH175" s="8">
        <f>Revenue_Build!BH9*Assumptions!$B$24</f>
        <v/>
      </c>
      <c r="BI175" s="8">
        <f>Revenue_Build!BI9*Assumptions!$B$24</f>
        <v/>
      </c>
      <c r="BJ175" s="8">
        <f>Revenue_Build!BJ9*Assumptions!$B$24</f>
        <v/>
      </c>
    </row>
    <row r="176">
      <c r="A176" s="4" t="inlineStr">
        <is>
          <t>Partner programme</t>
        </is>
      </c>
      <c r="B176" s="17" t="inlineStr">
        <is>
          <t>R</t>
        </is>
      </c>
      <c r="C176" s="8">
        <f>Revenue_Build!C8*((Revenue_Build!C158+Revenue_Build!C159+Revenue_Build!C160+Revenue_Build!C161)*Assumptions!$B$203+IF(C$3&gt;=Assumptions!$B$205,Assumptions!$B$204,0))</f>
        <v/>
      </c>
      <c r="D176" s="8">
        <f>Revenue_Build!D8*((Revenue_Build!D158+Revenue_Build!D159+Revenue_Build!D160+Revenue_Build!D161)*Assumptions!$B$203+IF(D$3&gt;=Assumptions!$B$205,Assumptions!$B$204,0))</f>
        <v/>
      </c>
      <c r="E176" s="8">
        <f>Revenue_Build!E8*((Revenue_Build!E158+Revenue_Build!E159+Revenue_Build!E160+Revenue_Build!E161)*Assumptions!$B$203+IF(E$3&gt;=Assumptions!$B$205,Assumptions!$B$204,0))</f>
        <v/>
      </c>
      <c r="F176" s="8">
        <f>Revenue_Build!F8*((Revenue_Build!F158+Revenue_Build!F159+Revenue_Build!F160+Revenue_Build!F161)*Assumptions!$B$203+IF(F$3&gt;=Assumptions!$B$205,Assumptions!$B$204,0))</f>
        <v/>
      </c>
      <c r="G176" s="8">
        <f>Revenue_Build!G8*((Revenue_Build!G158+Revenue_Build!G159+Revenue_Build!G160+Revenue_Build!G161)*Assumptions!$B$203+IF(G$3&gt;=Assumptions!$B$205,Assumptions!$B$204,0))</f>
        <v/>
      </c>
      <c r="H176" s="8">
        <f>Revenue_Build!H8*((Revenue_Build!H158+Revenue_Build!H159+Revenue_Build!H160+Revenue_Build!H161)*Assumptions!$B$203+IF(H$3&gt;=Assumptions!$B$205,Assumptions!$B$204,0))</f>
        <v/>
      </c>
      <c r="I176" s="8">
        <f>Revenue_Build!I8*((Revenue_Build!I158+Revenue_Build!I159+Revenue_Build!I160+Revenue_Build!I161)*Assumptions!$B$203+IF(I$3&gt;=Assumptions!$B$205,Assumptions!$B$204,0))</f>
        <v/>
      </c>
      <c r="J176" s="8">
        <f>Revenue_Build!J8*((Revenue_Build!J158+Revenue_Build!J159+Revenue_Build!J160+Revenue_Build!J161)*Assumptions!$B$203+IF(J$3&gt;=Assumptions!$B$205,Assumptions!$B$204,0))</f>
        <v/>
      </c>
      <c r="K176" s="8">
        <f>Revenue_Build!K8*((Revenue_Build!K158+Revenue_Build!K159+Revenue_Build!K160+Revenue_Build!K161)*Assumptions!$B$203+IF(K$3&gt;=Assumptions!$B$205,Assumptions!$B$204,0))</f>
        <v/>
      </c>
      <c r="L176" s="8">
        <f>Revenue_Build!L8*((Revenue_Build!L158+Revenue_Build!L159+Revenue_Build!L160+Revenue_Build!L161)*Assumptions!$B$203+IF(L$3&gt;=Assumptions!$B$205,Assumptions!$B$204,0))</f>
        <v/>
      </c>
      <c r="M176" s="8">
        <f>Revenue_Build!M8*((Revenue_Build!M158+Revenue_Build!M159+Revenue_Build!M160+Revenue_Build!M161)*Assumptions!$B$203+IF(M$3&gt;=Assumptions!$B$205,Assumptions!$B$204,0))</f>
        <v/>
      </c>
      <c r="N176" s="8">
        <f>Revenue_Build!N8*((Revenue_Build!N158+Revenue_Build!N159+Revenue_Build!N160+Revenue_Build!N161)*Assumptions!$B$203+IF(N$3&gt;=Assumptions!$B$205,Assumptions!$B$204,0))</f>
        <v/>
      </c>
      <c r="O176" s="8">
        <f>Revenue_Build!O8*((Revenue_Build!O158+Revenue_Build!O159+Revenue_Build!O160+Revenue_Build!O161)*Assumptions!$B$203+IF(O$3&gt;=Assumptions!$B$205,Assumptions!$B$204,0))</f>
        <v/>
      </c>
      <c r="P176" s="8">
        <f>Revenue_Build!P8*((Revenue_Build!P158+Revenue_Build!P159+Revenue_Build!P160+Revenue_Build!P161)*Assumptions!$B$203+IF(P$3&gt;=Assumptions!$B$205,Assumptions!$B$204,0))</f>
        <v/>
      </c>
      <c r="Q176" s="8">
        <f>Revenue_Build!Q8*((Revenue_Build!Q158+Revenue_Build!Q159+Revenue_Build!Q160+Revenue_Build!Q161)*Assumptions!$B$203+IF(Q$3&gt;=Assumptions!$B$205,Assumptions!$B$204,0))</f>
        <v/>
      </c>
      <c r="R176" s="8">
        <f>Revenue_Build!R8*((Revenue_Build!R158+Revenue_Build!R159+Revenue_Build!R160+Revenue_Build!R161)*Assumptions!$B$203+IF(R$3&gt;=Assumptions!$B$205,Assumptions!$B$204,0))</f>
        <v/>
      </c>
      <c r="S176" s="8">
        <f>Revenue_Build!S8*((Revenue_Build!S158+Revenue_Build!S159+Revenue_Build!S160+Revenue_Build!S161)*Assumptions!$B$203+IF(S$3&gt;=Assumptions!$B$205,Assumptions!$B$204,0))</f>
        <v/>
      </c>
      <c r="T176" s="8">
        <f>Revenue_Build!T8*((Revenue_Build!T158+Revenue_Build!T159+Revenue_Build!T160+Revenue_Build!T161)*Assumptions!$B$203+IF(T$3&gt;=Assumptions!$B$205,Assumptions!$B$204,0))</f>
        <v/>
      </c>
      <c r="U176" s="8">
        <f>Revenue_Build!U8*((Revenue_Build!U158+Revenue_Build!U159+Revenue_Build!U160+Revenue_Build!U161)*Assumptions!$B$203+IF(U$3&gt;=Assumptions!$B$205,Assumptions!$B$204,0))</f>
        <v/>
      </c>
      <c r="V176" s="8">
        <f>Revenue_Build!V8*((Revenue_Build!V158+Revenue_Build!V159+Revenue_Build!V160+Revenue_Build!V161)*Assumptions!$B$203+IF(V$3&gt;=Assumptions!$B$205,Assumptions!$B$204,0))</f>
        <v/>
      </c>
      <c r="W176" s="8">
        <f>Revenue_Build!W8*((Revenue_Build!W158+Revenue_Build!W159+Revenue_Build!W160+Revenue_Build!W161)*Assumptions!$B$203+IF(W$3&gt;=Assumptions!$B$205,Assumptions!$B$204,0))</f>
        <v/>
      </c>
      <c r="X176" s="8">
        <f>Revenue_Build!X8*((Revenue_Build!X158+Revenue_Build!X159+Revenue_Build!X160+Revenue_Build!X161)*Assumptions!$B$203+IF(X$3&gt;=Assumptions!$B$205,Assumptions!$B$204,0))</f>
        <v/>
      </c>
      <c r="Y176" s="8">
        <f>Revenue_Build!Y8*((Revenue_Build!Y158+Revenue_Build!Y159+Revenue_Build!Y160+Revenue_Build!Y161)*Assumptions!$B$203+IF(Y$3&gt;=Assumptions!$B$205,Assumptions!$B$204,0))</f>
        <v/>
      </c>
      <c r="Z176" s="8">
        <f>Revenue_Build!Z8*((Revenue_Build!Z158+Revenue_Build!Z159+Revenue_Build!Z160+Revenue_Build!Z161)*Assumptions!$B$203+IF(Z$3&gt;=Assumptions!$B$205,Assumptions!$B$204,0))</f>
        <v/>
      </c>
      <c r="AA176" s="8">
        <f>Revenue_Build!AA8*((Revenue_Build!AA158+Revenue_Build!AA159+Revenue_Build!AA160+Revenue_Build!AA161)*Assumptions!$B$203+IF(AA$3&gt;=Assumptions!$B$205,Assumptions!$B$204,0))</f>
        <v/>
      </c>
      <c r="AB176" s="8">
        <f>Revenue_Build!AB8*((Revenue_Build!AB158+Revenue_Build!AB159+Revenue_Build!AB160+Revenue_Build!AB161)*Assumptions!$B$203+IF(AB$3&gt;=Assumptions!$B$205,Assumptions!$B$204,0))</f>
        <v/>
      </c>
      <c r="AC176" s="8">
        <f>Revenue_Build!AC8*((Revenue_Build!AC158+Revenue_Build!AC159+Revenue_Build!AC160+Revenue_Build!AC161)*Assumptions!$B$203+IF(AC$3&gt;=Assumptions!$B$205,Assumptions!$B$204,0))</f>
        <v/>
      </c>
      <c r="AD176" s="8">
        <f>Revenue_Build!AD8*((Revenue_Build!AD158+Revenue_Build!AD159+Revenue_Build!AD160+Revenue_Build!AD161)*Assumptions!$B$203+IF(AD$3&gt;=Assumptions!$B$205,Assumptions!$B$204,0))</f>
        <v/>
      </c>
      <c r="AE176" s="8">
        <f>Revenue_Build!AE8*((Revenue_Build!AE158+Revenue_Build!AE159+Revenue_Build!AE160+Revenue_Build!AE161)*Assumptions!$B$203+IF(AE$3&gt;=Assumptions!$B$205,Assumptions!$B$204,0))</f>
        <v/>
      </c>
      <c r="AF176" s="8">
        <f>Revenue_Build!AF8*((Revenue_Build!AF158+Revenue_Build!AF159+Revenue_Build!AF160+Revenue_Build!AF161)*Assumptions!$B$203+IF(AF$3&gt;=Assumptions!$B$205,Assumptions!$B$204,0))</f>
        <v/>
      </c>
      <c r="AG176" s="8">
        <f>Revenue_Build!AG8*((Revenue_Build!AG158+Revenue_Build!AG159+Revenue_Build!AG160+Revenue_Build!AG161)*Assumptions!$B$203+IF(AG$3&gt;=Assumptions!$B$205,Assumptions!$B$204,0))</f>
        <v/>
      </c>
      <c r="AH176" s="8">
        <f>Revenue_Build!AH8*((Revenue_Build!AH158+Revenue_Build!AH159+Revenue_Build!AH160+Revenue_Build!AH161)*Assumptions!$B$203+IF(AH$3&gt;=Assumptions!$B$205,Assumptions!$B$204,0))</f>
        <v/>
      </c>
      <c r="AI176" s="8">
        <f>Revenue_Build!AI8*((Revenue_Build!AI158+Revenue_Build!AI159+Revenue_Build!AI160+Revenue_Build!AI161)*Assumptions!$B$203+IF(AI$3&gt;=Assumptions!$B$205,Assumptions!$B$204,0))</f>
        <v/>
      </c>
      <c r="AJ176" s="8">
        <f>Revenue_Build!AJ8*((Revenue_Build!AJ158+Revenue_Build!AJ159+Revenue_Build!AJ160+Revenue_Build!AJ161)*Assumptions!$B$203+IF(AJ$3&gt;=Assumptions!$B$205,Assumptions!$B$204,0))</f>
        <v/>
      </c>
      <c r="AK176" s="8">
        <f>Revenue_Build!AK8*((Revenue_Build!AK158+Revenue_Build!AK159+Revenue_Build!AK160+Revenue_Build!AK161)*Assumptions!$B$203+IF(AK$3&gt;=Assumptions!$B$205,Assumptions!$B$204,0))</f>
        <v/>
      </c>
      <c r="AL176" s="8">
        <f>Revenue_Build!AL8*((Revenue_Build!AL158+Revenue_Build!AL159+Revenue_Build!AL160+Revenue_Build!AL161)*Assumptions!$B$203+IF(AL$3&gt;=Assumptions!$B$205,Assumptions!$B$204,0))</f>
        <v/>
      </c>
      <c r="AM176" s="8">
        <f>Revenue_Build!AM8*((Revenue_Build!AM158+Revenue_Build!AM159+Revenue_Build!AM160+Revenue_Build!AM161)*Assumptions!$B$203+IF(AM$3&gt;=Assumptions!$B$205,Assumptions!$B$204,0))</f>
        <v/>
      </c>
      <c r="AN176" s="8">
        <f>Revenue_Build!AN8*((Revenue_Build!AN158+Revenue_Build!AN159+Revenue_Build!AN160+Revenue_Build!AN161)*Assumptions!$B$203+IF(AN$3&gt;=Assumptions!$B$205,Assumptions!$B$204,0))</f>
        <v/>
      </c>
      <c r="AO176" s="8">
        <f>Revenue_Build!AO8*((Revenue_Build!AO158+Revenue_Build!AO159+Revenue_Build!AO160+Revenue_Build!AO161)*Assumptions!$B$203+IF(AO$3&gt;=Assumptions!$B$205,Assumptions!$B$204,0))</f>
        <v/>
      </c>
      <c r="AP176" s="8">
        <f>Revenue_Build!AP8*((Revenue_Build!AP158+Revenue_Build!AP159+Revenue_Build!AP160+Revenue_Build!AP161)*Assumptions!$B$203+IF(AP$3&gt;=Assumptions!$B$205,Assumptions!$B$204,0))</f>
        <v/>
      </c>
      <c r="AQ176" s="8">
        <f>Revenue_Build!AQ8*((Revenue_Build!AQ158+Revenue_Build!AQ159+Revenue_Build!AQ160+Revenue_Build!AQ161)*Assumptions!$B$203+IF(AQ$3&gt;=Assumptions!$B$205,Assumptions!$B$204,0))</f>
        <v/>
      </c>
      <c r="AR176" s="8">
        <f>Revenue_Build!AR8*((Revenue_Build!AR158+Revenue_Build!AR159+Revenue_Build!AR160+Revenue_Build!AR161)*Assumptions!$B$203+IF(AR$3&gt;=Assumptions!$B$205,Assumptions!$B$204,0))</f>
        <v/>
      </c>
      <c r="AS176" s="8">
        <f>Revenue_Build!AS8*((Revenue_Build!AS158+Revenue_Build!AS159+Revenue_Build!AS160+Revenue_Build!AS161)*Assumptions!$B$203+IF(AS$3&gt;=Assumptions!$B$205,Assumptions!$B$204,0))</f>
        <v/>
      </c>
      <c r="AT176" s="8">
        <f>Revenue_Build!AT8*((Revenue_Build!AT158+Revenue_Build!AT159+Revenue_Build!AT160+Revenue_Build!AT161)*Assumptions!$B$203+IF(AT$3&gt;=Assumptions!$B$205,Assumptions!$B$204,0))</f>
        <v/>
      </c>
      <c r="AU176" s="8">
        <f>Revenue_Build!AU8*((Revenue_Build!AU158+Revenue_Build!AU159+Revenue_Build!AU160+Revenue_Build!AU161)*Assumptions!$B$203+IF(AU$3&gt;=Assumptions!$B$205,Assumptions!$B$204,0))</f>
        <v/>
      </c>
      <c r="AV176" s="8">
        <f>Revenue_Build!AV8*((Revenue_Build!AV158+Revenue_Build!AV159+Revenue_Build!AV160+Revenue_Build!AV161)*Assumptions!$B$203+IF(AV$3&gt;=Assumptions!$B$205,Assumptions!$B$204,0))</f>
        <v/>
      </c>
      <c r="AW176" s="8">
        <f>Revenue_Build!AW8*((Revenue_Build!AW158+Revenue_Build!AW159+Revenue_Build!AW160+Revenue_Build!AW161)*Assumptions!$B$203+IF(AW$3&gt;=Assumptions!$B$205,Assumptions!$B$204,0))</f>
        <v/>
      </c>
      <c r="AX176" s="8">
        <f>Revenue_Build!AX8*((Revenue_Build!AX158+Revenue_Build!AX159+Revenue_Build!AX160+Revenue_Build!AX161)*Assumptions!$B$203+IF(AX$3&gt;=Assumptions!$B$205,Assumptions!$B$204,0))</f>
        <v/>
      </c>
      <c r="AY176" s="8">
        <f>Revenue_Build!AY8*((Revenue_Build!AY158+Revenue_Build!AY159+Revenue_Build!AY160+Revenue_Build!AY161)*Assumptions!$B$203+IF(AY$3&gt;=Assumptions!$B$205,Assumptions!$B$204,0))</f>
        <v/>
      </c>
      <c r="AZ176" s="8">
        <f>Revenue_Build!AZ8*((Revenue_Build!AZ158+Revenue_Build!AZ159+Revenue_Build!AZ160+Revenue_Build!AZ161)*Assumptions!$B$203+IF(AZ$3&gt;=Assumptions!$B$205,Assumptions!$B$204,0))</f>
        <v/>
      </c>
      <c r="BA176" s="8">
        <f>Revenue_Build!BA8*((Revenue_Build!BA158+Revenue_Build!BA159+Revenue_Build!BA160+Revenue_Build!BA161)*Assumptions!$B$203+IF(BA$3&gt;=Assumptions!$B$205,Assumptions!$B$204,0))</f>
        <v/>
      </c>
      <c r="BB176" s="8">
        <f>Revenue_Build!BB8*((Revenue_Build!BB158+Revenue_Build!BB159+Revenue_Build!BB160+Revenue_Build!BB161)*Assumptions!$B$203+IF(BB$3&gt;=Assumptions!$B$205,Assumptions!$B$204,0))</f>
        <v/>
      </c>
      <c r="BC176" s="8">
        <f>Revenue_Build!BC8*((Revenue_Build!BC158+Revenue_Build!BC159+Revenue_Build!BC160+Revenue_Build!BC161)*Assumptions!$B$203+IF(BC$3&gt;=Assumptions!$B$205,Assumptions!$B$204,0))</f>
        <v/>
      </c>
      <c r="BD176" s="8">
        <f>Revenue_Build!BD8*((Revenue_Build!BD158+Revenue_Build!BD159+Revenue_Build!BD160+Revenue_Build!BD161)*Assumptions!$B$203+IF(BD$3&gt;=Assumptions!$B$205,Assumptions!$B$204,0))</f>
        <v/>
      </c>
      <c r="BE176" s="8">
        <f>Revenue_Build!BE8*((Revenue_Build!BE158+Revenue_Build!BE159+Revenue_Build!BE160+Revenue_Build!BE161)*Assumptions!$B$203+IF(BE$3&gt;=Assumptions!$B$205,Assumptions!$B$204,0))</f>
        <v/>
      </c>
      <c r="BF176" s="8">
        <f>Revenue_Build!BF8*((Revenue_Build!BF158+Revenue_Build!BF159+Revenue_Build!BF160+Revenue_Build!BF161)*Assumptions!$B$203+IF(BF$3&gt;=Assumptions!$B$205,Assumptions!$B$204,0))</f>
        <v/>
      </c>
      <c r="BG176" s="8">
        <f>Revenue_Build!BG8*((Revenue_Build!BG158+Revenue_Build!BG159+Revenue_Build!BG160+Revenue_Build!BG161)*Assumptions!$B$203+IF(BG$3&gt;=Assumptions!$B$205,Assumptions!$B$204,0))</f>
        <v/>
      </c>
      <c r="BH176" s="8">
        <f>Revenue_Build!BH8*((Revenue_Build!BH158+Revenue_Build!BH159+Revenue_Build!BH160+Revenue_Build!BH161)*Assumptions!$B$203+IF(BH$3&gt;=Assumptions!$B$205,Assumptions!$B$204,0))</f>
        <v/>
      </c>
      <c r="BI176" s="8">
        <f>Revenue_Build!BI8*((Revenue_Build!BI158+Revenue_Build!BI159+Revenue_Build!BI160+Revenue_Build!BI161)*Assumptions!$B$203+IF(BI$3&gt;=Assumptions!$B$205,Assumptions!$B$204,0))</f>
        <v/>
      </c>
      <c r="BJ176" s="8">
        <f>Revenue_Build!BJ8*((Revenue_Build!BJ158+Revenue_Build!BJ159+Revenue_Build!BJ160+Revenue_Build!BJ161)*Assumptions!$B$203+IF(BJ$3&gt;=Assumptions!$B$205,Assumptions!$B$204,0))</f>
        <v/>
      </c>
    </row>
    <row r="177">
      <c r="A177" s="4" t="inlineStr">
        <is>
          <t>Inbound Custom (Enterprise) handling</t>
        </is>
      </c>
      <c r="B177" s="17" t="inlineStr">
        <is>
          <t>R</t>
        </is>
      </c>
      <c r="C177" s="8">
        <f>Revenue_Build!C163*Assumptions!$B$206</f>
        <v/>
      </c>
      <c r="D177" s="8">
        <f>Revenue_Build!D163*Assumptions!$B$206</f>
        <v/>
      </c>
      <c r="E177" s="8">
        <f>Revenue_Build!E163*Assumptions!$B$206</f>
        <v/>
      </c>
      <c r="F177" s="8">
        <f>Revenue_Build!F163*Assumptions!$B$206</f>
        <v/>
      </c>
      <c r="G177" s="8">
        <f>Revenue_Build!G163*Assumptions!$B$206</f>
        <v/>
      </c>
      <c r="H177" s="8">
        <f>Revenue_Build!H163*Assumptions!$B$206</f>
        <v/>
      </c>
      <c r="I177" s="8">
        <f>Revenue_Build!I163*Assumptions!$B$206</f>
        <v/>
      </c>
      <c r="J177" s="8">
        <f>Revenue_Build!J163*Assumptions!$B$206</f>
        <v/>
      </c>
      <c r="K177" s="8">
        <f>Revenue_Build!K163*Assumptions!$B$206</f>
        <v/>
      </c>
      <c r="L177" s="8">
        <f>Revenue_Build!L163*Assumptions!$B$206</f>
        <v/>
      </c>
      <c r="M177" s="8">
        <f>Revenue_Build!M163*Assumptions!$B$206</f>
        <v/>
      </c>
      <c r="N177" s="8">
        <f>Revenue_Build!N163*Assumptions!$B$206</f>
        <v/>
      </c>
      <c r="O177" s="8">
        <f>Revenue_Build!O163*Assumptions!$B$206</f>
        <v/>
      </c>
      <c r="P177" s="8">
        <f>Revenue_Build!P163*Assumptions!$B$206</f>
        <v/>
      </c>
      <c r="Q177" s="8">
        <f>Revenue_Build!Q163*Assumptions!$B$206</f>
        <v/>
      </c>
      <c r="R177" s="8">
        <f>Revenue_Build!R163*Assumptions!$B$206</f>
        <v/>
      </c>
      <c r="S177" s="8">
        <f>Revenue_Build!S163*Assumptions!$B$206</f>
        <v/>
      </c>
      <c r="T177" s="8">
        <f>Revenue_Build!T163*Assumptions!$B$206</f>
        <v/>
      </c>
      <c r="U177" s="8">
        <f>Revenue_Build!U163*Assumptions!$B$206</f>
        <v/>
      </c>
      <c r="V177" s="8">
        <f>Revenue_Build!V163*Assumptions!$B$206</f>
        <v/>
      </c>
      <c r="W177" s="8">
        <f>Revenue_Build!W163*Assumptions!$B$206</f>
        <v/>
      </c>
      <c r="X177" s="8">
        <f>Revenue_Build!X163*Assumptions!$B$206</f>
        <v/>
      </c>
      <c r="Y177" s="8">
        <f>Revenue_Build!Y163*Assumptions!$B$206</f>
        <v/>
      </c>
      <c r="Z177" s="8">
        <f>Revenue_Build!Z163*Assumptions!$B$206</f>
        <v/>
      </c>
      <c r="AA177" s="8">
        <f>Revenue_Build!AA163*Assumptions!$B$206</f>
        <v/>
      </c>
      <c r="AB177" s="8">
        <f>Revenue_Build!AB163*Assumptions!$B$206</f>
        <v/>
      </c>
      <c r="AC177" s="8">
        <f>Revenue_Build!AC163*Assumptions!$B$206</f>
        <v/>
      </c>
      <c r="AD177" s="8">
        <f>Revenue_Build!AD163*Assumptions!$B$206</f>
        <v/>
      </c>
      <c r="AE177" s="8">
        <f>Revenue_Build!AE163*Assumptions!$B$206</f>
        <v/>
      </c>
      <c r="AF177" s="8">
        <f>Revenue_Build!AF163*Assumptions!$B$206</f>
        <v/>
      </c>
      <c r="AG177" s="8">
        <f>Revenue_Build!AG163*Assumptions!$B$206</f>
        <v/>
      </c>
      <c r="AH177" s="8">
        <f>Revenue_Build!AH163*Assumptions!$B$206</f>
        <v/>
      </c>
      <c r="AI177" s="8">
        <f>Revenue_Build!AI163*Assumptions!$B$206</f>
        <v/>
      </c>
      <c r="AJ177" s="8">
        <f>Revenue_Build!AJ163*Assumptions!$B$206</f>
        <v/>
      </c>
      <c r="AK177" s="8">
        <f>Revenue_Build!AK163*Assumptions!$B$206</f>
        <v/>
      </c>
      <c r="AL177" s="8">
        <f>Revenue_Build!AL163*Assumptions!$B$206</f>
        <v/>
      </c>
      <c r="AM177" s="8">
        <f>Revenue_Build!AM163*Assumptions!$B$206</f>
        <v/>
      </c>
      <c r="AN177" s="8">
        <f>Revenue_Build!AN163*Assumptions!$B$206</f>
        <v/>
      </c>
      <c r="AO177" s="8">
        <f>Revenue_Build!AO163*Assumptions!$B$206</f>
        <v/>
      </c>
      <c r="AP177" s="8">
        <f>Revenue_Build!AP163*Assumptions!$B$206</f>
        <v/>
      </c>
      <c r="AQ177" s="8">
        <f>Revenue_Build!AQ163*Assumptions!$B$206</f>
        <v/>
      </c>
      <c r="AR177" s="8">
        <f>Revenue_Build!AR163*Assumptions!$B$206</f>
        <v/>
      </c>
      <c r="AS177" s="8">
        <f>Revenue_Build!AS163*Assumptions!$B$206</f>
        <v/>
      </c>
      <c r="AT177" s="8">
        <f>Revenue_Build!AT163*Assumptions!$B$206</f>
        <v/>
      </c>
      <c r="AU177" s="8">
        <f>Revenue_Build!AU163*Assumptions!$B$206</f>
        <v/>
      </c>
      <c r="AV177" s="8">
        <f>Revenue_Build!AV163*Assumptions!$B$206</f>
        <v/>
      </c>
      <c r="AW177" s="8">
        <f>Revenue_Build!AW163*Assumptions!$B$206</f>
        <v/>
      </c>
      <c r="AX177" s="8">
        <f>Revenue_Build!AX163*Assumptions!$B$206</f>
        <v/>
      </c>
      <c r="AY177" s="8">
        <f>Revenue_Build!AY163*Assumptions!$B$206</f>
        <v/>
      </c>
      <c r="AZ177" s="8">
        <f>Revenue_Build!AZ163*Assumptions!$B$206</f>
        <v/>
      </c>
      <c r="BA177" s="8">
        <f>Revenue_Build!BA163*Assumptions!$B$206</f>
        <v/>
      </c>
      <c r="BB177" s="8">
        <f>Revenue_Build!BB163*Assumptions!$B$206</f>
        <v/>
      </c>
      <c r="BC177" s="8">
        <f>Revenue_Build!BC163*Assumptions!$B$206</f>
        <v/>
      </c>
      <c r="BD177" s="8">
        <f>Revenue_Build!BD163*Assumptions!$B$206</f>
        <v/>
      </c>
      <c r="BE177" s="8">
        <f>Revenue_Build!BE163*Assumptions!$B$206</f>
        <v/>
      </c>
      <c r="BF177" s="8">
        <f>Revenue_Build!BF163*Assumptions!$B$206</f>
        <v/>
      </c>
      <c r="BG177" s="8">
        <f>Revenue_Build!BG163*Assumptions!$B$206</f>
        <v/>
      </c>
      <c r="BH177" s="8">
        <f>Revenue_Build!BH163*Assumptions!$B$206</f>
        <v/>
      </c>
      <c r="BI177" s="8">
        <f>Revenue_Build!BI163*Assumptions!$B$206</f>
        <v/>
      </c>
      <c r="BJ177" s="8">
        <f>Revenue_Build!BJ163*Assumptions!$B$206</f>
        <v/>
      </c>
    </row>
    <row r="178">
      <c r="A178" s="4" t="inlineStr">
        <is>
          <t>Inbound Corporate handling</t>
        </is>
      </c>
      <c r="B178" s="17" t="inlineStr">
        <is>
          <t>R</t>
        </is>
      </c>
      <c r="C178" s="8">
        <f>Revenue_Build!C162*Assumptions!$B$207</f>
        <v/>
      </c>
      <c r="D178" s="8">
        <f>Revenue_Build!D162*Assumptions!$B$207</f>
        <v/>
      </c>
      <c r="E178" s="8">
        <f>Revenue_Build!E162*Assumptions!$B$207</f>
        <v/>
      </c>
      <c r="F178" s="8">
        <f>Revenue_Build!F162*Assumptions!$B$207</f>
        <v/>
      </c>
      <c r="G178" s="8">
        <f>Revenue_Build!G162*Assumptions!$B$207</f>
        <v/>
      </c>
      <c r="H178" s="8">
        <f>Revenue_Build!H162*Assumptions!$B$207</f>
        <v/>
      </c>
      <c r="I178" s="8">
        <f>Revenue_Build!I162*Assumptions!$B$207</f>
        <v/>
      </c>
      <c r="J178" s="8">
        <f>Revenue_Build!J162*Assumptions!$B$207</f>
        <v/>
      </c>
      <c r="K178" s="8">
        <f>Revenue_Build!K162*Assumptions!$B$207</f>
        <v/>
      </c>
      <c r="L178" s="8">
        <f>Revenue_Build!L162*Assumptions!$B$207</f>
        <v/>
      </c>
      <c r="M178" s="8">
        <f>Revenue_Build!M162*Assumptions!$B$207</f>
        <v/>
      </c>
      <c r="N178" s="8">
        <f>Revenue_Build!N162*Assumptions!$B$207</f>
        <v/>
      </c>
      <c r="O178" s="8">
        <f>Revenue_Build!O162*Assumptions!$B$207</f>
        <v/>
      </c>
      <c r="P178" s="8">
        <f>Revenue_Build!P162*Assumptions!$B$207</f>
        <v/>
      </c>
      <c r="Q178" s="8">
        <f>Revenue_Build!Q162*Assumptions!$B$207</f>
        <v/>
      </c>
      <c r="R178" s="8">
        <f>Revenue_Build!R162*Assumptions!$B$207</f>
        <v/>
      </c>
      <c r="S178" s="8">
        <f>Revenue_Build!S162*Assumptions!$B$207</f>
        <v/>
      </c>
      <c r="T178" s="8">
        <f>Revenue_Build!T162*Assumptions!$B$207</f>
        <v/>
      </c>
      <c r="U178" s="8">
        <f>Revenue_Build!U162*Assumptions!$B$207</f>
        <v/>
      </c>
      <c r="V178" s="8">
        <f>Revenue_Build!V162*Assumptions!$B$207</f>
        <v/>
      </c>
      <c r="W178" s="8">
        <f>Revenue_Build!W162*Assumptions!$B$207</f>
        <v/>
      </c>
      <c r="X178" s="8">
        <f>Revenue_Build!X162*Assumptions!$B$207</f>
        <v/>
      </c>
      <c r="Y178" s="8">
        <f>Revenue_Build!Y162*Assumptions!$B$207</f>
        <v/>
      </c>
      <c r="Z178" s="8">
        <f>Revenue_Build!Z162*Assumptions!$B$207</f>
        <v/>
      </c>
      <c r="AA178" s="8">
        <f>Revenue_Build!AA162*Assumptions!$B$207</f>
        <v/>
      </c>
      <c r="AB178" s="8">
        <f>Revenue_Build!AB162*Assumptions!$B$207</f>
        <v/>
      </c>
      <c r="AC178" s="8">
        <f>Revenue_Build!AC162*Assumptions!$B$207</f>
        <v/>
      </c>
      <c r="AD178" s="8">
        <f>Revenue_Build!AD162*Assumptions!$B$207</f>
        <v/>
      </c>
      <c r="AE178" s="8">
        <f>Revenue_Build!AE162*Assumptions!$B$207</f>
        <v/>
      </c>
      <c r="AF178" s="8">
        <f>Revenue_Build!AF162*Assumptions!$B$207</f>
        <v/>
      </c>
      <c r="AG178" s="8">
        <f>Revenue_Build!AG162*Assumptions!$B$207</f>
        <v/>
      </c>
      <c r="AH178" s="8">
        <f>Revenue_Build!AH162*Assumptions!$B$207</f>
        <v/>
      </c>
      <c r="AI178" s="8">
        <f>Revenue_Build!AI162*Assumptions!$B$207</f>
        <v/>
      </c>
      <c r="AJ178" s="8">
        <f>Revenue_Build!AJ162*Assumptions!$B$207</f>
        <v/>
      </c>
      <c r="AK178" s="8">
        <f>Revenue_Build!AK162*Assumptions!$B$207</f>
        <v/>
      </c>
      <c r="AL178" s="8">
        <f>Revenue_Build!AL162*Assumptions!$B$207</f>
        <v/>
      </c>
      <c r="AM178" s="8">
        <f>Revenue_Build!AM162*Assumptions!$B$207</f>
        <v/>
      </c>
      <c r="AN178" s="8">
        <f>Revenue_Build!AN162*Assumptions!$B$207</f>
        <v/>
      </c>
      <c r="AO178" s="8">
        <f>Revenue_Build!AO162*Assumptions!$B$207</f>
        <v/>
      </c>
      <c r="AP178" s="8">
        <f>Revenue_Build!AP162*Assumptions!$B$207</f>
        <v/>
      </c>
      <c r="AQ178" s="8">
        <f>Revenue_Build!AQ162*Assumptions!$B$207</f>
        <v/>
      </c>
      <c r="AR178" s="8">
        <f>Revenue_Build!AR162*Assumptions!$B$207</f>
        <v/>
      </c>
      <c r="AS178" s="8">
        <f>Revenue_Build!AS162*Assumptions!$B$207</f>
        <v/>
      </c>
      <c r="AT178" s="8">
        <f>Revenue_Build!AT162*Assumptions!$B$207</f>
        <v/>
      </c>
      <c r="AU178" s="8">
        <f>Revenue_Build!AU162*Assumptions!$B$207</f>
        <v/>
      </c>
      <c r="AV178" s="8">
        <f>Revenue_Build!AV162*Assumptions!$B$207</f>
        <v/>
      </c>
      <c r="AW178" s="8">
        <f>Revenue_Build!AW162*Assumptions!$B$207</f>
        <v/>
      </c>
      <c r="AX178" s="8">
        <f>Revenue_Build!AX162*Assumptions!$B$207</f>
        <v/>
      </c>
      <c r="AY178" s="8">
        <f>Revenue_Build!AY162*Assumptions!$B$207</f>
        <v/>
      </c>
      <c r="AZ178" s="8">
        <f>Revenue_Build!AZ162*Assumptions!$B$207</f>
        <v/>
      </c>
      <c r="BA178" s="8">
        <f>Revenue_Build!BA162*Assumptions!$B$207</f>
        <v/>
      </c>
      <c r="BB178" s="8">
        <f>Revenue_Build!BB162*Assumptions!$B$207</f>
        <v/>
      </c>
      <c r="BC178" s="8">
        <f>Revenue_Build!BC162*Assumptions!$B$207</f>
        <v/>
      </c>
      <c r="BD178" s="8">
        <f>Revenue_Build!BD162*Assumptions!$B$207</f>
        <v/>
      </c>
      <c r="BE178" s="8">
        <f>Revenue_Build!BE162*Assumptions!$B$207</f>
        <v/>
      </c>
      <c r="BF178" s="8">
        <f>Revenue_Build!BF162*Assumptions!$B$207</f>
        <v/>
      </c>
      <c r="BG178" s="8">
        <f>Revenue_Build!BG162*Assumptions!$B$207</f>
        <v/>
      </c>
      <c r="BH178" s="8">
        <f>Revenue_Build!BH162*Assumptions!$B$207</f>
        <v/>
      </c>
      <c r="BI178" s="8">
        <f>Revenue_Build!BI162*Assumptions!$B$207</f>
        <v/>
      </c>
      <c r="BJ178" s="8">
        <f>Revenue_Build!BJ162*Assumptions!$B$207</f>
        <v/>
      </c>
    </row>
    <row r="179">
      <c r="A179" s="3" t="inlineStr">
        <is>
          <t>Total marketing &amp; sales programmes</t>
        </is>
      </c>
      <c r="B179" s="17" t="inlineStr">
        <is>
          <t>R</t>
        </is>
      </c>
      <c r="C179" s="42">
        <f>C171+C172+C173+C174+C175+C176+C177+C178</f>
        <v/>
      </c>
      <c r="D179" s="42">
        <f>D171+D172+D173+D174+D175+D176+D177+D178</f>
        <v/>
      </c>
      <c r="E179" s="42">
        <f>E171+E172+E173+E174+E175+E176+E177+E178</f>
        <v/>
      </c>
      <c r="F179" s="42">
        <f>F171+F172+F173+F174+F175+F176+F177+F178</f>
        <v/>
      </c>
      <c r="G179" s="42">
        <f>G171+G172+G173+G174+G175+G176+G177+G178</f>
        <v/>
      </c>
      <c r="H179" s="42">
        <f>H171+H172+H173+H174+H175+H176+H177+H178</f>
        <v/>
      </c>
      <c r="I179" s="42">
        <f>I171+I172+I173+I174+I175+I176+I177+I178</f>
        <v/>
      </c>
      <c r="J179" s="42">
        <f>J171+J172+J173+J174+J175+J176+J177+J178</f>
        <v/>
      </c>
      <c r="K179" s="42">
        <f>K171+K172+K173+K174+K175+K176+K177+K178</f>
        <v/>
      </c>
      <c r="L179" s="42">
        <f>L171+L172+L173+L174+L175+L176+L177+L178</f>
        <v/>
      </c>
      <c r="M179" s="42">
        <f>M171+M172+M173+M174+M175+M176+M177+M178</f>
        <v/>
      </c>
      <c r="N179" s="42">
        <f>N171+N172+N173+N174+N175+N176+N177+N178</f>
        <v/>
      </c>
      <c r="O179" s="42">
        <f>O171+O172+O173+O174+O175+O176+O177+O178</f>
        <v/>
      </c>
      <c r="P179" s="42">
        <f>P171+P172+P173+P174+P175+P176+P177+P178</f>
        <v/>
      </c>
      <c r="Q179" s="42">
        <f>Q171+Q172+Q173+Q174+Q175+Q176+Q177+Q178</f>
        <v/>
      </c>
      <c r="R179" s="42">
        <f>R171+R172+R173+R174+R175+R176+R177+R178</f>
        <v/>
      </c>
      <c r="S179" s="42">
        <f>S171+S172+S173+S174+S175+S176+S177+S178</f>
        <v/>
      </c>
      <c r="T179" s="42">
        <f>T171+T172+T173+T174+T175+T176+T177+T178</f>
        <v/>
      </c>
      <c r="U179" s="42">
        <f>U171+U172+U173+U174+U175+U176+U177+U178</f>
        <v/>
      </c>
      <c r="V179" s="42">
        <f>V171+V172+V173+V174+V175+V176+V177+V178</f>
        <v/>
      </c>
      <c r="W179" s="42">
        <f>W171+W172+W173+W174+W175+W176+W177+W178</f>
        <v/>
      </c>
      <c r="X179" s="42">
        <f>X171+X172+X173+X174+X175+X176+X177+X178</f>
        <v/>
      </c>
      <c r="Y179" s="42">
        <f>Y171+Y172+Y173+Y174+Y175+Y176+Y177+Y178</f>
        <v/>
      </c>
      <c r="Z179" s="42">
        <f>Z171+Z172+Z173+Z174+Z175+Z176+Z177+Z178</f>
        <v/>
      </c>
      <c r="AA179" s="42">
        <f>AA171+AA172+AA173+AA174+AA175+AA176+AA177+AA178</f>
        <v/>
      </c>
      <c r="AB179" s="42">
        <f>AB171+AB172+AB173+AB174+AB175+AB176+AB177+AB178</f>
        <v/>
      </c>
      <c r="AC179" s="42">
        <f>AC171+AC172+AC173+AC174+AC175+AC176+AC177+AC178</f>
        <v/>
      </c>
      <c r="AD179" s="42">
        <f>AD171+AD172+AD173+AD174+AD175+AD176+AD177+AD178</f>
        <v/>
      </c>
      <c r="AE179" s="42">
        <f>AE171+AE172+AE173+AE174+AE175+AE176+AE177+AE178</f>
        <v/>
      </c>
      <c r="AF179" s="42">
        <f>AF171+AF172+AF173+AF174+AF175+AF176+AF177+AF178</f>
        <v/>
      </c>
      <c r="AG179" s="42">
        <f>AG171+AG172+AG173+AG174+AG175+AG176+AG177+AG178</f>
        <v/>
      </c>
      <c r="AH179" s="42">
        <f>AH171+AH172+AH173+AH174+AH175+AH176+AH177+AH178</f>
        <v/>
      </c>
      <c r="AI179" s="42">
        <f>AI171+AI172+AI173+AI174+AI175+AI176+AI177+AI178</f>
        <v/>
      </c>
      <c r="AJ179" s="42">
        <f>AJ171+AJ172+AJ173+AJ174+AJ175+AJ176+AJ177+AJ178</f>
        <v/>
      </c>
      <c r="AK179" s="42">
        <f>AK171+AK172+AK173+AK174+AK175+AK176+AK177+AK178</f>
        <v/>
      </c>
      <c r="AL179" s="42">
        <f>AL171+AL172+AL173+AL174+AL175+AL176+AL177+AL178</f>
        <v/>
      </c>
      <c r="AM179" s="42">
        <f>AM171+AM172+AM173+AM174+AM175+AM176+AM177+AM178</f>
        <v/>
      </c>
      <c r="AN179" s="42">
        <f>AN171+AN172+AN173+AN174+AN175+AN176+AN177+AN178</f>
        <v/>
      </c>
      <c r="AO179" s="42">
        <f>AO171+AO172+AO173+AO174+AO175+AO176+AO177+AO178</f>
        <v/>
      </c>
      <c r="AP179" s="42">
        <f>AP171+AP172+AP173+AP174+AP175+AP176+AP177+AP178</f>
        <v/>
      </c>
      <c r="AQ179" s="42">
        <f>AQ171+AQ172+AQ173+AQ174+AQ175+AQ176+AQ177+AQ178</f>
        <v/>
      </c>
      <c r="AR179" s="42">
        <f>AR171+AR172+AR173+AR174+AR175+AR176+AR177+AR178</f>
        <v/>
      </c>
      <c r="AS179" s="42">
        <f>AS171+AS172+AS173+AS174+AS175+AS176+AS177+AS178</f>
        <v/>
      </c>
      <c r="AT179" s="42">
        <f>AT171+AT172+AT173+AT174+AT175+AT176+AT177+AT178</f>
        <v/>
      </c>
      <c r="AU179" s="42">
        <f>AU171+AU172+AU173+AU174+AU175+AU176+AU177+AU178</f>
        <v/>
      </c>
      <c r="AV179" s="42">
        <f>AV171+AV172+AV173+AV174+AV175+AV176+AV177+AV178</f>
        <v/>
      </c>
      <c r="AW179" s="42">
        <f>AW171+AW172+AW173+AW174+AW175+AW176+AW177+AW178</f>
        <v/>
      </c>
      <c r="AX179" s="42">
        <f>AX171+AX172+AX173+AX174+AX175+AX176+AX177+AX178</f>
        <v/>
      </c>
      <c r="AY179" s="42">
        <f>AY171+AY172+AY173+AY174+AY175+AY176+AY177+AY178</f>
        <v/>
      </c>
      <c r="AZ179" s="42">
        <f>AZ171+AZ172+AZ173+AZ174+AZ175+AZ176+AZ177+AZ178</f>
        <v/>
      </c>
      <c r="BA179" s="42">
        <f>BA171+BA172+BA173+BA174+BA175+BA176+BA177+BA178</f>
        <v/>
      </c>
      <c r="BB179" s="42">
        <f>BB171+BB172+BB173+BB174+BB175+BB176+BB177+BB178</f>
        <v/>
      </c>
      <c r="BC179" s="42">
        <f>BC171+BC172+BC173+BC174+BC175+BC176+BC177+BC178</f>
        <v/>
      </c>
      <c r="BD179" s="42">
        <f>BD171+BD172+BD173+BD174+BD175+BD176+BD177+BD178</f>
        <v/>
      </c>
      <c r="BE179" s="42">
        <f>BE171+BE172+BE173+BE174+BE175+BE176+BE177+BE178</f>
        <v/>
      </c>
      <c r="BF179" s="42">
        <f>BF171+BF172+BF173+BF174+BF175+BF176+BF177+BF178</f>
        <v/>
      </c>
      <c r="BG179" s="42">
        <f>BG171+BG172+BG173+BG174+BG175+BG176+BG177+BG178</f>
        <v/>
      </c>
      <c r="BH179" s="42">
        <f>BH171+BH172+BH173+BH174+BH175+BH176+BH177+BH178</f>
        <v/>
      </c>
      <c r="BI179" s="42">
        <f>BI171+BI172+BI173+BI174+BI175+BI176+BI177+BI178</f>
        <v/>
      </c>
      <c r="BJ179" s="42">
        <f>BJ171+BJ172+BJ173+BJ174+BJ175+BJ176+BJ177+BJ178</f>
        <v/>
      </c>
    </row>
    <row r="180"/>
    <row r="181">
      <c r="A181" s="19" t="inlineStr">
        <is>
          <t>Operating expenses: G&amp;A, legal &amp; compliance, tools, travel</t>
        </is>
      </c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19" t="n"/>
      <c r="BA181" s="19" t="n"/>
      <c r="BB181" s="19" t="n"/>
      <c r="BC181" s="19" t="n"/>
      <c r="BD181" s="19" t="n"/>
      <c r="BE181" s="19" t="n"/>
      <c r="BF181" s="19" t="n"/>
      <c r="BG181" s="19" t="n"/>
      <c r="BH181" s="19" t="n"/>
      <c r="BI181" s="19" t="n"/>
      <c r="BJ181" s="19" t="n"/>
    </row>
    <row r="182">
      <c r="A182" s="4" t="inlineStr">
        <is>
          <t>Office / co-working (from seed)</t>
        </is>
      </c>
      <c r="B182" s="17" t="inlineStr">
        <is>
          <t>R</t>
        </is>
      </c>
      <c r="C182" s="8">
        <f>Revenue_Build!C8*C75*Assumptions!$B$208</f>
        <v/>
      </c>
      <c r="D182" s="8">
        <f>Revenue_Build!D8*D75*Assumptions!$B$208</f>
        <v/>
      </c>
      <c r="E182" s="8">
        <f>Revenue_Build!E8*E75*Assumptions!$B$208</f>
        <v/>
      </c>
      <c r="F182" s="8">
        <f>Revenue_Build!F8*F75*Assumptions!$B$208</f>
        <v/>
      </c>
      <c r="G182" s="8">
        <f>Revenue_Build!G8*G75*Assumptions!$B$208</f>
        <v/>
      </c>
      <c r="H182" s="8">
        <f>Revenue_Build!H8*H75*Assumptions!$B$208</f>
        <v/>
      </c>
      <c r="I182" s="8">
        <f>Revenue_Build!I8*I75*Assumptions!$B$208</f>
        <v/>
      </c>
      <c r="J182" s="8">
        <f>Revenue_Build!J8*J75*Assumptions!$B$208</f>
        <v/>
      </c>
      <c r="K182" s="8">
        <f>Revenue_Build!K8*K75*Assumptions!$B$208</f>
        <v/>
      </c>
      <c r="L182" s="8">
        <f>Revenue_Build!L8*L75*Assumptions!$B$208</f>
        <v/>
      </c>
      <c r="M182" s="8">
        <f>Revenue_Build!M8*M75*Assumptions!$B$208</f>
        <v/>
      </c>
      <c r="N182" s="8">
        <f>Revenue_Build!N8*N75*Assumptions!$B$208</f>
        <v/>
      </c>
      <c r="O182" s="8">
        <f>Revenue_Build!O8*O75*Assumptions!$B$208</f>
        <v/>
      </c>
      <c r="P182" s="8">
        <f>Revenue_Build!P8*P75*Assumptions!$B$208</f>
        <v/>
      </c>
      <c r="Q182" s="8">
        <f>Revenue_Build!Q8*Q75*Assumptions!$B$208</f>
        <v/>
      </c>
      <c r="R182" s="8">
        <f>Revenue_Build!R8*R75*Assumptions!$B$208</f>
        <v/>
      </c>
      <c r="S182" s="8">
        <f>Revenue_Build!S8*S75*Assumptions!$B$208</f>
        <v/>
      </c>
      <c r="T182" s="8">
        <f>Revenue_Build!T8*T75*Assumptions!$B$208</f>
        <v/>
      </c>
      <c r="U182" s="8">
        <f>Revenue_Build!U8*U75*Assumptions!$B$208</f>
        <v/>
      </c>
      <c r="V182" s="8">
        <f>Revenue_Build!V8*V75*Assumptions!$B$208</f>
        <v/>
      </c>
      <c r="W182" s="8">
        <f>Revenue_Build!W8*W75*Assumptions!$B$208</f>
        <v/>
      </c>
      <c r="X182" s="8">
        <f>Revenue_Build!X8*X75*Assumptions!$B$208</f>
        <v/>
      </c>
      <c r="Y182" s="8">
        <f>Revenue_Build!Y8*Y75*Assumptions!$B$208</f>
        <v/>
      </c>
      <c r="Z182" s="8">
        <f>Revenue_Build!Z8*Z75*Assumptions!$B$208</f>
        <v/>
      </c>
      <c r="AA182" s="8">
        <f>Revenue_Build!AA8*AA75*Assumptions!$B$208</f>
        <v/>
      </c>
      <c r="AB182" s="8">
        <f>Revenue_Build!AB8*AB75*Assumptions!$B$208</f>
        <v/>
      </c>
      <c r="AC182" s="8">
        <f>Revenue_Build!AC8*AC75*Assumptions!$B$208</f>
        <v/>
      </c>
      <c r="AD182" s="8">
        <f>Revenue_Build!AD8*AD75*Assumptions!$B$208</f>
        <v/>
      </c>
      <c r="AE182" s="8">
        <f>Revenue_Build!AE8*AE75*Assumptions!$B$208</f>
        <v/>
      </c>
      <c r="AF182" s="8">
        <f>Revenue_Build!AF8*AF75*Assumptions!$B$208</f>
        <v/>
      </c>
      <c r="AG182" s="8">
        <f>Revenue_Build!AG8*AG75*Assumptions!$B$208</f>
        <v/>
      </c>
      <c r="AH182" s="8">
        <f>Revenue_Build!AH8*AH75*Assumptions!$B$208</f>
        <v/>
      </c>
      <c r="AI182" s="8">
        <f>Revenue_Build!AI8*AI75*Assumptions!$B$208</f>
        <v/>
      </c>
      <c r="AJ182" s="8">
        <f>Revenue_Build!AJ8*AJ75*Assumptions!$B$208</f>
        <v/>
      </c>
      <c r="AK182" s="8">
        <f>Revenue_Build!AK8*AK75*Assumptions!$B$208</f>
        <v/>
      </c>
      <c r="AL182" s="8">
        <f>Revenue_Build!AL8*AL75*Assumptions!$B$208</f>
        <v/>
      </c>
      <c r="AM182" s="8">
        <f>Revenue_Build!AM8*AM75*Assumptions!$B$208</f>
        <v/>
      </c>
      <c r="AN182" s="8">
        <f>Revenue_Build!AN8*AN75*Assumptions!$B$208</f>
        <v/>
      </c>
      <c r="AO182" s="8">
        <f>Revenue_Build!AO8*AO75*Assumptions!$B$208</f>
        <v/>
      </c>
      <c r="AP182" s="8">
        <f>Revenue_Build!AP8*AP75*Assumptions!$B$208</f>
        <v/>
      </c>
      <c r="AQ182" s="8">
        <f>Revenue_Build!AQ8*AQ75*Assumptions!$B$208</f>
        <v/>
      </c>
      <c r="AR182" s="8">
        <f>Revenue_Build!AR8*AR75*Assumptions!$B$208</f>
        <v/>
      </c>
      <c r="AS182" s="8">
        <f>Revenue_Build!AS8*AS75*Assumptions!$B$208</f>
        <v/>
      </c>
      <c r="AT182" s="8">
        <f>Revenue_Build!AT8*AT75*Assumptions!$B$208</f>
        <v/>
      </c>
      <c r="AU182" s="8">
        <f>Revenue_Build!AU8*AU75*Assumptions!$B$208</f>
        <v/>
      </c>
      <c r="AV182" s="8">
        <f>Revenue_Build!AV8*AV75*Assumptions!$B$208</f>
        <v/>
      </c>
      <c r="AW182" s="8">
        <f>Revenue_Build!AW8*AW75*Assumptions!$B$208</f>
        <v/>
      </c>
      <c r="AX182" s="8">
        <f>Revenue_Build!AX8*AX75*Assumptions!$B$208</f>
        <v/>
      </c>
      <c r="AY182" s="8">
        <f>Revenue_Build!AY8*AY75*Assumptions!$B$208</f>
        <v/>
      </c>
      <c r="AZ182" s="8">
        <f>Revenue_Build!AZ8*AZ75*Assumptions!$B$208</f>
        <v/>
      </c>
      <c r="BA182" s="8">
        <f>Revenue_Build!BA8*BA75*Assumptions!$B$208</f>
        <v/>
      </c>
      <c r="BB182" s="8">
        <f>Revenue_Build!BB8*BB75*Assumptions!$B$208</f>
        <v/>
      </c>
      <c r="BC182" s="8">
        <f>Revenue_Build!BC8*BC75*Assumptions!$B$208</f>
        <v/>
      </c>
      <c r="BD182" s="8">
        <f>Revenue_Build!BD8*BD75*Assumptions!$B$208</f>
        <v/>
      </c>
      <c r="BE182" s="8">
        <f>Revenue_Build!BE8*BE75*Assumptions!$B$208</f>
        <v/>
      </c>
      <c r="BF182" s="8">
        <f>Revenue_Build!BF8*BF75*Assumptions!$B$208</f>
        <v/>
      </c>
      <c r="BG182" s="8">
        <f>Revenue_Build!BG8*BG75*Assumptions!$B$208</f>
        <v/>
      </c>
      <c r="BH182" s="8">
        <f>Revenue_Build!BH8*BH75*Assumptions!$B$208</f>
        <v/>
      </c>
      <c r="BI182" s="8">
        <f>Revenue_Build!BI8*BI75*Assumptions!$B$208</f>
        <v/>
      </c>
      <c r="BJ182" s="8">
        <f>Revenue_Build!BJ8*BJ75*Assumptions!$B$208</f>
        <v/>
      </c>
    </row>
    <row r="183">
      <c r="A183" s="4" t="inlineStr">
        <is>
          <t>Fixed G&amp;A (lean overheads before seed)</t>
        </is>
      </c>
      <c r="B183" s="17" t="inlineStr">
        <is>
          <t>R</t>
        </is>
      </c>
      <c r="C183" s="8">
        <f>IF(Revenue_Build!C8=1,CHOOSE(C$5,Assumptions!$B$209,Assumptions!$B$210,Assumptions!$B$211,Assumptions!$B$212,Assumptions!$B$213),Assumptions!$B$26)</f>
        <v/>
      </c>
      <c r="D183" s="8">
        <f>IF(Revenue_Build!D8=1,CHOOSE(D$5,Assumptions!$B$209,Assumptions!$B$210,Assumptions!$B$211,Assumptions!$B$212,Assumptions!$B$213),Assumptions!$B$26)</f>
        <v/>
      </c>
      <c r="E183" s="8">
        <f>IF(Revenue_Build!E8=1,CHOOSE(E$5,Assumptions!$B$209,Assumptions!$B$210,Assumptions!$B$211,Assumptions!$B$212,Assumptions!$B$213),Assumptions!$B$26)</f>
        <v/>
      </c>
      <c r="F183" s="8">
        <f>IF(Revenue_Build!F8=1,CHOOSE(F$5,Assumptions!$B$209,Assumptions!$B$210,Assumptions!$B$211,Assumptions!$B$212,Assumptions!$B$213),Assumptions!$B$26)</f>
        <v/>
      </c>
      <c r="G183" s="8">
        <f>IF(Revenue_Build!G8=1,CHOOSE(G$5,Assumptions!$B$209,Assumptions!$B$210,Assumptions!$B$211,Assumptions!$B$212,Assumptions!$B$213),Assumptions!$B$26)</f>
        <v/>
      </c>
      <c r="H183" s="8">
        <f>IF(Revenue_Build!H8=1,CHOOSE(H$5,Assumptions!$B$209,Assumptions!$B$210,Assumptions!$B$211,Assumptions!$B$212,Assumptions!$B$213),Assumptions!$B$26)</f>
        <v/>
      </c>
      <c r="I183" s="8">
        <f>IF(Revenue_Build!I8=1,CHOOSE(I$5,Assumptions!$B$209,Assumptions!$B$210,Assumptions!$B$211,Assumptions!$B$212,Assumptions!$B$213),Assumptions!$B$26)</f>
        <v/>
      </c>
      <c r="J183" s="8">
        <f>IF(Revenue_Build!J8=1,CHOOSE(J$5,Assumptions!$B$209,Assumptions!$B$210,Assumptions!$B$211,Assumptions!$B$212,Assumptions!$B$213),Assumptions!$B$26)</f>
        <v/>
      </c>
      <c r="K183" s="8">
        <f>IF(Revenue_Build!K8=1,CHOOSE(K$5,Assumptions!$B$209,Assumptions!$B$210,Assumptions!$B$211,Assumptions!$B$212,Assumptions!$B$213),Assumptions!$B$26)</f>
        <v/>
      </c>
      <c r="L183" s="8">
        <f>IF(Revenue_Build!L8=1,CHOOSE(L$5,Assumptions!$B$209,Assumptions!$B$210,Assumptions!$B$211,Assumptions!$B$212,Assumptions!$B$213),Assumptions!$B$26)</f>
        <v/>
      </c>
      <c r="M183" s="8">
        <f>IF(Revenue_Build!M8=1,CHOOSE(M$5,Assumptions!$B$209,Assumptions!$B$210,Assumptions!$B$211,Assumptions!$B$212,Assumptions!$B$213),Assumptions!$B$26)</f>
        <v/>
      </c>
      <c r="N183" s="8">
        <f>IF(Revenue_Build!N8=1,CHOOSE(N$5,Assumptions!$B$209,Assumptions!$B$210,Assumptions!$B$211,Assumptions!$B$212,Assumptions!$B$213),Assumptions!$B$26)</f>
        <v/>
      </c>
      <c r="O183" s="8">
        <f>IF(Revenue_Build!O8=1,CHOOSE(O$5,Assumptions!$B$209,Assumptions!$B$210,Assumptions!$B$211,Assumptions!$B$212,Assumptions!$B$213),Assumptions!$B$26)</f>
        <v/>
      </c>
      <c r="P183" s="8">
        <f>IF(Revenue_Build!P8=1,CHOOSE(P$5,Assumptions!$B$209,Assumptions!$B$210,Assumptions!$B$211,Assumptions!$B$212,Assumptions!$B$213),Assumptions!$B$26)</f>
        <v/>
      </c>
      <c r="Q183" s="8">
        <f>IF(Revenue_Build!Q8=1,CHOOSE(Q$5,Assumptions!$B$209,Assumptions!$B$210,Assumptions!$B$211,Assumptions!$B$212,Assumptions!$B$213),Assumptions!$B$26)</f>
        <v/>
      </c>
      <c r="R183" s="8">
        <f>IF(Revenue_Build!R8=1,CHOOSE(R$5,Assumptions!$B$209,Assumptions!$B$210,Assumptions!$B$211,Assumptions!$B$212,Assumptions!$B$213),Assumptions!$B$26)</f>
        <v/>
      </c>
      <c r="S183" s="8">
        <f>IF(Revenue_Build!S8=1,CHOOSE(S$5,Assumptions!$B$209,Assumptions!$B$210,Assumptions!$B$211,Assumptions!$B$212,Assumptions!$B$213),Assumptions!$B$26)</f>
        <v/>
      </c>
      <c r="T183" s="8">
        <f>IF(Revenue_Build!T8=1,CHOOSE(T$5,Assumptions!$B$209,Assumptions!$B$210,Assumptions!$B$211,Assumptions!$B$212,Assumptions!$B$213),Assumptions!$B$26)</f>
        <v/>
      </c>
      <c r="U183" s="8">
        <f>IF(Revenue_Build!U8=1,CHOOSE(U$5,Assumptions!$B$209,Assumptions!$B$210,Assumptions!$B$211,Assumptions!$B$212,Assumptions!$B$213),Assumptions!$B$26)</f>
        <v/>
      </c>
      <c r="V183" s="8">
        <f>IF(Revenue_Build!V8=1,CHOOSE(V$5,Assumptions!$B$209,Assumptions!$B$210,Assumptions!$B$211,Assumptions!$B$212,Assumptions!$B$213),Assumptions!$B$26)</f>
        <v/>
      </c>
      <c r="W183" s="8">
        <f>IF(Revenue_Build!W8=1,CHOOSE(W$5,Assumptions!$B$209,Assumptions!$B$210,Assumptions!$B$211,Assumptions!$B$212,Assumptions!$B$213),Assumptions!$B$26)</f>
        <v/>
      </c>
      <c r="X183" s="8">
        <f>IF(Revenue_Build!X8=1,CHOOSE(X$5,Assumptions!$B$209,Assumptions!$B$210,Assumptions!$B$211,Assumptions!$B$212,Assumptions!$B$213),Assumptions!$B$26)</f>
        <v/>
      </c>
      <c r="Y183" s="8">
        <f>IF(Revenue_Build!Y8=1,CHOOSE(Y$5,Assumptions!$B$209,Assumptions!$B$210,Assumptions!$B$211,Assumptions!$B$212,Assumptions!$B$213),Assumptions!$B$26)</f>
        <v/>
      </c>
      <c r="Z183" s="8">
        <f>IF(Revenue_Build!Z8=1,CHOOSE(Z$5,Assumptions!$B$209,Assumptions!$B$210,Assumptions!$B$211,Assumptions!$B$212,Assumptions!$B$213),Assumptions!$B$26)</f>
        <v/>
      </c>
      <c r="AA183" s="8">
        <f>IF(Revenue_Build!AA8=1,CHOOSE(AA$5,Assumptions!$B$209,Assumptions!$B$210,Assumptions!$B$211,Assumptions!$B$212,Assumptions!$B$213),Assumptions!$B$26)</f>
        <v/>
      </c>
      <c r="AB183" s="8">
        <f>IF(Revenue_Build!AB8=1,CHOOSE(AB$5,Assumptions!$B$209,Assumptions!$B$210,Assumptions!$B$211,Assumptions!$B$212,Assumptions!$B$213),Assumptions!$B$26)</f>
        <v/>
      </c>
      <c r="AC183" s="8">
        <f>IF(Revenue_Build!AC8=1,CHOOSE(AC$5,Assumptions!$B$209,Assumptions!$B$210,Assumptions!$B$211,Assumptions!$B$212,Assumptions!$B$213),Assumptions!$B$26)</f>
        <v/>
      </c>
      <c r="AD183" s="8">
        <f>IF(Revenue_Build!AD8=1,CHOOSE(AD$5,Assumptions!$B$209,Assumptions!$B$210,Assumptions!$B$211,Assumptions!$B$212,Assumptions!$B$213),Assumptions!$B$26)</f>
        <v/>
      </c>
      <c r="AE183" s="8">
        <f>IF(Revenue_Build!AE8=1,CHOOSE(AE$5,Assumptions!$B$209,Assumptions!$B$210,Assumptions!$B$211,Assumptions!$B$212,Assumptions!$B$213),Assumptions!$B$26)</f>
        <v/>
      </c>
      <c r="AF183" s="8">
        <f>IF(Revenue_Build!AF8=1,CHOOSE(AF$5,Assumptions!$B$209,Assumptions!$B$210,Assumptions!$B$211,Assumptions!$B$212,Assumptions!$B$213),Assumptions!$B$26)</f>
        <v/>
      </c>
      <c r="AG183" s="8">
        <f>IF(Revenue_Build!AG8=1,CHOOSE(AG$5,Assumptions!$B$209,Assumptions!$B$210,Assumptions!$B$211,Assumptions!$B$212,Assumptions!$B$213),Assumptions!$B$26)</f>
        <v/>
      </c>
      <c r="AH183" s="8">
        <f>IF(Revenue_Build!AH8=1,CHOOSE(AH$5,Assumptions!$B$209,Assumptions!$B$210,Assumptions!$B$211,Assumptions!$B$212,Assumptions!$B$213),Assumptions!$B$26)</f>
        <v/>
      </c>
      <c r="AI183" s="8">
        <f>IF(Revenue_Build!AI8=1,CHOOSE(AI$5,Assumptions!$B$209,Assumptions!$B$210,Assumptions!$B$211,Assumptions!$B$212,Assumptions!$B$213),Assumptions!$B$26)</f>
        <v/>
      </c>
      <c r="AJ183" s="8">
        <f>IF(Revenue_Build!AJ8=1,CHOOSE(AJ$5,Assumptions!$B$209,Assumptions!$B$210,Assumptions!$B$211,Assumptions!$B$212,Assumptions!$B$213),Assumptions!$B$26)</f>
        <v/>
      </c>
      <c r="AK183" s="8">
        <f>IF(Revenue_Build!AK8=1,CHOOSE(AK$5,Assumptions!$B$209,Assumptions!$B$210,Assumptions!$B$211,Assumptions!$B$212,Assumptions!$B$213),Assumptions!$B$26)</f>
        <v/>
      </c>
      <c r="AL183" s="8">
        <f>IF(Revenue_Build!AL8=1,CHOOSE(AL$5,Assumptions!$B$209,Assumptions!$B$210,Assumptions!$B$211,Assumptions!$B$212,Assumptions!$B$213),Assumptions!$B$26)</f>
        <v/>
      </c>
      <c r="AM183" s="8">
        <f>IF(Revenue_Build!AM8=1,CHOOSE(AM$5,Assumptions!$B$209,Assumptions!$B$210,Assumptions!$B$211,Assumptions!$B$212,Assumptions!$B$213),Assumptions!$B$26)</f>
        <v/>
      </c>
      <c r="AN183" s="8">
        <f>IF(Revenue_Build!AN8=1,CHOOSE(AN$5,Assumptions!$B$209,Assumptions!$B$210,Assumptions!$B$211,Assumptions!$B$212,Assumptions!$B$213),Assumptions!$B$26)</f>
        <v/>
      </c>
      <c r="AO183" s="8">
        <f>IF(Revenue_Build!AO8=1,CHOOSE(AO$5,Assumptions!$B$209,Assumptions!$B$210,Assumptions!$B$211,Assumptions!$B$212,Assumptions!$B$213),Assumptions!$B$26)</f>
        <v/>
      </c>
      <c r="AP183" s="8">
        <f>IF(Revenue_Build!AP8=1,CHOOSE(AP$5,Assumptions!$B$209,Assumptions!$B$210,Assumptions!$B$211,Assumptions!$B$212,Assumptions!$B$213),Assumptions!$B$26)</f>
        <v/>
      </c>
      <c r="AQ183" s="8">
        <f>IF(Revenue_Build!AQ8=1,CHOOSE(AQ$5,Assumptions!$B$209,Assumptions!$B$210,Assumptions!$B$211,Assumptions!$B$212,Assumptions!$B$213),Assumptions!$B$26)</f>
        <v/>
      </c>
      <c r="AR183" s="8">
        <f>IF(Revenue_Build!AR8=1,CHOOSE(AR$5,Assumptions!$B$209,Assumptions!$B$210,Assumptions!$B$211,Assumptions!$B$212,Assumptions!$B$213),Assumptions!$B$26)</f>
        <v/>
      </c>
      <c r="AS183" s="8">
        <f>IF(Revenue_Build!AS8=1,CHOOSE(AS$5,Assumptions!$B$209,Assumptions!$B$210,Assumptions!$B$211,Assumptions!$B$212,Assumptions!$B$213),Assumptions!$B$26)</f>
        <v/>
      </c>
      <c r="AT183" s="8">
        <f>IF(Revenue_Build!AT8=1,CHOOSE(AT$5,Assumptions!$B$209,Assumptions!$B$210,Assumptions!$B$211,Assumptions!$B$212,Assumptions!$B$213),Assumptions!$B$26)</f>
        <v/>
      </c>
      <c r="AU183" s="8">
        <f>IF(Revenue_Build!AU8=1,CHOOSE(AU$5,Assumptions!$B$209,Assumptions!$B$210,Assumptions!$B$211,Assumptions!$B$212,Assumptions!$B$213),Assumptions!$B$26)</f>
        <v/>
      </c>
      <c r="AV183" s="8">
        <f>IF(Revenue_Build!AV8=1,CHOOSE(AV$5,Assumptions!$B$209,Assumptions!$B$210,Assumptions!$B$211,Assumptions!$B$212,Assumptions!$B$213),Assumptions!$B$26)</f>
        <v/>
      </c>
      <c r="AW183" s="8">
        <f>IF(Revenue_Build!AW8=1,CHOOSE(AW$5,Assumptions!$B$209,Assumptions!$B$210,Assumptions!$B$211,Assumptions!$B$212,Assumptions!$B$213),Assumptions!$B$26)</f>
        <v/>
      </c>
      <c r="AX183" s="8">
        <f>IF(Revenue_Build!AX8=1,CHOOSE(AX$5,Assumptions!$B$209,Assumptions!$B$210,Assumptions!$B$211,Assumptions!$B$212,Assumptions!$B$213),Assumptions!$B$26)</f>
        <v/>
      </c>
      <c r="AY183" s="8">
        <f>IF(Revenue_Build!AY8=1,CHOOSE(AY$5,Assumptions!$B$209,Assumptions!$B$210,Assumptions!$B$211,Assumptions!$B$212,Assumptions!$B$213),Assumptions!$B$26)</f>
        <v/>
      </c>
      <c r="AZ183" s="8">
        <f>IF(Revenue_Build!AZ8=1,CHOOSE(AZ$5,Assumptions!$B$209,Assumptions!$B$210,Assumptions!$B$211,Assumptions!$B$212,Assumptions!$B$213),Assumptions!$B$26)</f>
        <v/>
      </c>
      <c r="BA183" s="8">
        <f>IF(Revenue_Build!BA8=1,CHOOSE(BA$5,Assumptions!$B$209,Assumptions!$B$210,Assumptions!$B$211,Assumptions!$B$212,Assumptions!$B$213),Assumptions!$B$26)</f>
        <v/>
      </c>
      <c r="BB183" s="8">
        <f>IF(Revenue_Build!BB8=1,CHOOSE(BB$5,Assumptions!$B$209,Assumptions!$B$210,Assumptions!$B$211,Assumptions!$B$212,Assumptions!$B$213),Assumptions!$B$26)</f>
        <v/>
      </c>
      <c r="BC183" s="8">
        <f>IF(Revenue_Build!BC8=1,CHOOSE(BC$5,Assumptions!$B$209,Assumptions!$B$210,Assumptions!$B$211,Assumptions!$B$212,Assumptions!$B$213),Assumptions!$B$26)</f>
        <v/>
      </c>
      <c r="BD183" s="8">
        <f>IF(Revenue_Build!BD8=1,CHOOSE(BD$5,Assumptions!$B$209,Assumptions!$B$210,Assumptions!$B$211,Assumptions!$B$212,Assumptions!$B$213),Assumptions!$B$26)</f>
        <v/>
      </c>
      <c r="BE183" s="8">
        <f>IF(Revenue_Build!BE8=1,CHOOSE(BE$5,Assumptions!$B$209,Assumptions!$B$210,Assumptions!$B$211,Assumptions!$B$212,Assumptions!$B$213),Assumptions!$B$26)</f>
        <v/>
      </c>
      <c r="BF183" s="8">
        <f>IF(Revenue_Build!BF8=1,CHOOSE(BF$5,Assumptions!$B$209,Assumptions!$B$210,Assumptions!$B$211,Assumptions!$B$212,Assumptions!$B$213),Assumptions!$B$26)</f>
        <v/>
      </c>
      <c r="BG183" s="8">
        <f>IF(Revenue_Build!BG8=1,CHOOSE(BG$5,Assumptions!$B$209,Assumptions!$B$210,Assumptions!$B$211,Assumptions!$B$212,Assumptions!$B$213),Assumptions!$B$26)</f>
        <v/>
      </c>
      <c r="BH183" s="8">
        <f>IF(Revenue_Build!BH8=1,CHOOSE(BH$5,Assumptions!$B$209,Assumptions!$B$210,Assumptions!$B$211,Assumptions!$B$212,Assumptions!$B$213),Assumptions!$B$26)</f>
        <v/>
      </c>
      <c r="BI183" s="8">
        <f>IF(Revenue_Build!BI8=1,CHOOSE(BI$5,Assumptions!$B$209,Assumptions!$B$210,Assumptions!$B$211,Assumptions!$B$212,Assumptions!$B$213),Assumptions!$B$26)</f>
        <v/>
      </c>
      <c r="BJ183" s="8">
        <f>IF(Revenue_Build!BJ8=1,CHOOSE(BJ$5,Assumptions!$B$209,Assumptions!$B$210,Assumptions!$B$211,Assumptions!$B$212,Assumptions!$B$213),Assumptions!$B$26)</f>
        <v/>
      </c>
    </row>
    <row r="184">
      <c r="A184" s="4" t="inlineStr">
        <is>
          <t>Equipment for new hires</t>
        </is>
      </c>
      <c r="B184" s="17" t="inlineStr">
        <is>
          <t>R</t>
        </is>
      </c>
      <c r="C184" s="8">
        <f>C76*Assumptions!$B$214</f>
        <v/>
      </c>
      <c r="D184" s="8">
        <f>D76*Assumptions!$B$214</f>
        <v/>
      </c>
      <c r="E184" s="8">
        <f>E76*Assumptions!$B$214</f>
        <v/>
      </c>
      <c r="F184" s="8">
        <f>F76*Assumptions!$B$214</f>
        <v/>
      </c>
      <c r="G184" s="8">
        <f>G76*Assumptions!$B$214</f>
        <v/>
      </c>
      <c r="H184" s="8">
        <f>H76*Assumptions!$B$214</f>
        <v/>
      </c>
      <c r="I184" s="8">
        <f>I76*Assumptions!$B$214</f>
        <v/>
      </c>
      <c r="J184" s="8">
        <f>J76*Assumptions!$B$214</f>
        <v/>
      </c>
      <c r="K184" s="8">
        <f>K76*Assumptions!$B$214</f>
        <v/>
      </c>
      <c r="L184" s="8">
        <f>L76*Assumptions!$B$214</f>
        <v/>
      </c>
      <c r="M184" s="8">
        <f>M76*Assumptions!$B$214</f>
        <v/>
      </c>
      <c r="N184" s="8">
        <f>N76*Assumptions!$B$214</f>
        <v/>
      </c>
      <c r="O184" s="8">
        <f>O76*Assumptions!$B$214</f>
        <v/>
      </c>
      <c r="P184" s="8">
        <f>P76*Assumptions!$B$214</f>
        <v/>
      </c>
      <c r="Q184" s="8">
        <f>Q76*Assumptions!$B$214</f>
        <v/>
      </c>
      <c r="R184" s="8">
        <f>R76*Assumptions!$B$214</f>
        <v/>
      </c>
      <c r="S184" s="8">
        <f>S76*Assumptions!$B$214</f>
        <v/>
      </c>
      <c r="T184" s="8">
        <f>T76*Assumptions!$B$214</f>
        <v/>
      </c>
      <c r="U184" s="8">
        <f>U76*Assumptions!$B$214</f>
        <v/>
      </c>
      <c r="V184" s="8">
        <f>V76*Assumptions!$B$214</f>
        <v/>
      </c>
      <c r="W184" s="8">
        <f>W76*Assumptions!$B$214</f>
        <v/>
      </c>
      <c r="X184" s="8">
        <f>X76*Assumptions!$B$214</f>
        <v/>
      </c>
      <c r="Y184" s="8">
        <f>Y76*Assumptions!$B$214</f>
        <v/>
      </c>
      <c r="Z184" s="8">
        <f>Z76*Assumptions!$B$214</f>
        <v/>
      </c>
      <c r="AA184" s="8">
        <f>AA76*Assumptions!$B$214</f>
        <v/>
      </c>
      <c r="AB184" s="8">
        <f>AB76*Assumptions!$B$214</f>
        <v/>
      </c>
      <c r="AC184" s="8">
        <f>AC76*Assumptions!$B$214</f>
        <v/>
      </c>
      <c r="AD184" s="8">
        <f>AD76*Assumptions!$B$214</f>
        <v/>
      </c>
      <c r="AE184" s="8">
        <f>AE76*Assumptions!$B$214</f>
        <v/>
      </c>
      <c r="AF184" s="8">
        <f>AF76*Assumptions!$B$214</f>
        <v/>
      </c>
      <c r="AG184" s="8">
        <f>AG76*Assumptions!$B$214</f>
        <v/>
      </c>
      <c r="AH184" s="8">
        <f>AH76*Assumptions!$B$214</f>
        <v/>
      </c>
      <c r="AI184" s="8">
        <f>AI76*Assumptions!$B$214</f>
        <v/>
      </c>
      <c r="AJ184" s="8">
        <f>AJ76*Assumptions!$B$214</f>
        <v/>
      </c>
      <c r="AK184" s="8">
        <f>AK76*Assumptions!$B$214</f>
        <v/>
      </c>
      <c r="AL184" s="8">
        <f>AL76*Assumptions!$B$214</f>
        <v/>
      </c>
      <c r="AM184" s="8">
        <f>AM76*Assumptions!$B$214</f>
        <v/>
      </c>
      <c r="AN184" s="8">
        <f>AN76*Assumptions!$B$214</f>
        <v/>
      </c>
      <c r="AO184" s="8">
        <f>AO76*Assumptions!$B$214</f>
        <v/>
      </c>
      <c r="AP184" s="8">
        <f>AP76*Assumptions!$B$214</f>
        <v/>
      </c>
      <c r="AQ184" s="8">
        <f>AQ76*Assumptions!$B$214</f>
        <v/>
      </c>
      <c r="AR184" s="8">
        <f>AR76*Assumptions!$B$214</f>
        <v/>
      </c>
      <c r="AS184" s="8">
        <f>AS76*Assumptions!$B$214</f>
        <v/>
      </c>
      <c r="AT184" s="8">
        <f>AT76*Assumptions!$B$214</f>
        <v/>
      </c>
      <c r="AU184" s="8">
        <f>AU76*Assumptions!$B$214</f>
        <v/>
      </c>
      <c r="AV184" s="8">
        <f>AV76*Assumptions!$B$214</f>
        <v/>
      </c>
      <c r="AW184" s="8">
        <f>AW76*Assumptions!$B$214</f>
        <v/>
      </c>
      <c r="AX184" s="8">
        <f>AX76*Assumptions!$B$214</f>
        <v/>
      </c>
      <c r="AY184" s="8">
        <f>AY76*Assumptions!$B$214</f>
        <v/>
      </c>
      <c r="AZ184" s="8">
        <f>AZ76*Assumptions!$B$214</f>
        <v/>
      </c>
      <c r="BA184" s="8">
        <f>BA76*Assumptions!$B$214</f>
        <v/>
      </c>
      <c r="BB184" s="8">
        <f>BB76*Assumptions!$B$214</f>
        <v/>
      </c>
      <c r="BC184" s="8">
        <f>BC76*Assumptions!$B$214</f>
        <v/>
      </c>
      <c r="BD184" s="8">
        <f>BD76*Assumptions!$B$214</f>
        <v/>
      </c>
      <c r="BE184" s="8">
        <f>BE76*Assumptions!$B$214</f>
        <v/>
      </c>
      <c r="BF184" s="8">
        <f>BF76*Assumptions!$B$214</f>
        <v/>
      </c>
      <c r="BG184" s="8">
        <f>BG76*Assumptions!$B$214</f>
        <v/>
      </c>
      <c r="BH184" s="8">
        <f>BH76*Assumptions!$B$214</f>
        <v/>
      </c>
      <c r="BI184" s="8">
        <f>BI76*Assumptions!$B$214</f>
        <v/>
      </c>
      <c r="BJ184" s="8">
        <f>BJ76*Assumptions!$B$214</f>
        <v/>
      </c>
    </row>
    <row r="185">
      <c r="A185" s="3" t="inlineStr">
        <is>
          <t>Total G&amp;A (non-payroll)</t>
        </is>
      </c>
      <c r="B185" s="17" t="inlineStr">
        <is>
          <t>R</t>
        </is>
      </c>
      <c r="C185" s="42">
        <f>C182+C183+C184</f>
        <v/>
      </c>
      <c r="D185" s="42">
        <f>D182+D183+D184</f>
        <v/>
      </c>
      <c r="E185" s="42">
        <f>E182+E183+E184</f>
        <v/>
      </c>
      <c r="F185" s="42">
        <f>F182+F183+F184</f>
        <v/>
      </c>
      <c r="G185" s="42">
        <f>G182+G183+G184</f>
        <v/>
      </c>
      <c r="H185" s="42">
        <f>H182+H183+H184</f>
        <v/>
      </c>
      <c r="I185" s="42">
        <f>I182+I183+I184</f>
        <v/>
      </c>
      <c r="J185" s="42">
        <f>J182+J183+J184</f>
        <v/>
      </c>
      <c r="K185" s="42">
        <f>K182+K183+K184</f>
        <v/>
      </c>
      <c r="L185" s="42">
        <f>L182+L183+L184</f>
        <v/>
      </c>
      <c r="M185" s="42">
        <f>M182+M183+M184</f>
        <v/>
      </c>
      <c r="N185" s="42">
        <f>N182+N183+N184</f>
        <v/>
      </c>
      <c r="O185" s="42">
        <f>O182+O183+O184</f>
        <v/>
      </c>
      <c r="P185" s="42">
        <f>P182+P183+P184</f>
        <v/>
      </c>
      <c r="Q185" s="42">
        <f>Q182+Q183+Q184</f>
        <v/>
      </c>
      <c r="R185" s="42">
        <f>R182+R183+R184</f>
        <v/>
      </c>
      <c r="S185" s="42">
        <f>S182+S183+S184</f>
        <v/>
      </c>
      <c r="T185" s="42">
        <f>T182+T183+T184</f>
        <v/>
      </c>
      <c r="U185" s="42">
        <f>U182+U183+U184</f>
        <v/>
      </c>
      <c r="V185" s="42">
        <f>V182+V183+V184</f>
        <v/>
      </c>
      <c r="W185" s="42">
        <f>W182+W183+W184</f>
        <v/>
      </c>
      <c r="X185" s="42">
        <f>X182+X183+X184</f>
        <v/>
      </c>
      <c r="Y185" s="42">
        <f>Y182+Y183+Y184</f>
        <v/>
      </c>
      <c r="Z185" s="42">
        <f>Z182+Z183+Z184</f>
        <v/>
      </c>
      <c r="AA185" s="42">
        <f>AA182+AA183+AA184</f>
        <v/>
      </c>
      <c r="AB185" s="42">
        <f>AB182+AB183+AB184</f>
        <v/>
      </c>
      <c r="AC185" s="42">
        <f>AC182+AC183+AC184</f>
        <v/>
      </c>
      <c r="AD185" s="42">
        <f>AD182+AD183+AD184</f>
        <v/>
      </c>
      <c r="AE185" s="42">
        <f>AE182+AE183+AE184</f>
        <v/>
      </c>
      <c r="AF185" s="42">
        <f>AF182+AF183+AF184</f>
        <v/>
      </c>
      <c r="AG185" s="42">
        <f>AG182+AG183+AG184</f>
        <v/>
      </c>
      <c r="AH185" s="42">
        <f>AH182+AH183+AH184</f>
        <v/>
      </c>
      <c r="AI185" s="42">
        <f>AI182+AI183+AI184</f>
        <v/>
      </c>
      <c r="AJ185" s="42">
        <f>AJ182+AJ183+AJ184</f>
        <v/>
      </c>
      <c r="AK185" s="42">
        <f>AK182+AK183+AK184</f>
        <v/>
      </c>
      <c r="AL185" s="42">
        <f>AL182+AL183+AL184</f>
        <v/>
      </c>
      <c r="AM185" s="42">
        <f>AM182+AM183+AM184</f>
        <v/>
      </c>
      <c r="AN185" s="42">
        <f>AN182+AN183+AN184</f>
        <v/>
      </c>
      <c r="AO185" s="42">
        <f>AO182+AO183+AO184</f>
        <v/>
      </c>
      <c r="AP185" s="42">
        <f>AP182+AP183+AP184</f>
        <v/>
      </c>
      <c r="AQ185" s="42">
        <f>AQ182+AQ183+AQ184</f>
        <v/>
      </c>
      <c r="AR185" s="42">
        <f>AR182+AR183+AR184</f>
        <v/>
      </c>
      <c r="AS185" s="42">
        <f>AS182+AS183+AS184</f>
        <v/>
      </c>
      <c r="AT185" s="42">
        <f>AT182+AT183+AT184</f>
        <v/>
      </c>
      <c r="AU185" s="42">
        <f>AU182+AU183+AU184</f>
        <v/>
      </c>
      <c r="AV185" s="42">
        <f>AV182+AV183+AV184</f>
        <v/>
      </c>
      <c r="AW185" s="42">
        <f>AW182+AW183+AW184</f>
        <v/>
      </c>
      <c r="AX185" s="42">
        <f>AX182+AX183+AX184</f>
        <v/>
      </c>
      <c r="AY185" s="42">
        <f>AY182+AY183+AY184</f>
        <v/>
      </c>
      <c r="AZ185" s="42">
        <f>AZ182+AZ183+AZ184</f>
        <v/>
      </c>
      <c r="BA185" s="42">
        <f>BA182+BA183+BA184</f>
        <v/>
      </c>
      <c r="BB185" s="42">
        <f>BB182+BB183+BB184</f>
        <v/>
      </c>
      <c r="BC185" s="42">
        <f>BC182+BC183+BC184</f>
        <v/>
      </c>
      <c r="BD185" s="42">
        <f>BD182+BD183+BD184</f>
        <v/>
      </c>
      <c r="BE185" s="42">
        <f>BE182+BE183+BE184</f>
        <v/>
      </c>
      <c r="BF185" s="42">
        <f>BF182+BF183+BF184</f>
        <v/>
      </c>
      <c r="BG185" s="42">
        <f>BG182+BG183+BG184</f>
        <v/>
      </c>
      <c r="BH185" s="42">
        <f>BH182+BH183+BH184</f>
        <v/>
      </c>
      <c r="BI185" s="42">
        <f>BI182+BI183+BI184</f>
        <v/>
      </c>
      <c r="BJ185" s="42">
        <f>BJ182+BJ183+BJ184</f>
        <v/>
      </c>
    </row>
    <row r="186">
      <c r="A186" s="4" t="inlineStr">
        <is>
          <t>Meta, legal &amp; compliance (POPIA base from seed + local compliance per market)</t>
        </is>
      </c>
      <c r="B186" s="17" t="inlineStr">
        <is>
          <t>R</t>
        </is>
      </c>
      <c r="C186" s="8">
        <f>Revenue_Build!C8*Assumptions!$B$215+Revenue_Build!C25*Assumptions!$B$65+Revenue_Build!C15*Assumptions!$B$66+Revenue_Build!C26*Assumptions!$B$75+Revenue_Build!C17*Assumptions!$B$76+Revenue_Build!C27*Assumptions!$B$85+Revenue_Build!C19*Assumptions!$B$86+Revenue_Build!C28*Assumptions!$B$95+Revenue_Build!C21*Assumptions!$B$96+Revenue_Build!C29*Assumptions!$B$103+Revenue_Build!C23*Assumptions!$B$104</f>
        <v/>
      </c>
      <c r="D186" s="8">
        <f>Revenue_Build!D8*Assumptions!$B$215+Revenue_Build!D25*Assumptions!$B$65+Revenue_Build!D15*Assumptions!$B$66+Revenue_Build!D26*Assumptions!$B$75+Revenue_Build!D17*Assumptions!$B$76+Revenue_Build!D27*Assumptions!$B$85+Revenue_Build!D19*Assumptions!$B$86+Revenue_Build!D28*Assumptions!$B$95+Revenue_Build!D21*Assumptions!$B$96+Revenue_Build!D29*Assumptions!$B$103+Revenue_Build!D23*Assumptions!$B$104</f>
        <v/>
      </c>
      <c r="E186" s="8">
        <f>Revenue_Build!E8*Assumptions!$B$215+Revenue_Build!E25*Assumptions!$B$65+Revenue_Build!E15*Assumptions!$B$66+Revenue_Build!E26*Assumptions!$B$75+Revenue_Build!E17*Assumptions!$B$76+Revenue_Build!E27*Assumptions!$B$85+Revenue_Build!E19*Assumptions!$B$86+Revenue_Build!E28*Assumptions!$B$95+Revenue_Build!E21*Assumptions!$B$96+Revenue_Build!E29*Assumptions!$B$103+Revenue_Build!E23*Assumptions!$B$104</f>
        <v/>
      </c>
      <c r="F186" s="8">
        <f>Revenue_Build!F8*Assumptions!$B$215+Revenue_Build!F25*Assumptions!$B$65+Revenue_Build!F15*Assumptions!$B$66+Revenue_Build!F26*Assumptions!$B$75+Revenue_Build!F17*Assumptions!$B$76+Revenue_Build!F27*Assumptions!$B$85+Revenue_Build!F19*Assumptions!$B$86+Revenue_Build!F28*Assumptions!$B$95+Revenue_Build!F21*Assumptions!$B$96+Revenue_Build!F29*Assumptions!$B$103+Revenue_Build!F23*Assumptions!$B$104</f>
        <v/>
      </c>
      <c r="G186" s="8">
        <f>Revenue_Build!G8*Assumptions!$B$215+Revenue_Build!G25*Assumptions!$B$65+Revenue_Build!G15*Assumptions!$B$66+Revenue_Build!G26*Assumptions!$B$75+Revenue_Build!G17*Assumptions!$B$76+Revenue_Build!G27*Assumptions!$B$85+Revenue_Build!G19*Assumptions!$B$86+Revenue_Build!G28*Assumptions!$B$95+Revenue_Build!G21*Assumptions!$B$96+Revenue_Build!G29*Assumptions!$B$103+Revenue_Build!G23*Assumptions!$B$104</f>
        <v/>
      </c>
      <c r="H186" s="8">
        <f>Revenue_Build!H8*Assumptions!$B$215+Revenue_Build!H25*Assumptions!$B$65+Revenue_Build!H15*Assumptions!$B$66+Revenue_Build!H26*Assumptions!$B$75+Revenue_Build!H17*Assumptions!$B$76+Revenue_Build!H27*Assumptions!$B$85+Revenue_Build!H19*Assumptions!$B$86+Revenue_Build!H28*Assumptions!$B$95+Revenue_Build!H21*Assumptions!$B$96+Revenue_Build!H29*Assumptions!$B$103+Revenue_Build!H23*Assumptions!$B$104</f>
        <v/>
      </c>
      <c r="I186" s="8">
        <f>Revenue_Build!I8*Assumptions!$B$215+Revenue_Build!I25*Assumptions!$B$65+Revenue_Build!I15*Assumptions!$B$66+Revenue_Build!I26*Assumptions!$B$75+Revenue_Build!I17*Assumptions!$B$76+Revenue_Build!I27*Assumptions!$B$85+Revenue_Build!I19*Assumptions!$B$86+Revenue_Build!I28*Assumptions!$B$95+Revenue_Build!I21*Assumptions!$B$96+Revenue_Build!I29*Assumptions!$B$103+Revenue_Build!I23*Assumptions!$B$104</f>
        <v/>
      </c>
      <c r="J186" s="8">
        <f>Revenue_Build!J8*Assumptions!$B$215+Revenue_Build!J25*Assumptions!$B$65+Revenue_Build!J15*Assumptions!$B$66+Revenue_Build!J26*Assumptions!$B$75+Revenue_Build!J17*Assumptions!$B$76+Revenue_Build!J27*Assumptions!$B$85+Revenue_Build!J19*Assumptions!$B$86+Revenue_Build!J28*Assumptions!$B$95+Revenue_Build!J21*Assumptions!$B$96+Revenue_Build!J29*Assumptions!$B$103+Revenue_Build!J23*Assumptions!$B$104</f>
        <v/>
      </c>
      <c r="K186" s="8">
        <f>Revenue_Build!K8*Assumptions!$B$215+Revenue_Build!K25*Assumptions!$B$65+Revenue_Build!K15*Assumptions!$B$66+Revenue_Build!K26*Assumptions!$B$75+Revenue_Build!K17*Assumptions!$B$76+Revenue_Build!K27*Assumptions!$B$85+Revenue_Build!K19*Assumptions!$B$86+Revenue_Build!K28*Assumptions!$B$95+Revenue_Build!K21*Assumptions!$B$96+Revenue_Build!K29*Assumptions!$B$103+Revenue_Build!K23*Assumptions!$B$104</f>
        <v/>
      </c>
      <c r="L186" s="8">
        <f>Revenue_Build!L8*Assumptions!$B$215+Revenue_Build!L25*Assumptions!$B$65+Revenue_Build!L15*Assumptions!$B$66+Revenue_Build!L26*Assumptions!$B$75+Revenue_Build!L17*Assumptions!$B$76+Revenue_Build!L27*Assumptions!$B$85+Revenue_Build!L19*Assumptions!$B$86+Revenue_Build!L28*Assumptions!$B$95+Revenue_Build!L21*Assumptions!$B$96+Revenue_Build!L29*Assumptions!$B$103+Revenue_Build!L23*Assumptions!$B$104</f>
        <v/>
      </c>
      <c r="M186" s="8">
        <f>Revenue_Build!M8*Assumptions!$B$215+Revenue_Build!M25*Assumptions!$B$65+Revenue_Build!M15*Assumptions!$B$66+Revenue_Build!M26*Assumptions!$B$75+Revenue_Build!M17*Assumptions!$B$76+Revenue_Build!M27*Assumptions!$B$85+Revenue_Build!M19*Assumptions!$B$86+Revenue_Build!M28*Assumptions!$B$95+Revenue_Build!M21*Assumptions!$B$96+Revenue_Build!M29*Assumptions!$B$103+Revenue_Build!M23*Assumptions!$B$104</f>
        <v/>
      </c>
      <c r="N186" s="8">
        <f>Revenue_Build!N8*Assumptions!$B$215+Revenue_Build!N25*Assumptions!$B$65+Revenue_Build!N15*Assumptions!$B$66+Revenue_Build!N26*Assumptions!$B$75+Revenue_Build!N17*Assumptions!$B$76+Revenue_Build!N27*Assumptions!$B$85+Revenue_Build!N19*Assumptions!$B$86+Revenue_Build!N28*Assumptions!$B$95+Revenue_Build!N21*Assumptions!$B$96+Revenue_Build!N29*Assumptions!$B$103+Revenue_Build!N23*Assumptions!$B$104</f>
        <v/>
      </c>
      <c r="O186" s="8">
        <f>Revenue_Build!O8*Assumptions!$B$215+Revenue_Build!O25*Assumptions!$B$65+Revenue_Build!O15*Assumptions!$B$66+Revenue_Build!O26*Assumptions!$B$75+Revenue_Build!O17*Assumptions!$B$76+Revenue_Build!O27*Assumptions!$B$85+Revenue_Build!O19*Assumptions!$B$86+Revenue_Build!O28*Assumptions!$B$95+Revenue_Build!O21*Assumptions!$B$96+Revenue_Build!O29*Assumptions!$B$103+Revenue_Build!O23*Assumptions!$B$104</f>
        <v/>
      </c>
      <c r="P186" s="8">
        <f>Revenue_Build!P8*Assumptions!$B$215+Revenue_Build!P25*Assumptions!$B$65+Revenue_Build!P15*Assumptions!$B$66+Revenue_Build!P26*Assumptions!$B$75+Revenue_Build!P17*Assumptions!$B$76+Revenue_Build!P27*Assumptions!$B$85+Revenue_Build!P19*Assumptions!$B$86+Revenue_Build!P28*Assumptions!$B$95+Revenue_Build!P21*Assumptions!$B$96+Revenue_Build!P29*Assumptions!$B$103+Revenue_Build!P23*Assumptions!$B$104</f>
        <v/>
      </c>
      <c r="Q186" s="8">
        <f>Revenue_Build!Q8*Assumptions!$B$215+Revenue_Build!Q25*Assumptions!$B$65+Revenue_Build!Q15*Assumptions!$B$66+Revenue_Build!Q26*Assumptions!$B$75+Revenue_Build!Q17*Assumptions!$B$76+Revenue_Build!Q27*Assumptions!$B$85+Revenue_Build!Q19*Assumptions!$B$86+Revenue_Build!Q28*Assumptions!$B$95+Revenue_Build!Q21*Assumptions!$B$96+Revenue_Build!Q29*Assumptions!$B$103+Revenue_Build!Q23*Assumptions!$B$104</f>
        <v/>
      </c>
      <c r="R186" s="8">
        <f>Revenue_Build!R8*Assumptions!$B$215+Revenue_Build!R25*Assumptions!$B$65+Revenue_Build!R15*Assumptions!$B$66+Revenue_Build!R26*Assumptions!$B$75+Revenue_Build!R17*Assumptions!$B$76+Revenue_Build!R27*Assumptions!$B$85+Revenue_Build!R19*Assumptions!$B$86+Revenue_Build!R28*Assumptions!$B$95+Revenue_Build!R21*Assumptions!$B$96+Revenue_Build!R29*Assumptions!$B$103+Revenue_Build!R23*Assumptions!$B$104</f>
        <v/>
      </c>
      <c r="S186" s="8">
        <f>Revenue_Build!S8*Assumptions!$B$215+Revenue_Build!S25*Assumptions!$B$65+Revenue_Build!S15*Assumptions!$B$66+Revenue_Build!S26*Assumptions!$B$75+Revenue_Build!S17*Assumptions!$B$76+Revenue_Build!S27*Assumptions!$B$85+Revenue_Build!S19*Assumptions!$B$86+Revenue_Build!S28*Assumptions!$B$95+Revenue_Build!S21*Assumptions!$B$96+Revenue_Build!S29*Assumptions!$B$103+Revenue_Build!S23*Assumptions!$B$104</f>
        <v/>
      </c>
      <c r="T186" s="8">
        <f>Revenue_Build!T8*Assumptions!$B$215+Revenue_Build!T25*Assumptions!$B$65+Revenue_Build!T15*Assumptions!$B$66+Revenue_Build!T26*Assumptions!$B$75+Revenue_Build!T17*Assumptions!$B$76+Revenue_Build!T27*Assumptions!$B$85+Revenue_Build!T19*Assumptions!$B$86+Revenue_Build!T28*Assumptions!$B$95+Revenue_Build!T21*Assumptions!$B$96+Revenue_Build!T29*Assumptions!$B$103+Revenue_Build!T23*Assumptions!$B$104</f>
        <v/>
      </c>
      <c r="U186" s="8">
        <f>Revenue_Build!U8*Assumptions!$B$215+Revenue_Build!U25*Assumptions!$B$65+Revenue_Build!U15*Assumptions!$B$66+Revenue_Build!U26*Assumptions!$B$75+Revenue_Build!U17*Assumptions!$B$76+Revenue_Build!U27*Assumptions!$B$85+Revenue_Build!U19*Assumptions!$B$86+Revenue_Build!U28*Assumptions!$B$95+Revenue_Build!U21*Assumptions!$B$96+Revenue_Build!U29*Assumptions!$B$103+Revenue_Build!U23*Assumptions!$B$104</f>
        <v/>
      </c>
      <c r="V186" s="8">
        <f>Revenue_Build!V8*Assumptions!$B$215+Revenue_Build!V25*Assumptions!$B$65+Revenue_Build!V15*Assumptions!$B$66+Revenue_Build!V26*Assumptions!$B$75+Revenue_Build!V17*Assumptions!$B$76+Revenue_Build!V27*Assumptions!$B$85+Revenue_Build!V19*Assumptions!$B$86+Revenue_Build!V28*Assumptions!$B$95+Revenue_Build!V21*Assumptions!$B$96+Revenue_Build!V29*Assumptions!$B$103+Revenue_Build!V23*Assumptions!$B$104</f>
        <v/>
      </c>
      <c r="W186" s="8">
        <f>Revenue_Build!W8*Assumptions!$B$215+Revenue_Build!W25*Assumptions!$B$65+Revenue_Build!W15*Assumptions!$B$66+Revenue_Build!W26*Assumptions!$B$75+Revenue_Build!W17*Assumptions!$B$76+Revenue_Build!W27*Assumptions!$B$85+Revenue_Build!W19*Assumptions!$B$86+Revenue_Build!W28*Assumptions!$B$95+Revenue_Build!W21*Assumptions!$B$96+Revenue_Build!W29*Assumptions!$B$103+Revenue_Build!W23*Assumptions!$B$104</f>
        <v/>
      </c>
      <c r="X186" s="8">
        <f>Revenue_Build!X8*Assumptions!$B$215+Revenue_Build!X25*Assumptions!$B$65+Revenue_Build!X15*Assumptions!$B$66+Revenue_Build!X26*Assumptions!$B$75+Revenue_Build!X17*Assumptions!$B$76+Revenue_Build!X27*Assumptions!$B$85+Revenue_Build!X19*Assumptions!$B$86+Revenue_Build!X28*Assumptions!$B$95+Revenue_Build!X21*Assumptions!$B$96+Revenue_Build!X29*Assumptions!$B$103+Revenue_Build!X23*Assumptions!$B$104</f>
        <v/>
      </c>
      <c r="Y186" s="8">
        <f>Revenue_Build!Y8*Assumptions!$B$215+Revenue_Build!Y25*Assumptions!$B$65+Revenue_Build!Y15*Assumptions!$B$66+Revenue_Build!Y26*Assumptions!$B$75+Revenue_Build!Y17*Assumptions!$B$76+Revenue_Build!Y27*Assumptions!$B$85+Revenue_Build!Y19*Assumptions!$B$86+Revenue_Build!Y28*Assumptions!$B$95+Revenue_Build!Y21*Assumptions!$B$96+Revenue_Build!Y29*Assumptions!$B$103+Revenue_Build!Y23*Assumptions!$B$104</f>
        <v/>
      </c>
      <c r="Z186" s="8">
        <f>Revenue_Build!Z8*Assumptions!$B$215+Revenue_Build!Z25*Assumptions!$B$65+Revenue_Build!Z15*Assumptions!$B$66+Revenue_Build!Z26*Assumptions!$B$75+Revenue_Build!Z17*Assumptions!$B$76+Revenue_Build!Z27*Assumptions!$B$85+Revenue_Build!Z19*Assumptions!$B$86+Revenue_Build!Z28*Assumptions!$B$95+Revenue_Build!Z21*Assumptions!$B$96+Revenue_Build!Z29*Assumptions!$B$103+Revenue_Build!Z23*Assumptions!$B$104</f>
        <v/>
      </c>
      <c r="AA186" s="8">
        <f>Revenue_Build!AA8*Assumptions!$B$215+Revenue_Build!AA25*Assumptions!$B$65+Revenue_Build!AA15*Assumptions!$B$66+Revenue_Build!AA26*Assumptions!$B$75+Revenue_Build!AA17*Assumptions!$B$76+Revenue_Build!AA27*Assumptions!$B$85+Revenue_Build!AA19*Assumptions!$B$86+Revenue_Build!AA28*Assumptions!$B$95+Revenue_Build!AA21*Assumptions!$B$96+Revenue_Build!AA29*Assumptions!$B$103+Revenue_Build!AA23*Assumptions!$B$104</f>
        <v/>
      </c>
      <c r="AB186" s="8">
        <f>Revenue_Build!AB8*Assumptions!$B$215+Revenue_Build!AB25*Assumptions!$B$65+Revenue_Build!AB15*Assumptions!$B$66+Revenue_Build!AB26*Assumptions!$B$75+Revenue_Build!AB17*Assumptions!$B$76+Revenue_Build!AB27*Assumptions!$B$85+Revenue_Build!AB19*Assumptions!$B$86+Revenue_Build!AB28*Assumptions!$B$95+Revenue_Build!AB21*Assumptions!$B$96+Revenue_Build!AB29*Assumptions!$B$103+Revenue_Build!AB23*Assumptions!$B$104</f>
        <v/>
      </c>
      <c r="AC186" s="8">
        <f>Revenue_Build!AC8*Assumptions!$B$215+Revenue_Build!AC25*Assumptions!$B$65+Revenue_Build!AC15*Assumptions!$B$66+Revenue_Build!AC26*Assumptions!$B$75+Revenue_Build!AC17*Assumptions!$B$76+Revenue_Build!AC27*Assumptions!$B$85+Revenue_Build!AC19*Assumptions!$B$86+Revenue_Build!AC28*Assumptions!$B$95+Revenue_Build!AC21*Assumptions!$B$96+Revenue_Build!AC29*Assumptions!$B$103+Revenue_Build!AC23*Assumptions!$B$104</f>
        <v/>
      </c>
      <c r="AD186" s="8">
        <f>Revenue_Build!AD8*Assumptions!$B$215+Revenue_Build!AD25*Assumptions!$B$65+Revenue_Build!AD15*Assumptions!$B$66+Revenue_Build!AD26*Assumptions!$B$75+Revenue_Build!AD17*Assumptions!$B$76+Revenue_Build!AD27*Assumptions!$B$85+Revenue_Build!AD19*Assumptions!$B$86+Revenue_Build!AD28*Assumptions!$B$95+Revenue_Build!AD21*Assumptions!$B$96+Revenue_Build!AD29*Assumptions!$B$103+Revenue_Build!AD23*Assumptions!$B$104</f>
        <v/>
      </c>
      <c r="AE186" s="8">
        <f>Revenue_Build!AE8*Assumptions!$B$215+Revenue_Build!AE25*Assumptions!$B$65+Revenue_Build!AE15*Assumptions!$B$66+Revenue_Build!AE26*Assumptions!$B$75+Revenue_Build!AE17*Assumptions!$B$76+Revenue_Build!AE27*Assumptions!$B$85+Revenue_Build!AE19*Assumptions!$B$86+Revenue_Build!AE28*Assumptions!$B$95+Revenue_Build!AE21*Assumptions!$B$96+Revenue_Build!AE29*Assumptions!$B$103+Revenue_Build!AE23*Assumptions!$B$104</f>
        <v/>
      </c>
      <c r="AF186" s="8">
        <f>Revenue_Build!AF8*Assumptions!$B$215+Revenue_Build!AF25*Assumptions!$B$65+Revenue_Build!AF15*Assumptions!$B$66+Revenue_Build!AF26*Assumptions!$B$75+Revenue_Build!AF17*Assumptions!$B$76+Revenue_Build!AF27*Assumptions!$B$85+Revenue_Build!AF19*Assumptions!$B$86+Revenue_Build!AF28*Assumptions!$B$95+Revenue_Build!AF21*Assumptions!$B$96+Revenue_Build!AF29*Assumptions!$B$103+Revenue_Build!AF23*Assumptions!$B$104</f>
        <v/>
      </c>
      <c r="AG186" s="8">
        <f>Revenue_Build!AG8*Assumptions!$B$215+Revenue_Build!AG25*Assumptions!$B$65+Revenue_Build!AG15*Assumptions!$B$66+Revenue_Build!AG26*Assumptions!$B$75+Revenue_Build!AG17*Assumptions!$B$76+Revenue_Build!AG27*Assumptions!$B$85+Revenue_Build!AG19*Assumptions!$B$86+Revenue_Build!AG28*Assumptions!$B$95+Revenue_Build!AG21*Assumptions!$B$96+Revenue_Build!AG29*Assumptions!$B$103+Revenue_Build!AG23*Assumptions!$B$104</f>
        <v/>
      </c>
      <c r="AH186" s="8">
        <f>Revenue_Build!AH8*Assumptions!$B$215+Revenue_Build!AH25*Assumptions!$B$65+Revenue_Build!AH15*Assumptions!$B$66+Revenue_Build!AH26*Assumptions!$B$75+Revenue_Build!AH17*Assumptions!$B$76+Revenue_Build!AH27*Assumptions!$B$85+Revenue_Build!AH19*Assumptions!$B$86+Revenue_Build!AH28*Assumptions!$B$95+Revenue_Build!AH21*Assumptions!$B$96+Revenue_Build!AH29*Assumptions!$B$103+Revenue_Build!AH23*Assumptions!$B$104</f>
        <v/>
      </c>
      <c r="AI186" s="8">
        <f>Revenue_Build!AI8*Assumptions!$B$215+Revenue_Build!AI25*Assumptions!$B$65+Revenue_Build!AI15*Assumptions!$B$66+Revenue_Build!AI26*Assumptions!$B$75+Revenue_Build!AI17*Assumptions!$B$76+Revenue_Build!AI27*Assumptions!$B$85+Revenue_Build!AI19*Assumptions!$B$86+Revenue_Build!AI28*Assumptions!$B$95+Revenue_Build!AI21*Assumptions!$B$96+Revenue_Build!AI29*Assumptions!$B$103+Revenue_Build!AI23*Assumptions!$B$104</f>
        <v/>
      </c>
      <c r="AJ186" s="8">
        <f>Revenue_Build!AJ8*Assumptions!$B$215+Revenue_Build!AJ25*Assumptions!$B$65+Revenue_Build!AJ15*Assumptions!$B$66+Revenue_Build!AJ26*Assumptions!$B$75+Revenue_Build!AJ17*Assumptions!$B$76+Revenue_Build!AJ27*Assumptions!$B$85+Revenue_Build!AJ19*Assumptions!$B$86+Revenue_Build!AJ28*Assumptions!$B$95+Revenue_Build!AJ21*Assumptions!$B$96+Revenue_Build!AJ29*Assumptions!$B$103+Revenue_Build!AJ23*Assumptions!$B$104</f>
        <v/>
      </c>
      <c r="AK186" s="8">
        <f>Revenue_Build!AK8*Assumptions!$B$215+Revenue_Build!AK25*Assumptions!$B$65+Revenue_Build!AK15*Assumptions!$B$66+Revenue_Build!AK26*Assumptions!$B$75+Revenue_Build!AK17*Assumptions!$B$76+Revenue_Build!AK27*Assumptions!$B$85+Revenue_Build!AK19*Assumptions!$B$86+Revenue_Build!AK28*Assumptions!$B$95+Revenue_Build!AK21*Assumptions!$B$96+Revenue_Build!AK29*Assumptions!$B$103+Revenue_Build!AK23*Assumptions!$B$104</f>
        <v/>
      </c>
      <c r="AL186" s="8">
        <f>Revenue_Build!AL8*Assumptions!$B$215+Revenue_Build!AL25*Assumptions!$B$65+Revenue_Build!AL15*Assumptions!$B$66+Revenue_Build!AL26*Assumptions!$B$75+Revenue_Build!AL17*Assumptions!$B$76+Revenue_Build!AL27*Assumptions!$B$85+Revenue_Build!AL19*Assumptions!$B$86+Revenue_Build!AL28*Assumptions!$B$95+Revenue_Build!AL21*Assumptions!$B$96+Revenue_Build!AL29*Assumptions!$B$103+Revenue_Build!AL23*Assumptions!$B$104</f>
        <v/>
      </c>
      <c r="AM186" s="8">
        <f>Revenue_Build!AM8*Assumptions!$B$215+Revenue_Build!AM25*Assumptions!$B$65+Revenue_Build!AM15*Assumptions!$B$66+Revenue_Build!AM26*Assumptions!$B$75+Revenue_Build!AM17*Assumptions!$B$76+Revenue_Build!AM27*Assumptions!$B$85+Revenue_Build!AM19*Assumptions!$B$86+Revenue_Build!AM28*Assumptions!$B$95+Revenue_Build!AM21*Assumptions!$B$96+Revenue_Build!AM29*Assumptions!$B$103+Revenue_Build!AM23*Assumptions!$B$104</f>
        <v/>
      </c>
      <c r="AN186" s="8">
        <f>Revenue_Build!AN8*Assumptions!$B$215+Revenue_Build!AN25*Assumptions!$B$65+Revenue_Build!AN15*Assumptions!$B$66+Revenue_Build!AN26*Assumptions!$B$75+Revenue_Build!AN17*Assumptions!$B$76+Revenue_Build!AN27*Assumptions!$B$85+Revenue_Build!AN19*Assumptions!$B$86+Revenue_Build!AN28*Assumptions!$B$95+Revenue_Build!AN21*Assumptions!$B$96+Revenue_Build!AN29*Assumptions!$B$103+Revenue_Build!AN23*Assumptions!$B$104</f>
        <v/>
      </c>
      <c r="AO186" s="8">
        <f>Revenue_Build!AO8*Assumptions!$B$215+Revenue_Build!AO25*Assumptions!$B$65+Revenue_Build!AO15*Assumptions!$B$66+Revenue_Build!AO26*Assumptions!$B$75+Revenue_Build!AO17*Assumptions!$B$76+Revenue_Build!AO27*Assumptions!$B$85+Revenue_Build!AO19*Assumptions!$B$86+Revenue_Build!AO28*Assumptions!$B$95+Revenue_Build!AO21*Assumptions!$B$96+Revenue_Build!AO29*Assumptions!$B$103+Revenue_Build!AO23*Assumptions!$B$104</f>
        <v/>
      </c>
      <c r="AP186" s="8">
        <f>Revenue_Build!AP8*Assumptions!$B$215+Revenue_Build!AP25*Assumptions!$B$65+Revenue_Build!AP15*Assumptions!$B$66+Revenue_Build!AP26*Assumptions!$B$75+Revenue_Build!AP17*Assumptions!$B$76+Revenue_Build!AP27*Assumptions!$B$85+Revenue_Build!AP19*Assumptions!$B$86+Revenue_Build!AP28*Assumptions!$B$95+Revenue_Build!AP21*Assumptions!$B$96+Revenue_Build!AP29*Assumptions!$B$103+Revenue_Build!AP23*Assumptions!$B$104</f>
        <v/>
      </c>
      <c r="AQ186" s="8">
        <f>Revenue_Build!AQ8*Assumptions!$B$215+Revenue_Build!AQ25*Assumptions!$B$65+Revenue_Build!AQ15*Assumptions!$B$66+Revenue_Build!AQ26*Assumptions!$B$75+Revenue_Build!AQ17*Assumptions!$B$76+Revenue_Build!AQ27*Assumptions!$B$85+Revenue_Build!AQ19*Assumptions!$B$86+Revenue_Build!AQ28*Assumptions!$B$95+Revenue_Build!AQ21*Assumptions!$B$96+Revenue_Build!AQ29*Assumptions!$B$103+Revenue_Build!AQ23*Assumptions!$B$104</f>
        <v/>
      </c>
      <c r="AR186" s="8">
        <f>Revenue_Build!AR8*Assumptions!$B$215+Revenue_Build!AR25*Assumptions!$B$65+Revenue_Build!AR15*Assumptions!$B$66+Revenue_Build!AR26*Assumptions!$B$75+Revenue_Build!AR17*Assumptions!$B$76+Revenue_Build!AR27*Assumptions!$B$85+Revenue_Build!AR19*Assumptions!$B$86+Revenue_Build!AR28*Assumptions!$B$95+Revenue_Build!AR21*Assumptions!$B$96+Revenue_Build!AR29*Assumptions!$B$103+Revenue_Build!AR23*Assumptions!$B$104</f>
        <v/>
      </c>
      <c r="AS186" s="8">
        <f>Revenue_Build!AS8*Assumptions!$B$215+Revenue_Build!AS25*Assumptions!$B$65+Revenue_Build!AS15*Assumptions!$B$66+Revenue_Build!AS26*Assumptions!$B$75+Revenue_Build!AS17*Assumptions!$B$76+Revenue_Build!AS27*Assumptions!$B$85+Revenue_Build!AS19*Assumptions!$B$86+Revenue_Build!AS28*Assumptions!$B$95+Revenue_Build!AS21*Assumptions!$B$96+Revenue_Build!AS29*Assumptions!$B$103+Revenue_Build!AS23*Assumptions!$B$104</f>
        <v/>
      </c>
      <c r="AT186" s="8">
        <f>Revenue_Build!AT8*Assumptions!$B$215+Revenue_Build!AT25*Assumptions!$B$65+Revenue_Build!AT15*Assumptions!$B$66+Revenue_Build!AT26*Assumptions!$B$75+Revenue_Build!AT17*Assumptions!$B$76+Revenue_Build!AT27*Assumptions!$B$85+Revenue_Build!AT19*Assumptions!$B$86+Revenue_Build!AT28*Assumptions!$B$95+Revenue_Build!AT21*Assumptions!$B$96+Revenue_Build!AT29*Assumptions!$B$103+Revenue_Build!AT23*Assumptions!$B$104</f>
        <v/>
      </c>
      <c r="AU186" s="8">
        <f>Revenue_Build!AU8*Assumptions!$B$215+Revenue_Build!AU25*Assumptions!$B$65+Revenue_Build!AU15*Assumptions!$B$66+Revenue_Build!AU26*Assumptions!$B$75+Revenue_Build!AU17*Assumptions!$B$76+Revenue_Build!AU27*Assumptions!$B$85+Revenue_Build!AU19*Assumptions!$B$86+Revenue_Build!AU28*Assumptions!$B$95+Revenue_Build!AU21*Assumptions!$B$96+Revenue_Build!AU29*Assumptions!$B$103+Revenue_Build!AU23*Assumptions!$B$104</f>
        <v/>
      </c>
      <c r="AV186" s="8">
        <f>Revenue_Build!AV8*Assumptions!$B$215+Revenue_Build!AV25*Assumptions!$B$65+Revenue_Build!AV15*Assumptions!$B$66+Revenue_Build!AV26*Assumptions!$B$75+Revenue_Build!AV17*Assumptions!$B$76+Revenue_Build!AV27*Assumptions!$B$85+Revenue_Build!AV19*Assumptions!$B$86+Revenue_Build!AV28*Assumptions!$B$95+Revenue_Build!AV21*Assumptions!$B$96+Revenue_Build!AV29*Assumptions!$B$103+Revenue_Build!AV23*Assumptions!$B$104</f>
        <v/>
      </c>
      <c r="AW186" s="8">
        <f>Revenue_Build!AW8*Assumptions!$B$215+Revenue_Build!AW25*Assumptions!$B$65+Revenue_Build!AW15*Assumptions!$B$66+Revenue_Build!AW26*Assumptions!$B$75+Revenue_Build!AW17*Assumptions!$B$76+Revenue_Build!AW27*Assumptions!$B$85+Revenue_Build!AW19*Assumptions!$B$86+Revenue_Build!AW28*Assumptions!$B$95+Revenue_Build!AW21*Assumptions!$B$96+Revenue_Build!AW29*Assumptions!$B$103+Revenue_Build!AW23*Assumptions!$B$104</f>
        <v/>
      </c>
      <c r="AX186" s="8">
        <f>Revenue_Build!AX8*Assumptions!$B$215+Revenue_Build!AX25*Assumptions!$B$65+Revenue_Build!AX15*Assumptions!$B$66+Revenue_Build!AX26*Assumptions!$B$75+Revenue_Build!AX17*Assumptions!$B$76+Revenue_Build!AX27*Assumptions!$B$85+Revenue_Build!AX19*Assumptions!$B$86+Revenue_Build!AX28*Assumptions!$B$95+Revenue_Build!AX21*Assumptions!$B$96+Revenue_Build!AX29*Assumptions!$B$103+Revenue_Build!AX23*Assumptions!$B$104</f>
        <v/>
      </c>
      <c r="AY186" s="8">
        <f>Revenue_Build!AY8*Assumptions!$B$215+Revenue_Build!AY25*Assumptions!$B$65+Revenue_Build!AY15*Assumptions!$B$66+Revenue_Build!AY26*Assumptions!$B$75+Revenue_Build!AY17*Assumptions!$B$76+Revenue_Build!AY27*Assumptions!$B$85+Revenue_Build!AY19*Assumptions!$B$86+Revenue_Build!AY28*Assumptions!$B$95+Revenue_Build!AY21*Assumptions!$B$96+Revenue_Build!AY29*Assumptions!$B$103+Revenue_Build!AY23*Assumptions!$B$104</f>
        <v/>
      </c>
      <c r="AZ186" s="8">
        <f>Revenue_Build!AZ8*Assumptions!$B$215+Revenue_Build!AZ25*Assumptions!$B$65+Revenue_Build!AZ15*Assumptions!$B$66+Revenue_Build!AZ26*Assumptions!$B$75+Revenue_Build!AZ17*Assumptions!$B$76+Revenue_Build!AZ27*Assumptions!$B$85+Revenue_Build!AZ19*Assumptions!$B$86+Revenue_Build!AZ28*Assumptions!$B$95+Revenue_Build!AZ21*Assumptions!$B$96+Revenue_Build!AZ29*Assumptions!$B$103+Revenue_Build!AZ23*Assumptions!$B$104</f>
        <v/>
      </c>
      <c r="BA186" s="8">
        <f>Revenue_Build!BA8*Assumptions!$B$215+Revenue_Build!BA25*Assumptions!$B$65+Revenue_Build!BA15*Assumptions!$B$66+Revenue_Build!BA26*Assumptions!$B$75+Revenue_Build!BA17*Assumptions!$B$76+Revenue_Build!BA27*Assumptions!$B$85+Revenue_Build!BA19*Assumptions!$B$86+Revenue_Build!BA28*Assumptions!$B$95+Revenue_Build!BA21*Assumptions!$B$96+Revenue_Build!BA29*Assumptions!$B$103+Revenue_Build!BA23*Assumptions!$B$104</f>
        <v/>
      </c>
      <c r="BB186" s="8">
        <f>Revenue_Build!BB8*Assumptions!$B$215+Revenue_Build!BB25*Assumptions!$B$65+Revenue_Build!BB15*Assumptions!$B$66+Revenue_Build!BB26*Assumptions!$B$75+Revenue_Build!BB17*Assumptions!$B$76+Revenue_Build!BB27*Assumptions!$B$85+Revenue_Build!BB19*Assumptions!$B$86+Revenue_Build!BB28*Assumptions!$B$95+Revenue_Build!BB21*Assumptions!$B$96+Revenue_Build!BB29*Assumptions!$B$103+Revenue_Build!BB23*Assumptions!$B$104</f>
        <v/>
      </c>
      <c r="BC186" s="8">
        <f>Revenue_Build!BC8*Assumptions!$B$215+Revenue_Build!BC25*Assumptions!$B$65+Revenue_Build!BC15*Assumptions!$B$66+Revenue_Build!BC26*Assumptions!$B$75+Revenue_Build!BC17*Assumptions!$B$76+Revenue_Build!BC27*Assumptions!$B$85+Revenue_Build!BC19*Assumptions!$B$86+Revenue_Build!BC28*Assumptions!$B$95+Revenue_Build!BC21*Assumptions!$B$96+Revenue_Build!BC29*Assumptions!$B$103+Revenue_Build!BC23*Assumptions!$B$104</f>
        <v/>
      </c>
      <c r="BD186" s="8">
        <f>Revenue_Build!BD8*Assumptions!$B$215+Revenue_Build!BD25*Assumptions!$B$65+Revenue_Build!BD15*Assumptions!$B$66+Revenue_Build!BD26*Assumptions!$B$75+Revenue_Build!BD17*Assumptions!$B$76+Revenue_Build!BD27*Assumptions!$B$85+Revenue_Build!BD19*Assumptions!$B$86+Revenue_Build!BD28*Assumptions!$B$95+Revenue_Build!BD21*Assumptions!$B$96+Revenue_Build!BD29*Assumptions!$B$103+Revenue_Build!BD23*Assumptions!$B$104</f>
        <v/>
      </c>
      <c r="BE186" s="8">
        <f>Revenue_Build!BE8*Assumptions!$B$215+Revenue_Build!BE25*Assumptions!$B$65+Revenue_Build!BE15*Assumptions!$B$66+Revenue_Build!BE26*Assumptions!$B$75+Revenue_Build!BE17*Assumptions!$B$76+Revenue_Build!BE27*Assumptions!$B$85+Revenue_Build!BE19*Assumptions!$B$86+Revenue_Build!BE28*Assumptions!$B$95+Revenue_Build!BE21*Assumptions!$B$96+Revenue_Build!BE29*Assumptions!$B$103+Revenue_Build!BE23*Assumptions!$B$104</f>
        <v/>
      </c>
      <c r="BF186" s="8">
        <f>Revenue_Build!BF8*Assumptions!$B$215+Revenue_Build!BF25*Assumptions!$B$65+Revenue_Build!BF15*Assumptions!$B$66+Revenue_Build!BF26*Assumptions!$B$75+Revenue_Build!BF17*Assumptions!$B$76+Revenue_Build!BF27*Assumptions!$B$85+Revenue_Build!BF19*Assumptions!$B$86+Revenue_Build!BF28*Assumptions!$B$95+Revenue_Build!BF21*Assumptions!$B$96+Revenue_Build!BF29*Assumptions!$B$103+Revenue_Build!BF23*Assumptions!$B$104</f>
        <v/>
      </c>
      <c r="BG186" s="8">
        <f>Revenue_Build!BG8*Assumptions!$B$215+Revenue_Build!BG25*Assumptions!$B$65+Revenue_Build!BG15*Assumptions!$B$66+Revenue_Build!BG26*Assumptions!$B$75+Revenue_Build!BG17*Assumptions!$B$76+Revenue_Build!BG27*Assumptions!$B$85+Revenue_Build!BG19*Assumptions!$B$86+Revenue_Build!BG28*Assumptions!$B$95+Revenue_Build!BG21*Assumptions!$B$96+Revenue_Build!BG29*Assumptions!$B$103+Revenue_Build!BG23*Assumptions!$B$104</f>
        <v/>
      </c>
      <c r="BH186" s="8">
        <f>Revenue_Build!BH8*Assumptions!$B$215+Revenue_Build!BH25*Assumptions!$B$65+Revenue_Build!BH15*Assumptions!$B$66+Revenue_Build!BH26*Assumptions!$B$75+Revenue_Build!BH17*Assumptions!$B$76+Revenue_Build!BH27*Assumptions!$B$85+Revenue_Build!BH19*Assumptions!$B$86+Revenue_Build!BH28*Assumptions!$B$95+Revenue_Build!BH21*Assumptions!$B$96+Revenue_Build!BH29*Assumptions!$B$103+Revenue_Build!BH23*Assumptions!$B$104</f>
        <v/>
      </c>
      <c r="BI186" s="8">
        <f>Revenue_Build!BI8*Assumptions!$B$215+Revenue_Build!BI25*Assumptions!$B$65+Revenue_Build!BI15*Assumptions!$B$66+Revenue_Build!BI26*Assumptions!$B$75+Revenue_Build!BI17*Assumptions!$B$76+Revenue_Build!BI27*Assumptions!$B$85+Revenue_Build!BI19*Assumptions!$B$86+Revenue_Build!BI28*Assumptions!$B$95+Revenue_Build!BI21*Assumptions!$B$96+Revenue_Build!BI29*Assumptions!$B$103+Revenue_Build!BI23*Assumptions!$B$104</f>
        <v/>
      </c>
      <c r="BJ186" s="8">
        <f>Revenue_Build!BJ8*Assumptions!$B$215+Revenue_Build!BJ25*Assumptions!$B$65+Revenue_Build!BJ15*Assumptions!$B$66+Revenue_Build!BJ26*Assumptions!$B$75+Revenue_Build!BJ17*Assumptions!$B$76+Revenue_Build!BJ27*Assumptions!$B$85+Revenue_Build!BJ19*Assumptions!$B$86+Revenue_Build!BJ28*Assumptions!$B$95+Revenue_Build!BJ21*Assumptions!$B$96+Revenue_Build!BJ29*Assumptions!$B$103+Revenue_Build!BJ23*Assumptions!$B$104</f>
        <v/>
      </c>
    </row>
    <row r="187">
      <c r="A187" s="4" t="inlineStr">
        <is>
          <t>Software &amp; tools</t>
        </is>
      </c>
      <c r="B187" s="17" t="inlineStr">
        <is>
          <t>R</t>
        </is>
      </c>
      <c r="C187" s="8">
        <f>C75*Assumptions!$B$216</f>
        <v/>
      </c>
      <c r="D187" s="8">
        <f>D75*Assumptions!$B$216</f>
        <v/>
      </c>
      <c r="E187" s="8">
        <f>E75*Assumptions!$B$216</f>
        <v/>
      </c>
      <c r="F187" s="8">
        <f>F75*Assumptions!$B$216</f>
        <v/>
      </c>
      <c r="G187" s="8">
        <f>G75*Assumptions!$B$216</f>
        <v/>
      </c>
      <c r="H187" s="8">
        <f>H75*Assumptions!$B$216</f>
        <v/>
      </c>
      <c r="I187" s="8">
        <f>I75*Assumptions!$B$216</f>
        <v/>
      </c>
      <c r="J187" s="8">
        <f>J75*Assumptions!$B$216</f>
        <v/>
      </c>
      <c r="K187" s="8">
        <f>K75*Assumptions!$B$216</f>
        <v/>
      </c>
      <c r="L187" s="8">
        <f>L75*Assumptions!$B$216</f>
        <v/>
      </c>
      <c r="M187" s="8">
        <f>M75*Assumptions!$B$216</f>
        <v/>
      </c>
      <c r="N187" s="8">
        <f>N75*Assumptions!$B$216</f>
        <v/>
      </c>
      <c r="O187" s="8">
        <f>O75*Assumptions!$B$216</f>
        <v/>
      </c>
      <c r="P187" s="8">
        <f>P75*Assumptions!$B$216</f>
        <v/>
      </c>
      <c r="Q187" s="8">
        <f>Q75*Assumptions!$B$216</f>
        <v/>
      </c>
      <c r="R187" s="8">
        <f>R75*Assumptions!$B$216</f>
        <v/>
      </c>
      <c r="S187" s="8">
        <f>S75*Assumptions!$B$216</f>
        <v/>
      </c>
      <c r="T187" s="8">
        <f>T75*Assumptions!$B$216</f>
        <v/>
      </c>
      <c r="U187" s="8">
        <f>U75*Assumptions!$B$216</f>
        <v/>
      </c>
      <c r="V187" s="8">
        <f>V75*Assumptions!$B$216</f>
        <v/>
      </c>
      <c r="W187" s="8">
        <f>W75*Assumptions!$B$216</f>
        <v/>
      </c>
      <c r="X187" s="8">
        <f>X75*Assumptions!$B$216</f>
        <v/>
      </c>
      <c r="Y187" s="8">
        <f>Y75*Assumptions!$B$216</f>
        <v/>
      </c>
      <c r="Z187" s="8">
        <f>Z75*Assumptions!$B$216</f>
        <v/>
      </c>
      <c r="AA187" s="8">
        <f>AA75*Assumptions!$B$216</f>
        <v/>
      </c>
      <c r="AB187" s="8">
        <f>AB75*Assumptions!$B$216</f>
        <v/>
      </c>
      <c r="AC187" s="8">
        <f>AC75*Assumptions!$B$216</f>
        <v/>
      </c>
      <c r="AD187" s="8">
        <f>AD75*Assumptions!$B$216</f>
        <v/>
      </c>
      <c r="AE187" s="8">
        <f>AE75*Assumptions!$B$216</f>
        <v/>
      </c>
      <c r="AF187" s="8">
        <f>AF75*Assumptions!$B$216</f>
        <v/>
      </c>
      <c r="AG187" s="8">
        <f>AG75*Assumptions!$B$216</f>
        <v/>
      </c>
      <c r="AH187" s="8">
        <f>AH75*Assumptions!$B$216</f>
        <v/>
      </c>
      <c r="AI187" s="8">
        <f>AI75*Assumptions!$B$216</f>
        <v/>
      </c>
      <c r="AJ187" s="8">
        <f>AJ75*Assumptions!$B$216</f>
        <v/>
      </c>
      <c r="AK187" s="8">
        <f>AK75*Assumptions!$B$216</f>
        <v/>
      </c>
      <c r="AL187" s="8">
        <f>AL75*Assumptions!$B$216</f>
        <v/>
      </c>
      <c r="AM187" s="8">
        <f>AM75*Assumptions!$B$216</f>
        <v/>
      </c>
      <c r="AN187" s="8">
        <f>AN75*Assumptions!$B$216</f>
        <v/>
      </c>
      <c r="AO187" s="8">
        <f>AO75*Assumptions!$B$216</f>
        <v/>
      </c>
      <c r="AP187" s="8">
        <f>AP75*Assumptions!$B$216</f>
        <v/>
      </c>
      <c r="AQ187" s="8">
        <f>AQ75*Assumptions!$B$216</f>
        <v/>
      </c>
      <c r="AR187" s="8">
        <f>AR75*Assumptions!$B$216</f>
        <v/>
      </c>
      <c r="AS187" s="8">
        <f>AS75*Assumptions!$B$216</f>
        <v/>
      </c>
      <c r="AT187" s="8">
        <f>AT75*Assumptions!$B$216</f>
        <v/>
      </c>
      <c r="AU187" s="8">
        <f>AU75*Assumptions!$B$216</f>
        <v/>
      </c>
      <c r="AV187" s="8">
        <f>AV75*Assumptions!$B$216</f>
        <v/>
      </c>
      <c r="AW187" s="8">
        <f>AW75*Assumptions!$B$216</f>
        <v/>
      </c>
      <c r="AX187" s="8">
        <f>AX75*Assumptions!$B$216</f>
        <v/>
      </c>
      <c r="AY187" s="8">
        <f>AY75*Assumptions!$B$216</f>
        <v/>
      </c>
      <c r="AZ187" s="8">
        <f>AZ75*Assumptions!$B$216</f>
        <v/>
      </c>
      <c r="BA187" s="8">
        <f>BA75*Assumptions!$B$216</f>
        <v/>
      </c>
      <c r="BB187" s="8">
        <f>BB75*Assumptions!$B$216</f>
        <v/>
      </c>
      <c r="BC187" s="8">
        <f>BC75*Assumptions!$B$216</f>
        <v/>
      </c>
      <c r="BD187" s="8">
        <f>BD75*Assumptions!$B$216</f>
        <v/>
      </c>
      <c r="BE187" s="8">
        <f>BE75*Assumptions!$B$216</f>
        <v/>
      </c>
      <c r="BF187" s="8">
        <f>BF75*Assumptions!$B$216</f>
        <v/>
      </c>
      <c r="BG187" s="8">
        <f>BG75*Assumptions!$B$216</f>
        <v/>
      </c>
      <c r="BH187" s="8">
        <f>BH75*Assumptions!$B$216</f>
        <v/>
      </c>
      <c r="BI187" s="8">
        <f>BI75*Assumptions!$B$216</f>
        <v/>
      </c>
      <c r="BJ187" s="8">
        <f>BJ75*Assumptions!$B$216</f>
        <v/>
      </c>
    </row>
    <row r="188">
      <c r="A188" s="4" t="inlineStr">
        <is>
          <t>Travel</t>
        </is>
      </c>
      <c r="B188" s="17" t="inlineStr">
        <is>
          <t>R</t>
        </is>
      </c>
      <c r="C188" s="8">
        <f>Revenue_Build!C8*C75*Assumptions!$B$217+Revenue_Build!C15*Assumptions!$B$109+Revenue_Build!C17*Assumptions!$B$109+Revenue_Build!C19*Assumptions!$B$109</f>
        <v/>
      </c>
      <c r="D188" s="8">
        <f>Revenue_Build!D8*D75*Assumptions!$B$217+Revenue_Build!D15*Assumptions!$B$109+Revenue_Build!D17*Assumptions!$B$109+Revenue_Build!D19*Assumptions!$B$109</f>
        <v/>
      </c>
      <c r="E188" s="8">
        <f>Revenue_Build!E8*E75*Assumptions!$B$217+Revenue_Build!E15*Assumptions!$B$109+Revenue_Build!E17*Assumptions!$B$109+Revenue_Build!E19*Assumptions!$B$109</f>
        <v/>
      </c>
      <c r="F188" s="8">
        <f>Revenue_Build!F8*F75*Assumptions!$B$217+Revenue_Build!F15*Assumptions!$B$109+Revenue_Build!F17*Assumptions!$B$109+Revenue_Build!F19*Assumptions!$B$109</f>
        <v/>
      </c>
      <c r="G188" s="8">
        <f>Revenue_Build!G8*G75*Assumptions!$B$217+Revenue_Build!G15*Assumptions!$B$109+Revenue_Build!G17*Assumptions!$B$109+Revenue_Build!G19*Assumptions!$B$109</f>
        <v/>
      </c>
      <c r="H188" s="8">
        <f>Revenue_Build!H8*H75*Assumptions!$B$217+Revenue_Build!H15*Assumptions!$B$109+Revenue_Build!H17*Assumptions!$B$109+Revenue_Build!H19*Assumptions!$B$109</f>
        <v/>
      </c>
      <c r="I188" s="8">
        <f>Revenue_Build!I8*I75*Assumptions!$B$217+Revenue_Build!I15*Assumptions!$B$109+Revenue_Build!I17*Assumptions!$B$109+Revenue_Build!I19*Assumptions!$B$109</f>
        <v/>
      </c>
      <c r="J188" s="8">
        <f>Revenue_Build!J8*J75*Assumptions!$B$217+Revenue_Build!J15*Assumptions!$B$109+Revenue_Build!J17*Assumptions!$B$109+Revenue_Build!J19*Assumptions!$B$109</f>
        <v/>
      </c>
      <c r="K188" s="8">
        <f>Revenue_Build!K8*K75*Assumptions!$B$217+Revenue_Build!K15*Assumptions!$B$109+Revenue_Build!K17*Assumptions!$B$109+Revenue_Build!K19*Assumptions!$B$109</f>
        <v/>
      </c>
      <c r="L188" s="8">
        <f>Revenue_Build!L8*L75*Assumptions!$B$217+Revenue_Build!L15*Assumptions!$B$109+Revenue_Build!L17*Assumptions!$B$109+Revenue_Build!L19*Assumptions!$B$109</f>
        <v/>
      </c>
      <c r="M188" s="8">
        <f>Revenue_Build!M8*M75*Assumptions!$B$217+Revenue_Build!M15*Assumptions!$B$109+Revenue_Build!M17*Assumptions!$B$109+Revenue_Build!M19*Assumptions!$B$109</f>
        <v/>
      </c>
      <c r="N188" s="8">
        <f>Revenue_Build!N8*N75*Assumptions!$B$217+Revenue_Build!N15*Assumptions!$B$109+Revenue_Build!N17*Assumptions!$B$109+Revenue_Build!N19*Assumptions!$B$109</f>
        <v/>
      </c>
      <c r="O188" s="8">
        <f>Revenue_Build!O8*O75*Assumptions!$B$217+Revenue_Build!O15*Assumptions!$B$109+Revenue_Build!O17*Assumptions!$B$109+Revenue_Build!O19*Assumptions!$B$109</f>
        <v/>
      </c>
      <c r="P188" s="8">
        <f>Revenue_Build!P8*P75*Assumptions!$B$217+Revenue_Build!P15*Assumptions!$B$109+Revenue_Build!P17*Assumptions!$B$109+Revenue_Build!P19*Assumptions!$B$109</f>
        <v/>
      </c>
      <c r="Q188" s="8">
        <f>Revenue_Build!Q8*Q75*Assumptions!$B$217+Revenue_Build!Q15*Assumptions!$B$109+Revenue_Build!Q17*Assumptions!$B$109+Revenue_Build!Q19*Assumptions!$B$109</f>
        <v/>
      </c>
      <c r="R188" s="8">
        <f>Revenue_Build!R8*R75*Assumptions!$B$217+Revenue_Build!R15*Assumptions!$B$109+Revenue_Build!R17*Assumptions!$B$109+Revenue_Build!R19*Assumptions!$B$109</f>
        <v/>
      </c>
      <c r="S188" s="8">
        <f>Revenue_Build!S8*S75*Assumptions!$B$217+Revenue_Build!S15*Assumptions!$B$109+Revenue_Build!S17*Assumptions!$B$109+Revenue_Build!S19*Assumptions!$B$109</f>
        <v/>
      </c>
      <c r="T188" s="8">
        <f>Revenue_Build!T8*T75*Assumptions!$B$217+Revenue_Build!T15*Assumptions!$B$109+Revenue_Build!T17*Assumptions!$B$109+Revenue_Build!T19*Assumptions!$B$109</f>
        <v/>
      </c>
      <c r="U188" s="8">
        <f>Revenue_Build!U8*U75*Assumptions!$B$217+Revenue_Build!U15*Assumptions!$B$109+Revenue_Build!U17*Assumptions!$B$109+Revenue_Build!U19*Assumptions!$B$109</f>
        <v/>
      </c>
      <c r="V188" s="8">
        <f>Revenue_Build!V8*V75*Assumptions!$B$217+Revenue_Build!V15*Assumptions!$B$109+Revenue_Build!V17*Assumptions!$B$109+Revenue_Build!V19*Assumptions!$B$109</f>
        <v/>
      </c>
      <c r="W188" s="8">
        <f>Revenue_Build!W8*W75*Assumptions!$B$217+Revenue_Build!W15*Assumptions!$B$109+Revenue_Build!W17*Assumptions!$B$109+Revenue_Build!W19*Assumptions!$B$109</f>
        <v/>
      </c>
      <c r="X188" s="8">
        <f>Revenue_Build!X8*X75*Assumptions!$B$217+Revenue_Build!X15*Assumptions!$B$109+Revenue_Build!X17*Assumptions!$B$109+Revenue_Build!X19*Assumptions!$B$109</f>
        <v/>
      </c>
      <c r="Y188" s="8">
        <f>Revenue_Build!Y8*Y75*Assumptions!$B$217+Revenue_Build!Y15*Assumptions!$B$109+Revenue_Build!Y17*Assumptions!$B$109+Revenue_Build!Y19*Assumptions!$B$109</f>
        <v/>
      </c>
      <c r="Z188" s="8">
        <f>Revenue_Build!Z8*Z75*Assumptions!$B$217+Revenue_Build!Z15*Assumptions!$B$109+Revenue_Build!Z17*Assumptions!$B$109+Revenue_Build!Z19*Assumptions!$B$109</f>
        <v/>
      </c>
      <c r="AA188" s="8">
        <f>Revenue_Build!AA8*AA75*Assumptions!$B$217+Revenue_Build!AA15*Assumptions!$B$109+Revenue_Build!AA17*Assumptions!$B$109+Revenue_Build!AA19*Assumptions!$B$109</f>
        <v/>
      </c>
      <c r="AB188" s="8">
        <f>Revenue_Build!AB8*AB75*Assumptions!$B$217+Revenue_Build!AB15*Assumptions!$B$109+Revenue_Build!AB17*Assumptions!$B$109+Revenue_Build!AB19*Assumptions!$B$109</f>
        <v/>
      </c>
      <c r="AC188" s="8">
        <f>Revenue_Build!AC8*AC75*Assumptions!$B$217+Revenue_Build!AC15*Assumptions!$B$109+Revenue_Build!AC17*Assumptions!$B$109+Revenue_Build!AC19*Assumptions!$B$109</f>
        <v/>
      </c>
      <c r="AD188" s="8">
        <f>Revenue_Build!AD8*AD75*Assumptions!$B$217+Revenue_Build!AD15*Assumptions!$B$109+Revenue_Build!AD17*Assumptions!$B$109+Revenue_Build!AD19*Assumptions!$B$109</f>
        <v/>
      </c>
      <c r="AE188" s="8">
        <f>Revenue_Build!AE8*AE75*Assumptions!$B$217+Revenue_Build!AE15*Assumptions!$B$109+Revenue_Build!AE17*Assumptions!$B$109+Revenue_Build!AE19*Assumptions!$B$109</f>
        <v/>
      </c>
      <c r="AF188" s="8">
        <f>Revenue_Build!AF8*AF75*Assumptions!$B$217+Revenue_Build!AF15*Assumptions!$B$109+Revenue_Build!AF17*Assumptions!$B$109+Revenue_Build!AF19*Assumptions!$B$109</f>
        <v/>
      </c>
      <c r="AG188" s="8">
        <f>Revenue_Build!AG8*AG75*Assumptions!$B$217+Revenue_Build!AG15*Assumptions!$B$109+Revenue_Build!AG17*Assumptions!$B$109+Revenue_Build!AG19*Assumptions!$B$109</f>
        <v/>
      </c>
      <c r="AH188" s="8">
        <f>Revenue_Build!AH8*AH75*Assumptions!$B$217+Revenue_Build!AH15*Assumptions!$B$109+Revenue_Build!AH17*Assumptions!$B$109+Revenue_Build!AH19*Assumptions!$B$109</f>
        <v/>
      </c>
      <c r="AI188" s="8">
        <f>Revenue_Build!AI8*AI75*Assumptions!$B$217+Revenue_Build!AI15*Assumptions!$B$109+Revenue_Build!AI17*Assumptions!$B$109+Revenue_Build!AI19*Assumptions!$B$109</f>
        <v/>
      </c>
      <c r="AJ188" s="8">
        <f>Revenue_Build!AJ8*AJ75*Assumptions!$B$217+Revenue_Build!AJ15*Assumptions!$B$109+Revenue_Build!AJ17*Assumptions!$B$109+Revenue_Build!AJ19*Assumptions!$B$109</f>
        <v/>
      </c>
      <c r="AK188" s="8">
        <f>Revenue_Build!AK8*AK75*Assumptions!$B$217+Revenue_Build!AK15*Assumptions!$B$109+Revenue_Build!AK17*Assumptions!$B$109+Revenue_Build!AK19*Assumptions!$B$109</f>
        <v/>
      </c>
      <c r="AL188" s="8">
        <f>Revenue_Build!AL8*AL75*Assumptions!$B$217+Revenue_Build!AL15*Assumptions!$B$109+Revenue_Build!AL17*Assumptions!$B$109+Revenue_Build!AL19*Assumptions!$B$109</f>
        <v/>
      </c>
      <c r="AM188" s="8">
        <f>Revenue_Build!AM8*AM75*Assumptions!$B$217+Revenue_Build!AM15*Assumptions!$B$109+Revenue_Build!AM17*Assumptions!$B$109+Revenue_Build!AM19*Assumptions!$B$109</f>
        <v/>
      </c>
      <c r="AN188" s="8">
        <f>Revenue_Build!AN8*AN75*Assumptions!$B$217+Revenue_Build!AN15*Assumptions!$B$109+Revenue_Build!AN17*Assumptions!$B$109+Revenue_Build!AN19*Assumptions!$B$109</f>
        <v/>
      </c>
      <c r="AO188" s="8">
        <f>Revenue_Build!AO8*AO75*Assumptions!$B$217+Revenue_Build!AO15*Assumptions!$B$109+Revenue_Build!AO17*Assumptions!$B$109+Revenue_Build!AO19*Assumptions!$B$109</f>
        <v/>
      </c>
      <c r="AP188" s="8">
        <f>Revenue_Build!AP8*AP75*Assumptions!$B$217+Revenue_Build!AP15*Assumptions!$B$109+Revenue_Build!AP17*Assumptions!$B$109+Revenue_Build!AP19*Assumptions!$B$109</f>
        <v/>
      </c>
      <c r="AQ188" s="8">
        <f>Revenue_Build!AQ8*AQ75*Assumptions!$B$217+Revenue_Build!AQ15*Assumptions!$B$109+Revenue_Build!AQ17*Assumptions!$B$109+Revenue_Build!AQ19*Assumptions!$B$109</f>
        <v/>
      </c>
      <c r="AR188" s="8">
        <f>Revenue_Build!AR8*AR75*Assumptions!$B$217+Revenue_Build!AR15*Assumptions!$B$109+Revenue_Build!AR17*Assumptions!$B$109+Revenue_Build!AR19*Assumptions!$B$109</f>
        <v/>
      </c>
      <c r="AS188" s="8">
        <f>Revenue_Build!AS8*AS75*Assumptions!$B$217+Revenue_Build!AS15*Assumptions!$B$109+Revenue_Build!AS17*Assumptions!$B$109+Revenue_Build!AS19*Assumptions!$B$109</f>
        <v/>
      </c>
      <c r="AT188" s="8">
        <f>Revenue_Build!AT8*AT75*Assumptions!$B$217+Revenue_Build!AT15*Assumptions!$B$109+Revenue_Build!AT17*Assumptions!$B$109+Revenue_Build!AT19*Assumptions!$B$109</f>
        <v/>
      </c>
      <c r="AU188" s="8">
        <f>Revenue_Build!AU8*AU75*Assumptions!$B$217+Revenue_Build!AU15*Assumptions!$B$109+Revenue_Build!AU17*Assumptions!$B$109+Revenue_Build!AU19*Assumptions!$B$109</f>
        <v/>
      </c>
      <c r="AV188" s="8">
        <f>Revenue_Build!AV8*AV75*Assumptions!$B$217+Revenue_Build!AV15*Assumptions!$B$109+Revenue_Build!AV17*Assumptions!$B$109+Revenue_Build!AV19*Assumptions!$B$109</f>
        <v/>
      </c>
      <c r="AW188" s="8">
        <f>Revenue_Build!AW8*AW75*Assumptions!$B$217+Revenue_Build!AW15*Assumptions!$B$109+Revenue_Build!AW17*Assumptions!$B$109+Revenue_Build!AW19*Assumptions!$B$109</f>
        <v/>
      </c>
      <c r="AX188" s="8">
        <f>Revenue_Build!AX8*AX75*Assumptions!$B$217+Revenue_Build!AX15*Assumptions!$B$109+Revenue_Build!AX17*Assumptions!$B$109+Revenue_Build!AX19*Assumptions!$B$109</f>
        <v/>
      </c>
      <c r="AY188" s="8">
        <f>Revenue_Build!AY8*AY75*Assumptions!$B$217+Revenue_Build!AY15*Assumptions!$B$109+Revenue_Build!AY17*Assumptions!$B$109+Revenue_Build!AY19*Assumptions!$B$109</f>
        <v/>
      </c>
      <c r="AZ188" s="8">
        <f>Revenue_Build!AZ8*AZ75*Assumptions!$B$217+Revenue_Build!AZ15*Assumptions!$B$109+Revenue_Build!AZ17*Assumptions!$B$109+Revenue_Build!AZ19*Assumptions!$B$109</f>
        <v/>
      </c>
      <c r="BA188" s="8">
        <f>Revenue_Build!BA8*BA75*Assumptions!$B$217+Revenue_Build!BA15*Assumptions!$B$109+Revenue_Build!BA17*Assumptions!$B$109+Revenue_Build!BA19*Assumptions!$B$109</f>
        <v/>
      </c>
      <c r="BB188" s="8">
        <f>Revenue_Build!BB8*BB75*Assumptions!$B$217+Revenue_Build!BB15*Assumptions!$B$109+Revenue_Build!BB17*Assumptions!$B$109+Revenue_Build!BB19*Assumptions!$B$109</f>
        <v/>
      </c>
      <c r="BC188" s="8">
        <f>Revenue_Build!BC8*BC75*Assumptions!$B$217+Revenue_Build!BC15*Assumptions!$B$109+Revenue_Build!BC17*Assumptions!$B$109+Revenue_Build!BC19*Assumptions!$B$109</f>
        <v/>
      </c>
      <c r="BD188" s="8">
        <f>Revenue_Build!BD8*BD75*Assumptions!$B$217+Revenue_Build!BD15*Assumptions!$B$109+Revenue_Build!BD17*Assumptions!$B$109+Revenue_Build!BD19*Assumptions!$B$109</f>
        <v/>
      </c>
      <c r="BE188" s="8">
        <f>Revenue_Build!BE8*BE75*Assumptions!$B$217+Revenue_Build!BE15*Assumptions!$B$109+Revenue_Build!BE17*Assumptions!$B$109+Revenue_Build!BE19*Assumptions!$B$109</f>
        <v/>
      </c>
      <c r="BF188" s="8">
        <f>Revenue_Build!BF8*BF75*Assumptions!$B$217+Revenue_Build!BF15*Assumptions!$B$109+Revenue_Build!BF17*Assumptions!$B$109+Revenue_Build!BF19*Assumptions!$B$109</f>
        <v/>
      </c>
      <c r="BG188" s="8">
        <f>Revenue_Build!BG8*BG75*Assumptions!$B$217+Revenue_Build!BG15*Assumptions!$B$109+Revenue_Build!BG17*Assumptions!$B$109+Revenue_Build!BG19*Assumptions!$B$109</f>
        <v/>
      </c>
      <c r="BH188" s="8">
        <f>Revenue_Build!BH8*BH75*Assumptions!$B$217+Revenue_Build!BH15*Assumptions!$B$109+Revenue_Build!BH17*Assumptions!$B$109+Revenue_Build!BH19*Assumptions!$B$109</f>
        <v/>
      </c>
      <c r="BI188" s="8">
        <f>Revenue_Build!BI8*BI75*Assumptions!$B$217+Revenue_Build!BI15*Assumptions!$B$109+Revenue_Build!BI17*Assumptions!$B$109+Revenue_Build!BI19*Assumptions!$B$109</f>
        <v/>
      </c>
      <c r="BJ188" s="8">
        <f>Revenue_Build!BJ8*BJ75*Assumptions!$B$217+Revenue_Build!BJ15*Assumptions!$B$109+Revenue_Build!BJ17*Assumptions!$B$109+Revenue_Build!BJ19*Assumptions!$B$109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74F"/>
    <outlinePr summaryBelow="1" summaryRight="1"/>
    <pageSetUpPr/>
  </sheetPr>
  <dimension ref="A1:BJ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16" t="inlineStr">
        <is>
          <t>P&amp;L</t>
        </is>
      </c>
    </row>
    <row r="2">
      <c r="A2" s="17" t="inlineStr">
        <is>
          <t>Monthly profit and loss (ZAR). EBITDA excludes D&amp;A (immaterial: equipment is expensed).</t>
        </is>
      </c>
    </row>
    <row r="3">
      <c r="A3" s="6" t="inlineStr">
        <is>
          <t>Month #</t>
        </is>
      </c>
      <c r="B3" s="6" t="inlineStr">
        <is>
          <t>Unit</t>
        </is>
      </c>
      <c r="C3" s="37" t="n">
        <v>1</v>
      </c>
      <c r="D3" s="37" t="n">
        <v>2</v>
      </c>
      <c r="E3" s="37" t="n">
        <v>3</v>
      </c>
      <c r="F3" s="37" t="n">
        <v>4</v>
      </c>
      <c r="G3" s="37" t="n">
        <v>5</v>
      </c>
      <c r="H3" s="37" t="n">
        <v>6</v>
      </c>
      <c r="I3" s="37" t="n">
        <v>7</v>
      </c>
      <c r="J3" s="37" t="n">
        <v>8</v>
      </c>
      <c r="K3" s="37" t="n">
        <v>9</v>
      </c>
      <c r="L3" s="37" t="n">
        <v>10</v>
      </c>
      <c r="M3" s="37" t="n">
        <v>11</v>
      </c>
      <c r="N3" s="37" t="n">
        <v>12</v>
      </c>
      <c r="O3" s="37" t="n">
        <v>13</v>
      </c>
      <c r="P3" s="37" t="n">
        <v>14</v>
      </c>
      <c r="Q3" s="37" t="n">
        <v>15</v>
      </c>
      <c r="R3" s="37" t="n">
        <v>16</v>
      </c>
      <c r="S3" s="37" t="n">
        <v>17</v>
      </c>
      <c r="T3" s="37" t="n">
        <v>18</v>
      </c>
      <c r="U3" s="37" t="n">
        <v>19</v>
      </c>
      <c r="V3" s="37" t="n">
        <v>20</v>
      </c>
      <c r="W3" s="37" t="n">
        <v>21</v>
      </c>
      <c r="X3" s="37" t="n">
        <v>22</v>
      </c>
      <c r="Y3" s="37" t="n">
        <v>23</v>
      </c>
      <c r="Z3" s="37" t="n">
        <v>24</v>
      </c>
      <c r="AA3" s="37" t="n">
        <v>25</v>
      </c>
      <c r="AB3" s="37" t="n">
        <v>26</v>
      </c>
      <c r="AC3" s="37" t="n">
        <v>27</v>
      </c>
      <c r="AD3" s="37" t="n">
        <v>28</v>
      </c>
      <c r="AE3" s="37" t="n">
        <v>29</v>
      </c>
      <c r="AF3" s="37" t="n">
        <v>30</v>
      </c>
      <c r="AG3" s="37" t="n">
        <v>31</v>
      </c>
      <c r="AH3" s="37" t="n">
        <v>32</v>
      </c>
      <c r="AI3" s="37" t="n">
        <v>33</v>
      </c>
      <c r="AJ3" s="37" t="n">
        <v>34</v>
      </c>
      <c r="AK3" s="37" t="n">
        <v>35</v>
      </c>
      <c r="AL3" s="37" t="n">
        <v>36</v>
      </c>
      <c r="AM3" s="37" t="n">
        <v>37</v>
      </c>
      <c r="AN3" s="37" t="n">
        <v>38</v>
      </c>
      <c r="AO3" s="37" t="n">
        <v>39</v>
      </c>
      <c r="AP3" s="37" t="n">
        <v>40</v>
      </c>
      <c r="AQ3" s="37" t="n">
        <v>41</v>
      </c>
      <c r="AR3" s="37" t="n">
        <v>42</v>
      </c>
      <c r="AS3" s="37" t="n">
        <v>43</v>
      </c>
      <c r="AT3" s="37" t="n">
        <v>44</v>
      </c>
      <c r="AU3" s="37" t="n">
        <v>45</v>
      </c>
      <c r="AV3" s="37" t="n">
        <v>46</v>
      </c>
      <c r="AW3" s="37" t="n">
        <v>47</v>
      </c>
      <c r="AX3" s="37" t="n">
        <v>48</v>
      </c>
      <c r="AY3" s="37" t="n">
        <v>49</v>
      </c>
      <c r="AZ3" s="37" t="n">
        <v>50</v>
      </c>
      <c r="BA3" s="37" t="n">
        <v>51</v>
      </c>
      <c r="BB3" s="37" t="n">
        <v>52</v>
      </c>
      <c r="BC3" s="37" t="n">
        <v>53</v>
      </c>
      <c r="BD3" s="37" t="n">
        <v>54</v>
      </c>
      <c r="BE3" s="37" t="n">
        <v>55</v>
      </c>
      <c r="BF3" s="37" t="n">
        <v>56</v>
      </c>
      <c r="BG3" s="37" t="n">
        <v>57</v>
      </c>
      <c r="BH3" s="37" t="n">
        <v>58</v>
      </c>
      <c r="BI3" s="37" t="n">
        <v>59</v>
      </c>
      <c r="BJ3" s="37" t="n">
        <v>60</v>
      </c>
    </row>
    <row r="4">
      <c r="A4" s="6" t="inlineStr">
        <is>
          <t>Month</t>
        </is>
      </c>
      <c r="B4" s="6" t="inlineStr"/>
      <c r="C4" s="38" t="inlineStr">
        <is>
          <t>Oct 2026</t>
        </is>
      </c>
      <c r="D4" s="38" t="inlineStr">
        <is>
          <t>Nov 2026</t>
        </is>
      </c>
      <c r="E4" s="38" t="inlineStr">
        <is>
          <t>Dec 2026</t>
        </is>
      </c>
      <c r="F4" s="38" t="inlineStr">
        <is>
          <t>Jan 2027</t>
        </is>
      </c>
      <c r="G4" s="38" t="inlineStr">
        <is>
          <t>Feb 2027</t>
        </is>
      </c>
      <c r="H4" s="38" t="inlineStr">
        <is>
          <t>Mar 2027</t>
        </is>
      </c>
      <c r="I4" s="38" t="inlineStr">
        <is>
          <t>Apr 2027</t>
        </is>
      </c>
      <c r="J4" s="38" t="inlineStr">
        <is>
          <t>May 2027</t>
        </is>
      </c>
      <c r="K4" s="38" t="inlineStr">
        <is>
          <t>Jun 2027</t>
        </is>
      </c>
      <c r="L4" s="38" t="inlineStr">
        <is>
          <t>Jul 2027</t>
        </is>
      </c>
      <c r="M4" s="38" t="inlineStr">
        <is>
          <t>Aug 2027</t>
        </is>
      </c>
      <c r="N4" s="38" t="inlineStr">
        <is>
          <t>Sep 2027</t>
        </is>
      </c>
      <c r="O4" s="38" t="inlineStr">
        <is>
          <t>Oct 2027</t>
        </is>
      </c>
      <c r="P4" s="38" t="inlineStr">
        <is>
          <t>Nov 2027</t>
        </is>
      </c>
      <c r="Q4" s="38" t="inlineStr">
        <is>
          <t>Dec 2027</t>
        </is>
      </c>
      <c r="R4" s="38" t="inlineStr">
        <is>
          <t>Jan 2028</t>
        </is>
      </c>
      <c r="S4" s="38" t="inlineStr">
        <is>
          <t>Feb 2028</t>
        </is>
      </c>
      <c r="T4" s="38" t="inlineStr">
        <is>
          <t>Mar 2028</t>
        </is>
      </c>
      <c r="U4" s="38" t="inlineStr">
        <is>
          <t>Apr 2028</t>
        </is>
      </c>
      <c r="V4" s="38" t="inlineStr">
        <is>
          <t>May 2028</t>
        </is>
      </c>
      <c r="W4" s="38" t="inlineStr">
        <is>
          <t>Jun 2028</t>
        </is>
      </c>
      <c r="X4" s="38" t="inlineStr">
        <is>
          <t>Jul 2028</t>
        </is>
      </c>
      <c r="Y4" s="38" t="inlineStr">
        <is>
          <t>Aug 2028</t>
        </is>
      </c>
      <c r="Z4" s="38" t="inlineStr">
        <is>
          <t>Sep 2028</t>
        </is>
      </c>
      <c r="AA4" s="38" t="inlineStr">
        <is>
          <t>Oct 2028</t>
        </is>
      </c>
      <c r="AB4" s="38" t="inlineStr">
        <is>
          <t>Nov 2028</t>
        </is>
      </c>
      <c r="AC4" s="38" t="inlineStr">
        <is>
          <t>Dec 2028</t>
        </is>
      </c>
      <c r="AD4" s="38" t="inlineStr">
        <is>
          <t>Jan 2029</t>
        </is>
      </c>
      <c r="AE4" s="38" t="inlineStr">
        <is>
          <t>Feb 2029</t>
        </is>
      </c>
      <c r="AF4" s="38" t="inlineStr">
        <is>
          <t>Mar 2029</t>
        </is>
      </c>
      <c r="AG4" s="38" t="inlineStr">
        <is>
          <t>Apr 2029</t>
        </is>
      </c>
      <c r="AH4" s="38" t="inlineStr">
        <is>
          <t>May 2029</t>
        </is>
      </c>
      <c r="AI4" s="38" t="inlineStr">
        <is>
          <t>Jun 2029</t>
        </is>
      </c>
      <c r="AJ4" s="38" t="inlineStr">
        <is>
          <t>Jul 2029</t>
        </is>
      </c>
      <c r="AK4" s="38" t="inlineStr">
        <is>
          <t>Aug 2029</t>
        </is>
      </c>
      <c r="AL4" s="38" t="inlineStr">
        <is>
          <t>Sep 2029</t>
        </is>
      </c>
      <c r="AM4" s="38" t="inlineStr">
        <is>
          <t>Oct 2029</t>
        </is>
      </c>
      <c r="AN4" s="38" t="inlineStr">
        <is>
          <t>Nov 2029</t>
        </is>
      </c>
      <c r="AO4" s="38" t="inlineStr">
        <is>
          <t>Dec 2029</t>
        </is>
      </c>
      <c r="AP4" s="38" t="inlineStr">
        <is>
          <t>Jan 2030</t>
        </is>
      </c>
      <c r="AQ4" s="38" t="inlineStr">
        <is>
          <t>Feb 2030</t>
        </is>
      </c>
      <c r="AR4" s="38" t="inlineStr">
        <is>
          <t>Mar 2030</t>
        </is>
      </c>
      <c r="AS4" s="38" t="inlineStr">
        <is>
          <t>Apr 2030</t>
        </is>
      </c>
      <c r="AT4" s="38" t="inlineStr">
        <is>
          <t>May 2030</t>
        </is>
      </c>
      <c r="AU4" s="38" t="inlineStr">
        <is>
          <t>Jun 2030</t>
        </is>
      </c>
      <c r="AV4" s="38" t="inlineStr">
        <is>
          <t>Jul 2030</t>
        </is>
      </c>
      <c r="AW4" s="38" t="inlineStr">
        <is>
          <t>Aug 2030</t>
        </is>
      </c>
      <c r="AX4" s="38" t="inlineStr">
        <is>
          <t>Sep 2030</t>
        </is>
      </c>
      <c r="AY4" s="38" t="inlineStr">
        <is>
          <t>Oct 2030</t>
        </is>
      </c>
      <c r="AZ4" s="38" t="inlineStr">
        <is>
          <t>Nov 2030</t>
        </is>
      </c>
      <c r="BA4" s="38" t="inlineStr">
        <is>
          <t>Dec 2030</t>
        </is>
      </c>
      <c r="BB4" s="38" t="inlineStr">
        <is>
          <t>Jan 2031</t>
        </is>
      </c>
      <c r="BC4" s="38" t="inlineStr">
        <is>
          <t>Feb 2031</t>
        </is>
      </c>
      <c r="BD4" s="38" t="inlineStr">
        <is>
          <t>Mar 2031</t>
        </is>
      </c>
      <c r="BE4" s="38" t="inlineStr">
        <is>
          <t>Apr 2031</t>
        </is>
      </c>
      <c r="BF4" s="38" t="inlineStr">
        <is>
          <t>May 2031</t>
        </is>
      </c>
      <c r="BG4" s="38" t="inlineStr">
        <is>
          <t>Jun 2031</t>
        </is>
      </c>
      <c r="BH4" s="38" t="inlineStr">
        <is>
          <t>Jul 2031</t>
        </is>
      </c>
      <c r="BI4" s="38" t="inlineStr">
        <is>
          <t>Aug 2031</t>
        </is>
      </c>
      <c r="BJ4" s="38" t="inlineStr">
        <is>
          <t>Sep 2031</t>
        </is>
      </c>
    </row>
    <row r="5">
      <c r="A5" s="3" t="inlineStr">
        <is>
          <t>Fiscal year (Oct-Sep)</t>
        </is>
      </c>
      <c r="C5" s="39" t="n">
        <v>1</v>
      </c>
      <c r="D5" s="39" t="n">
        <v>1</v>
      </c>
      <c r="E5" s="39" t="n">
        <v>1</v>
      </c>
      <c r="F5" s="39" t="n">
        <v>1</v>
      </c>
      <c r="G5" s="39" t="n">
        <v>1</v>
      </c>
      <c r="H5" s="39" t="n">
        <v>1</v>
      </c>
      <c r="I5" s="39" t="n">
        <v>1</v>
      </c>
      <c r="J5" s="39" t="n">
        <v>1</v>
      </c>
      <c r="K5" s="39" t="n">
        <v>1</v>
      </c>
      <c r="L5" s="39" t="n">
        <v>1</v>
      </c>
      <c r="M5" s="39" t="n">
        <v>1</v>
      </c>
      <c r="N5" s="39" t="n">
        <v>1</v>
      </c>
      <c r="O5" s="39" t="n">
        <v>2</v>
      </c>
      <c r="P5" s="39" t="n">
        <v>2</v>
      </c>
      <c r="Q5" s="39" t="n">
        <v>2</v>
      </c>
      <c r="R5" s="39" t="n">
        <v>2</v>
      </c>
      <c r="S5" s="39" t="n">
        <v>2</v>
      </c>
      <c r="T5" s="39" t="n">
        <v>2</v>
      </c>
      <c r="U5" s="39" t="n">
        <v>2</v>
      </c>
      <c r="V5" s="39" t="n">
        <v>2</v>
      </c>
      <c r="W5" s="39" t="n">
        <v>2</v>
      </c>
      <c r="X5" s="39" t="n">
        <v>2</v>
      </c>
      <c r="Y5" s="39" t="n">
        <v>2</v>
      </c>
      <c r="Z5" s="39" t="n">
        <v>2</v>
      </c>
      <c r="AA5" s="39" t="n">
        <v>3</v>
      </c>
      <c r="AB5" s="39" t="n">
        <v>3</v>
      </c>
      <c r="AC5" s="39" t="n">
        <v>3</v>
      </c>
      <c r="AD5" s="39" t="n">
        <v>3</v>
      </c>
      <c r="AE5" s="39" t="n">
        <v>3</v>
      </c>
      <c r="AF5" s="39" t="n">
        <v>3</v>
      </c>
      <c r="AG5" s="39" t="n">
        <v>3</v>
      </c>
      <c r="AH5" s="39" t="n">
        <v>3</v>
      </c>
      <c r="AI5" s="39" t="n">
        <v>3</v>
      </c>
      <c r="AJ5" s="39" t="n">
        <v>3</v>
      </c>
      <c r="AK5" s="39" t="n">
        <v>3</v>
      </c>
      <c r="AL5" s="39" t="n">
        <v>3</v>
      </c>
      <c r="AM5" s="39" t="n">
        <v>4</v>
      </c>
      <c r="AN5" s="39" t="n">
        <v>4</v>
      </c>
      <c r="AO5" s="39" t="n">
        <v>4</v>
      </c>
      <c r="AP5" s="39" t="n">
        <v>4</v>
      </c>
      <c r="AQ5" s="39" t="n">
        <v>4</v>
      </c>
      <c r="AR5" s="39" t="n">
        <v>4</v>
      </c>
      <c r="AS5" s="39" t="n">
        <v>4</v>
      </c>
      <c r="AT5" s="39" t="n">
        <v>4</v>
      </c>
      <c r="AU5" s="39" t="n">
        <v>4</v>
      </c>
      <c r="AV5" s="39" t="n">
        <v>4</v>
      </c>
      <c r="AW5" s="39" t="n">
        <v>4</v>
      </c>
      <c r="AX5" s="39" t="n">
        <v>4</v>
      </c>
      <c r="AY5" s="39" t="n">
        <v>5</v>
      </c>
      <c r="AZ5" s="39" t="n">
        <v>5</v>
      </c>
      <c r="BA5" s="39" t="n">
        <v>5</v>
      </c>
      <c r="BB5" s="39" t="n">
        <v>5</v>
      </c>
      <c r="BC5" s="39" t="n">
        <v>5</v>
      </c>
      <c r="BD5" s="39" t="n">
        <v>5</v>
      </c>
      <c r="BE5" s="39" t="n">
        <v>5</v>
      </c>
      <c r="BF5" s="39" t="n">
        <v>5</v>
      </c>
      <c r="BG5" s="39" t="n">
        <v>5</v>
      </c>
      <c r="BH5" s="39" t="n">
        <v>5</v>
      </c>
      <c r="BI5" s="39" t="n">
        <v>5</v>
      </c>
      <c r="BJ5" s="39" t="n">
        <v>5</v>
      </c>
    </row>
    <row r="6"/>
    <row r="7">
      <c r="A7" s="19" t="inlineStr">
        <is>
          <t>Revenue: gross subscriptions -&gt; launch discounts -&gt; net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</row>
    <row r="8">
      <c r="A8" s="4" t="inlineStr">
        <is>
          <t>Subscriptions (gross, at list / parity prices)</t>
        </is>
      </c>
      <c r="B8" s="17" t="inlineStr">
        <is>
          <t>R</t>
        </is>
      </c>
      <c r="C8" s="8">
        <f>Revenue_Build!C479</f>
        <v/>
      </c>
      <c r="D8" s="8">
        <f>Revenue_Build!D479</f>
        <v/>
      </c>
      <c r="E8" s="8">
        <f>Revenue_Build!E479</f>
        <v/>
      </c>
      <c r="F8" s="8">
        <f>Revenue_Build!F479</f>
        <v/>
      </c>
      <c r="G8" s="8">
        <f>Revenue_Build!G479</f>
        <v/>
      </c>
      <c r="H8" s="8">
        <f>Revenue_Build!H479</f>
        <v/>
      </c>
      <c r="I8" s="8">
        <f>Revenue_Build!I479</f>
        <v/>
      </c>
      <c r="J8" s="8">
        <f>Revenue_Build!J479</f>
        <v/>
      </c>
      <c r="K8" s="8">
        <f>Revenue_Build!K479</f>
        <v/>
      </c>
      <c r="L8" s="8">
        <f>Revenue_Build!L479</f>
        <v/>
      </c>
      <c r="M8" s="8">
        <f>Revenue_Build!M479</f>
        <v/>
      </c>
      <c r="N8" s="8">
        <f>Revenue_Build!N479</f>
        <v/>
      </c>
      <c r="O8" s="8">
        <f>Revenue_Build!O479</f>
        <v/>
      </c>
      <c r="P8" s="8">
        <f>Revenue_Build!P479</f>
        <v/>
      </c>
      <c r="Q8" s="8">
        <f>Revenue_Build!Q479</f>
        <v/>
      </c>
      <c r="R8" s="8">
        <f>Revenue_Build!R479</f>
        <v/>
      </c>
      <c r="S8" s="8">
        <f>Revenue_Build!S479</f>
        <v/>
      </c>
      <c r="T8" s="8">
        <f>Revenue_Build!T479</f>
        <v/>
      </c>
      <c r="U8" s="8">
        <f>Revenue_Build!U479</f>
        <v/>
      </c>
      <c r="V8" s="8">
        <f>Revenue_Build!V479</f>
        <v/>
      </c>
      <c r="W8" s="8">
        <f>Revenue_Build!W479</f>
        <v/>
      </c>
      <c r="X8" s="8">
        <f>Revenue_Build!X479</f>
        <v/>
      </c>
      <c r="Y8" s="8">
        <f>Revenue_Build!Y479</f>
        <v/>
      </c>
      <c r="Z8" s="8">
        <f>Revenue_Build!Z479</f>
        <v/>
      </c>
      <c r="AA8" s="8">
        <f>Revenue_Build!AA479</f>
        <v/>
      </c>
      <c r="AB8" s="8">
        <f>Revenue_Build!AB479</f>
        <v/>
      </c>
      <c r="AC8" s="8">
        <f>Revenue_Build!AC479</f>
        <v/>
      </c>
      <c r="AD8" s="8">
        <f>Revenue_Build!AD479</f>
        <v/>
      </c>
      <c r="AE8" s="8">
        <f>Revenue_Build!AE479</f>
        <v/>
      </c>
      <c r="AF8" s="8">
        <f>Revenue_Build!AF479</f>
        <v/>
      </c>
      <c r="AG8" s="8">
        <f>Revenue_Build!AG479</f>
        <v/>
      </c>
      <c r="AH8" s="8">
        <f>Revenue_Build!AH479</f>
        <v/>
      </c>
      <c r="AI8" s="8">
        <f>Revenue_Build!AI479</f>
        <v/>
      </c>
      <c r="AJ8" s="8">
        <f>Revenue_Build!AJ479</f>
        <v/>
      </c>
      <c r="AK8" s="8">
        <f>Revenue_Build!AK479</f>
        <v/>
      </c>
      <c r="AL8" s="8">
        <f>Revenue_Build!AL479</f>
        <v/>
      </c>
      <c r="AM8" s="8">
        <f>Revenue_Build!AM479</f>
        <v/>
      </c>
      <c r="AN8" s="8">
        <f>Revenue_Build!AN479</f>
        <v/>
      </c>
      <c r="AO8" s="8">
        <f>Revenue_Build!AO479</f>
        <v/>
      </c>
      <c r="AP8" s="8">
        <f>Revenue_Build!AP479</f>
        <v/>
      </c>
      <c r="AQ8" s="8">
        <f>Revenue_Build!AQ479</f>
        <v/>
      </c>
      <c r="AR8" s="8">
        <f>Revenue_Build!AR479</f>
        <v/>
      </c>
      <c r="AS8" s="8">
        <f>Revenue_Build!AS479</f>
        <v/>
      </c>
      <c r="AT8" s="8">
        <f>Revenue_Build!AT479</f>
        <v/>
      </c>
      <c r="AU8" s="8">
        <f>Revenue_Build!AU479</f>
        <v/>
      </c>
      <c r="AV8" s="8">
        <f>Revenue_Build!AV479</f>
        <v/>
      </c>
      <c r="AW8" s="8">
        <f>Revenue_Build!AW479</f>
        <v/>
      </c>
      <c r="AX8" s="8">
        <f>Revenue_Build!AX479</f>
        <v/>
      </c>
      <c r="AY8" s="8">
        <f>Revenue_Build!AY479</f>
        <v/>
      </c>
      <c r="AZ8" s="8">
        <f>Revenue_Build!AZ479</f>
        <v/>
      </c>
      <c r="BA8" s="8">
        <f>Revenue_Build!BA479</f>
        <v/>
      </c>
      <c r="BB8" s="8">
        <f>Revenue_Build!BB479</f>
        <v/>
      </c>
      <c r="BC8" s="8">
        <f>Revenue_Build!BC479</f>
        <v/>
      </c>
      <c r="BD8" s="8">
        <f>Revenue_Build!BD479</f>
        <v/>
      </c>
      <c r="BE8" s="8">
        <f>Revenue_Build!BE479</f>
        <v/>
      </c>
      <c r="BF8" s="8">
        <f>Revenue_Build!BF479</f>
        <v/>
      </c>
      <c r="BG8" s="8">
        <f>Revenue_Build!BG479</f>
        <v/>
      </c>
      <c r="BH8" s="8">
        <f>Revenue_Build!BH479</f>
        <v/>
      </c>
      <c r="BI8" s="8">
        <f>Revenue_Build!BI479</f>
        <v/>
      </c>
      <c r="BJ8" s="8">
        <f>Revenue_Build!BJ479</f>
        <v/>
      </c>
    </row>
    <row r="9">
      <c r="A9" s="4" t="inlineStr">
        <is>
          <t>less: Founding Member launch discount</t>
        </is>
      </c>
      <c r="B9" s="17" t="inlineStr">
        <is>
          <t>R</t>
        </is>
      </c>
      <c r="C9" s="8">
        <f>-Revenue_Build!C484</f>
        <v/>
      </c>
      <c r="D9" s="8">
        <f>-Revenue_Build!D484</f>
        <v/>
      </c>
      <c r="E9" s="8">
        <f>-Revenue_Build!E484</f>
        <v/>
      </c>
      <c r="F9" s="8">
        <f>-Revenue_Build!F484</f>
        <v/>
      </c>
      <c r="G9" s="8">
        <f>-Revenue_Build!G484</f>
        <v/>
      </c>
      <c r="H9" s="8">
        <f>-Revenue_Build!H484</f>
        <v/>
      </c>
      <c r="I9" s="8">
        <f>-Revenue_Build!I484</f>
        <v/>
      </c>
      <c r="J9" s="8">
        <f>-Revenue_Build!J484</f>
        <v/>
      </c>
      <c r="K9" s="8">
        <f>-Revenue_Build!K484</f>
        <v/>
      </c>
      <c r="L9" s="8">
        <f>-Revenue_Build!L484</f>
        <v/>
      </c>
      <c r="M9" s="8">
        <f>-Revenue_Build!M484</f>
        <v/>
      </c>
      <c r="N9" s="8">
        <f>-Revenue_Build!N484</f>
        <v/>
      </c>
      <c r="O9" s="8">
        <f>-Revenue_Build!O484</f>
        <v/>
      </c>
      <c r="P9" s="8">
        <f>-Revenue_Build!P484</f>
        <v/>
      </c>
      <c r="Q9" s="8">
        <f>-Revenue_Build!Q484</f>
        <v/>
      </c>
      <c r="R9" s="8">
        <f>-Revenue_Build!R484</f>
        <v/>
      </c>
      <c r="S9" s="8">
        <f>-Revenue_Build!S484</f>
        <v/>
      </c>
      <c r="T9" s="8">
        <f>-Revenue_Build!T484</f>
        <v/>
      </c>
      <c r="U9" s="8">
        <f>-Revenue_Build!U484</f>
        <v/>
      </c>
      <c r="V9" s="8">
        <f>-Revenue_Build!V484</f>
        <v/>
      </c>
      <c r="W9" s="8">
        <f>-Revenue_Build!W484</f>
        <v/>
      </c>
      <c r="X9" s="8">
        <f>-Revenue_Build!X484</f>
        <v/>
      </c>
      <c r="Y9" s="8">
        <f>-Revenue_Build!Y484</f>
        <v/>
      </c>
      <c r="Z9" s="8">
        <f>-Revenue_Build!Z484</f>
        <v/>
      </c>
      <c r="AA9" s="8">
        <f>-Revenue_Build!AA484</f>
        <v/>
      </c>
      <c r="AB9" s="8">
        <f>-Revenue_Build!AB484</f>
        <v/>
      </c>
      <c r="AC9" s="8">
        <f>-Revenue_Build!AC484</f>
        <v/>
      </c>
      <c r="AD9" s="8">
        <f>-Revenue_Build!AD484</f>
        <v/>
      </c>
      <c r="AE9" s="8">
        <f>-Revenue_Build!AE484</f>
        <v/>
      </c>
      <c r="AF9" s="8">
        <f>-Revenue_Build!AF484</f>
        <v/>
      </c>
      <c r="AG9" s="8">
        <f>-Revenue_Build!AG484</f>
        <v/>
      </c>
      <c r="AH9" s="8">
        <f>-Revenue_Build!AH484</f>
        <v/>
      </c>
      <c r="AI9" s="8">
        <f>-Revenue_Build!AI484</f>
        <v/>
      </c>
      <c r="AJ9" s="8">
        <f>-Revenue_Build!AJ484</f>
        <v/>
      </c>
      <c r="AK9" s="8">
        <f>-Revenue_Build!AK484</f>
        <v/>
      </c>
      <c r="AL9" s="8">
        <f>-Revenue_Build!AL484</f>
        <v/>
      </c>
      <c r="AM9" s="8">
        <f>-Revenue_Build!AM484</f>
        <v/>
      </c>
      <c r="AN9" s="8">
        <f>-Revenue_Build!AN484</f>
        <v/>
      </c>
      <c r="AO9" s="8">
        <f>-Revenue_Build!AO484</f>
        <v/>
      </c>
      <c r="AP9" s="8">
        <f>-Revenue_Build!AP484</f>
        <v/>
      </c>
      <c r="AQ9" s="8">
        <f>-Revenue_Build!AQ484</f>
        <v/>
      </c>
      <c r="AR9" s="8">
        <f>-Revenue_Build!AR484</f>
        <v/>
      </c>
      <c r="AS9" s="8">
        <f>-Revenue_Build!AS484</f>
        <v/>
      </c>
      <c r="AT9" s="8">
        <f>-Revenue_Build!AT484</f>
        <v/>
      </c>
      <c r="AU9" s="8">
        <f>-Revenue_Build!AU484</f>
        <v/>
      </c>
      <c r="AV9" s="8">
        <f>-Revenue_Build!AV484</f>
        <v/>
      </c>
      <c r="AW9" s="8">
        <f>-Revenue_Build!AW484</f>
        <v/>
      </c>
      <c r="AX9" s="8">
        <f>-Revenue_Build!AX484</f>
        <v/>
      </c>
      <c r="AY9" s="8">
        <f>-Revenue_Build!AY484</f>
        <v/>
      </c>
      <c r="AZ9" s="8">
        <f>-Revenue_Build!AZ484</f>
        <v/>
      </c>
      <c r="BA9" s="8">
        <f>-Revenue_Build!BA484</f>
        <v/>
      </c>
      <c r="BB9" s="8">
        <f>-Revenue_Build!BB484</f>
        <v/>
      </c>
      <c r="BC9" s="8">
        <f>-Revenue_Build!BC484</f>
        <v/>
      </c>
      <c r="BD9" s="8">
        <f>-Revenue_Build!BD484</f>
        <v/>
      </c>
      <c r="BE9" s="8">
        <f>-Revenue_Build!BE484</f>
        <v/>
      </c>
      <c r="BF9" s="8">
        <f>-Revenue_Build!BF484</f>
        <v/>
      </c>
      <c r="BG9" s="8">
        <f>-Revenue_Build!BG484</f>
        <v/>
      </c>
      <c r="BH9" s="8">
        <f>-Revenue_Build!BH484</f>
        <v/>
      </c>
      <c r="BI9" s="8">
        <f>-Revenue_Build!BI484</f>
        <v/>
      </c>
      <c r="BJ9" s="8">
        <f>-Revenue_Build!BJ484</f>
        <v/>
      </c>
    </row>
    <row r="10">
      <c r="A10" s="3" t="inlineStr">
        <is>
          <t>Subscriptions (net)</t>
        </is>
      </c>
      <c r="B10" s="17" t="inlineStr">
        <is>
          <t>R</t>
        </is>
      </c>
      <c r="C10" s="42">
        <f>C8+C9</f>
        <v/>
      </c>
      <c r="D10" s="42">
        <f>D8+D9</f>
        <v/>
      </c>
      <c r="E10" s="42">
        <f>E8+E9</f>
        <v/>
      </c>
      <c r="F10" s="42">
        <f>F8+F9</f>
        <v/>
      </c>
      <c r="G10" s="42">
        <f>G8+G9</f>
        <v/>
      </c>
      <c r="H10" s="42">
        <f>H8+H9</f>
        <v/>
      </c>
      <c r="I10" s="42">
        <f>I8+I9</f>
        <v/>
      </c>
      <c r="J10" s="42">
        <f>J8+J9</f>
        <v/>
      </c>
      <c r="K10" s="42">
        <f>K8+K9</f>
        <v/>
      </c>
      <c r="L10" s="42">
        <f>L8+L9</f>
        <v/>
      </c>
      <c r="M10" s="42">
        <f>M8+M9</f>
        <v/>
      </c>
      <c r="N10" s="42">
        <f>N8+N9</f>
        <v/>
      </c>
      <c r="O10" s="42">
        <f>O8+O9</f>
        <v/>
      </c>
      <c r="P10" s="42">
        <f>P8+P9</f>
        <v/>
      </c>
      <c r="Q10" s="42">
        <f>Q8+Q9</f>
        <v/>
      </c>
      <c r="R10" s="42">
        <f>R8+R9</f>
        <v/>
      </c>
      <c r="S10" s="42">
        <f>S8+S9</f>
        <v/>
      </c>
      <c r="T10" s="42">
        <f>T8+T9</f>
        <v/>
      </c>
      <c r="U10" s="42">
        <f>U8+U9</f>
        <v/>
      </c>
      <c r="V10" s="42">
        <f>V8+V9</f>
        <v/>
      </c>
      <c r="W10" s="42">
        <f>W8+W9</f>
        <v/>
      </c>
      <c r="X10" s="42">
        <f>X8+X9</f>
        <v/>
      </c>
      <c r="Y10" s="42">
        <f>Y8+Y9</f>
        <v/>
      </c>
      <c r="Z10" s="42">
        <f>Z8+Z9</f>
        <v/>
      </c>
      <c r="AA10" s="42">
        <f>AA8+AA9</f>
        <v/>
      </c>
      <c r="AB10" s="42">
        <f>AB8+AB9</f>
        <v/>
      </c>
      <c r="AC10" s="42">
        <f>AC8+AC9</f>
        <v/>
      </c>
      <c r="AD10" s="42">
        <f>AD8+AD9</f>
        <v/>
      </c>
      <c r="AE10" s="42">
        <f>AE8+AE9</f>
        <v/>
      </c>
      <c r="AF10" s="42">
        <f>AF8+AF9</f>
        <v/>
      </c>
      <c r="AG10" s="42">
        <f>AG8+AG9</f>
        <v/>
      </c>
      <c r="AH10" s="42">
        <f>AH8+AH9</f>
        <v/>
      </c>
      <c r="AI10" s="42">
        <f>AI8+AI9</f>
        <v/>
      </c>
      <c r="AJ10" s="42">
        <f>AJ8+AJ9</f>
        <v/>
      </c>
      <c r="AK10" s="42">
        <f>AK8+AK9</f>
        <v/>
      </c>
      <c r="AL10" s="42">
        <f>AL8+AL9</f>
        <v/>
      </c>
      <c r="AM10" s="42">
        <f>AM8+AM9</f>
        <v/>
      </c>
      <c r="AN10" s="42">
        <f>AN8+AN9</f>
        <v/>
      </c>
      <c r="AO10" s="42">
        <f>AO8+AO9</f>
        <v/>
      </c>
      <c r="AP10" s="42">
        <f>AP8+AP9</f>
        <v/>
      </c>
      <c r="AQ10" s="42">
        <f>AQ8+AQ9</f>
        <v/>
      </c>
      <c r="AR10" s="42">
        <f>AR8+AR9</f>
        <v/>
      </c>
      <c r="AS10" s="42">
        <f>AS8+AS9</f>
        <v/>
      </c>
      <c r="AT10" s="42">
        <f>AT8+AT9</f>
        <v/>
      </c>
      <c r="AU10" s="42">
        <f>AU8+AU9</f>
        <v/>
      </c>
      <c r="AV10" s="42">
        <f>AV8+AV9</f>
        <v/>
      </c>
      <c r="AW10" s="42">
        <f>AW8+AW9</f>
        <v/>
      </c>
      <c r="AX10" s="42">
        <f>AX8+AX9</f>
        <v/>
      </c>
      <c r="AY10" s="42">
        <f>AY8+AY9</f>
        <v/>
      </c>
      <c r="AZ10" s="42">
        <f>AZ8+AZ9</f>
        <v/>
      </c>
      <c r="BA10" s="42">
        <f>BA8+BA9</f>
        <v/>
      </c>
      <c r="BB10" s="42">
        <f>BB8+BB9</f>
        <v/>
      </c>
      <c r="BC10" s="42">
        <f>BC8+BC9</f>
        <v/>
      </c>
      <c r="BD10" s="42">
        <f>BD8+BD9</f>
        <v/>
      </c>
      <c r="BE10" s="42">
        <f>BE8+BE9</f>
        <v/>
      </c>
      <c r="BF10" s="42">
        <f>BF8+BF9</f>
        <v/>
      </c>
      <c r="BG10" s="42">
        <f>BG8+BG9</f>
        <v/>
      </c>
      <c r="BH10" s="42">
        <f>BH8+BH9</f>
        <v/>
      </c>
      <c r="BI10" s="42">
        <f>BI8+BI9</f>
        <v/>
      </c>
      <c r="BJ10" s="42">
        <f>BJ8+BJ9</f>
        <v/>
      </c>
    </row>
    <row r="11">
      <c r="A11" s="4" t="inlineStr">
        <is>
          <t>AI-credit packs</t>
        </is>
      </c>
      <c r="B11" s="17" t="inlineStr">
        <is>
          <t>R</t>
        </is>
      </c>
      <c r="C11" s="8">
        <f>Revenue_Build!C496</f>
        <v/>
      </c>
      <c r="D11" s="8">
        <f>Revenue_Build!D496</f>
        <v/>
      </c>
      <c r="E11" s="8">
        <f>Revenue_Build!E496</f>
        <v/>
      </c>
      <c r="F11" s="8">
        <f>Revenue_Build!F496</f>
        <v/>
      </c>
      <c r="G11" s="8">
        <f>Revenue_Build!G496</f>
        <v/>
      </c>
      <c r="H11" s="8">
        <f>Revenue_Build!H496</f>
        <v/>
      </c>
      <c r="I11" s="8">
        <f>Revenue_Build!I496</f>
        <v/>
      </c>
      <c r="J11" s="8">
        <f>Revenue_Build!J496</f>
        <v/>
      </c>
      <c r="K11" s="8">
        <f>Revenue_Build!K496</f>
        <v/>
      </c>
      <c r="L11" s="8">
        <f>Revenue_Build!L496</f>
        <v/>
      </c>
      <c r="M11" s="8">
        <f>Revenue_Build!M496</f>
        <v/>
      </c>
      <c r="N11" s="8">
        <f>Revenue_Build!N496</f>
        <v/>
      </c>
      <c r="O11" s="8">
        <f>Revenue_Build!O496</f>
        <v/>
      </c>
      <c r="P11" s="8">
        <f>Revenue_Build!P496</f>
        <v/>
      </c>
      <c r="Q11" s="8">
        <f>Revenue_Build!Q496</f>
        <v/>
      </c>
      <c r="R11" s="8">
        <f>Revenue_Build!R496</f>
        <v/>
      </c>
      <c r="S11" s="8">
        <f>Revenue_Build!S496</f>
        <v/>
      </c>
      <c r="T11" s="8">
        <f>Revenue_Build!T496</f>
        <v/>
      </c>
      <c r="U11" s="8">
        <f>Revenue_Build!U496</f>
        <v/>
      </c>
      <c r="V11" s="8">
        <f>Revenue_Build!V496</f>
        <v/>
      </c>
      <c r="W11" s="8">
        <f>Revenue_Build!W496</f>
        <v/>
      </c>
      <c r="X11" s="8">
        <f>Revenue_Build!X496</f>
        <v/>
      </c>
      <c r="Y11" s="8">
        <f>Revenue_Build!Y496</f>
        <v/>
      </c>
      <c r="Z11" s="8">
        <f>Revenue_Build!Z496</f>
        <v/>
      </c>
      <c r="AA11" s="8">
        <f>Revenue_Build!AA496</f>
        <v/>
      </c>
      <c r="AB11" s="8">
        <f>Revenue_Build!AB496</f>
        <v/>
      </c>
      <c r="AC11" s="8">
        <f>Revenue_Build!AC496</f>
        <v/>
      </c>
      <c r="AD11" s="8">
        <f>Revenue_Build!AD496</f>
        <v/>
      </c>
      <c r="AE11" s="8">
        <f>Revenue_Build!AE496</f>
        <v/>
      </c>
      <c r="AF11" s="8">
        <f>Revenue_Build!AF496</f>
        <v/>
      </c>
      <c r="AG11" s="8">
        <f>Revenue_Build!AG496</f>
        <v/>
      </c>
      <c r="AH11" s="8">
        <f>Revenue_Build!AH496</f>
        <v/>
      </c>
      <c r="AI11" s="8">
        <f>Revenue_Build!AI496</f>
        <v/>
      </c>
      <c r="AJ11" s="8">
        <f>Revenue_Build!AJ496</f>
        <v/>
      </c>
      <c r="AK11" s="8">
        <f>Revenue_Build!AK496</f>
        <v/>
      </c>
      <c r="AL11" s="8">
        <f>Revenue_Build!AL496</f>
        <v/>
      </c>
      <c r="AM11" s="8">
        <f>Revenue_Build!AM496</f>
        <v/>
      </c>
      <c r="AN11" s="8">
        <f>Revenue_Build!AN496</f>
        <v/>
      </c>
      <c r="AO11" s="8">
        <f>Revenue_Build!AO496</f>
        <v/>
      </c>
      <c r="AP11" s="8">
        <f>Revenue_Build!AP496</f>
        <v/>
      </c>
      <c r="AQ11" s="8">
        <f>Revenue_Build!AQ496</f>
        <v/>
      </c>
      <c r="AR11" s="8">
        <f>Revenue_Build!AR496</f>
        <v/>
      </c>
      <c r="AS11" s="8">
        <f>Revenue_Build!AS496</f>
        <v/>
      </c>
      <c r="AT11" s="8">
        <f>Revenue_Build!AT496</f>
        <v/>
      </c>
      <c r="AU11" s="8">
        <f>Revenue_Build!AU496</f>
        <v/>
      </c>
      <c r="AV11" s="8">
        <f>Revenue_Build!AV496</f>
        <v/>
      </c>
      <c r="AW11" s="8">
        <f>Revenue_Build!AW496</f>
        <v/>
      </c>
      <c r="AX11" s="8">
        <f>Revenue_Build!AX496</f>
        <v/>
      </c>
      <c r="AY11" s="8">
        <f>Revenue_Build!AY496</f>
        <v/>
      </c>
      <c r="AZ11" s="8">
        <f>Revenue_Build!AZ496</f>
        <v/>
      </c>
      <c r="BA11" s="8">
        <f>Revenue_Build!BA496</f>
        <v/>
      </c>
      <c r="BB11" s="8">
        <f>Revenue_Build!BB496</f>
        <v/>
      </c>
      <c r="BC11" s="8">
        <f>Revenue_Build!BC496</f>
        <v/>
      </c>
      <c r="BD11" s="8">
        <f>Revenue_Build!BD496</f>
        <v/>
      </c>
      <c r="BE11" s="8">
        <f>Revenue_Build!BE496</f>
        <v/>
      </c>
      <c r="BF11" s="8">
        <f>Revenue_Build!BF496</f>
        <v/>
      </c>
      <c r="BG11" s="8">
        <f>Revenue_Build!BG496</f>
        <v/>
      </c>
      <c r="BH11" s="8">
        <f>Revenue_Build!BH496</f>
        <v/>
      </c>
      <c r="BI11" s="8">
        <f>Revenue_Build!BI496</f>
        <v/>
      </c>
      <c r="BJ11" s="8">
        <f>Revenue_Build!BJ496</f>
        <v/>
      </c>
    </row>
    <row r="12">
      <c r="A12" s="4" t="inlineStr">
        <is>
          <t>WhatsApp messaging (pass-through + margin)</t>
        </is>
      </c>
      <c r="B12" s="17" t="inlineStr">
        <is>
          <t>R</t>
        </is>
      </c>
      <c r="C12" s="8">
        <f>Revenue_Build!C498</f>
        <v/>
      </c>
      <c r="D12" s="8">
        <f>Revenue_Build!D498</f>
        <v/>
      </c>
      <c r="E12" s="8">
        <f>Revenue_Build!E498</f>
        <v/>
      </c>
      <c r="F12" s="8">
        <f>Revenue_Build!F498</f>
        <v/>
      </c>
      <c r="G12" s="8">
        <f>Revenue_Build!G498</f>
        <v/>
      </c>
      <c r="H12" s="8">
        <f>Revenue_Build!H498</f>
        <v/>
      </c>
      <c r="I12" s="8">
        <f>Revenue_Build!I498</f>
        <v/>
      </c>
      <c r="J12" s="8">
        <f>Revenue_Build!J498</f>
        <v/>
      </c>
      <c r="K12" s="8">
        <f>Revenue_Build!K498</f>
        <v/>
      </c>
      <c r="L12" s="8">
        <f>Revenue_Build!L498</f>
        <v/>
      </c>
      <c r="M12" s="8">
        <f>Revenue_Build!M498</f>
        <v/>
      </c>
      <c r="N12" s="8">
        <f>Revenue_Build!N498</f>
        <v/>
      </c>
      <c r="O12" s="8">
        <f>Revenue_Build!O498</f>
        <v/>
      </c>
      <c r="P12" s="8">
        <f>Revenue_Build!P498</f>
        <v/>
      </c>
      <c r="Q12" s="8">
        <f>Revenue_Build!Q498</f>
        <v/>
      </c>
      <c r="R12" s="8">
        <f>Revenue_Build!R498</f>
        <v/>
      </c>
      <c r="S12" s="8">
        <f>Revenue_Build!S498</f>
        <v/>
      </c>
      <c r="T12" s="8">
        <f>Revenue_Build!T498</f>
        <v/>
      </c>
      <c r="U12" s="8">
        <f>Revenue_Build!U498</f>
        <v/>
      </c>
      <c r="V12" s="8">
        <f>Revenue_Build!V498</f>
        <v/>
      </c>
      <c r="W12" s="8">
        <f>Revenue_Build!W498</f>
        <v/>
      </c>
      <c r="X12" s="8">
        <f>Revenue_Build!X498</f>
        <v/>
      </c>
      <c r="Y12" s="8">
        <f>Revenue_Build!Y498</f>
        <v/>
      </c>
      <c r="Z12" s="8">
        <f>Revenue_Build!Z498</f>
        <v/>
      </c>
      <c r="AA12" s="8">
        <f>Revenue_Build!AA498</f>
        <v/>
      </c>
      <c r="AB12" s="8">
        <f>Revenue_Build!AB498</f>
        <v/>
      </c>
      <c r="AC12" s="8">
        <f>Revenue_Build!AC498</f>
        <v/>
      </c>
      <c r="AD12" s="8">
        <f>Revenue_Build!AD498</f>
        <v/>
      </c>
      <c r="AE12" s="8">
        <f>Revenue_Build!AE498</f>
        <v/>
      </c>
      <c r="AF12" s="8">
        <f>Revenue_Build!AF498</f>
        <v/>
      </c>
      <c r="AG12" s="8">
        <f>Revenue_Build!AG498</f>
        <v/>
      </c>
      <c r="AH12" s="8">
        <f>Revenue_Build!AH498</f>
        <v/>
      </c>
      <c r="AI12" s="8">
        <f>Revenue_Build!AI498</f>
        <v/>
      </c>
      <c r="AJ12" s="8">
        <f>Revenue_Build!AJ498</f>
        <v/>
      </c>
      <c r="AK12" s="8">
        <f>Revenue_Build!AK498</f>
        <v/>
      </c>
      <c r="AL12" s="8">
        <f>Revenue_Build!AL498</f>
        <v/>
      </c>
      <c r="AM12" s="8">
        <f>Revenue_Build!AM498</f>
        <v/>
      </c>
      <c r="AN12" s="8">
        <f>Revenue_Build!AN498</f>
        <v/>
      </c>
      <c r="AO12" s="8">
        <f>Revenue_Build!AO498</f>
        <v/>
      </c>
      <c r="AP12" s="8">
        <f>Revenue_Build!AP498</f>
        <v/>
      </c>
      <c r="AQ12" s="8">
        <f>Revenue_Build!AQ498</f>
        <v/>
      </c>
      <c r="AR12" s="8">
        <f>Revenue_Build!AR498</f>
        <v/>
      </c>
      <c r="AS12" s="8">
        <f>Revenue_Build!AS498</f>
        <v/>
      </c>
      <c r="AT12" s="8">
        <f>Revenue_Build!AT498</f>
        <v/>
      </c>
      <c r="AU12" s="8">
        <f>Revenue_Build!AU498</f>
        <v/>
      </c>
      <c r="AV12" s="8">
        <f>Revenue_Build!AV498</f>
        <v/>
      </c>
      <c r="AW12" s="8">
        <f>Revenue_Build!AW498</f>
        <v/>
      </c>
      <c r="AX12" s="8">
        <f>Revenue_Build!AX498</f>
        <v/>
      </c>
      <c r="AY12" s="8">
        <f>Revenue_Build!AY498</f>
        <v/>
      </c>
      <c r="AZ12" s="8">
        <f>Revenue_Build!AZ498</f>
        <v/>
      </c>
      <c r="BA12" s="8">
        <f>Revenue_Build!BA498</f>
        <v/>
      </c>
      <c r="BB12" s="8">
        <f>Revenue_Build!BB498</f>
        <v/>
      </c>
      <c r="BC12" s="8">
        <f>Revenue_Build!BC498</f>
        <v/>
      </c>
      <c r="BD12" s="8">
        <f>Revenue_Build!BD498</f>
        <v/>
      </c>
      <c r="BE12" s="8">
        <f>Revenue_Build!BE498</f>
        <v/>
      </c>
      <c r="BF12" s="8">
        <f>Revenue_Build!BF498</f>
        <v/>
      </c>
      <c r="BG12" s="8">
        <f>Revenue_Build!BG498</f>
        <v/>
      </c>
      <c r="BH12" s="8">
        <f>Revenue_Build!BH498</f>
        <v/>
      </c>
      <c r="BI12" s="8">
        <f>Revenue_Build!BI498</f>
        <v/>
      </c>
      <c r="BJ12" s="8">
        <f>Revenue_Build!BJ498</f>
        <v/>
      </c>
    </row>
    <row r="13">
      <c r="A13" s="4" t="inlineStr">
        <is>
          <t>FluxMuse checkout fee (0%: pass-through only)</t>
        </is>
      </c>
      <c r="B13" s="17" t="inlineStr">
        <is>
          <t>R</t>
        </is>
      </c>
      <c r="C13" s="8">
        <f>Revenue_Build!C501</f>
        <v/>
      </c>
      <c r="D13" s="8">
        <f>Revenue_Build!D501</f>
        <v/>
      </c>
      <c r="E13" s="8">
        <f>Revenue_Build!E501</f>
        <v/>
      </c>
      <c r="F13" s="8">
        <f>Revenue_Build!F501</f>
        <v/>
      </c>
      <c r="G13" s="8">
        <f>Revenue_Build!G501</f>
        <v/>
      </c>
      <c r="H13" s="8">
        <f>Revenue_Build!H501</f>
        <v/>
      </c>
      <c r="I13" s="8">
        <f>Revenue_Build!I501</f>
        <v/>
      </c>
      <c r="J13" s="8">
        <f>Revenue_Build!J501</f>
        <v/>
      </c>
      <c r="K13" s="8">
        <f>Revenue_Build!K501</f>
        <v/>
      </c>
      <c r="L13" s="8">
        <f>Revenue_Build!L501</f>
        <v/>
      </c>
      <c r="M13" s="8">
        <f>Revenue_Build!M501</f>
        <v/>
      </c>
      <c r="N13" s="8">
        <f>Revenue_Build!N501</f>
        <v/>
      </c>
      <c r="O13" s="8">
        <f>Revenue_Build!O501</f>
        <v/>
      </c>
      <c r="P13" s="8">
        <f>Revenue_Build!P501</f>
        <v/>
      </c>
      <c r="Q13" s="8">
        <f>Revenue_Build!Q501</f>
        <v/>
      </c>
      <c r="R13" s="8">
        <f>Revenue_Build!R501</f>
        <v/>
      </c>
      <c r="S13" s="8">
        <f>Revenue_Build!S501</f>
        <v/>
      </c>
      <c r="T13" s="8">
        <f>Revenue_Build!T501</f>
        <v/>
      </c>
      <c r="U13" s="8">
        <f>Revenue_Build!U501</f>
        <v/>
      </c>
      <c r="V13" s="8">
        <f>Revenue_Build!V501</f>
        <v/>
      </c>
      <c r="W13" s="8">
        <f>Revenue_Build!W501</f>
        <v/>
      </c>
      <c r="X13" s="8">
        <f>Revenue_Build!X501</f>
        <v/>
      </c>
      <c r="Y13" s="8">
        <f>Revenue_Build!Y501</f>
        <v/>
      </c>
      <c r="Z13" s="8">
        <f>Revenue_Build!Z501</f>
        <v/>
      </c>
      <c r="AA13" s="8">
        <f>Revenue_Build!AA501</f>
        <v/>
      </c>
      <c r="AB13" s="8">
        <f>Revenue_Build!AB501</f>
        <v/>
      </c>
      <c r="AC13" s="8">
        <f>Revenue_Build!AC501</f>
        <v/>
      </c>
      <c r="AD13" s="8">
        <f>Revenue_Build!AD501</f>
        <v/>
      </c>
      <c r="AE13" s="8">
        <f>Revenue_Build!AE501</f>
        <v/>
      </c>
      <c r="AF13" s="8">
        <f>Revenue_Build!AF501</f>
        <v/>
      </c>
      <c r="AG13" s="8">
        <f>Revenue_Build!AG501</f>
        <v/>
      </c>
      <c r="AH13" s="8">
        <f>Revenue_Build!AH501</f>
        <v/>
      </c>
      <c r="AI13" s="8">
        <f>Revenue_Build!AI501</f>
        <v/>
      </c>
      <c r="AJ13" s="8">
        <f>Revenue_Build!AJ501</f>
        <v/>
      </c>
      <c r="AK13" s="8">
        <f>Revenue_Build!AK501</f>
        <v/>
      </c>
      <c r="AL13" s="8">
        <f>Revenue_Build!AL501</f>
        <v/>
      </c>
      <c r="AM13" s="8">
        <f>Revenue_Build!AM501</f>
        <v/>
      </c>
      <c r="AN13" s="8">
        <f>Revenue_Build!AN501</f>
        <v/>
      </c>
      <c r="AO13" s="8">
        <f>Revenue_Build!AO501</f>
        <v/>
      </c>
      <c r="AP13" s="8">
        <f>Revenue_Build!AP501</f>
        <v/>
      </c>
      <c r="AQ13" s="8">
        <f>Revenue_Build!AQ501</f>
        <v/>
      </c>
      <c r="AR13" s="8">
        <f>Revenue_Build!AR501</f>
        <v/>
      </c>
      <c r="AS13" s="8">
        <f>Revenue_Build!AS501</f>
        <v/>
      </c>
      <c r="AT13" s="8">
        <f>Revenue_Build!AT501</f>
        <v/>
      </c>
      <c r="AU13" s="8">
        <f>Revenue_Build!AU501</f>
        <v/>
      </c>
      <c r="AV13" s="8">
        <f>Revenue_Build!AV501</f>
        <v/>
      </c>
      <c r="AW13" s="8">
        <f>Revenue_Build!AW501</f>
        <v/>
      </c>
      <c r="AX13" s="8">
        <f>Revenue_Build!AX501</f>
        <v/>
      </c>
      <c r="AY13" s="8">
        <f>Revenue_Build!AY501</f>
        <v/>
      </c>
      <c r="AZ13" s="8">
        <f>Revenue_Build!AZ501</f>
        <v/>
      </c>
      <c r="BA13" s="8">
        <f>Revenue_Build!BA501</f>
        <v/>
      </c>
      <c r="BB13" s="8">
        <f>Revenue_Build!BB501</f>
        <v/>
      </c>
      <c r="BC13" s="8">
        <f>Revenue_Build!BC501</f>
        <v/>
      </c>
      <c r="BD13" s="8">
        <f>Revenue_Build!BD501</f>
        <v/>
      </c>
      <c r="BE13" s="8">
        <f>Revenue_Build!BE501</f>
        <v/>
      </c>
      <c r="BF13" s="8">
        <f>Revenue_Build!BF501</f>
        <v/>
      </c>
      <c r="BG13" s="8">
        <f>Revenue_Build!BG501</f>
        <v/>
      </c>
      <c r="BH13" s="8">
        <f>Revenue_Build!BH501</f>
        <v/>
      </c>
      <c r="BI13" s="8">
        <f>Revenue_Build!BI501</f>
        <v/>
      </c>
      <c r="BJ13" s="8">
        <f>Revenue_Build!BJ501</f>
        <v/>
      </c>
    </row>
    <row r="14">
      <c r="A14" s="4" t="inlineStr">
        <is>
          <t>Custom (Enterprise) setup fees</t>
        </is>
      </c>
      <c r="B14" s="17" t="inlineStr">
        <is>
          <t>R</t>
        </is>
      </c>
      <c r="C14" s="8">
        <f>Revenue_Build!C502</f>
        <v/>
      </c>
      <c r="D14" s="8">
        <f>Revenue_Build!D502</f>
        <v/>
      </c>
      <c r="E14" s="8">
        <f>Revenue_Build!E502</f>
        <v/>
      </c>
      <c r="F14" s="8">
        <f>Revenue_Build!F502</f>
        <v/>
      </c>
      <c r="G14" s="8">
        <f>Revenue_Build!G502</f>
        <v/>
      </c>
      <c r="H14" s="8">
        <f>Revenue_Build!H502</f>
        <v/>
      </c>
      <c r="I14" s="8">
        <f>Revenue_Build!I502</f>
        <v/>
      </c>
      <c r="J14" s="8">
        <f>Revenue_Build!J502</f>
        <v/>
      </c>
      <c r="K14" s="8">
        <f>Revenue_Build!K502</f>
        <v/>
      </c>
      <c r="L14" s="8">
        <f>Revenue_Build!L502</f>
        <v/>
      </c>
      <c r="M14" s="8">
        <f>Revenue_Build!M502</f>
        <v/>
      </c>
      <c r="N14" s="8">
        <f>Revenue_Build!N502</f>
        <v/>
      </c>
      <c r="O14" s="8">
        <f>Revenue_Build!O502</f>
        <v/>
      </c>
      <c r="P14" s="8">
        <f>Revenue_Build!P502</f>
        <v/>
      </c>
      <c r="Q14" s="8">
        <f>Revenue_Build!Q502</f>
        <v/>
      </c>
      <c r="R14" s="8">
        <f>Revenue_Build!R502</f>
        <v/>
      </c>
      <c r="S14" s="8">
        <f>Revenue_Build!S502</f>
        <v/>
      </c>
      <c r="T14" s="8">
        <f>Revenue_Build!T502</f>
        <v/>
      </c>
      <c r="U14" s="8">
        <f>Revenue_Build!U502</f>
        <v/>
      </c>
      <c r="V14" s="8">
        <f>Revenue_Build!V502</f>
        <v/>
      </c>
      <c r="W14" s="8">
        <f>Revenue_Build!W502</f>
        <v/>
      </c>
      <c r="X14" s="8">
        <f>Revenue_Build!X502</f>
        <v/>
      </c>
      <c r="Y14" s="8">
        <f>Revenue_Build!Y502</f>
        <v/>
      </c>
      <c r="Z14" s="8">
        <f>Revenue_Build!Z502</f>
        <v/>
      </c>
      <c r="AA14" s="8">
        <f>Revenue_Build!AA502</f>
        <v/>
      </c>
      <c r="AB14" s="8">
        <f>Revenue_Build!AB502</f>
        <v/>
      </c>
      <c r="AC14" s="8">
        <f>Revenue_Build!AC502</f>
        <v/>
      </c>
      <c r="AD14" s="8">
        <f>Revenue_Build!AD502</f>
        <v/>
      </c>
      <c r="AE14" s="8">
        <f>Revenue_Build!AE502</f>
        <v/>
      </c>
      <c r="AF14" s="8">
        <f>Revenue_Build!AF502</f>
        <v/>
      </c>
      <c r="AG14" s="8">
        <f>Revenue_Build!AG502</f>
        <v/>
      </c>
      <c r="AH14" s="8">
        <f>Revenue_Build!AH502</f>
        <v/>
      </c>
      <c r="AI14" s="8">
        <f>Revenue_Build!AI502</f>
        <v/>
      </c>
      <c r="AJ14" s="8">
        <f>Revenue_Build!AJ502</f>
        <v/>
      </c>
      <c r="AK14" s="8">
        <f>Revenue_Build!AK502</f>
        <v/>
      </c>
      <c r="AL14" s="8">
        <f>Revenue_Build!AL502</f>
        <v/>
      </c>
      <c r="AM14" s="8">
        <f>Revenue_Build!AM502</f>
        <v/>
      </c>
      <c r="AN14" s="8">
        <f>Revenue_Build!AN502</f>
        <v/>
      </c>
      <c r="AO14" s="8">
        <f>Revenue_Build!AO502</f>
        <v/>
      </c>
      <c r="AP14" s="8">
        <f>Revenue_Build!AP502</f>
        <v/>
      </c>
      <c r="AQ14" s="8">
        <f>Revenue_Build!AQ502</f>
        <v/>
      </c>
      <c r="AR14" s="8">
        <f>Revenue_Build!AR502</f>
        <v/>
      </c>
      <c r="AS14" s="8">
        <f>Revenue_Build!AS502</f>
        <v/>
      </c>
      <c r="AT14" s="8">
        <f>Revenue_Build!AT502</f>
        <v/>
      </c>
      <c r="AU14" s="8">
        <f>Revenue_Build!AU502</f>
        <v/>
      </c>
      <c r="AV14" s="8">
        <f>Revenue_Build!AV502</f>
        <v/>
      </c>
      <c r="AW14" s="8">
        <f>Revenue_Build!AW502</f>
        <v/>
      </c>
      <c r="AX14" s="8">
        <f>Revenue_Build!AX502</f>
        <v/>
      </c>
      <c r="AY14" s="8">
        <f>Revenue_Build!AY502</f>
        <v/>
      </c>
      <c r="AZ14" s="8">
        <f>Revenue_Build!AZ502</f>
        <v/>
      </c>
      <c r="BA14" s="8">
        <f>Revenue_Build!BA502</f>
        <v/>
      </c>
      <c r="BB14" s="8">
        <f>Revenue_Build!BB502</f>
        <v/>
      </c>
      <c r="BC14" s="8">
        <f>Revenue_Build!BC502</f>
        <v/>
      </c>
      <c r="BD14" s="8">
        <f>Revenue_Build!BD502</f>
        <v/>
      </c>
      <c r="BE14" s="8">
        <f>Revenue_Build!BE502</f>
        <v/>
      </c>
      <c r="BF14" s="8">
        <f>Revenue_Build!BF502</f>
        <v/>
      </c>
      <c r="BG14" s="8">
        <f>Revenue_Build!BG502</f>
        <v/>
      </c>
      <c r="BH14" s="8">
        <f>Revenue_Build!BH502</f>
        <v/>
      </c>
      <c r="BI14" s="8">
        <f>Revenue_Build!BI502</f>
        <v/>
      </c>
      <c r="BJ14" s="8">
        <f>Revenue_Build!BJ502</f>
        <v/>
      </c>
    </row>
    <row r="15">
      <c r="A15" s="4" t="inlineStr">
        <is>
          <t>Agency white-label setup fees</t>
        </is>
      </c>
      <c r="B15" s="17" t="inlineStr">
        <is>
          <t>R</t>
        </is>
      </c>
      <c r="C15" s="8">
        <f>Revenue_Build!C503</f>
        <v/>
      </c>
      <c r="D15" s="8">
        <f>Revenue_Build!D503</f>
        <v/>
      </c>
      <c r="E15" s="8">
        <f>Revenue_Build!E503</f>
        <v/>
      </c>
      <c r="F15" s="8">
        <f>Revenue_Build!F503</f>
        <v/>
      </c>
      <c r="G15" s="8">
        <f>Revenue_Build!G503</f>
        <v/>
      </c>
      <c r="H15" s="8">
        <f>Revenue_Build!H503</f>
        <v/>
      </c>
      <c r="I15" s="8">
        <f>Revenue_Build!I503</f>
        <v/>
      </c>
      <c r="J15" s="8">
        <f>Revenue_Build!J503</f>
        <v/>
      </c>
      <c r="K15" s="8">
        <f>Revenue_Build!K503</f>
        <v/>
      </c>
      <c r="L15" s="8">
        <f>Revenue_Build!L503</f>
        <v/>
      </c>
      <c r="M15" s="8">
        <f>Revenue_Build!M503</f>
        <v/>
      </c>
      <c r="N15" s="8">
        <f>Revenue_Build!N503</f>
        <v/>
      </c>
      <c r="O15" s="8">
        <f>Revenue_Build!O503</f>
        <v/>
      </c>
      <c r="P15" s="8">
        <f>Revenue_Build!P503</f>
        <v/>
      </c>
      <c r="Q15" s="8">
        <f>Revenue_Build!Q503</f>
        <v/>
      </c>
      <c r="R15" s="8">
        <f>Revenue_Build!R503</f>
        <v/>
      </c>
      <c r="S15" s="8">
        <f>Revenue_Build!S503</f>
        <v/>
      </c>
      <c r="T15" s="8">
        <f>Revenue_Build!T503</f>
        <v/>
      </c>
      <c r="U15" s="8">
        <f>Revenue_Build!U503</f>
        <v/>
      </c>
      <c r="V15" s="8">
        <f>Revenue_Build!V503</f>
        <v/>
      </c>
      <c r="W15" s="8">
        <f>Revenue_Build!W503</f>
        <v/>
      </c>
      <c r="X15" s="8">
        <f>Revenue_Build!X503</f>
        <v/>
      </c>
      <c r="Y15" s="8">
        <f>Revenue_Build!Y503</f>
        <v/>
      </c>
      <c r="Z15" s="8">
        <f>Revenue_Build!Z503</f>
        <v/>
      </c>
      <c r="AA15" s="8">
        <f>Revenue_Build!AA503</f>
        <v/>
      </c>
      <c r="AB15" s="8">
        <f>Revenue_Build!AB503</f>
        <v/>
      </c>
      <c r="AC15" s="8">
        <f>Revenue_Build!AC503</f>
        <v/>
      </c>
      <c r="AD15" s="8">
        <f>Revenue_Build!AD503</f>
        <v/>
      </c>
      <c r="AE15" s="8">
        <f>Revenue_Build!AE503</f>
        <v/>
      </c>
      <c r="AF15" s="8">
        <f>Revenue_Build!AF503</f>
        <v/>
      </c>
      <c r="AG15" s="8">
        <f>Revenue_Build!AG503</f>
        <v/>
      </c>
      <c r="AH15" s="8">
        <f>Revenue_Build!AH503</f>
        <v/>
      </c>
      <c r="AI15" s="8">
        <f>Revenue_Build!AI503</f>
        <v/>
      </c>
      <c r="AJ15" s="8">
        <f>Revenue_Build!AJ503</f>
        <v/>
      </c>
      <c r="AK15" s="8">
        <f>Revenue_Build!AK503</f>
        <v/>
      </c>
      <c r="AL15" s="8">
        <f>Revenue_Build!AL503</f>
        <v/>
      </c>
      <c r="AM15" s="8">
        <f>Revenue_Build!AM503</f>
        <v/>
      </c>
      <c r="AN15" s="8">
        <f>Revenue_Build!AN503</f>
        <v/>
      </c>
      <c r="AO15" s="8">
        <f>Revenue_Build!AO503</f>
        <v/>
      </c>
      <c r="AP15" s="8">
        <f>Revenue_Build!AP503</f>
        <v/>
      </c>
      <c r="AQ15" s="8">
        <f>Revenue_Build!AQ503</f>
        <v/>
      </c>
      <c r="AR15" s="8">
        <f>Revenue_Build!AR503</f>
        <v/>
      </c>
      <c r="AS15" s="8">
        <f>Revenue_Build!AS503</f>
        <v/>
      </c>
      <c r="AT15" s="8">
        <f>Revenue_Build!AT503</f>
        <v/>
      </c>
      <c r="AU15" s="8">
        <f>Revenue_Build!AU503</f>
        <v/>
      </c>
      <c r="AV15" s="8">
        <f>Revenue_Build!AV503</f>
        <v/>
      </c>
      <c r="AW15" s="8">
        <f>Revenue_Build!AW503</f>
        <v/>
      </c>
      <c r="AX15" s="8">
        <f>Revenue_Build!AX503</f>
        <v/>
      </c>
      <c r="AY15" s="8">
        <f>Revenue_Build!AY503</f>
        <v/>
      </c>
      <c r="AZ15" s="8">
        <f>Revenue_Build!AZ503</f>
        <v/>
      </c>
      <c r="BA15" s="8">
        <f>Revenue_Build!BA503</f>
        <v/>
      </c>
      <c r="BB15" s="8">
        <f>Revenue_Build!BB503</f>
        <v/>
      </c>
      <c r="BC15" s="8">
        <f>Revenue_Build!BC503</f>
        <v/>
      </c>
      <c r="BD15" s="8">
        <f>Revenue_Build!BD503</f>
        <v/>
      </c>
      <c r="BE15" s="8">
        <f>Revenue_Build!BE503</f>
        <v/>
      </c>
      <c r="BF15" s="8">
        <f>Revenue_Build!BF503</f>
        <v/>
      </c>
      <c r="BG15" s="8">
        <f>Revenue_Build!BG503</f>
        <v/>
      </c>
      <c r="BH15" s="8">
        <f>Revenue_Build!BH503</f>
        <v/>
      </c>
      <c r="BI15" s="8">
        <f>Revenue_Build!BI503</f>
        <v/>
      </c>
      <c r="BJ15" s="8">
        <f>Revenue_Build!BJ503</f>
        <v/>
      </c>
    </row>
    <row r="16">
      <c r="A16" s="3" t="inlineStr">
        <is>
          <t>Total revenue</t>
        </is>
      </c>
      <c r="B16" s="17" t="inlineStr">
        <is>
          <t>R</t>
        </is>
      </c>
      <c r="C16" s="42">
        <f>C10+C11+C12+C13+C14+C15</f>
        <v/>
      </c>
      <c r="D16" s="42">
        <f>D10+D11+D12+D13+D14+D15</f>
        <v/>
      </c>
      <c r="E16" s="42">
        <f>E10+E11+E12+E13+E14+E15</f>
        <v/>
      </c>
      <c r="F16" s="42">
        <f>F10+F11+F12+F13+F14+F15</f>
        <v/>
      </c>
      <c r="G16" s="42">
        <f>G10+G11+G12+G13+G14+G15</f>
        <v/>
      </c>
      <c r="H16" s="42">
        <f>H10+H11+H12+H13+H14+H15</f>
        <v/>
      </c>
      <c r="I16" s="42">
        <f>I10+I11+I12+I13+I14+I15</f>
        <v/>
      </c>
      <c r="J16" s="42">
        <f>J10+J11+J12+J13+J14+J15</f>
        <v/>
      </c>
      <c r="K16" s="42">
        <f>K10+K11+K12+K13+K14+K15</f>
        <v/>
      </c>
      <c r="L16" s="42">
        <f>L10+L11+L12+L13+L14+L15</f>
        <v/>
      </c>
      <c r="M16" s="42">
        <f>M10+M11+M12+M13+M14+M15</f>
        <v/>
      </c>
      <c r="N16" s="42">
        <f>N10+N11+N12+N13+N14+N15</f>
        <v/>
      </c>
      <c r="O16" s="42">
        <f>O10+O11+O12+O13+O14+O15</f>
        <v/>
      </c>
      <c r="P16" s="42">
        <f>P10+P11+P12+P13+P14+P15</f>
        <v/>
      </c>
      <c r="Q16" s="42">
        <f>Q10+Q11+Q12+Q13+Q14+Q15</f>
        <v/>
      </c>
      <c r="R16" s="42">
        <f>R10+R11+R12+R13+R14+R15</f>
        <v/>
      </c>
      <c r="S16" s="42">
        <f>S10+S11+S12+S13+S14+S15</f>
        <v/>
      </c>
      <c r="T16" s="42">
        <f>T10+T11+T12+T13+T14+T15</f>
        <v/>
      </c>
      <c r="U16" s="42">
        <f>U10+U11+U12+U13+U14+U15</f>
        <v/>
      </c>
      <c r="V16" s="42">
        <f>V10+V11+V12+V13+V14+V15</f>
        <v/>
      </c>
      <c r="W16" s="42">
        <f>W10+W11+W12+W13+W14+W15</f>
        <v/>
      </c>
      <c r="X16" s="42">
        <f>X10+X11+X12+X13+X14+X15</f>
        <v/>
      </c>
      <c r="Y16" s="42">
        <f>Y10+Y11+Y12+Y13+Y14+Y15</f>
        <v/>
      </c>
      <c r="Z16" s="42">
        <f>Z10+Z11+Z12+Z13+Z14+Z15</f>
        <v/>
      </c>
      <c r="AA16" s="42">
        <f>AA10+AA11+AA12+AA13+AA14+AA15</f>
        <v/>
      </c>
      <c r="AB16" s="42">
        <f>AB10+AB11+AB12+AB13+AB14+AB15</f>
        <v/>
      </c>
      <c r="AC16" s="42">
        <f>AC10+AC11+AC12+AC13+AC14+AC15</f>
        <v/>
      </c>
      <c r="AD16" s="42">
        <f>AD10+AD11+AD12+AD13+AD14+AD15</f>
        <v/>
      </c>
      <c r="AE16" s="42">
        <f>AE10+AE11+AE12+AE13+AE14+AE15</f>
        <v/>
      </c>
      <c r="AF16" s="42">
        <f>AF10+AF11+AF12+AF13+AF14+AF15</f>
        <v/>
      </c>
      <c r="AG16" s="42">
        <f>AG10+AG11+AG12+AG13+AG14+AG15</f>
        <v/>
      </c>
      <c r="AH16" s="42">
        <f>AH10+AH11+AH12+AH13+AH14+AH15</f>
        <v/>
      </c>
      <c r="AI16" s="42">
        <f>AI10+AI11+AI12+AI13+AI14+AI15</f>
        <v/>
      </c>
      <c r="AJ16" s="42">
        <f>AJ10+AJ11+AJ12+AJ13+AJ14+AJ15</f>
        <v/>
      </c>
      <c r="AK16" s="42">
        <f>AK10+AK11+AK12+AK13+AK14+AK15</f>
        <v/>
      </c>
      <c r="AL16" s="42">
        <f>AL10+AL11+AL12+AL13+AL14+AL15</f>
        <v/>
      </c>
      <c r="AM16" s="42">
        <f>AM10+AM11+AM12+AM13+AM14+AM15</f>
        <v/>
      </c>
      <c r="AN16" s="42">
        <f>AN10+AN11+AN12+AN13+AN14+AN15</f>
        <v/>
      </c>
      <c r="AO16" s="42">
        <f>AO10+AO11+AO12+AO13+AO14+AO15</f>
        <v/>
      </c>
      <c r="AP16" s="42">
        <f>AP10+AP11+AP12+AP13+AP14+AP15</f>
        <v/>
      </c>
      <c r="AQ16" s="42">
        <f>AQ10+AQ11+AQ12+AQ13+AQ14+AQ15</f>
        <v/>
      </c>
      <c r="AR16" s="42">
        <f>AR10+AR11+AR12+AR13+AR14+AR15</f>
        <v/>
      </c>
      <c r="AS16" s="42">
        <f>AS10+AS11+AS12+AS13+AS14+AS15</f>
        <v/>
      </c>
      <c r="AT16" s="42">
        <f>AT10+AT11+AT12+AT13+AT14+AT15</f>
        <v/>
      </c>
      <c r="AU16" s="42">
        <f>AU10+AU11+AU12+AU13+AU14+AU15</f>
        <v/>
      </c>
      <c r="AV16" s="42">
        <f>AV10+AV11+AV12+AV13+AV14+AV15</f>
        <v/>
      </c>
      <c r="AW16" s="42">
        <f>AW10+AW11+AW12+AW13+AW14+AW15</f>
        <v/>
      </c>
      <c r="AX16" s="42">
        <f>AX10+AX11+AX12+AX13+AX14+AX15</f>
        <v/>
      </c>
      <c r="AY16" s="42">
        <f>AY10+AY11+AY12+AY13+AY14+AY15</f>
        <v/>
      </c>
      <c r="AZ16" s="42">
        <f>AZ10+AZ11+AZ12+AZ13+AZ14+AZ15</f>
        <v/>
      </c>
      <c r="BA16" s="42">
        <f>BA10+BA11+BA12+BA13+BA14+BA15</f>
        <v/>
      </c>
      <c r="BB16" s="42">
        <f>BB10+BB11+BB12+BB13+BB14+BB15</f>
        <v/>
      </c>
      <c r="BC16" s="42">
        <f>BC10+BC11+BC12+BC13+BC14+BC15</f>
        <v/>
      </c>
      <c r="BD16" s="42">
        <f>BD10+BD11+BD12+BD13+BD14+BD15</f>
        <v/>
      </c>
      <c r="BE16" s="42">
        <f>BE10+BE11+BE12+BE13+BE14+BE15</f>
        <v/>
      </c>
      <c r="BF16" s="42">
        <f>BF10+BF11+BF12+BF13+BF14+BF15</f>
        <v/>
      </c>
      <c r="BG16" s="42">
        <f>BG10+BG11+BG12+BG13+BG14+BG15</f>
        <v/>
      </c>
      <c r="BH16" s="42">
        <f>BH10+BH11+BH12+BH13+BH14+BH15</f>
        <v/>
      </c>
      <c r="BI16" s="42">
        <f>BI10+BI11+BI12+BI13+BI14+BI15</f>
        <v/>
      </c>
      <c r="BJ16" s="42">
        <f>BJ10+BJ11+BJ12+BJ13+BJ14+BJ15</f>
        <v/>
      </c>
    </row>
    <row r="17"/>
    <row r="18">
      <c r="A18" s="19" t="inlineStr">
        <is>
          <t>Cost of revenue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</row>
    <row r="19">
      <c r="A19" s="4" t="inlineStr">
        <is>
          <t>AI provider cost (incl. Free plan)</t>
        </is>
      </c>
      <c r="B19" s="17" t="inlineStr">
        <is>
          <t>R</t>
        </is>
      </c>
      <c r="C19" s="8">
        <f>Costs!C160</f>
        <v/>
      </c>
      <c r="D19" s="8">
        <f>Costs!D160</f>
        <v/>
      </c>
      <c r="E19" s="8">
        <f>Costs!E160</f>
        <v/>
      </c>
      <c r="F19" s="8">
        <f>Costs!F160</f>
        <v/>
      </c>
      <c r="G19" s="8">
        <f>Costs!G160</f>
        <v/>
      </c>
      <c r="H19" s="8">
        <f>Costs!H160</f>
        <v/>
      </c>
      <c r="I19" s="8">
        <f>Costs!I160</f>
        <v/>
      </c>
      <c r="J19" s="8">
        <f>Costs!J160</f>
        <v/>
      </c>
      <c r="K19" s="8">
        <f>Costs!K160</f>
        <v/>
      </c>
      <c r="L19" s="8">
        <f>Costs!L160</f>
        <v/>
      </c>
      <c r="M19" s="8">
        <f>Costs!M160</f>
        <v/>
      </c>
      <c r="N19" s="8">
        <f>Costs!N160</f>
        <v/>
      </c>
      <c r="O19" s="8">
        <f>Costs!O160</f>
        <v/>
      </c>
      <c r="P19" s="8">
        <f>Costs!P160</f>
        <v/>
      </c>
      <c r="Q19" s="8">
        <f>Costs!Q160</f>
        <v/>
      </c>
      <c r="R19" s="8">
        <f>Costs!R160</f>
        <v/>
      </c>
      <c r="S19" s="8">
        <f>Costs!S160</f>
        <v/>
      </c>
      <c r="T19" s="8">
        <f>Costs!T160</f>
        <v/>
      </c>
      <c r="U19" s="8">
        <f>Costs!U160</f>
        <v/>
      </c>
      <c r="V19" s="8">
        <f>Costs!V160</f>
        <v/>
      </c>
      <c r="W19" s="8">
        <f>Costs!W160</f>
        <v/>
      </c>
      <c r="X19" s="8">
        <f>Costs!X160</f>
        <v/>
      </c>
      <c r="Y19" s="8">
        <f>Costs!Y160</f>
        <v/>
      </c>
      <c r="Z19" s="8">
        <f>Costs!Z160</f>
        <v/>
      </c>
      <c r="AA19" s="8">
        <f>Costs!AA160</f>
        <v/>
      </c>
      <c r="AB19" s="8">
        <f>Costs!AB160</f>
        <v/>
      </c>
      <c r="AC19" s="8">
        <f>Costs!AC160</f>
        <v/>
      </c>
      <c r="AD19" s="8">
        <f>Costs!AD160</f>
        <v/>
      </c>
      <c r="AE19" s="8">
        <f>Costs!AE160</f>
        <v/>
      </c>
      <c r="AF19" s="8">
        <f>Costs!AF160</f>
        <v/>
      </c>
      <c r="AG19" s="8">
        <f>Costs!AG160</f>
        <v/>
      </c>
      <c r="AH19" s="8">
        <f>Costs!AH160</f>
        <v/>
      </c>
      <c r="AI19" s="8">
        <f>Costs!AI160</f>
        <v/>
      </c>
      <c r="AJ19" s="8">
        <f>Costs!AJ160</f>
        <v/>
      </c>
      <c r="AK19" s="8">
        <f>Costs!AK160</f>
        <v/>
      </c>
      <c r="AL19" s="8">
        <f>Costs!AL160</f>
        <v/>
      </c>
      <c r="AM19" s="8">
        <f>Costs!AM160</f>
        <v/>
      </c>
      <c r="AN19" s="8">
        <f>Costs!AN160</f>
        <v/>
      </c>
      <c r="AO19" s="8">
        <f>Costs!AO160</f>
        <v/>
      </c>
      <c r="AP19" s="8">
        <f>Costs!AP160</f>
        <v/>
      </c>
      <c r="AQ19" s="8">
        <f>Costs!AQ160</f>
        <v/>
      </c>
      <c r="AR19" s="8">
        <f>Costs!AR160</f>
        <v/>
      </c>
      <c r="AS19" s="8">
        <f>Costs!AS160</f>
        <v/>
      </c>
      <c r="AT19" s="8">
        <f>Costs!AT160</f>
        <v/>
      </c>
      <c r="AU19" s="8">
        <f>Costs!AU160</f>
        <v/>
      </c>
      <c r="AV19" s="8">
        <f>Costs!AV160</f>
        <v/>
      </c>
      <c r="AW19" s="8">
        <f>Costs!AW160</f>
        <v/>
      </c>
      <c r="AX19" s="8">
        <f>Costs!AX160</f>
        <v/>
      </c>
      <c r="AY19" s="8">
        <f>Costs!AY160</f>
        <v/>
      </c>
      <c r="AZ19" s="8">
        <f>Costs!AZ160</f>
        <v/>
      </c>
      <c r="BA19" s="8">
        <f>Costs!BA160</f>
        <v/>
      </c>
      <c r="BB19" s="8">
        <f>Costs!BB160</f>
        <v/>
      </c>
      <c r="BC19" s="8">
        <f>Costs!BC160</f>
        <v/>
      </c>
      <c r="BD19" s="8">
        <f>Costs!BD160</f>
        <v/>
      </c>
      <c r="BE19" s="8">
        <f>Costs!BE160</f>
        <v/>
      </c>
      <c r="BF19" s="8">
        <f>Costs!BF160</f>
        <v/>
      </c>
      <c r="BG19" s="8">
        <f>Costs!BG160</f>
        <v/>
      </c>
      <c r="BH19" s="8">
        <f>Costs!BH160</f>
        <v/>
      </c>
      <c r="BI19" s="8">
        <f>Costs!BI160</f>
        <v/>
      </c>
      <c r="BJ19" s="8">
        <f>Costs!BJ160</f>
        <v/>
      </c>
    </row>
    <row r="20">
      <c r="A20" s="4" t="inlineStr">
        <is>
          <t>Hosting</t>
        </is>
      </c>
      <c r="B20" s="17" t="inlineStr">
        <is>
          <t>R</t>
        </is>
      </c>
      <c r="C20" s="8">
        <f>Costs!C161</f>
        <v/>
      </c>
      <c r="D20" s="8">
        <f>Costs!D161</f>
        <v/>
      </c>
      <c r="E20" s="8">
        <f>Costs!E161</f>
        <v/>
      </c>
      <c r="F20" s="8">
        <f>Costs!F161</f>
        <v/>
      </c>
      <c r="G20" s="8">
        <f>Costs!G161</f>
        <v/>
      </c>
      <c r="H20" s="8">
        <f>Costs!H161</f>
        <v/>
      </c>
      <c r="I20" s="8">
        <f>Costs!I161</f>
        <v/>
      </c>
      <c r="J20" s="8">
        <f>Costs!J161</f>
        <v/>
      </c>
      <c r="K20" s="8">
        <f>Costs!K161</f>
        <v/>
      </c>
      <c r="L20" s="8">
        <f>Costs!L161</f>
        <v/>
      </c>
      <c r="M20" s="8">
        <f>Costs!M161</f>
        <v/>
      </c>
      <c r="N20" s="8">
        <f>Costs!N161</f>
        <v/>
      </c>
      <c r="O20" s="8">
        <f>Costs!O161</f>
        <v/>
      </c>
      <c r="P20" s="8">
        <f>Costs!P161</f>
        <v/>
      </c>
      <c r="Q20" s="8">
        <f>Costs!Q161</f>
        <v/>
      </c>
      <c r="R20" s="8">
        <f>Costs!R161</f>
        <v/>
      </c>
      <c r="S20" s="8">
        <f>Costs!S161</f>
        <v/>
      </c>
      <c r="T20" s="8">
        <f>Costs!T161</f>
        <v/>
      </c>
      <c r="U20" s="8">
        <f>Costs!U161</f>
        <v/>
      </c>
      <c r="V20" s="8">
        <f>Costs!V161</f>
        <v/>
      </c>
      <c r="W20" s="8">
        <f>Costs!W161</f>
        <v/>
      </c>
      <c r="X20" s="8">
        <f>Costs!X161</f>
        <v/>
      </c>
      <c r="Y20" s="8">
        <f>Costs!Y161</f>
        <v/>
      </c>
      <c r="Z20" s="8">
        <f>Costs!Z161</f>
        <v/>
      </c>
      <c r="AA20" s="8">
        <f>Costs!AA161</f>
        <v/>
      </c>
      <c r="AB20" s="8">
        <f>Costs!AB161</f>
        <v/>
      </c>
      <c r="AC20" s="8">
        <f>Costs!AC161</f>
        <v/>
      </c>
      <c r="AD20" s="8">
        <f>Costs!AD161</f>
        <v/>
      </c>
      <c r="AE20" s="8">
        <f>Costs!AE161</f>
        <v/>
      </c>
      <c r="AF20" s="8">
        <f>Costs!AF161</f>
        <v/>
      </c>
      <c r="AG20" s="8">
        <f>Costs!AG161</f>
        <v/>
      </c>
      <c r="AH20" s="8">
        <f>Costs!AH161</f>
        <v/>
      </c>
      <c r="AI20" s="8">
        <f>Costs!AI161</f>
        <v/>
      </c>
      <c r="AJ20" s="8">
        <f>Costs!AJ161</f>
        <v/>
      </c>
      <c r="AK20" s="8">
        <f>Costs!AK161</f>
        <v/>
      </c>
      <c r="AL20" s="8">
        <f>Costs!AL161</f>
        <v/>
      </c>
      <c r="AM20" s="8">
        <f>Costs!AM161</f>
        <v/>
      </c>
      <c r="AN20" s="8">
        <f>Costs!AN161</f>
        <v/>
      </c>
      <c r="AO20" s="8">
        <f>Costs!AO161</f>
        <v/>
      </c>
      <c r="AP20" s="8">
        <f>Costs!AP161</f>
        <v/>
      </c>
      <c r="AQ20" s="8">
        <f>Costs!AQ161</f>
        <v/>
      </c>
      <c r="AR20" s="8">
        <f>Costs!AR161</f>
        <v/>
      </c>
      <c r="AS20" s="8">
        <f>Costs!AS161</f>
        <v/>
      </c>
      <c r="AT20" s="8">
        <f>Costs!AT161</f>
        <v/>
      </c>
      <c r="AU20" s="8">
        <f>Costs!AU161</f>
        <v/>
      </c>
      <c r="AV20" s="8">
        <f>Costs!AV161</f>
        <v/>
      </c>
      <c r="AW20" s="8">
        <f>Costs!AW161</f>
        <v/>
      </c>
      <c r="AX20" s="8">
        <f>Costs!AX161</f>
        <v/>
      </c>
      <c r="AY20" s="8">
        <f>Costs!AY161</f>
        <v/>
      </c>
      <c r="AZ20" s="8">
        <f>Costs!AZ161</f>
        <v/>
      </c>
      <c r="BA20" s="8">
        <f>Costs!BA161</f>
        <v/>
      </c>
      <c r="BB20" s="8">
        <f>Costs!BB161</f>
        <v/>
      </c>
      <c r="BC20" s="8">
        <f>Costs!BC161</f>
        <v/>
      </c>
      <c r="BD20" s="8">
        <f>Costs!BD161</f>
        <v/>
      </c>
      <c r="BE20" s="8">
        <f>Costs!BE161</f>
        <v/>
      </c>
      <c r="BF20" s="8">
        <f>Costs!BF161</f>
        <v/>
      </c>
      <c r="BG20" s="8">
        <f>Costs!BG161</f>
        <v/>
      </c>
      <c r="BH20" s="8">
        <f>Costs!BH161</f>
        <v/>
      </c>
      <c r="BI20" s="8">
        <f>Costs!BI161</f>
        <v/>
      </c>
      <c r="BJ20" s="8">
        <f>Costs!BJ161</f>
        <v/>
      </c>
    </row>
    <row r="21">
      <c r="A21" s="4" t="inlineStr">
        <is>
          <t>WhatsApp Meta fees</t>
        </is>
      </c>
      <c r="B21" s="17" t="inlineStr">
        <is>
          <t>R</t>
        </is>
      </c>
      <c r="C21" s="8">
        <f>Costs!C162</f>
        <v/>
      </c>
      <c r="D21" s="8">
        <f>Costs!D162</f>
        <v/>
      </c>
      <c r="E21" s="8">
        <f>Costs!E162</f>
        <v/>
      </c>
      <c r="F21" s="8">
        <f>Costs!F162</f>
        <v/>
      </c>
      <c r="G21" s="8">
        <f>Costs!G162</f>
        <v/>
      </c>
      <c r="H21" s="8">
        <f>Costs!H162</f>
        <v/>
      </c>
      <c r="I21" s="8">
        <f>Costs!I162</f>
        <v/>
      </c>
      <c r="J21" s="8">
        <f>Costs!J162</f>
        <v/>
      </c>
      <c r="K21" s="8">
        <f>Costs!K162</f>
        <v/>
      </c>
      <c r="L21" s="8">
        <f>Costs!L162</f>
        <v/>
      </c>
      <c r="M21" s="8">
        <f>Costs!M162</f>
        <v/>
      </c>
      <c r="N21" s="8">
        <f>Costs!N162</f>
        <v/>
      </c>
      <c r="O21" s="8">
        <f>Costs!O162</f>
        <v/>
      </c>
      <c r="P21" s="8">
        <f>Costs!P162</f>
        <v/>
      </c>
      <c r="Q21" s="8">
        <f>Costs!Q162</f>
        <v/>
      </c>
      <c r="R21" s="8">
        <f>Costs!R162</f>
        <v/>
      </c>
      <c r="S21" s="8">
        <f>Costs!S162</f>
        <v/>
      </c>
      <c r="T21" s="8">
        <f>Costs!T162</f>
        <v/>
      </c>
      <c r="U21" s="8">
        <f>Costs!U162</f>
        <v/>
      </c>
      <c r="V21" s="8">
        <f>Costs!V162</f>
        <v/>
      </c>
      <c r="W21" s="8">
        <f>Costs!W162</f>
        <v/>
      </c>
      <c r="X21" s="8">
        <f>Costs!X162</f>
        <v/>
      </c>
      <c r="Y21" s="8">
        <f>Costs!Y162</f>
        <v/>
      </c>
      <c r="Z21" s="8">
        <f>Costs!Z162</f>
        <v/>
      </c>
      <c r="AA21" s="8">
        <f>Costs!AA162</f>
        <v/>
      </c>
      <c r="AB21" s="8">
        <f>Costs!AB162</f>
        <v/>
      </c>
      <c r="AC21" s="8">
        <f>Costs!AC162</f>
        <v/>
      </c>
      <c r="AD21" s="8">
        <f>Costs!AD162</f>
        <v/>
      </c>
      <c r="AE21" s="8">
        <f>Costs!AE162</f>
        <v/>
      </c>
      <c r="AF21" s="8">
        <f>Costs!AF162</f>
        <v/>
      </c>
      <c r="AG21" s="8">
        <f>Costs!AG162</f>
        <v/>
      </c>
      <c r="AH21" s="8">
        <f>Costs!AH162</f>
        <v/>
      </c>
      <c r="AI21" s="8">
        <f>Costs!AI162</f>
        <v/>
      </c>
      <c r="AJ21" s="8">
        <f>Costs!AJ162</f>
        <v/>
      </c>
      <c r="AK21" s="8">
        <f>Costs!AK162</f>
        <v/>
      </c>
      <c r="AL21" s="8">
        <f>Costs!AL162</f>
        <v/>
      </c>
      <c r="AM21" s="8">
        <f>Costs!AM162</f>
        <v/>
      </c>
      <c r="AN21" s="8">
        <f>Costs!AN162</f>
        <v/>
      </c>
      <c r="AO21" s="8">
        <f>Costs!AO162</f>
        <v/>
      </c>
      <c r="AP21" s="8">
        <f>Costs!AP162</f>
        <v/>
      </c>
      <c r="AQ21" s="8">
        <f>Costs!AQ162</f>
        <v/>
      </c>
      <c r="AR21" s="8">
        <f>Costs!AR162</f>
        <v/>
      </c>
      <c r="AS21" s="8">
        <f>Costs!AS162</f>
        <v/>
      </c>
      <c r="AT21" s="8">
        <f>Costs!AT162</f>
        <v/>
      </c>
      <c r="AU21" s="8">
        <f>Costs!AU162</f>
        <v/>
      </c>
      <c r="AV21" s="8">
        <f>Costs!AV162</f>
        <v/>
      </c>
      <c r="AW21" s="8">
        <f>Costs!AW162</f>
        <v/>
      </c>
      <c r="AX21" s="8">
        <f>Costs!AX162</f>
        <v/>
      </c>
      <c r="AY21" s="8">
        <f>Costs!AY162</f>
        <v/>
      </c>
      <c r="AZ21" s="8">
        <f>Costs!AZ162</f>
        <v/>
      </c>
      <c r="BA21" s="8">
        <f>Costs!BA162</f>
        <v/>
      </c>
      <c r="BB21" s="8">
        <f>Costs!BB162</f>
        <v/>
      </c>
      <c r="BC21" s="8">
        <f>Costs!BC162</f>
        <v/>
      </c>
      <c r="BD21" s="8">
        <f>Costs!BD162</f>
        <v/>
      </c>
      <c r="BE21" s="8">
        <f>Costs!BE162</f>
        <v/>
      </c>
      <c r="BF21" s="8">
        <f>Costs!BF162</f>
        <v/>
      </c>
      <c r="BG21" s="8">
        <f>Costs!BG162</f>
        <v/>
      </c>
      <c r="BH21" s="8">
        <f>Costs!BH162</f>
        <v/>
      </c>
      <c r="BI21" s="8">
        <f>Costs!BI162</f>
        <v/>
      </c>
      <c r="BJ21" s="8">
        <f>Costs!BJ162</f>
        <v/>
      </c>
    </row>
    <row r="22">
      <c r="A22" s="4" t="inlineStr">
        <is>
          <t>Payment processing</t>
        </is>
      </c>
      <c r="B22" s="17" t="inlineStr">
        <is>
          <t>R</t>
        </is>
      </c>
      <c r="C22" s="8">
        <f>Costs!C165</f>
        <v/>
      </c>
      <c r="D22" s="8">
        <f>Costs!D165</f>
        <v/>
      </c>
      <c r="E22" s="8">
        <f>Costs!E165</f>
        <v/>
      </c>
      <c r="F22" s="8">
        <f>Costs!F165</f>
        <v/>
      </c>
      <c r="G22" s="8">
        <f>Costs!G165</f>
        <v/>
      </c>
      <c r="H22" s="8">
        <f>Costs!H165</f>
        <v/>
      </c>
      <c r="I22" s="8">
        <f>Costs!I165</f>
        <v/>
      </c>
      <c r="J22" s="8">
        <f>Costs!J165</f>
        <v/>
      </c>
      <c r="K22" s="8">
        <f>Costs!K165</f>
        <v/>
      </c>
      <c r="L22" s="8">
        <f>Costs!L165</f>
        <v/>
      </c>
      <c r="M22" s="8">
        <f>Costs!M165</f>
        <v/>
      </c>
      <c r="N22" s="8">
        <f>Costs!N165</f>
        <v/>
      </c>
      <c r="O22" s="8">
        <f>Costs!O165</f>
        <v/>
      </c>
      <c r="P22" s="8">
        <f>Costs!P165</f>
        <v/>
      </c>
      <c r="Q22" s="8">
        <f>Costs!Q165</f>
        <v/>
      </c>
      <c r="R22" s="8">
        <f>Costs!R165</f>
        <v/>
      </c>
      <c r="S22" s="8">
        <f>Costs!S165</f>
        <v/>
      </c>
      <c r="T22" s="8">
        <f>Costs!T165</f>
        <v/>
      </c>
      <c r="U22" s="8">
        <f>Costs!U165</f>
        <v/>
      </c>
      <c r="V22" s="8">
        <f>Costs!V165</f>
        <v/>
      </c>
      <c r="W22" s="8">
        <f>Costs!W165</f>
        <v/>
      </c>
      <c r="X22" s="8">
        <f>Costs!X165</f>
        <v/>
      </c>
      <c r="Y22" s="8">
        <f>Costs!Y165</f>
        <v/>
      </c>
      <c r="Z22" s="8">
        <f>Costs!Z165</f>
        <v/>
      </c>
      <c r="AA22" s="8">
        <f>Costs!AA165</f>
        <v/>
      </c>
      <c r="AB22" s="8">
        <f>Costs!AB165</f>
        <v/>
      </c>
      <c r="AC22" s="8">
        <f>Costs!AC165</f>
        <v/>
      </c>
      <c r="AD22" s="8">
        <f>Costs!AD165</f>
        <v/>
      </c>
      <c r="AE22" s="8">
        <f>Costs!AE165</f>
        <v/>
      </c>
      <c r="AF22" s="8">
        <f>Costs!AF165</f>
        <v/>
      </c>
      <c r="AG22" s="8">
        <f>Costs!AG165</f>
        <v/>
      </c>
      <c r="AH22" s="8">
        <f>Costs!AH165</f>
        <v/>
      </c>
      <c r="AI22" s="8">
        <f>Costs!AI165</f>
        <v/>
      </c>
      <c r="AJ22" s="8">
        <f>Costs!AJ165</f>
        <v/>
      </c>
      <c r="AK22" s="8">
        <f>Costs!AK165</f>
        <v/>
      </c>
      <c r="AL22" s="8">
        <f>Costs!AL165</f>
        <v/>
      </c>
      <c r="AM22" s="8">
        <f>Costs!AM165</f>
        <v/>
      </c>
      <c r="AN22" s="8">
        <f>Costs!AN165</f>
        <v/>
      </c>
      <c r="AO22" s="8">
        <f>Costs!AO165</f>
        <v/>
      </c>
      <c r="AP22" s="8">
        <f>Costs!AP165</f>
        <v/>
      </c>
      <c r="AQ22" s="8">
        <f>Costs!AQ165</f>
        <v/>
      </c>
      <c r="AR22" s="8">
        <f>Costs!AR165</f>
        <v/>
      </c>
      <c r="AS22" s="8">
        <f>Costs!AS165</f>
        <v/>
      </c>
      <c r="AT22" s="8">
        <f>Costs!AT165</f>
        <v/>
      </c>
      <c r="AU22" s="8">
        <f>Costs!AU165</f>
        <v/>
      </c>
      <c r="AV22" s="8">
        <f>Costs!AV165</f>
        <v/>
      </c>
      <c r="AW22" s="8">
        <f>Costs!AW165</f>
        <v/>
      </c>
      <c r="AX22" s="8">
        <f>Costs!AX165</f>
        <v/>
      </c>
      <c r="AY22" s="8">
        <f>Costs!AY165</f>
        <v/>
      </c>
      <c r="AZ22" s="8">
        <f>Costs!AZ165</f>
        <v/>
      </c>
      <c r="BA22" s="8">
        <f>Costs!BA165</f>
        <v/>
      </c>
      <c r="BB22" s="8">
        <f>Costs!BB165</f>
        <v/>
      </c>
      <c r="BC22" s="8">
        <f>Costs!BC165</f>
        <v/>
      </c>
      <c r="BD22" s="8">
        <f>Costs!BD165</f>
        <v/>
      </c>
      <c r="BE22" s="8">
        <f>Costs!BE165</f>
        <v/>
      </c>
      <c r="BF22" s="8">
        <f>Costs!BF165</f>
        <v/>
      </c>
      <c r="BG22" s="8">
        <f>Costs!BG165</f>
        <v/>
      </c>
      <c r="BH22" s="8">
        <f>Costs!BH165</f>
        <v/>
      </c>
      <c r="BI22" s="8">
        <f>Costs!BI165</f>
        <v/>
      </c>
      <c r="BJ22" s="8">
        <f>Costs!BJ165</f>
        <v/>
      </c>
    </row>
    <row r="23">
      <c r="A23" s="4" t="inlineStr">
        <is>
          <t>Variable support</t>
        </is>
      </c>
      <c r="B23" s="17" t="inlineStr">
        <is>
          <t>R</t>
        </is>
      </c>
      <c r="C23" s="8">
        <f>Costs!C166</f>
        <v/>
      </c>
      <c r="D23" s="8">
        <f>Costs!D166</f>
        <v/>
      </c>
      <c r="E23" s="8">
        <f>Costs!E166</f>
        <v/>
      </c>
      <c r="F23" s="8">
        <f>Costs!F166</f>
        <v/>
      </c>
      <c r="G23" s="8">
        <f>Costs!G166</f>
        <v/>
      </c>
      <c r="H23" s="8">
        <f>Costs!H166</f>
        <v/>
      </c>
      <c r="I23" s="8">
        <f>Costs!I166</f>
        <v/>
      </c>
      <c r="J23" s="8">
        <f>Costs!J166</f>
        <v/>
      </c>
      <c r="K23" s="8">
        <f>Costs!K166</f>
        <v/>
      </c>
      <c r="L23" s="8">
        <f>Costs!L166</f>
        <v/>
      </c>
      <c r="M23" s="8">
        <f>Costs!M166</f>
        <v/>
      </c>
      <c r="N23" s="8">
        <f>Costs!N166</f>
        <v/>
      </c>
      <c r="O23" s="8">
        <f>Costs!O166</f>
        <v/>
      </c>
      <c r="P23" s="8">
        <f>Costs!P166</f>
        <v/>
      </c>
      <c r="Q23" s="8">
        <f>Costs!Q166</f>
        <v/>
      </c>
      <c r="R23" s="8">
        <f>Costs!R166</f>
        <v/>
      </c>
      <c r="S23" s="8">
        <f>Costs!S166</f>
        <v/>
      </c>
      <c r="T23" s="8">
        <f>Costs!T166</f>
        <v/>
      </c>
      <c r="U23" s="8">
        <f>Costs!U166</f>
        <v/>
      </c>
      <c r="V23" s="8">
        <f>Costs!V166</f>
        <v/>
      </c>
      <c r="W23" s="8">
        <f>Costs!W166</f>
        <v/>
      </c>
      <c r="X23" s="8">
        <f>Costs!X166</f>
        <v/>
      </c>
      <c r="Y23" s="8">
        <f>Costs!Y166</f>
        <v/>
      </c>
      <c r="Z23" s="8">
        <f>Costs!Z166</f>
        <v/>
      </c>
      <c r="AA23" s="8">
        <f>Costs!AA166</f>
        <v/>
      </c>
      <c r="AB23" s="8">
        <f>Costs!AB166</f>
        <v/>
      </c>
      <c r="AC23" s="8">
        <f>Costs!AC166</f>
        <v/>
      </c>
      <c r="AD23" s="8">
        <f>Costs!AD166</f>
        <v/>
      </c>
      <c r="AE23" s="8">
        <f>Costs!AE166</f>
        <v/>
      </c>
      <c r="AF23" s="8">
        <f>Costs!AF166</f>
        <v/>
      </c>
      <c r="AG23" s="8">
        <f>Costs!AG166</f>
        <v/>
      </c>
      <c r="AH23" s="8">
        <f>Costs!AH166</f>
        <v/>
      </c>
      <c r="AI23" s="8">
        <f>Costs!AI166</f>
        <v/>
      </c>
      <c r="AJ23" s="8">
        <f>Costs!AJ166</f>
        <v/>
      </c>
      <c r="AK23" s="8">
        <f>Costs!AK166</f>
        <v/>
      </c>
      <c r="AL23" s="8">
        <f>Costs!AL166</f>
        <v/>
      </c>
      <c r="AM23" s="8">
        <f>Costs!AM166</f>
        <v/>
      </c>
      <c r="AN23" s="8">
        <f>Costs!AN166</f>
        <v/>
      </c>
      <c r="AO23" s="8">
        <f>Costs!AO166</f>
        <v/>
      </c>
      <c r="AP23" s="8">
        <f>Costs!AP166</f>
        <v/>
      </c>
      <c r="AQ23" s="8">
        <f>Costs!AQ166</f>
        <v/>
      </c>
      <c r="AR23" s="8">
        <f>Costs!AR166</f>
        <v/>
      </c>
      <c r="AS23" s="8">
        <f>Costs!AS166</f>
        <v/>
      </c>
      <c r="AT23" s="8">
        <f>Costs!AT166</f>
        <v/>
      </c>
      <c r="AU23" s="8">
        <f>Costs!AU166</f>
        <v/>
      </c>
      <c r="AV23" s="8">
        <f>Costs!AV166</f>
        <v/>
      </c>
      <c r="AW23" s="8">
        <f>Costs!AW166</f>
        <v/>
      </c>
      <c r="AX23" s="8">
        <f>Costs!AX166</f>
        <v/>
      </c>
      <c r="AY23" s="8">
        <f>Costs!AY166</f>
        <v/>
      </c>
      <c r="AZ23" s="8">
        <f>Costs!AZ166</f>
        <v/>
      </c>
      <c r="BA23" s="8">
        <f>Costs!BA166</f>
        <v/>
      </c>
      <c r="BB23" s="8">
        <f>Costs!BB166</f>
        <v/>
      </c>
      <c r="BC23" s="8">
        <f>Costs!BC166</f>
        <v/>
      </c>
      <c r="BD23" s="8">
        <f>Costs!BD166</f>
        <v/>
      </c>
      <c r="BE23" s="8">
        <f>Costs!BE166</f>
        <v/>
      </c>
      <c r="BF23" s="8">
        <f>Costs!BF166</f>
        <v/>
      </c>
      <c r="BG23" s="8">
        <f>Costs!BG166</f>
        <v/>
      </c>
      <c r="BH23" s="8">
        <f>Costs!BH166</f>
        <v/>
      </c>
      <c r="BI23" s="8">
        <f>Costs!BI166</f>
        <v/>
      </c>
      <c r="BJ23" s="8">
        <f>Costs!BJ166</f>
        <v/>
      </c>
    </row>
    <row r="24">
      <c r="A24" s="4" t="inlineStr">
        <is>
          <t>Customer success team</t>
        </is>
      </c>
      <c r="B24" s="17" t="inlineStr">
        <is>
          <t>R</t>
        </is>
      </c>
      <c r="C24" s="8">
        <f>Costs!C167</f>
        <v/>
      </c>
      <c r="D24" s="8">
        <f>Costs!D167</f>
        <v/>
      </c>
      <c r="E24" s="8">
        <f>Costs!E167</f>
        <v/>
      </c>
      <c r="F24" s="8">
        <f>Costs!F167</f>
        <v/>
      </c>
      <c r="G24" s="8">
        <f>Costs!G167</f>
        <v/>
      </c>
      <c r="H24" s="8">
        <f>Costs!H167</f>
        <v/>
      </c>
      <c r="I24" s="8">
        <f>Costs!I167</f>
        <v/>
      </c>
      <c r="J24" s="8">
        <f>Costs!J167</f>
        <v/>
      </c>
      <c r="K24" s="8">
        <f>Costs!K167</f>
        <v/>
      </c>
      <c r="L24" s="8">
        <f>Costs!L167</f>
        <v/>
      </c>
      <c r="M24" s="8">
        <f>Costs!M167</f>
        <v/>
      </c>
      <c r="N24" s="8">
        <f>Costs!N167</f>
        <v/>
      </c>
      <c r="O24" s="8">
        <f>Costs!O167</f>
        <v/>
      </c>
      <c r="P24" s="8">
        <f>Costs!P167</f>
        <v/>
      </c>
      <c r="Q24" s="8">
        <f>Costs!Q167</f>
        <v/>
      </c>
      <c r="R24" s="8">
        <f>Costs!R167</f>
        <v/>
      </c>
      <c r="S24" s="8">
        <f>Costs!S167</f>
        <v/>
      </c>
      <c r="T24" s="8">
        <f>Costs!T167</f>
        <v/>
      </c>
      <c r="U24" s="8">
        <f>Costs!U167</f>
        <v/>
      </c>
      <c r="V24" s="8">
        <f>Costs!V167</f>
        <v/>
      </c>
      <c r="W24" s="8">
        <f>Costs!W167</f>
        <v/>
      </c>
      <c r="X24" s="8">
        <f>Costs!X167</f>
        <v/>
      </c>
      <c r="Y24" s="8">
        <f>Costs!Y167</f>
        <v/>
      </c>
      <c r="Z24" s="8">
        <f>Costs!Z167</f>
        <v/>
      </c>
      <c r="AA24" s="8">
        <f>Costs!AA167</f>
        <v/>
      </c>
      <c r="AB24" s="8">
        <f>Costs!AB167</f>
        <v/>
      </c>
      <c r="AC24" s="8">
        <f>Costs!AC167</f>
        <v/>
      </c>
      <c r="AD24" s="8">
        <f>Costs!AD167</f>
        <v/>
      </c>
      <c r="AE24" s="8">
        <f>Costs!AE167</f>
        <v/>
      </c>
      <c r="AF24" s="8">
        <f>Costs!AF167</f>
        <v/>
      </c>
      <c r="AG24" s="8">
        <f>Costs!AG167</f>
        <v/>
      </c>
      <c r="AH24" s="8">
        <f>Costs!AH167</f>
        <v/>
      </c>
      <c r="AI24" s="8">
        <f>Costs!AI167</f>
        <v/>
      </c>
      <c r="AJ24" s="8">
        <f>Costs!AJ167</f>
        <v/>
      </c>
      <c r="AK24" s="8">
        <f>Costs!AK167</f>
        <v/>
      </c>
      <c r="AL24" s="8">
        <f>Costs!AL167</f>
        <v/>
      </c>
      <c r="AM24" s="8">
        <f>Costs!AM167</f>
        <v/>
      </c>
      <c r="AN24" s="8">
        <f>Costs!AN167</f>
        <v/>
      </c>
      <c r="AO24" s="8">
        <f>Costs!AO167</f>
        <v/>
      </c>
      <c r="AP24" s="8">
        <f>Costs!AP167</f>
        <v/>
      </c>
      <c r="AQ24" s="8">
        <f>Costs!AQ167</f>
        <v/>
      </c>
      <c r="AR24" s="8">
        <f>Costs!AR167</f>
        <v/>
      </c>
      <c r="AS24" s="8">
        <f>Costs!AS167</f>
        <v/>
      </c>
      <c r="AT24" s="8">
        <f>Costs!AT167</f>
        <v/>
      </c>
      <c r="AU24" s="8">
        <f>Costs!AU167</f>
        <v/>
      </c>
      <c r="AV24" s="8">
        <f>Costs!AV167</f>
        <v/>
      </c>
      <c r="AW24" s="8">
        <f>Costs!AW167</f>
        <v/>
      </c>
      <c r="AX24" s="8">
        <f>Costs!AX167</f>
        <v/>
      </c>
      <c r="AY24" s="8">
        <f>Costs!AY167</f>
        <v/>
      </c>
      <c r="AZ24" s="8">
        <f>Costs!AZ167</f>
        <v/>
      </c>
      <c r="BA24" s="8">
        <f>Costs!BA167</f>
        <v/>
      </c>
      <c r="BB24" s="8">
        <f>Costs!BB167</f>
        <v/>
      </c>
      <c r="BC24" s="8">
        <f>Costs!BC167</f>
        <v/>
      </c>
      <c r="BD24" s="8">
        <f>Costs!BD167</f>
        <v/>
      </c>
      <c r="BE24" s="8">
        <f>Costs!BE167</f>
        <v/>
      </c>
      <c r="BF24" s="8">
        <f>Costs!BF167</f>
        <v/>
      </c>
      <c r="BG24" s="8">
        <f>Costs!BG167</f>
        <v/>
      </c>
      <c r="BH24" s="8">
        <f>Costs!BH167</f>
        <v/>
      </c>
      <c r="BI24" s="8">
        <f>Costs!BI167</f>
        <v/>
      </c>
      <c r="BJ24" s="8">
        <f>Costs!BJ167</f>
        <v/>
      </c>
    </row>
    <row r="25">
      <c r="A25" s="3" t="inlineStr">
        <is>
          <t>Total cost of revenue</t>
        </is>
      </c>
      <c r="B25" s="17" t="inlineStr">
        <is>
          <t>R</t>
        </is>
      </c>
      <c r="C25" s="42">
        <f>C19+C20+C21+C22+C23+C24</f>
        <v/>
      </c>
      <c r="D25" s="42">
        <f>D19+D20+D21+D22+D23+D24</f>
        <v/>
      </c>
      <c r="E25" s="42">
        <f>E19+E20+E21+E22+E23+E24</f>
        <v/>
      </c>
      <c r="F25" s="42">
        <f>F19+F20+F21+F22+F23+F24</f>
        <v/>
      </c>
      <c r="G25" s="42">
        <f>G19+G20+G21+G22+G23+G24</f>
        <v/>
      </c>
      <c r="H25" s="42">
        <f>H19+H20+H21+H22+H23+H24</f>
        <v/>
      </c>
      <c r="I25" s="42">
        <f>I19+I20+I21+I22+I23+I24</f>
        <v/>
      </c>
      <c r="J25" s="42">
        <f>J19+J20+J21+J22+J23+J24</f>
        <v/>
      </c>
      <c r="K25" s="42">
        <f>K19+K20+K21+K22+K23+K24</f>
        <v/>
      </c>
      <c r="L25" s="42">
        <f>L19+L20+L21+L22+L23+L24</f>
        <v/>
      </c>
      <c r="M25" s="42">
        <f>M19+M20+M21+M22+M23+M24</f>
        <v/>
      </c>
      <c r="N25" s="42">
        <f>N19+N20+N21+N22+N23+N24</f>
        <v/>
      </c>
      <c r="O25" s="42">
        <f>O19+O20+O21+O22+O23+O24</f>
        <v/>
      </c>
      <c r="P25" s="42">
        <f>P19+P20+P21+P22+P23+P24</f>
        <v/>
      </c>
      <c r="Q25" s="42">
        <f>Q19+Q20+Q21+Q22+Q23+Q24</f>
        <v/>
      </c>
      <c r="R25" s="42">
        <f>R19+R20+R21+R22+R23+R24</f>
        <v/>
      </c>
      <c r="S25" s="42">
        <f>S19+S20+S21+S22+S23+S24</f>
        <v/>
      </c>
      <c r="T25" s="42">
        <f>T19+T20+T21+T22+T23+T24</f>
        <v/>
      </c>
      <c r="U25" s="42">
        <f>U19+U20+U21+U22+U23+U24</f>
        <v/>
      </c>
      <c r="V25" s="42">
        <f>V19+V20+V21+V22+V23+V24</f>
        <v/>
      </c>
      <c r="W25" s="42">
        <f>W19+W20+W21+W22+W23+W24</f>
        <v/>
      </c>
      <c r="X25" s="42">
        <f>X19+X20+X21+X22+X23+X24</f>
        <v/>
      </c>
      <c r="Y25" s="42">
        <f>Y19+Y20+Y21+Y22+Y23+Y24</f>
        <v/>
      </c>
      <c r="Z25" s="42">
        <f>Z19+Z20+Z21+Z22+Z23+Z24</f>
        <v/>
      </c>
      <c r="AA25" s="42">
        <f>AA19+AA20+AA21+AA22+AA23+AA24</f>
        <v/>
      </c>
      <c r="AB25" s="42">
        <f>AB19+AB20+AB21+AB22+AB23+AB24</f>
        <v/>
      </c>
      <c r="AC25" s="42">
        <f>AC19+AC20+AC21+AC22+AC23+AC24</f>
        <v/>
      </c>
      <c r="AD25" s="42">
        <f>AD19+AD20+AD21+AD22+AD23+AD24</f>
        <v/>
      </c>
      <c r="AE25" s="42">
        <f>AE19+AE20+AE21+AE22+AE23+AE24</f>
        <v/>
      </c>
      <c r="AF25" s="42">
        <f>AF19+AF20+AF21+AF22+AF23+AF24</f>
        <v/>
      </c>
      <c r="AG25" s="42">
        <f>AG19+AG20+AG21+AG22+AG23+AG24</f>
        <v/>
      </c>
      <c r="AH25" s="42">
        <f>AH19+AH20+AH21+AH22+AH23+AH24</f>
        <v/>
      </c>
      <c r="AI25" s="42">
        <f>AI19+AI20+AI21+AI22+AI23+AI24</f>
        <v/>
      </c>
      <c r="AJ25" s="42">
        <f>AJ19+AJ20+AJ21+AJ22+AJ23+AJ24</f>
        <v/>
      </c>
      <c r="AK25" s="42">
        <f>AK19+AK20+AK21+AK22+AK23+AK24</f>
        <v/>
      </c>
      <c r="AL25" s="42">
        <f>AL19+AL20+AL21+AL22+AL23+AL24</f>
        <v/>
      </c>
      <c r="AM25" s="42">
        <f>AM19+AM20+AM21+AM22+AM23+AM24</f>
        <v/>
      </c>
      <c r="AN25" s="42">
        <f>AN19+AN20+AN21+AN22+AN23+AN24</f>
        <v/>
      </c>
      <c r="AO25" s="42">
        <f>AO19+AO20+AO21+AO22+AO23+AO24</f>
        <v/>
      </c>
      <c r="AP25" s="42">
        <f>AP19+AP20+AP21+AP22+AP23+AP24</f>
        <v/>
      </c>
      <c r="AQ25" s="42">
        <f>AQ19+AQ20+AQ21+AQ22+AQ23+AQ24</f>
        <v/>
      </c>
      <c r="AR25" s="42">
        <f>AR19+AR20+AR21+AR22+AR23+AR24</f>
        <v/>
      </c>
      <c r="AS25" s="42">
        <f>AS19+AS20+AS21+AS22+AS23+AS24</f>
        <v/>
      </c>
      <c r="AT25" s="42">
        <f>AT19+AT20+AT21+AT22+AT23+AT24</f>
        <v/>
      </c>
      <c r="AU25" s="42">
        <f>AU19+AU20+AU21+AU22+AU23+AU24</f>
        <v/>
      </c>
      <c r="AV25" s="42">
        <f>AV19+AV20+AV21+AV22+AV23+AV24</f>
        <v/>
      </c>
      <c r="AW25" s="42">
        <f>AW19+AW20+AW21+AW22+AW23+AW24</f>
        <v/>
      </c>
      <c r="AX25" s="42">
        <f>AX19+AX20+AX21+AX22+AX23+AX24</f>
        <v/>
      </c>
      <c r="AY25" s="42">
        <f>AY19+AY20+AY21+AY22+AY23+AY24</f>
        <v/>
      </c>
      <c r="AZ25" s="42">
        <f>AZ19+AZ20+AZ21+AZ22+AZ23+AZ24</f>
        <v/>
      </c>
      <c r="BA25" s="42">
        <f>BA19+BA20+BA21+BA22+BA23+BA24</f>
        <v/>
      </c>
      <c r="BB25" s="42">
        <f>BB19+BB20+BB21+BB22+BB23+BB24</f>
        <v/>
      </c>
      <c r="BC25" s="42">
        <f>BC19+BC20+BC21+BC22+BC23+BC24</f>
        <v/>
      </c>
      <c r="BD25" s="42">
        <f>BD19+BD20+BD21+BD22+BD23+BD24</f>
        <v/>
      </c>
      <c r="BE25" s="42">
        <f>BE19+BE20+BE21+BE22+BE23+BE24</f>
        <v/>
      </c>
      <c r="BF25" s="42">
        <f>BF19+BF20+BF21+BF22+BF23+BF24</f>
        <v/>
      </c>
      <c r="BG25" s="42">
        <f>BG19+BG20+BG21+BG22+BG23+BG24</f>
        <v/>
      </c>
      <c r="BH25" s="42">
        <f>BH19+BH20+BH21+BH22+BH23+BH24</f>
        <v/>
      </c>
      <c r="BI25" s="42">
        <f>BI19+BI20+BI21+BI22+BI23+BI24</f>
        <v/>
      </c>
      <c r="BJ25" s="42">
        <f>BJ19+BJ20+BJ21+BJ22+BJ23+BJ24</f>
        <v/>
      </c>
    </row>
    <row r="26">
      <c r="A26" s="3" t="inlineStr">
        <is>
          <t>Gross profit</t>
        </is>
      </c>
      <c r="B26" s="17" t="inlineStr">
        <is>
          <t>R</t>
        </is>
      </c>
      <c r="C26" s="42">
        <f>C16-C25</f>
        <v/>
      </c>
      <c r="D26" s="42">
        <f>D16-D25</f>
        <v/>
      </c>
      <c r="E26" s="42">
        <f>E16-E25</f>
        <v/>
      </c>
      <c r="F26" s="42">
        <f>F16-F25</f>
        <v/>
      </c>
      <c r="G26" s="42">
        <f>G16-G25</f>
        <v/>
      </c>
      <c r="H26" s="42">
        <f>H16-H25</f>
        <v/>
      </c>
      <c r="I26" s="42">
        <f>I16-I25</f>
        <v/>
      </c>
      <c r="J26" s="42">
        <f>J16-J25</f>
        <v/>
      </c>
      <c r="K26" s="42">
        <f>K16-K25</f>
        <v/>
      </c>
      <c r="L26" s="42">
        <f>L16-L25</f>
        <v/>
      </c>
      <c r="M26" s="42">
        <f>M16-M25</f>
        <v/>
      </c>
      <c r="N26" s="42">
        <f>N16-N25</f>
        <v/>
      </c>
      <c r="O26" s="42">
        <f>O16-O25</f>
        <v/>
      </c>
      <c r="P26" s="42">
        <f>P16-P25</f>
        <v/>
      </c>
      <c r="Q26" s="42">
        <f>Q16-Q25</f>
        <v/>
      </c>
      <c r="R26" s="42">
        <f>R16-R25</f>
        <v/>
      </c>
      <c r="S26" s="42">
        <f>S16-S25</f>
        <v/>
      </c>
      <c r="T26" s="42">
        <f>T16-T25</f>
        <v/>
      </c>
      <c r="U26" s="42">
        <f>U16-U25</f>
        <v/>
      </c>
      <c r="V26" s="42">
        <f>V16-V25</f>
        <v/>
      </c>
      <c r="W26" s="42">
        <f>W16-W25</f>
        <v/>
      </c>
      <c r="X26" s="42">
        <f>X16-X25</f>
        <v/>
      </c>
      <c r="Y26" s="42">
        <f>Y16-Y25</f>
        <v/>
      </c>
      <c r="Z26" s="42">
        <f>Z16-Z25</f>
        <v/>
      </c>
      <c r="AA26" s="42">
        <f>AA16-AA25</f>
        <v/>
      </c>
      <c r="AB26" s="42">
        <f>AB16-AB25</f>
        <v/>
      </c>
      <c r="AC26" s="42">
        <f>AC16-AC25</f>
        <v/>
      </c>
      <c r="AD26" s="42">
        <f>AD16-AD25</f>
        <v/>
      </c>
      <c r="AE26" s="42">
        <f>AE16-AE25</f>
        <v/>
      </c>
      <c r="AF26" s="42">
        <f>AF16-AF25</f>
        <v/>
      </c>
      <c r="AG26" s="42">
        <f>AG16-AG25</f>
        <v/>
      </c>
      <c r="AH26" s="42">
        <f>AH16-AH25</f>
        <v/>
      </c>
      <c r="AI26" s="42">
        <f>AI16-AI25</f>
        <v/>
      </c>
      <c r="AJ26" s="42">
        <f>AJ16-AJ25</f>
        <v/>
      </c>
      <c r="AK26" s="42">
        <f>AK16-AK25</f>
        <v/>
      </c>
      <c r="AL26" s="42">
        <f>AL16-AL25</f>
        <v/>
      </c>
      <c r="AM26" s="42">
        <f>AM16-AM25</f>
        <v/>
      </c>
      <c r="AN26" s="42">
        <f>AN16-AN25</f>
        <v/>
      </c>
      <c r="AO26" s="42">
        <f>AO16-AO25</f>
        <v/>
      </c>
      <c r="AP26" s="42">
        <f>AP16-AP25</f>
        <v/>
      </c>
      <c r="AQ26" s="42">
        <f>AQ16-AQ25</f>
        <v/>
      </c>
      <c r="AR26" s="42">
        <f>AR16-AR25</f>
        <v/>
      </c>
      <c r="AS26" s="42">
        <f>AS16-AS25</f>
        <v/>
      </c>
      <c r="AT26" s="42">
        <f>AT16-AT25</f>
        <v/>
      </c>
      <c r="AU26" s="42">
        <f>AU16-AU25</f>
        <v/>
      </c>
      <c r="AV26" s="42">
        <f>AV16-AV25</f>
        <v/>
      </c>
      <c r="AW26" s="42">
        <f>AW16-AW25</f>
        <v/>
      </c>
      <c r="AX26" s="42">
        <f>AX16-AX25</f>
        <v/>
      </c>
      <c r="AY26" s="42">
        <f>AY16-AY25</f>
        <v/>
      </c>
      <c r="AZ26" s="42">
        <f>AZ16-AZ25</f>
        <v/>
      </c>
      <c r="BA26" s="42">
        <f>BA16-BA25</f>
        <v/>
      </c>
      <c r="BB26" s="42">
        <f>BB16-BB25</f>
        <v/>
      </c>
      <c r="BC26" s="42">
        <f>BC16-BC25</f>
        <v/>
      </c>
      <c r="BD26" s="42">
        <f>BD16-BD25</f>
        <v/>
      </c>
      <c r="BE26" s="42">
        <f>BE16-BE25</f>
        <v/>
      </c>
      <c r="BF26" s="42">
        <f>BF16-BF25</f>
        <v/>
      </c>
      <c r="BG26" s="42">
        <f>BG16-BG25</f>
        <v/>
      </c>
      <c r="BH26" s="42">
        <f>BH16-BH25</f>
        <v/>
      </c>
      <c r="BI26" s="42">
        <f>BI16-BI25</f>
        <v/>
      </c>
      <c r="BJ26" s="42">
        <f>BJ16-BJ25</f>
        <v/>
      </c>
    </row>
    <row r="27">
      <c r="A27" s="4" t="inlineStr">
        <is>
          <t>Gross margin %</t>
        </is>
      </c>
      <c r="B27" s="17" t="inlineStr">
        <is>
          <t>%</t>
        </is>
      </c>
      <c r="C27" s="9">
        <f>IF(C16=0,0,C26/C16)</f>
        <v/>
      </c>
      <c r="D27" s="9">
        <f>IF(D16=0,0,D26/D16)</f>
        <v/>
      </c>
      <c r="E27" s="9">
        <f>IF(E16=0,0,E26/E16)</f>
        <v/>
      </c>
      <c r="F27" s="9">
        <f>IF(F16=0,0,F26/F16)</f>
        <v/>
      </c>
      <c r="G27" s="9">
        <f>IF(G16=0,0,G26/G16)</f>
        <v/>
      </c>
      <c r="H27" s="9">
        <f>IF(H16=0,0,H26/H16)</f>
        <v/>
      </c>
      <c r="I27" s="9">
        <f>IF(I16=0,0,I26/I16)</f>
        <v/>
      </c>
      <c r="J27" s="9">
        <f>IF(J16=0,0,J26/J16)</f>
        <v/>
      </c>
      <c r="K27" s="9">
        <f>IF(K16=0,0,K26/K16)</f>
        <v/>
      </c>
      <c r="L27" s="9">
        <f>IF(L16=0,0,L26/L16)</f>
        <v/>
      </c>
      <c r="M27" s="9">
        <f>IF(M16=0,0,M26/M16)</f>
        <v/>
      </c>
      <c r="N27" s="9">
        <f>IF(N16=0,0,N26/N16)</f>
        <v/>
      </c>
      <c r="O27" s="9">
        <f>IF(O16=0,0,O26/O16)</f>
        <v/>
      </c>
      <c r="P27" s="9">
        <f>IF(P16=0,0,P26/P16)</f>
        <v/>
      </c>
      <c r="Q27" s="9">
        <f>IF(Q16=0,0,Q26/Q16)</f>
        <v/>
      </c>
      <c r="R27" s="9">
        <f>IF(R16=0,0,R26/R16)</f>
        <v/>
      </c>
      <c r="S27" s="9">
        <f>IF(S16=0,0,S26/S16)</f>
        <v/>
      </c>
      <c r="T27" s="9">
        <f>IF(T16=0,0,T26/T16)</f>
        <v/>
      </c>
      <c r="U27" s="9">
        <f>IF(U16=0,0,U26/U16)</f>
        <v/>
      </c>
      <c r="V27" s="9">
        <f>IF(V16=0,0,V26/V16)</f>
        <v/>
      </c>
      <c r="W27" s="9">
        <f>IF(W16=0,0,W26/W16)</f>
        <v/>
      </c>
      <c r="X27" s="9">
        <f>IF(X16=0,0,X26/X16)</f>
        <v/>
      </c>
      <c r="Y27" s="9">
        <f>IF(Y16=0,0,Y26/Y16)</f>
        <v/>
      </c>
      <c r="Z27" s="9">
        <f>IF(Z16=0,0,Z26/Z16)</f>
        <v/>
      </c>
      <c r="AA27" s="9">
        <f>IF(AA16=0,0,AA26/AA16)</f>
        <v/>
      </c>
      <c r="AB27" s="9">
        <f>IF(AB16=0,0,AB26/AB16)</f>
        <v/>
      </c>
      <c r="AC27" s="9">
        <f>IF(AC16=0,0,AC26/AC16)</f>
        <v/>
      </c>
      <c r="AD27" s="9">
        <f>IF(AD16=0,0,AD26/AD16)</f>
        <v/>
      </c>
      <c r="AE27" s="9">
        <f>IF(AE16=0,0,AE26/AE16)</f>
        <v/>
      </c>
      <c r="AF27" s="9">
        <f>IF(AF16=0,0,AF26/AF16)</f>
        <v/>
      </c>
      <c r="AG27" s="9">
        <f>IF(AG16=0,0,AG26/AG16)</f>
        <v/>
      </c>
      <c r="AH27" s="9">
        <f>IF(AH16=0,0,AH26/AH16)</f>
        <v/>
      </c>
      <c r="AI27" s="9">
        <f>IF(AI16=0,0,AI26/AI16)</f>
        <v/>
      </c>
      <c r="AJ27" s="9">
        <f>IF(AJ16=0,0,AJ26/AJ16)</f>
        <v/>
      </c>
      <c r="AK27" s="9">
        <f>IF(AK16=0,0,AK26/AK16)</f>
        <v/>
      </c>
      <c r="AL27" s="9">
        <f>IF(AL16=0,0,AL26/AL16)</f>
        <v/>
      </c>
      <c r="AM27" s="9">
        <f>IF(AM16=0,0,AM26/AM16)</f>
        <v/>
      </c>
      <c r="AN27" s="9">
        <f>IF(AN16=0,0,AN26/AN16)</f>
        <v/>
      </c>
      <c r="AO27" s="9">
        <f>IF(AO16=0,0,AO26/AO16)</f>
        <v/>
      </c>
      <c r="AP27" s="9">
        <f>IF(AP16=0,0,AP26/AP16)</f>
        <v/>
      </c>
      <c r="AQ27" s="9">
        <f>IF(AQ16=0,0,AQ26/AQ16)</f>
        <v/>
      </c>
      <c r="AR27" s="9">
        <f>IF(AR16=0,0,AR26/AR16)</f>
        <v/>
      </c>
      <c r="AS27" s="9">
        <f>IF(AS16=0,0,AS26/AS16)</f>
        <v/>
      </c>
      <c r="AT27" s="9">
        <f>IF(AT16=0,0,AT26/AT16)</f>
        <v/>
      </c>
      <c r="AU27" s="9">
        <f>IF(AU16=0,0,AU26/AU16)</f>
        <v/>
      </c>
      <c r="AV27" s="9">
        <f>IF(AV16=0,0,AV26/AV16)</f>
        <v/>
      </c>
      <c r="AW27" s="9">
        <f>IF(AW16=0,0,AW26/AW16)</f>
        <v/>
      </c>
      <c r="AX27" s="9">
        <f>IF(AX16=0,0,AX26/AX16)</f>
        <v/>
      </c>
      <c r="AY27" s="9">
        <f>IF(AY16=0,0,AY26/AY16)</f>
        <v/>
      </c>
      <c r="AZ27" s="9">
        <f>IF(AZ16=0,0,AZ26/AZ16)</f>
        <v/>
      </c>
      <c r="BA27" s="9">
        <f>IF(BA16=0,0,BA26/BA16)</f>
        <v/>
      </c>
      <c r="BB27" s="9">
        <f>IF(BB16=0,0,BB26/BB16)</f>
        <v/>
      </c>
      <c r="BC27" s="9">
        <f>IF(BC16=0,0,BC26/BC16)</f>
        <v/>
      </c>
      <c r="BD27" s="9">
        <f>IF(BD16=0,0,BD26/BD16)</f>
        <v/>
      </c>
      <c r="BE27" s="9">
        <f>IF(BE16=0,0,BE26/BE16)</f>
        <v/>
      </c>
      <c r="BF27" s="9">
        <f>IF(BF16=0,0,BF26/BF16)</f>
        <v/>
      </c>
      <c r="BG27" s="9">
        <f>IF(BG16=0,0,BG26/BG16)</f>
        <v/>
      </c>
      <c r="BH27" s="9">
        <f>IF(BH16=0,0,BH26/BH16)</f>
        <v/>
      </c>
      <c r="BI27" s="9">
        <f>IF(BI16=0,0,BI26/BI16)</f>
        <v/>
      </c>
      <c r="BJ27" s="9">
        <f>IF(BJ16=0,0,BJ26/BJ16)</f>
        <v/>
      </c>
    </row>
    <row r="28"/>
    <row r="29">
      <c r="A29" s="19" t="inlineStr">
        <is>
          <t>Operating expenses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</row>
    <row r="30">
      <c r="A30" s="4" t="inlineStr">
        <is>
          <t>Payroll: Leadership</t>
        </is>
      </c>
      <c r="B30" s="17" t="inlineStr">
        <is>
          <t>R</t>
        </is>
      </c>
      <c r="C30" s="8">
        <f>Costs!C144</f>
        <v/>
      </c>
      <c r="D30" s="8">
        <f>Costs!D144</f>
        <v/>
      </c>
      <c r="E30" s="8">
        <f>Costs!E144</f>
        <v/>
      </c>
      <c r="F30" s="8">
        <f>Costs!F144</f>
        <v/>
      </c>
      <c r="G30" s="8">
        <f>Costs!G144</f>
        <v/>
      </c>
      <c r="H30" s="8">
        <f>Costs!H144</f>
        <v/>
      </c>
      <c r="I30" s="8">
        <f>Costs!I144</f>
        <v/>
      </c>
      <c r="J30" s="8">
        <f>Costs!J144</f>
        <v/>
      </c>
      <c r="K30" s="8">
        <f>Costs!K144</f>
        <v/>
      </c>
      <c r="L30" s="8">
        <f>Costs!L144</f>
        <v/>
      </c>
      <c r="M30" s="8">
        <f>Costs!M144</f>
        <v/>
      </c>
      <c r="N30" s="8">
        <f>Costs!N144</f>
        <v/>
      </c>
      <c r="O30" s="8">
        <f>Costs!O144</f>
        <v/>
      </c>
      <c r="P30" s="8">
        <f>Costs!P144</f>
        <v/>
      </c>
      <c r="Q30" s="8">
        <f>Costs!Q144</f>
        <v/>
      </c>
      <c r="R30" s="8">
        <f>Costs!R144</f>
        <v/>
      </c>
      <c r="S30" s="8">
        <f>Costs!S144</f>
        <v/>
      </c>
      <c r="T30" s="8">
        <f>Costs!T144</f>
        <v/>
      </c>
      <c r="U30" s="8">
        <f>Costs!U144</f>
        <v/>
      </c>
      <c r="V30" s="8">
        <f>Costs!V144</f>
        <v/>
      </c>
      <c r="W30" s="8">
        <f>Costs!W144</f>
        <v/>
      </c>
      <c r="X30" s="8">
        <f>Costs!X144</f>
        <v/>
      </c>
      <c r="Y30" s="8">
        <f>Costs!Y144</f>
        <v/>
      </c>
      <c r="Z30" s="8">
        <f>Costs!Z144</f>
        <v/>
      </c>
      <c r="AA30" s="8">
        <f>Costs!AA144</f>
        <v/>
      </c>
      <c r="AB30" s="8">
        <f>Costs!AB144</f>
        <v/>
      </c>
      <c r="AC30" s="8">
        <f>Costs!AC144</f>
        <v/>
      </c>
      <c r="AD30" s="8">
        <f>Costs!AD144</f>
        <v/>
      </c>
      <c r="AE30" s="8">
        <f>Costs!AE144</f>
        <v/>
      </c>
      <c r="AF30" s="8">
        <f>Costs!AF144</f>
        <v/>
      </c>
      <c r="AG30" s="8">
        <f>Costs!AG144</f>
        <v/>
      </c>
      <c r="AH30" s="8">
        <f>Costs!AH144</f>
        <v/>
      </c>
      <c r="AI30" s="8">
        <f>Costs!AI144</f>
        <v/>
      </c>
      <c r="AJ30" s="8">
        <f>Costs!AJ144</f>
        <v/>
      </c>
      <c r="AK30" s="8">
        <f>Costs!AK144</f>
        <v/>
      </c>
      <c r="AL30" s="8">
        <f>Costs!AL144</f>
        <v/>
      </c>
      <c r="AM30" s="8">
        <f>Costs!AM144</f>
        <v/>
      </c>
      <c r="AN30" s="8">
        <f>Costs!AN144</f>
        <v/>
      </c>
      <c r="AO30" s="8">
        <f>Costs!AO144</f>
        <v/>
      </c>
      <c r="AP30" s="8">
        <f>Costs!AP144</f>
        <v/>
      </c>
      <c r="AQ30" s="8">
        <f>Costs!AQ144</f>
        <v/>
      </c>
      <c r="AR30" s="8">
        <f>Costs!AR144</f>
        <v/>
      </c>
      <c r="AS30" s="8">
        <f>Costs!AS144</f>
        <v/>
      </c>
      <c r="AT30" s="8">
        <f>Costs!AT144</f>
        <v/>
      </c>
      <c r="AU30" s="8">
        <f>Costs!AU144</f>
        <v/>
      </c>
      <c r="AV30" s="8">
        <f>Costs!AV144</f>
        <v/>
      </c>
      <c r="AW30" s="8">
        <f>Costs!AW144</f>
        <v/>
      </c>
      <c r="AX30" s="8">
        <f>Costs!AX144</f>
        <v/>
      </c>
      <c r="AY30" s="8">
        <f>Costs!AY144</f>
        <v/>
      </c>
      <c r="AZ30" s="8">
        <f>Costs!AZ144</f>
        <v/>
      </c>
      <c r="BA30" s="8">
        <f>Costs!BA144</f>
        <v/>
      </c>
      <c r="BB30" s="8">
        <f>Costs!BB144</f>
        <v/>
      </c>
      <c r="BC30" s="8">
        <f>Costs!BC144</f>
        <v/>
      </c>
      <c r="BD30" s="8">
        <f>Costs!BD144</f>
        <v/>
      </c>
      <c r="BE30" s="8">
        <f>Costs!BE144</f>
        <v/>
      </c>
      <c r="BF30" s="8">
        <f>Costs!BF144</f>
        <v/>
      </c>
      <c r="BG30" s="8">
        <f>Costs!BG144</f>
        <v/>
      </c>
      <c r="BH30" s="8">
        <f>Costs!BH144</f>
        <v/>
      </c>
      <c r="BI30" s="8">
        <f>Costs!BI144</f>
        <v/>
      </c>
      <c r="BJ30" s="8">
        <f>Costs!BJ144</f>
        <v/>
      </c>
    </row>
    <row r="31">
      <c r="A31" s="4" t="inlineStr">
        <is>
          <t>Payroll: Engineering &amp; product</t>
        </is>
      </c>
      <c r="B31" s="17" t="inlineStr">
        <is>
          <t>R</t>
        </is>
      </c>
      <c r="C31" s="8">
        <f>Costs!C145</f>
        <v/>
      </c>
      <c r="D31" s="8">
        <f>Costs!D145</f>
        <v/>
      </c>
      <c r="E31" s="8">
        <f>Costs!E145</f>
        <v/>
      </c>
      <c r="F31" s="8">
        <f>Costs!F145</f>
        <v/>
      </c>
      <c r="G31" s="8">
        <f>Costs!G145</f>
        <v/>
      </c>
      <c r="H31" s="8">
        <f>Costs!H145</f>
        <v/>
      </c>
      <c r="I31" s="8">
        <f>Costs!I145</f>
        <v/>
      </c>
      <c r="J31" s="8">
        <f>Costs!J145</f>
        <v/>
      </c>
      <c r="K31" s="8">
        <f>Costs!K145</f>
        <v/>
      </c>
      <c r="L31" s="8">
        <f>Costs!L145</f>
        <v/>
      </c>
      <c r="M31" s="8">
        <f>Costs!M145</f>
        <v/>
      </c>
      <c r="N31" s="8">
        <f>Costs!N145</f>
        <v/>
      </c>
      <c r="O31" s="8">
        <f>Costs!O145</f>
        <v/>
      </c>
      <c r="P31" s="8">
        <f>Costs!P145</f>
        <v/>
      </c>
      <c r="Q31" s="8">
        <f>Costs!Q145</f>
        <v/>
      </c>
      <c r="R31" s="8">
        <f>Costs!R145</f>
        <v/>
      </c>
      <c r="S31" s="8">
        <f>Costs!S145</f>
        <v/>
      </c>
      <c r="T31" s="8">
        <f>Costs!T145</f>
        <v/>
      </c>
      <c r="U31" s="8">
        <f>Costs!U145</f>
        <v/>
      </c>
      <c r="V31" s="8">
        <f>Costs!V145</f>
        <v/>
      </c>
      <c r="W31" s="8">
        <f>Costs!W145</f>
        <v/>
      </c>
      <c r="X31" s="8">
        <f>Costs!X145</f>
        <v/>
      </c>
      <c r="Y31" s="8">
        <f>Costs!Y145</f>
        <v/>
      </c>
      <c r="Z31" s="8">
        <f>Costs!Z145</f>
        <v/>
      </c>
      <c r="AA31" s="8">
        <f>Costs!AA145</f>
        <v/>
      </c>
      <c r="AB31" s="8">
        <f>Costs!AB145</f>
        <v/>
      </c>
      <c r="AC31" s="8">
        <f>Costs!AC145</f>
        <v/>
      </c>
      <c r="AD31" s="8">
        <f>Costs!AD145</f>
        <v/>
      </c>
      <c r="AE31" s="8">
        <f>Costs!AE145</f>
        <v/>
      </c>
      <c r="AF31" s="8">
        <f>Costs!AF145</f>
        <v/>
      </c>
      <c r="AG31" s="8">
        <f>Costs!AG145</f>
        <v/>
      </c>
      <c r="AH31" s="8">
        <f>Costs!AH145</f>
        <v/>
      </c>
      <c r="AI31" s="8">
        <f>Costs!AI145</f>
        <v/>
      </c>
      <c r="AJ31" s="8">
        <f>Costs!AJ145</f>
        <v/>
      </c>
      <c r="AK31" s="8">
        <f>Costs!AK145</f>
        <v/>
      </c>
      <c r="AL31" s="8">
        <f>Costs!AL145</f>
        <v/>
      </c>
      <c r="AM31" s="8">
        <f>Costs!AM145</f>
        <v/>
      </c>
      <c r="AN31" s="8">
        <f>Costs!AN145</f>
        <v/>
      </c>
      <c r="AO31" s="8">
        <f>Costs!AO145</f>
        <v/>
      </c>
      <c r="AP31" s="8">
        <f>Costs!AP145</f>
        <v/>
      </c>
      <c r="AQ31" s="8">
        <f>Costs!AQ145</f>
        <v/>
      </c>
      <c r="AR31" s="8">
        <f>Costs!AR145</f>
        <v/>
      </c>
      <c r="AS31" s="8">
        <f>Costs!AS145</f>
        <v/>
      </c>
      <c r="AT31" s="8">
        <f>Costs!AT145</f>
        <v/>
      </c>
      <c r="AU31" s="8">
        <f>Costs!AU145</f>
        <v/>
      </c>
      <c r="AV31" s="8">
        <f>Costs!AV145</f>
        <v/>
      </c>
      <c r="AW31" s="8">
        <f>Costs!AW145</f>
        <v/>
      </c>
      <c r="AX31" s="8">
        <f>Costs!AX145</f>
        <v/>
      </c>
      <c r="AY31" s="8">
        <f>Costs!AY145</f>
        <v/>
      </c>
      <c r="AZ31" s="8">
        <f>Costs!AZ145</f>
        <v/>
      </c>
      <c r="BA31" s="8">
        <f>Costs!BA145</f>
        <v/>
      </c>
      <c r="BB31" s="8">
        <f>Costs!BB145</f>
        <v/>
      </c>
      <c r="BC31" s="8">
        <f>Costs!BC145</f>
        <v/>
      </c>
      <c r="BD31" s="8">
        <f>Costs!BD145</f>
        <v/>
      </c>
      <c r="BE31" s="8">
        <f>Costs!BE145</f>
        <v/>
      </c>
      <c r="BF31" s="8">
        <f>Costs!BF145</f>
        <v/>
      </c>
      <c r="BG31" s="8">
        <f>Costs!BG145</f>
        <v/>
      </c>
      <c r="BH31" s="8">
        <f>Costs!BH145</f>
        <v/>
      </c>
      <c r="BI31" s="8">
        <f>Costs!BI145</f>
        <v/>
      </c>
      <c r="BJ31" s="8">
        <f>Costs!BJ145</f>
        <v/>
      </c>
    </row>
    <row r="32">
      <c r="A32" s="4" t="inlineStr">
        <is>
          <t>Payroll: Marketing</t>
        </is>
      </c>
      <c r="B32" s="17" t="inlineStr">
        <is>
          <t>R</t>
        </is>
      </c>
      <c r="C32" s="8">
        <f>Costs!C146</f>
        <v/>
      </c>
      <c r="D32" s="8">
        <f>Costs!D146</f>
        <v/>
      </c>
      <c r="E32" s="8">
        <f>Costs!E146</f>
        <v/>
      </c>
      <c r="F32" s="8">
        <f>Costs!F146</f>
        <v/>
      </c>
      <c r="G32" s="8">
        <f>Costs!G146</f>
        <v/>
      </c>
      <c r="H32" s="8">
        <f>Costs!H146</f>
        <v/>
      </c>
      <c r="I32" s="8">
        <f>Costs!I146</f>
        <v/>
      </c>
      <c r="J32" s="8">
        <f>Costs!J146</f>
        <v/>
      </c>
      <c r="K32" s="8">
        <f>Costs!K146</f>
        <v/>
      </c>
      <c r="L32" s="8">
        <f>Costs!L146</f>
        <v/>
      </c>
      <c r="M32" s="8">
        <f>Costs!M146</f>
        <v/>
      </c>
      <c r="N32" s="8">
        <f>Costs!N146</f>
        <v/>
      </c>
      <c r="O32" s="8">
        <f>Costs!O146</f>
        <v/>
      </c>
      <c r="P32" s="8">
        <f>Costs!P146</f>
        <v/>
      </c>
      <c r="Q32" s="8">
        <f>Costs!Q146</f>
        <v/>
      </c>
      <c r="R32" s="8">
        <f>Costs!R146</f>
        <v/>
      </c>
      <c r="S32" s="8">
        <f>Costs!S146</f>
        <v/>
      </c>
      <c r="T32" s="8">
        <f>Costs!T146</f>
        <v/>
      </c>
      <c r="U32" s="8">
        <f>Costs!U146</f>
        <v/>
      </c>
      <c r="V32" s="8">
        <f>Costs!V146</f>
        <v/>
      </c>
      <c r="W32" s="8">
        <f>Costs!W146</f>
        <v/>
      </c>
      <c r="X32" s="8">
        <f>Costs!X146</f>
        <v/>
      </c>
      <c r="Y32" s="8">
        <f>Costs!Y146</f>
        <v/>
      </c>
      <c r="Z32" s="8">
        <f>Costs!Z146</f>
        <v/>
      </c>
      <c r="AA32" s="8">
        <f>Costs!AA146</f>
        <v/>
      </c>
      <c r="AB32" s="8">
        <f>Costs!AB146</f>
        <v/>
      </c>
      <c r="AC32" s="8">
        <f>Costs!AC146</f>
        <v/>
      </c>
      <c r="AD32" s="8">
        <f>Costs!AD146</f>
        <v/>
      </c>
      <c r="AE32" s="8">
        <f>Costs!AE146</f>
        <v/>
      </c>
      <c r="AF32" s="8">
        <f>Costs!AF146</f>
        <v/>
      </c>
      <c r="AG32" s="8">
        <f>Costs!AG146</f>
        <v/>
      </c>
      <c r="AH32" s="8">
        <f>Costs!AH146</f>
        <v/>
      </c>
      <c r="AI32" s="8">
        <f>Costs!AI146</f>
        <v/>
      </c>
      <c r="AJ32" s="8">
        <f>Costs!AJ146</f>
        <v/>
      </c>
      <c r="AK32" s="8">
        <f>Costs!AK146</f>
        <v/>
      </c>
      <c r="AL32" s="8">
        <f>Costs!AL146</f>
        <v/>
      </c>
      <c r="AM32" s="8">
        <f>Costs!AM146</f>
        <v/>
      </c>
      <c r="AN32" s="8">
        <f>Costs!AN146</f>
        <v/>
      </c>
      <c r="AO32" s="8">
        <f>Costs!AO146</f>
        <v/>
      </c>
      <c r="AP32" s="8">
        <f>Costs!AP146</f>
        <v/>
      </c>
      <c r="AQ32" s="8">
        <f>Costs!AQ146</f>
        <v/>
      </c>
      <c r="AR32" s="8">
        <f>Costs!AR146</f>
        <v/>
      </c>
      <c r="AS32" s="8">
        <f>Costs!AS146</f>
        <v/>
      </c>
      <c r="AT32" s="8">
        <f>Costs!AT146</f>
        <v/>
      </c>
      <c r="AU32" s="8">
        <f>Costs!AU146</f>
        <v/>
      </c>
      <c r="AV32" s="8">
        <f>Costs!AV146</f>
        <v/>
      </c>
      <c r="AW32" s="8">
        <f>Costs!AW146</f>
        <v/>
      </c>
      <c r="AX32" s="8">
        <f>Costs!AX146</f>
        <v/>
      </c>
      <c r="AY32" s="8">
        <f>Costs!AY146</f>
        <v/>
      </c>
      <c r="AZ32" s="8">
        <f>Costs!AZ146</f>
        <v/>
      </c>
      <c r="BA32" s="8">
        <f>Costs!BA146</f>
        <v/>
      </c>
      <c r="BB32" s="8">
        <f>Costs!BB146</f>
        <v/>
      </c>
      <c r="BC32" s="8">
        <f>Costs!BC146</f>
        <v/>
      </c>
      <c r="BD32" s="8">
        <f>Costs!BD146</f>
        <v/>
      </c>
      <c r="BE32" s="8">
        <f>Costs!BE146</f>
        <v/>
      </c>
      <c r="BF32" s="8">
        <f>Costs!BF146</f>
        <v/>
      </c>
      <c r="BG32" s="8">
        <f>Costs!BG146</f>
        <v/>
      </c>
      <c r="BH32" s="8">
        <f>Costs!BH146</f>
        <v/>
      </c>
      <c r="BI32" s="8">
        <f>Costs!BI146</f>
        <v/>
      </c>
      <c r="BJ32" s="8">
        <f>Costs!BJ146</f>
        <v/>
      </c>
    </row>
    <row r="33">
      <c r="A33" s="4" t="inlineStr">
        <is>
          <t>Payroll: Sales &amp; partnerships</t>
        </is>
      </c>
      <c r="B33" s="17" t="inlineStr">
        <is>
          <t>R</t>
        </is>
      </c>
      <c r="C33" s="8">
        <f>Costs!C147</f>
        <v/>
      </c>
      <c r="D33" s="8">
        <f>Costs!D147</f>
        <v/>
      </c>
      <c r="E33" s="8">
        <f>Costs!E147</f>
        <v/>
      </c>
      <c r="F33" s="8">
        <f>Costs!F147</f>
        <v/>
      </c>
      <c r="G33" s="8">
        <f>Costs!G147</f>
        <v/>
      </c>
      <c r="H33" s="8">
        <f>Costs!H147</f>
        <v/>
      </c>
      <c r="I33" s="8">
        <f>Costs!I147</f>
        <v/>
      </c>
      <c r="J33" s="8">
        <f>Costs!J147</f>
        <v/>
      </c>
      <c r="K33" s="8">
        <f>Costs!K147</f>
        <v/>
      </c>
      <c r="L33" s="8">
        <f>Costs!L147</f>
        <v/>
      </c>
      <c r="M33" s="8">
        <f>Costs!M147</f>
        <v/>
      </c>
      <c r="N33" s="8">
        <f>Costs!N147</f>
        <v/>
      </c>
      <c r="O33" s="8">
        <f>Costs!O147</f>
        <v/>
      </c>
      <c r="P33" s="8">
        <f>Costs!P147</f>
        <v/>
      </c>
      <c r="Q33" s="8">
        <f>Costs!Q147</f>
        <v/>
      </c>
      <c r="R33" s="8">
        <f>Costs!R147</f>
        <v/>
      </c>
      <c r="S33" s="8">
        <f>Costs!S147</f>
        <v/>
      </c>
      <c r="T33" s="8">
        <f>Costs!T147</f>
        <v/>
      </c>
      <c r="U33" s="8">
        <f>Costs!U147</f>
        <v/>
      </c>
      <c r="V33" s="8">
        <f>Costs!V147</f>
        <v/>
      </c>
      <c r="W33" s="8">
        <f>Costs!W147</f>
        <v/>
      </c>
      <c r="X33" s="8">
        <f>Costs!X147</f>
        <v/>
      </c>
      <c r="Y33" s="8">
        <f>Costs!Y147</f>
        <v/>
      </c>
      <c r="Z33" s="8">
        <f>Costs!Z147</f>
        <v/>
      </c>
      <c r="AA33" s="8">
        <f>Costs!AA147</f>
        <v/>
      </c>
      <c r="AB33" s="8">
        <f>Costs!AB147</f>
        <v/>
      </c>
      <c r="AC33" s="8">
        <f>Costs!AC147</f>
        <v/>
      </c>
      <c r="AD33" s="8">
        <f>Costs!AD147</f>
        <v/>
      </c>
      <c r="AE33" s="8">
        <f>Costs!AE147</f>
        <v/>
      </c>
      <c r="AF33" s="8">
        <f>Costs!AF147</f>
        <v/>
      </c>
      <c r="AG33" s="8">
        <f>Costs!AG147</f>
        <v/>
      </c>
      <c r="AH33" s="8">
        <f>Costs!AH147</f>
        <v/>
      </c>
      <c r="AI33" s="8">
        <f>Costs!AI147</f>
        <v/>
      </c>
      <c r="AJ33" s="8">
        <f>Costs!AJ147</f>
        <v/>
      </c>
      <c r="AK33" s="8">
        <f>Costs!AK147</f>
        <v/>
      </c>
      <c r="AL33" s="8">
        <f>Costs!AL147</f>
        <v/>
      </c>
      <c r="AM33" s="8">
        <f>Costs!AM147</f>
        <v/>
      </c>
      <c r="AN33" s="8">
        <f>Costs!AN147</f>
        <v/>
      </c>
      <c r="AO33" s="8">
        <f>Costs!AO147</f>
        <v/>
      </c>
      <c r="AP33" s="8">
        <f>Costs!AP147</f>
        <v/>
      </c>
      <c r="AQ33" s="8">
        <f>Costs!AQ147</f>
        <v/>
      </c>
      <c r="AR33" s="8">
        <f>Costs!AR147</f>
        <v/>
      </c>
      <c r="AS33" s="8">
        <f>Costs!AS147</f>
        <v/>
      </c>
      <c r="AT33" s="8">
        <f>Costs!AT147</f>
        <v/>
      </c>
      <c r="AU33" s="8">
        <f>Costs!AU147</f>
        <v/>
      </c>
      <c r="AV33" s="8">
        <f>Costs!AV147</f>
        <v/>
      </c>
      <c r="AW33" s="8">
        <f>Costs!AW147</f>
        <v/>
      </c>
      <c r="AX33" s="8">
        <f>Costs!AX147</f>
        <v/>
      </c>
      <c r="AY33" s="8">
        <f>Costs!AY147</f>
        <v/>
      </c>
      <c r="AZ33" s="8">
        <f>Costs!AZ147</f>
        <v/>
      </c>
      <c r="BA33" s="8">
        <f>Costs!BA147</f>
        <v/>
      </c>
      <c r="BB33" s="8">
        <f>Costs!BB147</f>
        <v/>
      </c>
      <c r="BC33" s="8">
        <f>Costs!BC147</f>
        <v/>
      </c>
      <c r="BD33" s="8">
        <f>Costs!BD147</f>
        <v/>
      </c>
      <c r="BE33" s="8">
        <f>Costs!BE147</f>
        <v/>
      </c>
      <c r="BF33" s="8">
        <f>Costs!BF147</f>
        <v/>
      </c>
      <c r="BG33" s="8">
        <f>Costs!BG147</f>
        <v/>
      </c>
      <c r="BH33" s="8">
        <f>Costs!BH147</f>
        <v/>
      </c>
      <c r="BI33" s="8">
        <f>Costs!BI147</f>
        <v/>
      </c>
      <c r="BJ33" s="8">
        <f>Costs!BJ147</f>
        <v/>
      </c>
    </row>
    <row r="34">
      <c r="A34" s="4" t="inlineStr">
        <is>
          <t>Payroll: G&amp;A &amp; compliance</t>
        </is>
      </c>
      <c r="B34" s="17" t="inlineStr">
        <is>
          <t>R</t>
        </is>
      </c>
      <c r="C34" s="8">
        <f>Costs!C149</f>
        <v/>
      </c>
      <c r="D34" s="8">
        <f>Costs!D149</f>
        <v/>
      </c>
      <c r="E34" s="8">
        <f>Costs!E149</f>
        <v/>
      </c>
      <c r="F34" s="8">
        <f>Costs!F149</f>
        <v/>
      </c>
      <c r="G34" s="8">
        <f>Costs!G149</f>
        <v/>
      </c>
      <c r="H34" s="8">
        <f>Costs!H149</f>
        <v/>
      </c>
      <c r="I34" s="8">
        <f>Costs!I149</f>
        <v/>
      </c>
      <c r="J34" s="8">
        <f>Costs!J149</f>
        <v/>
      </c>
      <c r="K34" s="8">
        <f>Costs!K149</f>
        <v/>
      </c>
      <c r="L34" s="8">
        <f>Costs!L149</f>
        <v/>
      </c>
      <c r="M34" s="8">
        <f>Costs!M149</f>
        <v/>
      </c>
      <c r="N34" s="8">
        <f>Costs!N149</f>
        <v/>
      </c>
      <c r="O34" s="8">
        <f>Costs!O149</f>
        <v/>
      </c>
      <c r="P34" s="8">
        <f>Costs!P149</f>
        <v/>
      </c>
      <c r="Q34" s="8">
        <f>Costs!Q149</f>
        <v/>
      </c>
      <c r="R34" s="8">
        <f>Costs!R149</f>
        <v/>
      </c>
      <c r="S34" s="8">
        <f>Costs!S149</f>
        <v/>
      </c>
      <c r="T34" s="8">
        <f>Costs!T149</f>
        <v/>
      </c>
      <c r="U34" s="8">
        <f>Costs!U149</f>
        <v/>
      </c>
      <c r="V34" s="8">
        <f>Costs!V149</f>
        <v/>
      </c>
      <c r="W34" s="8">
        <f>Costs!W149</f>
        <v/>
      </c>
      <c r="X34" s="8">
        <f>Costs!X149</f>
        <v/>
      </c>
      <c r="Y34" s="8">
        <f>Costs!Y149</f>
        <v/>
      </c>
      <c r="Z34" s="8">
        <f>Costs!Z149</f>
        <v/>
      </c>
      <c r="AA34" s="8">
        <f>Costs!AA149</f>
        <v/>
      </c>
      <c r="AB34" s="8">
        <f>Costs!AB149</f>
        <v/>
      </c>
      <c r="AC34" s="8">
        <f>Costs!AC149</f>
        <v/>
      </c>
      <c r="AD34" s="8">
        <f>Costs!AD149</f>
        <v/>
      </c>
      <c r="AE34" s="8">
        <f>Costs!AE149</f>
        <v/>
      </c>
      <c r="AF34" s="8">
        <f>Costs!AF149</f>
        <v/>
      </c>
      <c r="AG34" s="8">
        <f>Costs!AG149</f>
        <v/>
      </c>
      <c r="AH34" s="8">
        <f>Costs!AH149</f>
        <v/>
      </c>
      <c r="AI34" s="8">
        <f>Costs!AI149</f>
        <v/>
      </c>
      <c r="AJ34" s="8">
        <f>Costs!AJ149</f>
        <v/>
      </c>
      <c r="AK34" s="8">
        <f>Costs!AK149</f>
        <v/>
      </c>
      <c r="AL34" s="8">
        <f>Costs!AL149</f>
        <v/>
      </c>
      <c r="AM34" s="8">
        <f>Costs!AM149</f>
        <v/>
      </c>
      <c r="AN34" s="8">
        <f>Costs!AN149</f>
        <v/>
      </c>
      <c r="AO34" s="8">
        <f>Costs!AO149</f>
        <v/>
      </c>
      <c r="AP34" s="8">
        <f>Costs!AP149</f>
        <v/>
      </c>
      <c r="AQ34" s="8">
        <f>Costs!AQ149</f>
        <v/>
      </c>
      <c r="AR34" s="8">
        <f>Costs!AR149</f>
        <v/>
      </c>
      <c r="AS34" s="8">
        <f>Costs!AS149</f>
        <v/>
      </c>
      <c r="AT34" s="8">
        <f>Costs!AT149</f>
        <v/>
      </c>
      <c r="AU34" s="8">
        <f>Costs!AU149</f>
        <v/>
      </c>
      <c r="AV34" s="8">
        <f>Costs!AV149</f>
        <v/>
      </c>
      <c r="AW34" s="8">
        <f>Costs!AW149</f>
        <v/>
      </c>
      <c r="AX34" s="8">
        <f>Costs!AX149</f>
        <v/>
      </c>
      <c r="AY34" s="8">
        <f>Costs!AY149</f>
        <v/>
      </c>
      <c r="AZ34" s="8">
        <f>Costs!AZ149</f>
        <v/>
      </c>
      <c r="BA34" s="8">
        <f>Costs!BA149</f>
        <v/>
      </c>
      <c r="BB34" s="8">
        <f>Costs!BB149</f>
        <v/>
      </c>
      <c r="BC34" s="8">
        <f>Costs!BC149</f>
        <v/>
      </c>
      <c r="BD34" s="8">
        <f>Costs!BD149</f>
        <v/>
      </c>
      <c r="BE34" s="8">
        <f>Costs!BE149</f>
        <v/>
      </c>
      <c r="BF34" s="8">
        <f>Costs!BF149</f>
        <v/>
      </c>
      <c r="BG34" s="8">
        <f>Costs!BG149</f>
        <v/>
      </c>
      <c r="BH34" s="8">
        <f>Costs!BH149</f>
        <v/>
      </c>
      <c r="BI34" s="8">
        <f>Costs!BI149</f>
        <v/>
      </c>
      <c r="BJ34" s="8">
        <f>Costs!BJ149</f>
        <v/>
      </c>
    </row>
    <row r="35">
      <c r="A35" s="4" t="inlineStr">
        <is>
          <t>Payroll: Country teams</t>
        </is>
      </c>
      <c r="B35" s="17" t="inlineStr">
        <is>
          <t>R</t>
        </is>
      </c>
      <c r="C35" s="8">
        <f>Costs!C150</f>
        <v/>
      </c>
      <c r="D35" s="8">
        <f>Costs!D150</f>
        <v/>
      </c>
      <c r="E35" s="8">
        <f>Costs!E150</f>
        <v/>
      </c>
      <c r="F35" s="8">
        <f>Costs!F150</f>
        <v/>
      </c>
      <c r="G35" s="8">
        <f>Costs!G150</f>
        <v/>
      </c>
      <c r="H35" s="8">
        <f>Costs!H150</f>
        <v/>
      </c>
      <c r="I35" s="8">
        <f>Costs!I150</f>
        <v/>
      </c>
      <c r="J35" s="8">
        <f>Costs!J150</f>
        <v/>
      </c>
      <c r="K35" s="8">
        <f>Costs!K150</f>
        <v/>
      </c>
      <c r="L35" s="8">
        <f>Costs!L150</f>
        <v/>
      </c>
      <c r="M35" s="8">
        <f>Costs!M150</f>
        <v/>
      </c>
      <c r="N35" s="8">
        <f>Costs!N150</f>
        <v/>
      </c>
      <c r="O35" s="8">
        <f>Costs!O150</f>
        <v/>
      </c>
      <c r="P35" s="8">
        <f>Costs!P150</f>
        <v/>
      </c>
      <c r="Q35" s="8">
        <f>Costs!Q150</f>
        <v/>
      </c>
      <c r="R35" s="8">
        <f>Costs!R150</f>
        <v/>
      </c>
      <c r="S35" s="8">
        <f>Costs!S150</f>
        <v/>
      </c>
      <c r="T35" s="8">
        <f>Costs!T150</f>
        <v/>
      </c>
      <c r="U35" s="8">
        <f>Costs!U150</f>
        <v/>
      </c>
      <c r="V35" s="8">
        <f>Costs!V150</f>
        <v/>
      </c>
      <c r="W35" s="8">
        <f>Costs!W150</f>
        <v/>
      </c>
      <c r="X35" s="8">
        <f>Costs!X150</f>
        <v/>
      </c>
      <c r="Y35" s="8">
        <f>Costs!Y150</f>
        <v/>
      </c>
      <c r="Z35" s="8">
        <f>Costs!Z150</f>
        <v/>
      </c>
      <c r="AA35" s="8">
        <f>Costs!AA150</f>
        <v/>
      </c>
      <c r="AB35" s="8">
        <f>Costs!AB150</f>
        <v/>
      </c>
      <c r="AC35" s="8">
        <f>Costs!AC150</f>
        <v/>
      </c>
      <c r="AD35" s="8">
        <f>Costs!AD150</f>
        <v/>
      </c>
      <c r="AE35" s="8">
        <f>Costs!AE150</f>
        <v/>
      </c>
      <c r="AF35" s="8">
        <f>Costs!AF150</f>
        <v/>
      </c>
      <c r="AG35" s="8">
        <f>Costs!AG150</f>
        <v/>
      </c>
      <c r="AH35" s="8">
        <f>Costs!AH150</f>
        <v/>
      </c>
      <c r="AI35" s="8">
        <f>Costs!AI150</f>
        <v/>
      </c>
      <c r="AJ35" s="8">
        <f>Costs!AJ150</f>
        <v/>
      </c>
      <c r="AK35" s="8">
        <f>Costs!AK150</f>
        <v/>
      </c>
      <c r="AL35" s="8">
        <f>Costs!AL150</f>
        <v/>
      </c>
      <c r="AM35" s="8">
        <f>Costs!AM150</f>
        <v/>
      </c>
      <c r="AN35" s="8">
        <f>Costs!AN150</f>
        <v/>
      </c>
      <c r="AO35" s="8">
        <f>Costs!AO150</f>
        <v/>
      </c>
      <c r="AP35" s="8">
        <f>Costs!AP150</f>
        <v/>
      </c>
      <c r="AQ35" s="8">
        <f>Costs!AQ150</f>
        <v/>
      </c>
      <c r="AR35" s="8">
        <f>Costs!AR150</f>
        <v/>
      </c>
      <c r="AS35" s="8">
        <f>Costs!AS150</f>
        <v/>
      </c>
      <c r="AT35" s="8">
        <f>Costs!AT150</f>
        <v/>
      </c>
      <c r="AU35" s="8">
        <f>Costs!AU150</f>
        <v/>
      </c>
      <c r="AV35" s="8">
        <f>Costs!AV150</f>
        <v/>
      </c>
      <c r="AW35" s="8">
        <f>Costs!AW150</f>
        <v/>
      </c>
      <c r="AX35" s="8">
        <f>Costs!AX150</f>
        <v/>
      </c>
      <c r="AY35" s="8">
        <f>Costs!AY150</f>
        <v/>
      </c>
      <c r="AZ35" s="8">
        <f>Costs!AZ150</f>
        <v/>
      </c>
      <c r="BA35" s="8">
        <f>Costs!BA150</f>
        <v/>
      </c>
      <c r="BB35" s="8">
        <f>Costs!BB150</f>
        <v/>
      </c>
      <c r="BC35" s="8">
        <f>Costs!BC150</f>
        <v/>
      </c>
      <c r="BD35" s="8">
        <f>Costs!BD150</f>
        <v/>
      </c>
      <c r="BE35" s="8">
        <f>Costs!BE150</f>
        <v/>
      </c>
      <c r="BF35" s="8">
        <f>Costs!BF150</f>
        <v/>
      </c>
      <c r="BG35" s="8">
        <f>Costs!BG150</f>
        <v/>
      </c>
      <c r="BH35" s="8">
        <f>Costs!BH150</f>
        <v/>
      </c>
      <c r="BI35" s="8">
        <f>Costs!BI150</f>
        <v/>
      </c>
      <c r="BJ35" s="8">
        <f>Costs!BJ150</f>
        <v/>
      </c>
    </row>
    <row r="36">
      <c r="A36" s="3" t="inlineStr">
        <is>
          <t>Total payroll (excl. customer success in COGS)</t>
        </is>
      </c>
      <c r="B36" s="17" t="inlineStr">
        <is>
          <t>R</t>
        </is>
      </c>
      <c r="C36" s="42">
        <f>C30+C31+C32+C33+C34+C35</f>
        <v/>
      </c>
      <c r="D36" s="42">
        <f>D30+D31+D32+D33+D34+D35</f>
        <v/>
      </c>
      <c r="E36" s="42">
        <f>E30+E31+E32+E33+E34+E35</f>
        <v/>
      </c>
      <c r="F36" s="42">
        <f>F30+F31+F32+F33+F34+F35</f>
        <v/>
      </c>
      <c r="G36" s="42">
        <f>G30+G31+G32+G33+G34+G35</f>
        <v/>
      </c>
      <c r="H36" s="42">
        <f>H30+H31+H32+H33+H34+H35</f>
        <v/>
      </c>
      <c r="I36" s="42">
        <f>I30+I31+I32+I33+I34+I35</f>
        <v/>
      </c>
      <c r="J36" s="42">
        <f>J30+J31+J32+J33+J34+J35</f>
        <v/>
      </c>
      <c r="K36" s="42">
        <f>K30+K31+K32+K33+K34+K35</f>
        <v/>
      </c>
      <c r="L36" s="42">
        <f>L30+L31+L32+L33+L34+L35</f>
        <v/>
      </c>
      <c r="M36" s="42">
        <f>M30+M31+M32+M33+M34+M35</f>
        <v/>
      </c>
      <c r="N36" s="42">
        <f>N30+N31+N32+N33+N34+N35</f>
        <v/>
      </c>
      <c r="O36" s="42">
        <f>O30+O31+O32+O33+O34+O35</f>
        <v/>
      </c>
      <c r="P36" s="42">
        <f>P30+P31+P32+P33+P34+P35</f>
        <v/>
      </c>
      <c r="Q36" s="42">
        <f>Q30+Q31+Q32+Q33+Q34+Q35</f>
        <v/>
      </c>
      <c r="R36" s="42">
        <f>R30+R31+R32+R33+R34+R35</f>
        <v/>
      </c>
      <c r="S36" s="42">
        <f>S30+S31+S32+S33+S34+S35</f>
        <v/>
      </c>
      <c r="T36" s="42">
        <f>T30+T31+T32+T33+T34+T35</f>
        <v/>
      </c>
      <c r="U36" s="42">
        <f>U30+U31+U32+U33+U34+U35</f>
        <v/>
      </c>
      <c r="V36" s="42">
        <f>V30+V31+V32+V33+V34+V35</f>
        <v/>
      </c>
      <c r="W36" s="42">
        <f>W30+W31+W32+W33+W34+W35</f>
        <v/>
      </c>
      <c r="X36" s="42">
        <f>X30+X31+X32+X33+X34+X35</f>
        <v/>
      </c>
      <c r="Y36" s="42">
        <f>Y30+Y31+Y32+Y33+Y34+Y35</f>
        <v/>
      </c>
      <c r="Z36" s="42">
        <f>Z30+Z31+Z32+Z33+Z34+Z35</f>
        <v/>
      </c>
      <c r="AA36" s="42">
        <f>AA30+AA31+AA32+AA33+AA34+AA35</f>
        <v/>
      </c>
      <c r="AB36" s="42">
        <f>AB30+AB31+AB32+AB33+AB34+AB35</f>
        <v/>
      </c>
      <c r="AC36" s="42">
        <f>AC30+AC31+AC32+AC33+AC34+AC35</f>
        <v/>
      </c>
      <c r="AD36" s="42">
        <f>AD30+AD31+AD32+AD33+AD34+AD35</f>
        <v/>
      </c>
      <c r="AE36" s="42">
        <f>AE30+AE31+AE32+AE33+AE34+AE35</f>
        <v/>
      </c>
      <c r="AF36" s="42">
        <f>AF30+AF31+AF32+AF33+AF34+AF35</f>
        <v/>
      </c>
      <c r="AG36" s="42">
        <f>AG30+AG31+AG32+AG33+AG34+AG35</f>
        <v/>
      </c>
      <c r="AH36" s="42">
        <f>AH30+AH31+AH32+AH33+AH34+AH35</f>
        <v/>
      </c>
      <c r="AI36" s="42">
        <f>AI30+AI31+AI32+AI33+AI34+AI35</f>
        <v/>
      </c>
      <c r="AJ36" s="42">
        <f>AJ30+AJ31+AJ32+AJ33+AJ34+AJ35</f>
        <v/>
      </c>
      <c r="AK36" s="42">
        <f>AK30+AK31+AK32+AK33+AK34+AK35</f>
        <v/>
      </c>
      <c r="AL36" s="42">
        <f>AL30+AL31+AL32+AL33+AL34+AL35</f>
        <v/>
      </c>
      <c r="AM36" s="42">
        <f>AM30+AM31+AM32+AM33+AM34+AM35</f>
        <v/>
      </c>
      <c r="AN36" s="42">
        <f>AN30+AN31+AN32+AN33+AN34+AN35</f>
        <v/>
      </c>
      <c r="AO36" s="42">
        <f>AO30+AO31+AO32+AO33+AO34+AO35</f>
        <v/>
      </c>
      <c r="AP36" s="42">
        <f>AP30+AP31+AP32+AP33+AP34+AP35</f>
        <v/>
      </c>
      <c r="AQ36" s="42">
        <f>AQ30+AQ31+AQ32+AQ33+AQ34+AQ35</f>
        <v/>
      </c>
      <c r="AR36" s="42">
        <f>AR30+AR31+AR32+AR33+AR34+AR35</f>
        <v/>
      </c>
      <c r="AS36" s="42">
        <f>AS30+AS31+AS32+AS33+AS34+AS35</f>
        <v/>
      </c>
      <c r="AT36" s="42">
        <f>AT30+AT31+AT32+AT33+AT34+AT35</f>
        <v/>
      </c>
      <c r="AU36" s="42">
        <f>AU30+AU31+AU32+AU33+AU34+AU35</f>
        <v/>
      </c>
      <c r="AV36" s="42">
        <f>AV30+AV31+AV32+AV33+AV34+AV35</f>
        <v/>
      </c>
      <c r="AW36" s="42">
        <f>AW30+AW31+AW32+AW33+AW34+AW35</f>
        <v/>
      </c>
      <c r="AX36" s="42">
        <f>AX30+AX31+AX32+AX33+AX34+AX35</f>
        <v/>
      </c>
      <c r="AY36" s="42">
        <f>AY30+AY31+AY32+AY33+AY34+AY35</f>
        <v/>
      </c>
      <c r="AZ36" s="42">
        <f>AZ30+AZ31+AZ32+AZ33+AZ34+AZ35</f>
        <v/>
      </c>
      <c r="BA36" s="42">
        <f>BA30+BA31+BA32+BA33+BA34+BA35</f>
        <v/>
      </c>
      <c r="BB36" s="42">
        <f>BB30+BB31+BB32+BB33+BB34+BB35</f>
        <v/>
      </c>
      <c r="BC36" s="42">
        <f>BC30+BC31+BC32+BC33+BC34+BC35</f>
        <v/>
      </c>
      <c r="BD36" s="42">
        <f>BD30+BD31+BD32+BD33+BD34+BD35</f>
        <v/>
      </c>
      <c r="BE36" s="42">
        <f>BE30+BE31+BE32+BE33+BE34+BE35</f>
        <v/>
      </c>
      <c r="BF36" s="42">
        <f>BF30+BF31+BF32+BF33+BF34+BF35</f>
        <v/>
      </c>
      <c r="BG36" s="42">
        <f>BG30+BG31+BG32+BG33+BG34+BG35</f>
        <v/>
      </c>
      <c r="BH36" s="42">
        <f>BH30+BH31+BH32+BH33+BH34+BH35</f>
        <v/>
      </c>
      <c r="BI36" s="42">
        <f>BI30+BI31+BI32+BI33+BI34+BI35</f>
        <v/>
      </c>
      <c r="BJ36" s="42">
        <f>BJ30+BJ31+BJ32+BJ33+BJ34+BJ35</f>
        <v/>
      </c>
    </row>
    <row r="37">
      <c r="A37" s="4" t="inlineStr">
        <is>
          <t>Marketing &amp; sales programmes</t>
        </is>
      </c>
      <c r="B37" s="17" t="inlineStr">
        <is>
          <t>R</t>
        </is>
      </c>
      <c r="C37" s="8">
        <f>Costs!C179</f>
        <v/>
      </c>
      <c r="D37" s="8">
        <f>Costs!D179</f>
        <v/>
      </c>
      <c r="E37" s="8">
        <f>Costs!E179</f>
        <v/>
      </c>
      <c r="F37" s="8">
        <f>Costs!F179</f>
        <v/>
      </c>
      <c r="G37" s="8">
        <f>Costs!G179</f>
        <v/>
      </c>
      <c r="H37" s="8">
        <f>Costs!H179</f>
        <v/>
      </c>
      <c r="I37" s="8">
        <f>Costs!I179</f>
        <v/>
      </c>
      <c r="J37" s="8">
        <f>Costs!J179</f>
        <v/>
      </c>
      <c r="K37" s="8">
        <f>Costs!K179</f>
        <v/>
      </c>
      <c r="L37" s="8">
        <f>Costs!L179</f>
        <v/>
      </c>
      <c r="M37" s="8">
        <f>Costs!M179</f>
        <v/>
      </c>
      <c r="N37" s="8">
        <f>Costs!N179</f>
        <v/>
      </c>
      <c r="O37" s="8">
        <f>Costs!O179</f>
        <v/>
      </c>
      <c r="P37" s="8">
        <f>Costs!P179</f>
        <v/>
      </c>
      <c r="Q37" s="8">
        <f>Costs!Q179</f>
        <v/>
      </c>
      <c r="R37" s="8">
        <f>Costs!R179</f>
        <v/>
      </c>
      <c r="S37" s="8">
        <f>Costs!S179</f>
        <v/>
      </c>
      <c r="T37" s="8">
        <f>Costs!T179</f>
        <v/>
      </c>
      <c r="U37" s="8">
        <f>Costs!U179</f>
        <v/>
      </c>
      <c r="V37" s="8">
        <f>Costs!V179</f>
        <v/>
      </c>
      <c r="W37" s="8">
        <f>Costs!W179</f>
        <v/>
      </c>
      <c r="X37" s="8">
        <f>Costs!X179</f>
        <v/>
      </c>
      <c r="Y37" s="8">
        <f>Costs!Y179</f>
        <v/>
      </c>
      <c r="Z37" s="8">
        <f>Costs!Z179</f>
        <v/>
      </c>
      <c r="AA37" s="8">
        <f>Costs!AA179</f>
        <v/>
      </c>
      <c r="AB37" s="8">
        <f>Costs!AB179</f>
        <v/>
      </c>
      <c r="AC37" s="8">
        <f>Costs!AC179</f>
        <v/>
      </c>
      <c r="AD37" s="8">
        <f>Costs!AD179</f>
        <v/>
      </c>
      <c r="AE37" s="8">
        <f>Costs!AE179</f>
        <v/>
      </c>
      <c r="AF37" s="8">
        <f>Costs!AF179</f>
        <v/>
      </c>
      <c r="AG37" s="8">
        <f>Costs!AG179</f>
        <v/>
      </c>
      <c r="AH37" s="8">
        <f>Costs!AH179</f>
        <v/>
      </c>
      <c r="AI37" s="8">
        <f>Costs!AI179</f>
        <v/>
      </c>
      <c r="AJ37" s="8">
        <f>Costs!AJ179</f>
        <v/>
      </c>
      <c r="AK37" s="8">
        <f>Costs!AK179</f>
        <v/>
      </c>
      <c r="AL37" s="8">
        <f>Costs!AL179</f>
        <v/>
      </c>
      <c r="AM37" s="8">
        <f>Costs!AM179</f>
        <v/>
      </c>
      <c r="AN37" s="8">
        <f>Costs!AN179</f>
        <v/>
      </c>
      <c r="AO37" s="8">
        <f>Costs!AO179</f>
        <v/>
      </c>
      <c r="AP37" s="8">
        <f>Costs!AP179</f>
        <v/>
      </c>
      <c r="AQ37" s="8">
        <f>Costs!AQ179</f>
        <v/>
      </c>
      <c r="AR37" s="8">
        <f>Costs!AR179</f>
        <v/>
      </c>
      <c r="AS37" s="8">
        <f>Costs!AS179</f>
        <v/>
      </c>
      <c r="AT37" s="8">
        <f>Costs!AT179</f>
        <v/>
      </c>
      <c r="AU37" s="8">
        <f>Costs!AU179</f>
        <v/>
      </c>
      <c r="AV37" s="8">
        <f>Costs!AV179</f>
        <v/>
      </c>
      <c r="AW37" s="8">
        <f>Costs!AW179</f>
        <v/>
      </c>
      <c r="AX37" s="8">
        <f>Costs!AX179</f>
        <v/>
      </c>
      <c r="AY37" s="8">
        <f>Costs!AY179</f>
        <v/>
      </c>
      <c r="AZ37" s="8">
        <f>Costs!AZ179</f>
        <v/>
      </c>
      <c r="BA37" s="8">
        <f>Costs!BA179</f>
        <v/>
      </c>
      <c r="BB37" s="8">
        <f>Costs!BB179</f>
        <v/>
      </c>
      <c r="BC37" s="8">
        <f>Costs!BC179</f>
        <v/>
      </c>
      <c r="BD37" s="8">
        <f>Costs!BD179</f>
        <v/>
      </c>
      <c r="BE37" s="8">
        <f>Costs!BE179</f>
        <v/>
      </c>
      <c r="BF37" s="8">
        <f>Costs!BF179</f>
        <v/>
      </c>
      <c r="BG37" s="8">
        <f>Costs!BG179</f>
        <v/>
      </c>
      <c r="BH37" s="8">
        <f>Costs!BH179</f>
        <v/>
      </c>
      <c r="BI37" s="8">
        <f>Costs!BI179</f>
        <v/>
      </c>
      <c r="BJ37" s="8">
        <f>Costs!BJ179</f>
        <v/>
      </c>
    </row>
    <row r="38">
      <c r="A38" s="4" t="inlineStr">
        <is>
          <t>G&amp;A (non-payroll)</t>
        </is>
      </c>
      <c r="B38" s="17" t="inlineStr">
        <is>
          <t>R</t>
        </is>
      </c>
      <c r="C38" s="8">
        <f>Costs!C185</f>
        <v/>
      </c>
      <c r="D38" s="8">
        <f>Costs!D185</f>
        <v/>
      </c>
      <c r="E38" s="8">
        <f>Costs!E185</f>
        <v/>
      </c>
      <c r="F38" s="8">
        <f>Costs!F185</f>
        <v/>
      </c>
      <c r="G38" s="8">
        <f>Costs!G185</f>
        <v/>
      </c>
      <c r="H38" s="8">
        <f>Costs!H185</f>
        <v/>
      </c>
      <c r="I38" s="8">
        <f>Costs!I185</f>
        <v/>
      </c>
      <c r="J38" s="8">
        <f>Costs!J185</f>
        <v/>
      </c>
      <c r="K38" s="8">
        <f>Costs!K185</f>
        <v/>
      </c>
      <c r="L38" s="8">
        <f>Costs!L185</f>
        <v/>
      </c>
      <c r="M38" s="8">
        <f>Costs!M185</f>
        <v/>
      </c>
      <c r="N38" s="8">
        <f>Costs!N185</f>
        <v/>
      </c>
      <c r="O38" s="8">
        <f>Costs!O185</f>
        <v/>
      </c>
      <c r="P38" s="8">
        <f>Costs!P185</f>
        <v/>
      </c>
      <c r="Q38" s="8">
        <f>Costs!Q185</f>
        <v/>
      </c>
      <c r="R38" s="8">
        <f>Costs!R185</f>
        <v/>
      </c>
      <c r="S38" s="8">
        <f>Costs!S185</f>
        <v/>
      </c>
      <c r="T38" s="8">
        <f>Costs!T185</f>
        <v/>
      </c>
      <c r="U38" s="8">
        <f>Costs!U185</f>
        <v/>
      </c>
      <c r="V38" s="8">
        <f>Costs!V185</f>
        <v/>
      </c>
      <c r="W38" s="8">
        <f>Costs!W185</f>
        <v/>
      </c>
      <c r="X38" s="8">
        <f>Costs!X185</f>
        <v/>
      </c>
      <c r="Y38" s="8">
        <f>Costs!Y185</f>
        <v/>
      </c>
      <c r="Z38" s="8">
        <f>Costs!Z185</f>
        <v/>
      </c>
      <c r="AA38" s="8">
        <f>Costs!AA185</f>
        <v/>
      </c>
      <c r="AB38" s="8">
        <f>Costs!AB185</f>
        <v/>
      </c>
      <c r="AC38" s="8">
        <f>Costs!AC185</f>
        <v/>
      </c>
      <c r="AD38" s="8">
        <f>Costs!AD185</f>
        <v/>
      </c>
      <c r="AE38" s="8">
        <f>Costs!AE185</f>
        <v/>
      </c>
      <c r="AF38" s="8">
        <f>Costs!AF185</f>
        <v/>
      </c>
      <c r="AG38" s="8">
        <f>Costs!AG185</f>
        <v/>
      </c>
      <c r="AH38" s="8">
        <f>Costs!AH185</f>
        <v/>
      </c>
      <c r="AI38" s="8">
        <f>Costs!AI185</f>
        <v/>
      </c>
      <c r="AJ38" s="8">
        <f>Costs!AJ185</f>
        <v/>
      </c>
      <c r="AK38" s="8">
        <f>Costs!AK185</f>
        <v/>
      </c>
      <c r="AL38" s="8">
        <f>Costs!AL185</f>
        <v/>
      </c>
      <c r="AM38" s="8">
        <f>Costs!AM185</f>
        <v/>
      </c>
      <c r="AN38" s="8">
        <f>Costs!AN185</f>
        <v/>
      </c>
      <c r="AO38" s="8">
        <f>Costs!AO185</f>
        <v/>
      </c>
      <c r="AP38" s="8">
        <f>Costs!AP185</f>
        <v/>
      </c>
      <c r="AQ38" s="8">
        <f>Costs!AQ185</f>
        <v/>
      </c>
      <c r="AR38" s="8">
        <f>Costs!AR185</f>
        <v/>
      </c>
      <c r="AS38" s="8">
        <f>Costs!AS185</f>
        <v/>
      </c>
      <c r="AT38" s="8">
        <f>Costs!AT185</f>
        <v/>
      </c>
      <c r="AU38" s="8">
        <f>Costs!AU185</f>
        <v/>
      </c>
      <c r="AV38" s="8">
        <f>Costs!AV185</f>
        <v/>
      </c>
      <c r="AW38" s="8">
        <f>Costs!AW185</f>
        <v/>
      </c>
      <c r="AX38" s="8">
        <f>Costs!AX185</f>
        <v/>
      </c>
      <c r="AY38" s="8">
        <f>Costs!AY185</f>
        <v/>
      </c>
      <c r="AZ38" s="8">
        <f>Costs!AZ185</f>
        <v/>
      </c>
      <c r="BA38" s="8">
        <f>Costs!BA185</f>
        <v/>
      </c>
      <c r="BB38" s="8">
        <f>Costs!BB185</f>
        <v/>
      </c>
      <c r="BC38" s="8">
        <f>Costs!BC185</f>
        <v/>
      </c>
      <c r="BD38" s="8">
        <f>Costs!BD185</f>
        <v/>
      </c>
      <c r="BE38" s="8">
        <f>Costs!BE185</f>
        <v/>
      </c>
      <c r="BF38" s="8">
        <f>Costs!BF185</f>
        <v/>
      </c>
      <c r="BG38" s="8">
        <f>Costs!BG185</f>
        <v/>
      </c>
      <c r="BH38" s="8">
        <f>Costs!BH185</f>
        <v/>
      </c>
      <c r="BI38" s="8">
        <f>Costs!BI185</f>
        <v/>
      </c>
      <c r="BJ38" s="8">
        <f>Costs!BJ185</f>
        <v/>
      </c>
    </row>
    <row r="39">
      <c r="A39" s="4" t="inlineStr">
        <is>
          <t>Meta, legal &amp; compliance</t>
        </is>
      </c>
      <c r="B39" s="17" t="inlineStr">
        <is>
          <t>R</t>
        </is>
      </c>
      <c r="C39" s="8">
        <f>Costs!C186</f>
        <v/>
      </c>
      <c r="D39" s="8">
        <f>Costs!D186</f>
        <v/>
      </c>
      <c r="E39" s="8">
        <f>Costs!E186</f>
        <v/>
      </c>
      <c r="F39" s="8">
        <f>Costs!F186</f>
        <v/>
      </c>
      <c r="G39" s="8">
        <f>Costs!G186</f>
        <v/>
      </c>
      <c r="H39" s="8">
        <f>Costs!H186</f>
        <v/>
      </c>
      <c r="I39" s="8">
        <f>Costs!I186</f>
        <v/>
      </c>
      <c r="J39" s="8">
        <f>Costs!J186</f>
        <v/>
      </c>
      <c r="K39" s="8">
        <f>Costs!K186</f>
        <v/>
      </c>
      <c r="L39" s="8">
        <f>Costs!L186</f>
        <v/>
      </c>
      <c r="M39" s="8">
        <f>Costs!M186</f>
        <v/>
      </c>
      <c r="N39" s="8">
        <f>Costs!N186</f>
        <v/>
      </c>
      <c r="O39" s="8">
        <f>Costs!O186</f>
        <v/>
      </c>
      <c r="P39" s="8">
        <f>Costs!P186</f>
        <v/>
      </c>
      <c r="Q39" s="8">
        <f>Costs!Q186</f>
        <v/>
      </c>
      <c r="R39" s="8">
        <f>Costs!R186</f>
        <v/>
      </c>
      <c r="S39" s="8">
        <f>Costs!S186</f>
        <v/>
      </c>
      <c r="T39" s="8">
        <f>Costs!T186</f>
        <v/>
      </c>
      <c r="U39" s="8">
        <f>Costs!U186</f>
        <v/>
      </c>
      <c r="V39" s="8">
        <f>Costs!V186</f>
        <v/>
      </c>
      <c r="W39" s="8">
        <f>Costs!W186</f>
        <v/>
      </c>
      <c r="X39" s="8">
        <f>Costs!X186</f>
        <v/>
      </c>
      <c r="Y39" s="8">
        <f>Costs!Y186</f>
        <v/>
      </c>
      <c r="Z39" s="8">
        <f>Costs!Z186</f>
        <v/>
      </c>
      <c r="AA39" s="8">
        <f>Costs!AA186</f>
        <v/>
      </c>
      <c r="AB39" s="8">
        <f>Costs!AB186</f>
        <v/>
      </c>
      <c r="AC39" s="8">
        <f>Costs!AC186</f>
        <v/>
      </c>
      <c r="AD39" s="8">
        <f>Costs!AD186</f>
        <v/>
      </c>
      <c r="AE39" s="8">
        <f>Costs!AE186</f>
        <v/>
      </c>
      <c r="AF39" s="8">
        <f>Costs!AF186</f>
        <v/>
      </c>
      <c r="AG39" s="8">
        <f>Costs!AG186</f>
        <v/>
      </c>
      <c r="AH39" s="8">
        <f>Costs!AH186</f>
        <v/>
      </c>
      <c r="AI39" s="8">
        <f>Costs!AI186</f>
        <v/>
      </c>
      <c r="AJ39" s="8">
        <f>Costs!AJ186</f>
        <v/>
      </c>
      <c r="AK39" s="8">
        <f>Costs!AK186</f>
        <v/>
      </c>
      <c r="AL39" s="8">
        <f>Costs!AL186</f>
        <v/>
      </c>
      <c r="AM39" s="8">
        <f>Costs!AM186</f>
        <v/>
      </c>
      <c r="AN39" s="8">
        <f>Costs!AN186</f>
        <v/>
      </c>
      <c r="AO39" s="8">
        <f>Costs!AO186</f>
        <v/>
      </c>
      <c r="AP39" s="8">
        <f>Costs!AP186</f>
        <v/>
      </c>
      <c r="AQ39" s="8">
        <f>Costs!AQ186</f>
        <v/>
      </c>
      <c r="AR39" s="8">
        <f>Costs!AR186</f>
        <v/>
      </c>
      <c r="AS39" s="8">
        <f>Costs!AS186</f>
        <v/>
      </c>
      <c r="AT39" s="8">
        <f>Costs!AT186</f>
        <v/>
      </c>
      <c r="AU39" s="8">
        <f>Costs!AU186</f>
        <v/>
      </c>
      <c r="AV39" s="8">
        <f>Costs!AV186</f>
        <v/>
      </c>
      <c r="AW39" s="8">
        <f>Costs!AW186</f>
        <v/>
      </c>
      <c r="AX39" s="8">
        <f>Costs!AX186</f>
        <v/>
      </c>
      <c r="AY39" s="8">
        <f>Costs!AY186</f>
        <v/>
      </c>
      <c r="AZ39" s="8">
        <f>Costs!AZ186</f>
        <v/>
      </c>
      <c r="BA39" s="8">
        <f>Costs!BA186</f>
        <v/>
      </c>
      <c r="BB39" s="8">
        <f>Costs!BB186</f>
        <v/>
      </c>
      <c r="BC39" s="8">
        <f>Costs!BC186</f>
        <v/>
      </c>
      <c r="BD39" s="8">
        <f>Costs!BD186</f>
        <v/>
      </c>
      <c r="BE39" s="8">
        <f>Costs!BE186</f>
        <v/>
      </c>
      <c r="BF39" s="8">
        <f>Costs!BF186</f>
        <v/>
      </c>
      <c r="BG39" s="8">
        <f>Costs!BG186</f>
        <v/>
      </c>
      <c r="BH39" s="8">
        <f>Costs!BH186</f>
        <v/>
      </c>
      <c r="BI39" s="8">
        <f>Costs!BI186</f>
        <v/>
      </c>
      <c r="BJ39" s="8">
        <f>Costs!BJ186</f>
        <v/>
      </c>
    </row>
    <row r="40">
      <c r="A40" s="4" t="inlineStr">
        <is>
          <t>Software &amp; tools</t>
        </is>
      </c>
      <c r="B40" s="17" t="inlineStr">
        <is>
          <t>R</t>
        </is>
      </c>
      <c r="C40" s="8">
        <f>Costs!C187</f>
        <v/>
      </c>
      <c r="D40" s="8">
        <f>Costs!D187</f>
        <v/>
      </c>
      <c r="E40" s="8">
        <f>Costs!E187</f>
        <v/>
      </c>
      <c r="F40" s="8">
        <f>Costs!F187</f>
        <v/>
      </c>
      <c r="G40" s="8">
        <f>Costs!G187</f>
        <v/>
      </c>
      <c r="H40" s="8">
        <f>Costs!H187</f>
        <v/>
      </c>
      <c r="I40" s="8">
        <f>Costs!I187</f>
        <v/>
      </c>
      <c r="J40" s="8">
        <f>Costs!J187</f>
        <v/>
      </c>
      <c r="K40" s="8">
        <f>Costs!K187</f>
        <v/>
      </c>
      <c r="L40" s="8">
        <f>Costs!L187</f>
        <v/>
      </c>
      <c r="M40" s="8">
        <f>Costs!M187</f>
        <v/>
      </c>
      <c r="N40" s="8">
        <f>Costs!N187</f>
        <v/>
      </c>
      <c r="O40" s="8">
        <f>Costs!O187</f>
        <v/>
      </c>
      <c r="P40" s="8">
        <f>Costs!P187</f>
        <v/>
      </c>
      <c r="Q40" s="8">
        <f>Costs!Q187</f>
        <v/>
      </c>
      <c r="R40" s="8">
        <f>Costs!R187</f>
        <v/>
      </c>
      <c r="S40" s="8">
        <f>Costs!S187</f>
        <v/>
      </c>
      <c r="T40" s="8">
        <f>Costs!T187</f>
        <v/>
      </c>
      <c r="U40" s="8">
        <f>Costs!U187</f>
        <v/>
      </c>
      <c r="V40" s="8">
        <f>Costs!V187</f>
        <v/>
      </c>
      <c r="W40" s="8">
        <f>Costs!W187</f>
        <v/>
      </c>
      <c r="X40" s="8">
        <f>Costs!X187</f>
        <v/>
      </c>
      <c r="Y40" s="8">
        <f>Costs!Y187</f>
        <v/>
      </c>
      <c r="Z40" s="8">
        <f>Costs!Z187</f>
        <v/>
      </c>
      <c r="AA40" s="8">
        <f>Costs!AA187</f>
        <v/>
      </c>
      <c r="AB40" s="8">
        <f>Costs!AB187</f>
        <v/>
      </c>
      <c r="AC40" s="8">
        <f>Costs!AC187</f>
        <v/>
      </c>
      <c r="AD40" s="8">
        <f>Costs!AD187</f>
        <v/>
      </c>
      <c r="AE40" s="8">
        <f>Costs!AE187</f>
        <v/>
      </c>
      <c r="AF40" s="8">
        <f>Costs!AF187</f>
        <v/>
      </c>
      <c r="AG40" s="8">
        <f>Costs!AG187</f>
        <v/>
      </c>
      <c r="AH40" s="8">
        <f>Costs!AH187</f>
        <v/>
      </c>
      <c r="AI40" s="8">
        <f>Costs!AI187</f>
        <v/>
      </c>
      <c r="AJ40" s="8">
        <f>Costs!AJ187</f>
        <v/>
      </c>
      <c r="AK40" s="8">
        <f>Costs!AK187</f>
        <v/>
      </c>
      <c r="AL40" s="8">
        <f>Costs!AL187</f>
        <v/>
      </c>
      <c r="AM40" s="8">
        <f>Costs!AM187</f>
        <v/>
      </c>
      <c r="AN40" s="8">
        <f>Costs!AN187</f>
        <v/>
      </c>
      <c r="AO40" s="8">
        <f>Costs!AO187</f>
        <v/>
      </c>
      <c r="AP40" s="8">
        <f>Costs!AP187</f>
        <v/>
      </c>
      <c r="AQ40" s="8">
        <f>Costs!AQ187</f>
        <v/>
      </c>
      <c r="AR40" s="8">
        <f>Costs!AR187</f>
        <v/>
      </c>
      <c r="AS40" s="8">
        <f>Costs!AS187</f>
        <v/>
      </c>
      <c r="AT40" s="8">
        <f>Costs!AT187</f>
        <v/>
      </c>
      <c r="AU40" s="8">
        <f>Costs!AU187</f>
        <v/>
      </c>
      <c r="AV40" s="8">
        <f>Costs!AV187</f>
        <v/>
      </c>
      <c r="AW40" s="8">
        <f>Costs!AW187</f>
        <v/>
      </c>
      <c r="AX40" s="8">
        <f>Costs!AX187</f>
        <v/>
      </c>
      <c r="AY40" s="8">
        <f>Costs!AY187</f>
        <v/>
      </c>
      <c r="AZ40" s="8">
        <f>Costs!AZ187</f>
        <v/>
      </c>
      <c r="BA40" s="8">
        <f>Costs!BA187</f>
        <v/>
      </c>
      <c r="BB40" s="8">
        <f>Costs!BB187</f>
        <v/>
      </c>
      <c r="BC40" s="8">
        <f>Costs!BC187</f>
        <v/>
      </c>
      <c r="BD40" s="8">
        <f>Costs!BD187</f>
        <v/>
      </c>
      <c r="BE40" s="8">
        <f>Costs!BE187</f>
        <v/>
      </c>
      <c r="BF40" s="8">
        <f>Costs!BF187</f>
        <v/>
      </c>
      <c r="BG40" s="8">
        <f>Costs!BG187</f>
        <v/>
      </c>
      <c r="BH40" s="8">
        <f>Costs!BH187</f>
        <v/>
      </c>
      <c r="BI40" s="8">
        <f>Costs!BI187</f>
        <v/>
      </c>
      <c r="BJ40" s="8">
        <f>Costs!BJ187</f>
        <v/>
      </c>
    </row>
    <row r="41">
      <c r="A41" s="4" t="inlineStr">
        <is>
          <t>Travel</t>
        </is>
      </c>
      <c r="B41" s="17" t="inlineStr">
        <is>
          <t>R</t>
        </is>
      </c>
      <c r="C41" s="8">
        <f>Costs!C188</f>
        <v/>
      </c>
      <c r="D41" s="8">
        <f>Costs!D188</f>
        <v/>
      </c>
      <c r="E41" s="8">
        <f>Costs!E188</f>
        <v/>
      </c>
      <c r="F41" s="8">
        <f>Costs!F188</f>
        <v/>
      </c>
      <c r="G41" s="8">
        <f>Costs!G188</f>
        <v/>
      </c>
      <c r="H41" s="8">
        <f>Costs!H188</f>
        <v/>
      </c>
      <c r="I41" s="8">
        <f>Costs!I188</f>
        <v/>
      </c>
      <c r="J41" s="8">
        <f>Costs!J188</f>
        <v/>
      </c>
      <c r="K41" s="8">
        <f>Costs!K188</f>
        <v/>
      </c>
      <c r="L41" s="8">
        <f>Costs!L188</f>
        <v/>
      </c>
      <c r="M41" s="8">
        <f>Costs!M188</f>
        <v/>
      </c>
      <c r="N41" s="8">
        <f>Costs!N188</f>
        <v/>
      </c>
      <c r="O41" s="8">
        <f>Costs!O188</f>
        <v/>
      </c>
      <c r="P41" s="8">
        <f>Costs!P188</f>
        <v/>
      </c>
      <c r="Q41" s="8">
        <f>Costs!Q188</f>
        <v/>
      </c>
      <c r="R41" s="8">
        <f>Costs!R188</f>
        <v/>
      </c>
      <c r="S41" s="8">
        <f>Costs!S188</f>
        <v/>
      </c>
      <c r="T41" s="8">
        <f>Costs!T188</f>
        <v/>
      </c>
      <c r="U41" s="8">
        <f>Costs!U188</f>
        <v/>
      </c>
      <c r="V41" s="8">
        <f>Costs!V188</f>
        <v/>
      </c>
      <c r="W41" s="8">
        <f>Costs!W188</f>
        <v/>
      </c>
      <c r="X41" s="8">
        <f>Costs!X188</f>
        <v/>
      </c>
      <c r="Y41" s="8">
        <f>Costs!Y188</f>
        <v/>
      </c>
      <c r="Z41" s="8">
        <f>Costs!Z188</f>
        <v/>
      </c>
      <c r="AA41" s="8">
        <f>Costs!AA188</f>
        <v/>
      </c>
      <c r="AB41" s="8">
        <f>Costs!AB188</f>
        <v/>
      </c>
      <c r="AC41" s="8">
        <f>Costs!AC188</f>
        <v/>
      </c>
      <c r="AD41" s="8">
        <f>Costs!AD188</f>
        <v/>
      </c>
      <c r="AE41" s="8">
        <f>Costs!AE188</f>
        <v/>
      </c>
      <c r="AF41" s="8">
        <f>Costs!AF188</f>
        <v/>
      </c>
      <c r="AG41" s="8">
        <f>Costs!AG188</f>
        <v/>
      </c>
      <c r="AH41" s="8">
        <f>Costs!AH188</f>
        <v/>
      </c>
      <c r="AI41" s="8">
        <f>Costs!AI188</f>
        <v/>
      </c>
      <c r="AJ41" s="8">
        <f>Costs!AJ188</f>
        <v/>
      </c>
      <c r="AK41" s="8">
        <f>Costs!AK188</f>
        <v/>
      </c>
      <c r="AL41" s="8">
        <f>Costs!AL188</f>
        <v/>
      </c>
      <c r="AM41" s="8">
        <f>Costs!AM188</f>
        <v/>
      </c>
      <c r="AN41" s="8">
        <f>Costs!AN188</f>
        <v/>
      </c>
      <c r="AO41" s="8">
        <f>Costs!AO188</f>
        <v/>
      </c>
      <c r="AP41" s="8">
        <f>Costs!AP188</f>
        <v/>
      </c>
      <c r="AQ41" s="8">
        <f>Costs!AQ188</f>
        <v/>
      </c>
      <c r="AR41" s="8">
        <f>Costs!AR188</f>
        <v/>
      </c>
      <c r="AS41" s="8">
        <f>Costs!AS188</f>
        <v/>
      </c>
      <c r="AT41" s="8">
        <f>Costs!AT188</f>
        <v/>
      </c>
      <c r="AU41" s="8">
        <f>Costs!AU188</f>
        <v/>
      </c>
      <c r="AV41" s="8">
        <f>Costs!AV188</f>
        <v/>
      </c>
      <c r="AW41" s="8">
        <f>Costs!AW188</f>
        <v/>
      </c>
      <c r="AX41" s="8">
        <f>Costs!AX188</f>
        <v/>
      </c>
      <c r="AY41" s="8">
        <f>Costs!AY188</f>
        <v/>
      </c>
      <c r="AZ41" s="8">
        <f>Costs!AZ188</f>
        <v/>
      </c>
      <c r="BA41" s="8">
        <f>Costs!BA188</f>
        <v/>
      </c>
      <c r="BB41" s="8">
        <f>Costs!BB188</f>
        <v/>
      </c>
      <c r="BC41" s="8">
        <f>Costs!BC188</f>
        <v/>
      </c>
      <c r="BD41" s="8">
        <f>Costs!BD188</f>
        <v/>
      </c>
      <c r="BE41" s="8">
        <f>Costs!BE188</f>
        <v/>
      </c>
      <c r="BF41" s="8">
        <f>Costs!BF188</f>
        <v/>
      </c>
      <c r="BG41" s="8">
        <f>Costs!BG188</f>
        <v/>
      </c>
      <c r="BH41" s="8">
        <f>Costs!BH188</f>
        <v/>
      </c>
      <c r="BI41" s="8">
        <f>Costs!BI188</f>
        <v/>
      </c>
      <c r="BJ41" s="8">
        <f>Costs!BJ188</f>
        <v/>
      </c>
    </row>
    <row r="42">
      <c r="A42" s="3" t="inlineStr">
        <is>
          <t>Total operating expenses</t>
        </is>
      </c>
      <c r="B42" s="17" t="inlineStr">
        <is>
          <t>R</t>
        </is>
      </c>
      <c r="C42" s="42">
        <f>C36+C37+C38+C39+C40+C41</f>
        <v/>
      </c>
      <c r="D42" s="42">
        <f>D36+D37+D38+D39+D40+D41</f>
        <v/>
      </c>
      <c r="E42" s="42">
        <f>E36+E37+E38+E39+E40+E41</f>
        <v/>
      </c>
      <c r="F42" s="42">
        <f>F36+F37+F38+F39+F40+F41</f>
        <v/>
      </c>
      <c r="G42" s="42">
        <f>G36+G37+G38+G39+G40+G41</f>
        <v/>
      </c>
      <c r="H42" s="42">
        <f>H36+H37+H38+H39+H40+H41</f>
        <v/>
      </c>
      <c r="I42" s="42">
        <f>I36+I37+I38+I39+I40+I41</f>
        <v/>
      </c>
      <c r="J42" s="42">
        <f>J36+J37+J38+J39+J40+J41</f>
        <v/>
      </c>
      <c r="K42" s="42">
        <f>K36+K37+K38+K39+K40+K41</f>
        <v/>
      </c>
      <c r="L42" s="42">
        <f>L36+L37+L38+L39+L40+L41</f>
        <v/>
      </c>
      <c r="M42" s="42">
        <f>M36+M37+M38+M39+M40+M41</f>
        <v/>
      </c>
      <c r="N42" s="42">
        <f>N36+N37+N38+N39+N40+N41</f>
        <v/>
      </c>
      <c r="O42" s="42">
        <f>O36+O37+O38+O39+O40+O41</f>
        <v/>
      </c>
      <c r="P42" s="42">
        <f>P36+P37+P38+P39+P40+P41</f>
        <v/>
      </c>
      <c r="Q42" s="42">
        <f>Q36+Q37+Q38+Q39+Q40+Q41</f>
        <v/>
      </c>
      <c r="R42" s="42">
        <f>R36+R37+R38+R39+R40+R41</f>
        <v/>
      </c>
      <c r="S42" s="42">
        <f>S36+S37+S38+S39+S40+S41</f>
        <v/>
      </c>
      <c r="T42" s="42">
        <f>T36+T37+T38+T39+T40+T41</f>
        <v/>
      </c>
      <c r="U42" s="42">
        <f>U36+U37+U38+U39+U40+U41</f>
        <v/>
      </c>
      <c r="V42" s="42">
        <f>V36+V37+V38+V39+V40+V41</f>
        <v/>
      </c>
      <c r="W42" s="42">
        <f>W36+W37+W38+W39+W40+W41</f>
        <v/>
      </c>
      <c r="X42" s="42">
        <f>X36+X37+X38+X39+X40+X41</f>
        <v/>
      </c>
      <c r="Y42" s="42">
        <f>Y36+Y37+Y38+Y39+Y40+Y41</f>
        <v/>
      </c>
      <c r="Z42" s="42">
        <f>Z36+Z37+Z38+Z39+Z40+Z41</f>
        <v/>
      </c>
      <c r="AA42" s="42">
        <f>AA36+AA37+AA38+AA39+AA40+AA41</f>
        <v/>
      </c>
      <c r="AB42" s="42">
        <f>AB36+AB37+AB38+AB39+AB40+AB41</f>
        <v/>
      </c>
      <c r="AC42" s="42">
        <f>AC36+AC37+AC38+AC39+AC40+AC41</f>
        <v/>
      </c>
      <c r="AD42" s="42">
        <f>AD36+AD37+AD38+AD39+AD40+AD41</f>
        <v/>
      </c>
      <c r="AE42" s="42">
        <f>AE36+AE37+AE38+AE39+AE40+AE41</f>
        <v/>
      </c>
      <c r="AF42" s="42">
        <f>AF36+AF37+AF38+AF39+AF40+AF41</f>
        <v/>
      </c>
      <c r="AG42" s="42">
        <f>AG36+AG37+AG38+AG39+AG40+AG41</f>
        <v/>
      </c>
      <c r="AH42" s="42">
        <f>AH36+AH37+AH38+AH39+AH40+AH41</f>
        <v/>
      </c>
      <c r="AI42" s="42">
        <f>AI36+AI37+AI38+AI39+AI40+AI41</f>
        <v/>
      </c>
      <c r="AJ42" s="42">
        <f>AJ36+AJ37+AJ38+AJ39+AJ40+AJ41</f>
        <v/>
      </c>
      <c r="AK42" s="42">
        <f>AK36+AK37+AK38+AK39+AK40+AK41</f>
        <v/>
      </c>
      <c r="AL42" s="42">
        <f>AL36+AL37+AL38+AL39+AL40+AL41</f>
        <v/>
      </c>
      <c r="AM42" s="42">
        <f>AM36+AM37+AM38+AM39+AM40+AM41</f>
        <v/>
      </c>
      <c r="AN42" s="42">
        <f>AN36+AN37+AN38+AN39+AN40+AN41</f>
        <v/>
      </c>
      <c r="AO42" s="42">
        <f>AO36+AO37+AO38+AO39+AO40+AO41</f>
        <v/>
      </c>
      <c r="AP42" s="42">
        <f>AP36+AP37+AP38+AP39+AP40+AP41</f>
        <v/>
      </c>
      <c r="AQ42" s="42">
        <f>AQ36+AQ37+AQ38+AQ39+AQ40+AQ41</f>
        <v/>
      </c>
      <c r="AR42" s="42">
        <f>AR36+AR37+AR38+AR39+AR40+AR41</f>
        <v/>
      </c>
      <c r="AS42" s="42">
        <f>AS36+AS37+AS38+AS39+AS40+AS41</f>
        <v/>
      </c>
      <c r="AT42" s="42">
        <f>AT36+AT37+AT38+AT39+AT40+AT41</f>
        <v/>
      </c>
      <c r="AU42" s="42">
        <f>AU36+AU37+AU38+AU39+AU40+AU41</f>
        <v/>
      </c>
      <c r="AV42" s="42">
        <f>AV36+AV37+AV38+AV39+AV40+AV41</f>
        <v/>
      </c>
      <c r="AW42" s="42">
        <f>AW36+AW37+AW38+AW39+AW40+AW41</f>
        <v/>
      </c>
      <c r="AX42" s="42">
        <f>AX36+AX37+AX38+AX39+AX40+AX41</f>
        <v/>
      </c>
      <c r="AY42" s="42">
        <f>AY36+AY37+AY38+AY39+AY40+AY41</f>
        <v/>
      </c>
      <c r="AZ42" s="42">
        <f>AZ36+AZ37+AZ38+AZ39+AZ40+AZ41</f>
        <v/>
      </c>
      <c r="BA42" s="42">
        <f>BA36+BA37+BA38+BA39+BA40+BA41</f>
        <v/>
      </c>
      <c r="BB42" s="42">
        <f>BB36+BB37+BB38+BB39+BB40+BB41</f>
        <v/>
      </c>
      <c r="BC42" s="42">
        <f>BC36+BC37+BC38+BC39+BC40+BC41</f>
        <v/>
      </c>
      <c r="BD42" s="42">
        <f>BD36+BD37+BD38+BD39+BD40+BD41</f>
        <v/>
      </c>
      <c r="BE42" s="42">
        <f>BE36+BE37+BE38+BE39+BE40+BE41</f>
        <v/>
      </c>
      <c r="BF42" s="42">
        <f>BF36+BF37+BF38+BF39+BF40+BF41</f>
        <v/>
      </c>
      <c r="BG42" s="42">
        <f>BG36+BG37+BG38+BG39+BG40+BG41</f>
        <v/>
      </c>
      <c r="BH42" s="42">
        <f>BH36+BH37+BH38+BH39+BH40+BH41</f>
        <v/>
      </c>
      <c r="BI42" s="42">
        <f>BI36+BI37+BI38+BI39+BI40+BI41</f>
        <v/>
      </c>
      <c r="BJ42" s="42">
        <f>BJ36+BJ37+BJ38+BJ39+BJ40+BJ41</f>
        <v/>
      </c>
    </row>
    <row r="43"/>
    <row r="44">
      <c r="A44" s="19" t="inlineStr">
        <is>
          <t>Profit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</row>
    <row r="45">
      <c r="A45" s="3" t="inlineStr">
        <is>
          <t>EBITDA</t>
        </is>
      </c>
      <c r="B45" s="17" t="inlineStr">
        <is>
          <t>R</t>
        </is>
      </c>
      <c r="C45" s="42">
        <f>C26-C42</f>
        <v/>
      </c>
      <c r="D45" s="42">
        <f>D26-D42</f>
        <v/>
      </c>
      <c r="E45" s="42">
        <f>E26-E42</f>
        <v/>
      </c>
      <c r="F45" s="42">
        <f>F26-F42</f>
        <v/>
      </c>
      <c r="G45" s="42">
        <f>G26-G42</f>
        <v/>
      </c>
      <c r="H45" s="42">
        <f>H26-H42</f>
        <v/>
      </c>
      <c r="I45" s="42">
        <f>I26-I42</f>
        <v/>
      </c>
      <c r="J45" s="42">
        <f>J26-J42</f>
        <v/>
      </c>
      <c r="K45" s="42">
        <f>K26-K42</f>
        <v/>
      </c>
      <c r="L45" s="42">
        <f>L26-L42</f>
        <v/>
      </c>
      <c r="M45" s="42">
        <f>M26-M42</f>
        <v/>
      </c>
      <c r="N45" s="42">
        <f>N26-N42</f>
        <v/>
      </c>
      <c r="O45" s="42">
        <f>O26-O42</f>
        <v/>
      </c>
      <c r="P45" s="42">
        <f>P26-P42</f>
        <v/>
      </c>
      <c r="Q45" s="42">
        <f>Q26-Q42</f>
        <v/>
      </c>
      <c r="R45" s="42">
        <f>R26-R42</f>
        <v/>
      </c>
      <c r="S45" s="42">
        <f>S26-S42</f>
        <v/>
      </c>
      <c r="T45" s="42">
        <f>T26-T42</f>
        <v/>
      </c>
      <c r="U45" s="42">
        <f>U26-U42</f>
        <v/>
      </c>
      <c r="V45" s="42">
        <f>V26-V42</f>
        <v/>
      </c>
      <c r="W45" s="42">
        <f>W26-W42</f>
        <v/>
      </c>
      <c r="X45" s="42">
        <f>X26-X42</f>
        <v/>
      </c>
      <c r="Y45" s="42">
        <f>Y26-Y42</f>
        <v/>
      </c>
      <c r="Z45" s="42">
        <f>Z26-Z42</f>
        <v/>
      </c>
      <c r="AA45" s="42">
        <f>AA26-AA42</f>
        <v/>
      </c>
      <c r="AB45" s="42">
        <f>AB26-AB42</f>
        <v/>
      </c>
      <c r="AC45" s="42">
        <f>AC26-AC42</f>
        <v/>
      </c>
      <c r="AD45" s="42">
        <f>AD26-AD42</f>
        <v/>
      </c>
      <c r="AE45" s="42">
        <f>AE26-AE42</f>
        <v/>
      </c>
      <c r="AF45" s="42">
        <f>AF26-AF42</f>
        <v/>
      </c>
      <c r="AG45" s="42">
        <f>AG26-AG42</f>
        <v/>
      </c>
      <c r="AH45" s="42">
        <f>AH26-AH42</f>
        <v/>
      </c>
      <c r="AI45" s="42">
        <f>AI26-AI42</f>
        <v/>
      </c>
      <c r="AJ45" s="42">
        <f>AJ26-AJ42</f>
        <v/>
      </c>
      <c r="AK45" s="42">
        <f>AK26-AK42</f>
        <v/>
      </c>
      <c r="AL45" s="42">
        <f>AL26-AL42</f>
        <v/>
      </c>
      <c r="AM45" s="42">
        <f>AM26-AM42</f>
        <v/>
      </c>
      <c r="AN45" s="42">
        <f>AN26-AN42</f>
        <v/>
      </c>
      <c r="AO45" s="42">
        <f>AO26-AO42</f>
        <v/>
      </c>
      <c r="AP45" s="42">
        <f>AP26-AP42</f>
        <v/>
      </c>
      <c r="AQ45" s="42">
        <f>AQ26-AQ42</f>
        <v/>
      </c>
      <c r="AR45" s="42">
        <f>AR26-AR42</f>
        <v/>
      </c>
      <c r="AS45" s="42">
        <f>AS26-AS42</f>
        <v/>
      </c>
      <c r="AT45" s="42">
        <f>AT26-AT42</f>
        <v/>
      </c>
      <c r="AU45" s="42">
        <f>AU26-AU42</f>
        <v/>
      </c>
      <c r="AV45" s="42">
        <f>AV26-AV42</f>
        <v/>
      </c>
      <c r="AW45" s="42">
        <f>AW26-AW42</f>
        <v/>
      </c>
      <c r="AX45" s="42">
        <f>AX26-AX42</f>
        <v/>
      </c>
      <c r="AY45" s="42">
        <f>AY26-AY42</f>
        <v/>
      </c>
      <c r="AZ45" s="42">
        <f>AZ26-AZ42</f>
        <v/>
      </c>
      <c r="BA45" s="42">
        <f>BA26-BA42</f>
        <v/>
      </c>
      <c r="BB45" s="42">
        <f>BB26-BB42</f>
        <v/>
      </c>
      <c r="BC45" s="42">
        <f>BC26-BC42</f>
        <v/>
      </c>
      <c r="BD45" s="42">
        <f>BD26-BD42</f>
        <v/>
      </c>
      <c r="BE45" s="42">
        <f>BE26-BE42</f>
        <v/>
      </c>
      <c r="BF45" s="42">
        <f>BF26-BF42</f>
        <v/>
      </c>
      <c r="BG45" s="42">
        <f>BG26-BG42</f>
        <v/>
      </c>
      <c r="BH45" s="42">
        <f>BH26-BH42</f>
        <v/>
      </c>
      <c r="BI45" s="42">
        <f>BI26-BI42</f>
        <v/>
      </c>
      <c r="BJ45" s="42">
        <f>BJ26-BJ42</f>
        <v/>
      </c>
    </row>
    <row r="46">
      <c r="A46" s="4" t="inlineStr">
        <is>
          <t>EBITDA margin %</t>
        </is>
      </c>
      <c r="B46" s="17" t="inlineStr">
        <is>
          <t>%</t>
        </is>
      </c>
      <c r="C46" s="9">
        <f>IF(C16=0,0,C45/C16)</f>
        <v/>
      </c>
      <c r="D46" s="9">
        <f>IF(D16=0,0,D45/D16)</f>
        <v/>
      </c>
      <c r="E46" s="9">
        <f>IF(E16=0,0,E45/E16)</f>
        <v/>
      </c>
      <c r="F46" s="9">
        <f>IF(F16=0,0,F45/F16)</f>
        <v/>
      </c>
      <c r="G46" s="9">
        <f>IF(G16=0,0,G45/G16)</f>
        <v/>
      </c>
      <c r="H46" s="9">
        <f>IF(H16=0,0,H45/H16)</f>
        <v/>
      </c>
      <c r="I46" s="9">
        <f>IF(I16=0,0,I45/I16)</f>
        <v/>
      </c>
      <c r="J46" s="9">
        <f>IF(J16=0,0,J45/J16)</f>
        <v/>
      </c>
      <c r="K46" s="9">
        <f>IF(K16=0,0,K45/K16)</f>
        <v/>
      </c>
      <c r="L46" s="9">
        <f>IF(L16=0,0,L45/L16)</f>
        <v/>
      </c>
      <c r="M46" s="9">
        <f>IF(M16=0,0,M45/M16)</f>
        <v/>
      </c>
      <c r="N46" s="9">
        <f>IF(N16=0,0,N45/N16)</f>
        <v/>
      </c>
      <c r="O46" s="9">
        <f>IF(O16=0,0,O45/O16)</f>
        <v/>
      </c>
      <c r="P46" s="9">
        <f>IF(P16=0,0,P45/P16)</f>
        <v/>
      </c>
      <c r="Q46" s="9">
        <f>IF(Q16=0,0,Q45/Q16)</f>
        <v/>
      </c>
      <c r="R46" s="9">
        <f>IF(R16=0,0,R45/R16)</f>
        <v/>
      </c>
      <c r="S46" s="9">
        <f>IF(S16=0,0,S45/S16)</f>
        <v/>
      </c>
      <c r="T46" s="9">
        <f>IF(T16=0,0,T45/T16)</f>
        <v/>
      </c>
      <c r="U46" s="9">
        <f>IF(U16=0,0,U45/U16)</f>
        <v/>
      </c>
      <c r="V46" s="9">
        <f>IF(V16=0,0,V45/V16)</f>
        <v/>
      </c>
      <c r="W46" s="9">
        <f>IF(W16=0,0,W45/W16)</f>
        <v/>
      </c>
      <c r="X46" s="9">
        <f>IF(X16=0,0,X45/X16)</f>
        <v/>
      </c>
      <c r="Y46" s="9">
        <f>IF(Y16=0,0,Y45/Y16)</f>
        <v/>
      </c>
      <c r="Z46" s="9">
        <f>IF(Z16=0,0,Z45/Z16)</f>
        <v/>
      </c>
      <c r="AA46" s="9">
        <f>IF(AA16=0,0,AA45/AA16)</f>
        <v/>
      </c>
      <c r="AB46" s="9">
        <f>IF(AB16=0,0,AB45/AB16)</f>
        <v/>
      </c>
      <c r="AC46" s="9">
        <f>IF(AC16=0,0,AC45/AC16)</f>
        <v/>
      </c>
      <c r="AD46" s="9">
        <f>IF(AD16=0,0,AD45/AD16)</f>
        <v/>
      </c>
      <c r="AE46" s="9">
        <f>IF(AE16=0,0,AE45/AE16)</f>
        <v/>
      </c>
      <c r="AF46" s="9">
        <f>IF(AF16=0,0,AF45/AF16)</f>
        <v/>
      </c>
      <c r="AG46" s="9">
        <f>IF(AG16=0,0,AG45/AG16)</f>
        <v/>
      </c>
      <c r="AH46" s="9">
        <f>IF(AH16=0,0,AH45/AH16)</f>
        <v/>
      </c>
      <c r="AI46" s="9">
        <f>IF(AI16=0,0,AI45/AI16)</f>
        <v/>
      </c>
      <c r="AJ46" s="9">
        <f>IF(AJ16=0,0,AJ45/AJ16)</f>
        <v/>
      </c>
      <c r="AK46" s="9">
        <f>IF(AK16=0,0,AK45/AK16)</f>
        <v/>
      </c>
      <c r="AL46" s="9">
        <f>IF(AL16=0,0,AL45/AL16)</f>
        <v/>
      </c>
      <c r="AM46" s="9">
        <f>IF(AM16=0,0,AM45/AM16)</f>
        <v/>
      </c>
      <c r="AN46" s="9">
        <f>IF(AN16=0,0,AN45/AN16)</f>
        <v/>
      </c>
      <c r="AO46" s="9">
        <f>IF(AO16=0,0,AO45/AO16)</f>
        <v/>
      </c>
      <c r="AP46" s="9">
        <f>IF(AP16=0,0,AP45/AP16)</f>
        <v/>
      </c>
      <c r="AQ46" s="9">
        <f>IF(AQ16=0,0,AQ45/AQ16)</f>
        <v/>
      </c>
      <c r="AR46" s="9">
        <f>IF(AR16=0,0,AR45/AR16)</f>
        <v/>
      </c>
      <c r="AS46" s="9">
        <f>IF(AS16=0,0,AS45/AS16)</f>
        <v/>
      </c>
      <c r="AT46" s="9">
        <f>IF(AT16=0,0,AT45/AT16)</f>
        <v/>
      </c>
      <c r="AU46" s="9">
        <f>IF(AU16=0,0,AU45/AU16)</f>
        <v/>
      </c>
      <c r="AV46" s="9">
        <f>IF(AV16=0,0,AV45/AV16)</f>
        <v/>
      </c>
      <c r="AW46" s="9">
        <f>IF(AW16=0,0,AW45/AW16)</f>
        <v/>
      </c>
      <c r="AX46" s="9">
        <f>IF(AX16=0,0,AX45/AX16)</f>
        <v/>
      </c>
      <c r="AY46" s="9">
        <f>IF(AY16=0,0,AY45/AY16)</f>
        <v/>
      </c>
      <c r="AZ46" s="9">
        <f>IF(AZ16=0,0,AZ45/AZ16)</f>
        <v/>
      </c>
      <c r="BA46" s="9">
        <f>IF(BA16=0,0,BA45/BA16)</f>
        <v/>
      </c>
      <c r="BB46" s="9">
        <f>IF(BB16=0,0,BB45/BB16)</f>
        <v/>
      </c>
      <c r="BC46" s="9">
        <f>IF(BC16=0,0,BC45/BC16)</f>
        <v/>
      </c>
      <c r="BD46" s="9">
        <f>IF(BD16=0,0,BD45/BD16)</f>
        <v/>
      </c>
      <c r="BE46" s="9">
        <f>IF(BE16=0,0,BE45/BE16)</f>
        <v/>
      </c>
      <c r="BF46" s="9">
        <f>IF(BF16=0,0,BF45/BF16)</f>
        <v/>
      </c>
      <c r="BG46" s="9">
        <f>IF(BG16=0,0,BG45/BG16)</f>
        <v/>
      </c>
      <c r="BH46" s="9">
        <f>IF(BH16=0,0,BH45/BH16)</f>
        <v/>
      </c>
      <c r="BI46" s="9">
        <f>IF(BI16=0,0,BI45/BI16)</f>
        <v/>
      </c>
      <c r="BJ46" s="9">
        <f>IF(BJ16=0,0,BJ45/BJ16)</f>
        <v/>
      </c>
    </row>
    <row r="47">
      <c r="A47" s="4" t="inlineStr">
        <is>
          <t>Cumulative EBITDA (assessed-loss tracker; D&amp;A and interest ignored)</t>
        </is>
      </c>
      <c r="B47" s="17" t="inlineStr">
        <is>
          <t>R</t>
        </is>
      </c>
      <c r="C47" s="8">
        <f>C45</f>
        <v/>
      </c>
      <c r="D47" s="8">
        <f>C47+D45</f>
        <v/>
      </c>
      <c r="E47" s="8">
        <f>D47+E45</f>
        <v/>
      </c>
      <c r="F47" s="8">
        <f>E47+F45</f>
        <v/>
      </c>
      <c r="G47" s="8">
        <f>F47+G45</f>
        <v/>
      </c>
      <c r="H47" s="8">
        <f>G47+H45</f>
        <v/>
      </c>
      <c r="I47" s="8">
        <f>H47+I45</f>
        <v/>
      </c>
      <c r="J47" s="8">
        <f>I47+J45</f>
        <v/>
      </c>
      <c r="K47" s="8">
        <f>J47+K45</f>
        <v/>
      </c>
      <c r="L47" s="8">
        <f>K47+L45</f>
        <v/>
      </c>
      <c r="M47" s="8">
        <f>L47+M45</f>
        <v/>
      </c>
      <c r="N47" s="8">
        <f>M47+N45</f>
        <v/>
      </c>
      <c r="O47" s="8">
        <f>N47+O45</f>
        <v/>
      </c>
      <c r="P47" s="8">
        <f>O47+P45</f>
        <v/>
      </c>
      <c r="Q47" s="8">
        <f>P47+Q45</f>
        <v/>
      </c>
      <c r="R47" s="8">
        <f>Q47+R45</f>
        <v/>
      </c>
      <c r="S47" s="8">
        <f>R47+S45</f>
        <v/>
      </c>
      <c r="T47" s="8">
        <f>S47+T45</f>
        <v/>
      </c>
      <c r="U47" s="8">
        <f>T47+U45</f>
        <v/>
      </c>
      <c r="V47" s="8">
        <f>U47+V45</f>
        <v/>
      </c>
      <c r="W47" s="8">
        <f>V47+W45</f>
        <v/>
      </c>
      <c r="X47" s="8">
        <f>W47+X45</f>
        <v/>
      </c>
      <c r="Y47" s="8">
        <f>X47+Y45</f>
        <v/>
      </c>
      <c r="Z47" s="8">
        <f>Y47+Z45</f>
        <v/>
      </c>
      <c r="AA47" s="8">
        <f>Z47+AA45</f>
        <v/>
      </c>
      <c r="AB47" s="8">
        <f>AA47+AB45</f>
        <v/>
      </c>
      <c r="AC47" s="8">
        <f>AB47+AC45</f>
        <v/>
      </c>
      <c r="AD47" s="8">
        <f>AC47+AD45</f>
        <v/>
      </c>
      <c r="AE47" s="8">
        <f>AD47+AE45</f>
        <v/>
      </c>
      <c r="AF47" s="8">
        <f>AE47+AF45</f>
        <v/>
      </c>
      <c r="AG47" s="8">
        <f>AF47+AG45</f>
        <v/>
      </c>
      <c r="AH47" s="8">
        <f>AG47+AH45</f>
        <v/>
      </c>
      <c r="AI47" s="8">
        <f>AH47+AI45</f>
        <v/>
      </c>
      <c r="AJ47" s="8">
        <f>AI47+AJ45</f>
        <v/>
      </c>
      <c r="AK47" s="8">
        <f>AJ47+AK45</f>
        <v/>
      </c>
      <c r="AL47" s="8">
        <f>AK47+AL45</f>
        <v/>
      </c>
      <c r="AM47" s="8">
        <f>AL47+AM45</f>
        <v/>
      </c>
      <c r="AN47" s="8">
        <f>AM47+AN45</f>
        <v/>
      </c>
      <c r="AO47" s="8">
        <f>AN47+AO45</f>
        <v/>
      </c>
      <c r="AP47" s="8">
        <f>AO47+AP45</f>
        <v/>
      </c>
      <c r="AQ47" s="8">
        <f>AP47+AQ45</f>
        <v/>
      </c>
      <c r="AR47" s="8">
        <f>AQ47+AR45</f>
        <v/>
      </c>
      <c r="AS47" s="8">
        <f>AR47+AS45</f>
        <v/>
      </c>
      <c r="AT47" s="8">
        <f>AS47+AT45</f>
        <v/>
      </c>
      <c r="AU47" s="8">
        <f>AT47+AU45</f>
        <v/>
      </c>
      <c r="AV47" s="8">
        <f>AU47+AV45</f>
        <v/>
      </c>
      <c r="AW47" s="8">
        <f>AV47+AW45</f>
        <v/>
      </c>
      <c r="AX47" s="8">
        <f>AW47+AX45</f>
        <v/>
      </c>
      <c r="AY47" s="8">
        <f>AX47+AY45</f>
        <v/>
      </c>
      <c r="AZ47" s="8">
        <f>AY47+AZ45</f>
        <v/>
      </c>
      <c r="BA47" s="8">
        <f>AZ47+BA45</f>
        <v/>
      </c>
      <c r="BB47" s="8">
        <f>BA47+BB45</f>
        <v/>
      </c>
      <c r="BC47" s="8">
        <f>BB47+BC45</f>
        <v/>
      </c>
      <c r="BD47" s="8">
        <f>BC47+BD45</f>
        <v/>
      </c>
      <c r="BE47" s="8">
        <f>BD47+BE45</f>
        <v/>
      </c>
      <c r="BF47" s="8">
        <f>BE47+BF45</f>
        <v/>
      </c>
      <c r="BG47" s="8">
        <f>BF47+BG45</f>
        <v/>
      </c>
      <c r="BH47" s="8">
        <f>BG47+BH45</f>
        <v/>
      </c>
      <c r="BI47" s="8">
        <f>BH47+BI45</f>
        <v/>
      </c>
      <c r="BJ47" s="8">
        <f>BI47+BJ45</f>
        <v/>
      </c>
    </row>
    <row r="48">
      <c r="A48" s="4" t="inlineStr">
        <is>
          <t>Income tax (27% once cumulatively profitable)</t>
        </is>
      </c>
      <c r="B48" s="17" t="inlineStr">
        <is>
          <t>R</t>
        </is>
      </c>
      <c r="C48" s="8">
        <f>Assumptions!$B$11*MAX(0,C47)</f>
        <v/>
      </c>
      <c r="D48" s="8">
        <f>Assumptions!$B$11*(MAX(0,D47)-MAX(0,C47))</f>
        <v/>
      </c>
      <c r="E48" s="8">
        <f>Assumptions!$B$11*(MAX(0,E47)-MAX(0,D47))</f>
        <v/>
      </c>
      <c r="F48" s="8">
        <f>Assumptions!$B$11*(MAX(0,F47)-MAX(0,E47))</f>
        <v/>
      </c>
      <c r="G48" s="8">
        <f>Assumptions!$B$11*(MAX(0,G47)-MAX(0,F47))</f>
        <v/>
      </c>
      <c r="H48" s="8">
        <f>Assumptions!$B$11*(MAX(0,H47)-MAX(0,G47))</f>
        <v/>
      </c>
      <c r="I48" s="8">
        <f>Assumptions!$B$11*(MAX(0,I47)-MAX(0,H47))</f>
        <v/>
      </c>
      <c r="J48" s="8">
        <f>Assumptions!$B$11*(MAX(0,J47)-MAX(0,I47))</f>
        <v/>
      </c>
      <c r="K48" s="8">
        <f>Assumptions!$B$11*(MAX(0,K47)-MAX(0,J47))</f>
        <v/>
      </c>
      <c r="L48" s="8">
        <f>Assumptions!$B$11*(MAX(0,L47)-MAX(0,K47))</f>
        <v/>
      </c>
      <c r="M48" s="8">
        <f>Assumptions!$B$11*(MAX(0,M47)-MAX(0,L47))</f>
        <v/>
      </c>
      <c r="N48" s="8">
        <f>Assumptions!$B$11*(MAX(0,N47)-MAX(0,M47))</f>
        <v/>
      </c>
      <c r="O48" s="8">
        <f>Assumptions!$B$11*(MAX(0,O47)-MAX(0,N47))</f>
        <v/>
      </c>
      <c r="P48" s="8">
        <f>Assumptions!$B$11*(MAX(0,P47)-MAX(0,O47))</f>
        <v/>
      </c>
      <c r="Q48" s="8">
        <f>Assumptions!$B$11*(MAX(0,Q47)-MAX(0,P47))</f>
        <v/>
      </c>
      <c r="R48" s="8">
        <f>Assumptions!$B$11*(MAX(0,R47)-MAX(0,Q47))</f>
        <v/>
      </c>
      <c r="S48" s="8">
        <f>Assumptions!$B$11*(MAX(0,S47)-MAX(0,R47))</f>
        <v/>
      </c>
      <c r="T48" s="8">
        <f>Assumptions!$B$11*(MAX(0,T47)-MAX(0,S47))</f>
        <v/>
      </c>
      <c r="U48" s="8">
        <f>Assumptions!$B$11*(MAX(0,U47)-MAX(0,T47))</f>
        <v/>
      </c>
      <c r="V48" s="8">
        <f>Assumptions!$B$11*(MAX(0,V47)-MAX(0,U47))</f>
        <v/>
      </c>
      <c r="W48" s="8">
        <f>Assumptions!$B$11*(MAX(0,W47)-MAX(0,V47))</f>
        <v/>
      </c>
      <c r="X48" s="8">
        <f>Assumptions!$B$11*(MAX(0,X47)-MAX(0,W47))</f>
        <v/>
      </c>
      <c r="Y48" s="8">
        <f>Assumptions!$B$11*(MAX(0,Y47)-MAX(0,X47))</f>
        <v/>
      </c>
      <c r="Z48" s="8">
        <f>Assumptions!$B$11*(MAX(0,Z47)-MAX(0,Y47))</f>
        <v/>
      </c>
      <c r="AA48" s="8">
        <f>Assumptions!$B$11*(MAX(0,AA47)-MAX(0,Z47))</f>
        <v/>
      </c>
      <c r="AB48" s="8">
        <f>Assumptions!$B$11*(MAX(0,AB47)-MAX(0,AA47))</f>
        <v/>
      </c>
      <c r="AC48" s="8">
        <f>Assumptions!$B$11*(MAX(0,AC47)-MAX(0,AB47))</f>
        <v/>
      </c>
      <c r="AD48" s="8">
        <f>Assumptions!$B$11*(MAX(0,AD47)-MAX(0,AC47))</f>
        <v/>
      </c>
      <c r="AE48" s="8">
        <f>Assumptions!$B$11*(MAX(0,AE47)-MAX(0,AD47))</f>
        <v/>
      </c>
      <c r="AF48" s="8">
        <f>Assumptions!$B$11*(MAX(0,AF47)-MAX(0,AE47))</f>
        <v/>
      </c>
      <c r="AG48" s="8">
        <f>Assumptions!$B$11*(MAX(0,AG47)-MAX(0,AF47))</f>
        <v/>
      </c>
      <c r="AH48" s="8">
        <f>Assumptions!$B$11*(MAX(0,AH47)-MAX(0,AG47))</f>
        <v/>
      </c>
      <c r="AI48" s="8">
        <f>Assumptions!$B$11*(MAX(0,AI47)-MAX(0,AH47))</f>
        <v/>
      </c>
      <c r="AJ48" s="8">
        <f>Assumptions!$B$11*(MAX(0,AJ47)-MAX(0,AI47))</f>
        <v/>
      </c>
      <c r="AK48" s="8">
        <f>Assumptions!$B$11*(MAX(0,AK47)-MAX(0,AJ47))</f>
        <v/>
      </c>
      <c r="AL48" s="8">
        <f>Assumptions!$B$11*(MAX(0,AL47)-MAX(0,AK47))</f>
        <v/>
      </c>
      <c r="AM48" s="8">
        <f>Assumptions!$B$11*(MAX(0,AM47)-MAX(0,AL47))</f>
        <v/>
      </c>
      <c r="AN48" s="8">
        <f>Assumptions!$B$11*(MAX(0,AN47)-MAX(0,AM47))</f>
        <v/>
      </c>
      <c r="AO48" s="8">
        <f>Assumptions!$B$11*(MAX(0,AO47)-MAX(0,AN47))</f>
        <v/>
      </c>
      <c r="AP48" s="8">
        <f>Assumptions!$B$11*(MAX(0,AP47)-MAX(0,AO47))</f>
        <v/>
      </c>
      <c r="AQ48" s="8">
        <f>Assumptions!$B$11*(MAX(0,AQ47)-MAX(0,AP47))</f>
        <v/>
      </c>
      <c r="AR48" s="8">
        <f>Assumptions!$B$11*(MAX(0,AR47)-MAX(0,AQ47))</f>
        <v/>
      </c>
      <c r="AS48" s="8">
        <f>Assumptions!$B$11*(MAX(0,AS47)-MAX(0,AR47))</f>
        <v/>
      </c>
      <c r="AT48" s="8">
        <f>Assumptions!$B$11*(MAX(0,AT47)-MAX(0,AS47))</f>
        <v/>
      </c>
      <c r="AU48" s="8">
        <f>Assumptions!$B$11*(MAX(0,AU47)-MAX(0,AT47))</f>
        <v/>
      </c>
      <c r="AV48" s="8">
        <f>Assumptions!$B$11*(MAX(0,AV47)-MAX(0,AU47))</f>
        <v/>
      </c>
      <c r="AW48" s="8">
        <f>Assumptions!$B$11*(MAX(0,AW47)-MAX(0,AV47))</f>
        <v/>
      </c>
      <c r="AX48" s="8">
        <f>Assumptions!$B$11*(MAX(0,AX47)-MAX(0,AW47))</f>
        <v/>
      </c>
      <c r="AY48" s="8">
        <f>Assumptions!$B$11*(MAX(0,AY47)-MAX(0,AX47))</f>
        <v/>
      </c>
      <c r="AZ48" s="8">
        <f>Assumptions!$B$11*(MAX(0,AZ47)-MAX(0,AY47))</f>
        <v/>
      </c>
      <c r="BA48" s="8">
        <f>Assumptions!$B$11*(MAX(0,BA47)-MAX(0,AZ47))</f>
        <v/>
      </c>
      <c r="BB48" s="8">
        <f>Assumptions!$B$11*(MAX(0,BB47)-MAX(0,BA47))</f>
        <v/>
      </c>
      <c r="BC48" s="8">
        <f>Assumptions!$B$11*(MAX(0,BC47)-MAX(0,BB47))</f>
        <v/>
      </c>
      <c r="BD48" s="8">
        <f>Assumptions!$B$11*(MAX(0,BD47)-MAX(0,BC47))</f>
        <v/>
      </c>
      <c r="BE48" s="8">
        <f>Assumptions!$B$11*(MAX(0,BE47)-MAX(0,BD47))</f>
        <v/>
      </c>
      <c r="BF48" s="8">
        <f>Assumptions!$B$11*(MAX(0,BF47)-MAX(0,BE47))</f>
        <v/>
      </c>
      <c r="BG48" s="8">
        <f>Assumptions!$B$11*(MAX(0,BG47)-MAX(0,BF47))</f>
        <v/>
      </c>
      <c r="BH48" s="8">
        <f>Assumptions!$B$11*(MAX(0,BH47)-MAX(0,BG47))</f>
        <v/>
      </c>
      <c r="BI48" s="8">
        <f>Assumptions!$B$11*(MAX(0,BI47)-MAX(0,BH47))</f>
        <v/>
      </c>
      <c r="BJ48" s="8">
        <f>Assumptions!$B$11*(MAX(0,BJ47)-MAX(0,BI47))</f>
        <v/>
      </c>
    </row>
    <row r="49">
      <c r="A49" s="3" t="inlineStr">
        <is>
          <t>Net income</t>
        </is>
      </c>
      <c r="B49" s="17" t="inlineStr">
        <is>
          <t>R</t>
        </is>
      </c>
      <c r="C49" s="42">
        <f>C45-C48</f>
        <v/>
      </c>
      <c r="D49" s="42">
        <f>D45-D48</f>
        <v/>
      </c>
      <c r="E49" s="42">
        <f>E45-E48</f>
        <v/>
      </c>
      <c r="F49" s="42">
        <f>F45-F48</f>
        <v/>
      </c>
      <c r="G49" s="42">
        <f>G45-G48</f>
        <v/>
      </c>
      <c r="H49" s="42">
        <f>H45-H48</f>
        <v/>
      </c>
      <c r="I49" s="42">
        <f>I45-I48</f>
        <v/>
      </c>
      <c r="J49" s="42">
        <f>J45-J48</f>
        <v/>
      </c>
      <c r="K49" s="42">
        <f>K45-K48</f>
        <v/>
      </c>
      <c r="L49" s="42">
        <f>L45-L48</f>
        <v/>
      </c>
      <c r="M49" s="42">
        <f>M45-M48</f>
        <v/>
      </c>
      <c r="N49" s="42">
        <f>N45-N48</f>
        <v/>
      </c>
      <c r="O49" s="42">
        <f>O45-O48</f>
        <v/>
      </c>
      <c r="P49" s="42">
        <f>P45-P48</f>
        <v/>
      </c>
      <c r="Q49" s="42">
        <f>Q45-Q48</f>
        <v/>
      </c>
      <c r="R49" s="42">
        <f>R45-R48</f>
        <v/>
      </c>
      <c r="S49" s="42">
        <f>S45-S48</f>
        <v/>
      </c>
      <c r="T49" s="42">
        <f>T45-T48</f>
        <v/>
      </c>
      <c r="U49" s="42">
        <f>U45-U48</f>
        <v/>
      </c>
      <c r="V49" s="42">
        <f>V45-V48</f>
        <v/>
      </c>
      <c r="W49" s="42">
        <f>W45-W48</f>
        <v/>
      </c>
      <c r="X49" s="42">
        <f>X45-X48</f>
        <v/>
      </c>
      <c r="Y49" s="42">
        <f>Y45-Y48</f>
        <v/>
      </c>
      <c r="Z49" s="42">
        <f>Z45-Z48</f>
        <v/>
      </c>
      <c r="AA49" s="42">
        <f>AA45-AA48</f>
        <v/>
      </c>
      <c r="AB49" s="42">
        <f>AB45-AB48</f>
        <v/>
      </c>
      <c r="AC49" s="42">
        <f>AC45-AC48</f>
        <v/>
      </c>
      <c r="AD49" s="42">
        <f>AD45-AD48</f>
        <v/>
      </c>
      <c r="AE49" s="42">
        <f>AE45-AE48</f>
        <v/>
      </c>
      <c r="AF49" s="42">
        <f>AF45-AF48</f>
        <v/>
      </c>
      <c r="AG49" s="42">
        <f>AG45-AG48</f>
        <v/>
      </c>
      <c r="AH49" s="42">
        <f>AH45-AH48</f>
        <v/>
      </c>
      <c r="AI49" s="42">
        <f>AI45-AI48</f>
        <v/>
      </c>
      <c r="AJ49" s="42">
        <f>AJ45-AJ48</f>
        <v/>
      </c>
      <c r="AK49" s="42">
        <f>AK45-AK48</f>
        <v/>
      </c>
      <c r="AL49" s="42">
        <f>AL45-AL48</f>
        <v/>
      </c>
      <c r="AM49" s="42">
        <f>AM45-AM48</f>
        <v/>
      </c>
      <c r="AN49" s="42">
        <f>AN45-AN48</f>
        <v/>
      </c>
      <c r="AO49" s="42">
        <f>AO45-AO48</f>
        <v/>
      </c>
      <c r="AP49" s="42">
        <f>AP45-AP48</f>
        <v/>
      </c>
      <c r="AQ49" s="42">
        <f>AQ45-AQ48</f>
        <v/>
      </c>
      <c r="AR49" s="42">
        <f>AR45-AR48</f>
        <v/>
      </c>
      <c r="AS49" s="42">
        <f>AS45-AS48</f>
        <v/>
      </c>
      <c r="AT49" s="42">
        <f>AT45-AT48</f>
        <v/>
      </c>
      <c r="AU49" s="42">
        <f>AU45-AU48</f>
        <v/>
      </c>
      <c r="AV49" s="42">
        <f>AV45-AV48</f>
        <v/>
      </c>
      <c r="AW49" s="42">
        <f>AW45-AW48</f>
        <v/>
      </c>
      <c r="AX49" s="42">
        <f>AX45-AX48</f>
        <v/>
      </c>
      <c r="AY49" s="42">
        <f>AY45-AY48</f>
        <v/>
      </c>
      <c r="AZ49" s="42">
        <f>AZ45-AZ48</f>
        <v/>
      </c>
      <c r="BA49" s="42">
        <f>BA45-BA48</f>
        <v/>
      </c>
      <c r="BB49" s="42">
        <f>BB45-BB48</f>
        <v/>
      </c>
      <c r="BC49" s="42">
        <f>BC45-BC48</f>
        <v/>
      </c>
      <c r="BD49" s="42">
        <f>BD45-BD48</f>
        <v/>
      </c>
      <c r="BE49" s="42">
        <f>BE45-BE48</f>
        <v/>
      </c>
      <c r="BF49" s="42">
        <f>BF45-BF48</f>
        <v/>
      </c>
      <c r="BG49" s="42">
        <f>BG45-BG48</f>
        <v/>
      </c>
      <c r="BH49" s="42">
        <f>BH45-BH48</f>
        <v/>
      </c>
      <c r="BI49" s="42">
        <f>BI45-BI48</f>
        <v/>
      </c>
      <c r="BJ49" s="42">
        <f>BJ45-BJ48</f>
        <v/>
      </c>
    </row>
    <row r="50"/>
    <row r="51">
      <c r="A51" s="19" t="inlineStr">
        <is>
          <t>Memo: software gross margin (net subscriptions, top-ups, setup fees; excl. WhatsApp pass-through &amp; commerce)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</row>
    <row r="52">
      <c r="A52" s="4" t="inlineStr">
        <is>
          <t>Software revenue</t>
        </is>
      </c>
      <c r="B52" s="17" t="inlineStr">
        <is>
          <t>R</t>
        </is>
      </c>
      <c r="C52" s="8">
        <f>C10+C11+C14+C15</f>
        <v/>
      </c>
      <c r="D52" s="8">
        <f>D10+D11+D14+D15</f>
        <v/>
      </c>
      <c r="E52" s="8">
        <f>E10+E11+E14+E15</f>
        <v/>
      </c>
      <c r="F52" s="8">
        <f>F10+F11+F14+F15</f>
        <v/>
      </c>
      <c r="G52" s="8">
        <f>G10+G11+G14+G15</f>
        <v/>
      </c>
      <c r="H52" s="8">
        <f>H10+H11+H14+H15</f>
        <v/>
      </c>
      <c r="I52" s="8">
        <f>I10+I11+I14+I15</f>
        <v/>
      </c>
      <c r="J52" s="8">
        <f>J10+J11+J14+J15</f>
        <v/>
      </c>
      <c r="K52" s="8">
        <f>K10+K11+K14+K15</f>
        <v/>
      </c>
      <c r="L52" s="8">
        <f>L10+L11+L14+L15</f>
        <v/>
      </c>
      <c r="M52" s="8">
        <f>M10+M11+M14+M15</f>
        <v/>
      </c>
      <c r="N52" s="8">
        <f>N10+N11+N14+N15</f>
        <v/>
      </c>
      <c r="O52" s="8">
        <f>O10+O11+O14+O15</f>
        <v/>
      </c>
      <c r="P52" s="8">
        <f>P10+P11+P14+P15</f>
        <v/>
      </c>
      <c r="Q52" s="8">
        <f>Q10+Q11+Q14+Q15</f>
        <v/>
      </c>
      <c r="R52" s="8">
        <f>R10+R11+R14+R15</f>
        <v/>
      </c>
      <c r="S52" s="8">
        <f>S10+S11+S14+S15</f>
        <v/>
      </c>
      <c r="T52" s="8">
        <f>T10+T11+T14+T15</f>
        <v/>
      </c>
      <c r="U52" s="8">
        <f>U10+U11+U14+U15</f>
        <v/>
      </c>
      <c r="V52" s="8">
        <f>V10+V11+V14+V15</f>
        <v/>
      </c>
      <c r="W52" s="8">
        <f>W10+W11+W14+W15</f>
        <v/>
      </c>
      <c r="X52" s="8">
        <f>X10+X11+X14+X15</f>
        <v/>
      </c>
      <c r="Y52" s="8">
        <f>Y10+Y11+Y14+Y15</f>
        <v/>
      </c>
      <c r="Z52" s="8">
        <f>Z10+Z11+Z14+Z15</f>
        <v/>
      </c>
      <c r="AA52" s="8">
        <f>AA10+AA11+AA14+AA15</f>
        <v/>
      </c>
      <c r="AB52" s="8">
        <f>AB10+AB11+AB14+AB15</f>
        <v/>
      </c>
      <c r="AC52" s="8">
        <f>AC10+AC11+AC14+AC15</f>
        <v/>
      </c>
      <c r="AD52" s="8">
        <f>AD10+AD11+AD14+AD15</f>
        <v/>
      </c>
      <c r="AE52" s="8">
        <f>AE10+AE11+AE14+AE15</f>
        <v/>
      </c>
      <c r="AF52" s="8">
        <f>AF10+AF11+AF14+AF15</f>
        <v/>
      </c>
      <c r="AG52" s="8">
        <f>AG10+AG11+AG14+AG15</f>
        <v/>
      </c>
      <c r="AH52" s="8">
        <f>AH10+AH11+AH14+AH15</f>
        <v/>
      </c>
      <c r="AI52" s="8">
        <f>AI10+AI11+AI14+AI15</f>
        <v/>
      </c>
      <c r="AJ52" s="8">
        <f>AJ10+AJ11+AJ14+AJ15</f>
        <v/>
      </c>
      <c r="AK52" s="8">
        <f>AK10+AK11+AK14+AK15</f>
        <v/>
      </c>
      <c r="AL52" s="8">
        <f>AL10+AL11+AL14+AL15</f>
        <v/>
      </c>
      <c r="AM52" s="8">
        <f>AM10+AM11+AM14+AM15</f>
        <v/>
      </c>
      <c r="AN52" s="8">
        <f>AN10+AN11+AN14+AN15</f>
        <v/>
      </c>
      <c r="AO52" s="8">
        <f>AO10+AO11+AO14+AO15</f>
        <v/>
      </c>
      <c r="AP52" s="8">
        <f>AP10+AP11+AP14+AP15</f>
        <v/>
      </c>
      <c r="AQ52" s="8">
        <f>AQ10+AQ11+AQ14+AQ15</f>
        <v/>
      </c>
      <c r="AR52" s="8">
        <f>AR10+AR11+AR14+AR15</f>
        <v/>
      </c>
      <c r="AS52" s="8">
        <f>AS10+AS11+AS14+AS15</f>
        <v/>
      </c>
      <c r="AT52" s="8">
        <f>AT10+AT11+AT14+AT15</f>
        <v/>
      </c>
      <c r="AU52" s="8">
        <f>AU10+AU11+AU14+AU15</f>
        <v/>
      </c>
      <c r="AV52" s="8">
        <f>AV10+AV11+AV14+AV15</f>
        <v/>
      </c>
      <c r="AW52" s="8">
        <f>AW10+AW11+AW14+AW15</f>
        <v/>
      </c>
      <c r="AX52" s="8">
        <f>AX10+AX11+AX14+AX15</f>
        <v/>
      </c>
      <c r="AY52" s="8">
        <f>AY10+AY11+AY14+AY15</f>
        <v/>
      </c>
      <c r="AZ52" s="8">
        <f>AZ10+AZ11+AZ14+AZ15</f>
        <v/>
      </c>
      <c r="BA52" s="8">
        <f>BA10+BA11+BA14+BA15</f>
        <v/>
      </c>
      <c r="BB52" s="8">
        <f>BB10+BB11+BB14+BB15</f>
        <v/>
      </c>
      <c r="BC52" s="8">
        <f>BC10+BC11+BC14+BC15</f>
        <v/>
      </c>
      <c r="BD52" s="8">
        <f>BD10+BD11+BD14+BD15</f>
        <v/>
      </c>
      <c r="BE52" s="8">
        <f>BE10+BE11+BE14+BE15</f>
        <v/>
      </c>
      <c r="BF52" s="8">
        <f>BF10+BF11+BF14+BF15</f>
        <v/>
      </c>
      <c r="BG52" s="8">
        <f>BG10+BG11+BG14+BG15</f>
        <v/>
      </c>
      <c r="BH52" s="8">
        <f>BH10+BH11+BH14+BH15</f>
        <v/>
      </c>
      <c r="BI52" s="8">
        <f>BI10+BI11+BI14+BI15</f>
        <v/>
      </c>
      <c r="BJ52" s="8">
        <f>BJ10+BJ11+BJ14+BJ15</f>
        <v/>
      </c>
    </row>
    <row r="53">
      <c r="A53" s="4" t="inlineStr">
        <is>
          <t>Software COGS</t>
        </is>
      </c>
      <c r="B53" s="17" t="inlineStr">
        <is>
          <t>R</t>
        </is>
      </c>
      <c r="C53" s="8">
        <f>C19+C20+C23+C24+C52*Costs!C164</f>
        <v/>
      </c>
      <c r="D53" s="8">
        <f>D19+D20+D23+D24+D52*Costs!D164</f>
        <v/>
      </c>
      <c r="E53" s="8">
        <f>E19+E20+E23+E24+E52*Costs!E164</f>
        <v/>
      </c>
      <c r="F53" s="8">
        <f>F19+F20+F23+F24+F52*Costs!F164</f>
        <v/>
      </c>
      <c r="G53" s="8">
        <f>G19+G20+G23+G24+G52*Costs!G164</f>
        <v/>
      </c>
      <c r="H53" s="8">
        <f>H19+H20+H23+H24+H52*Costs!H164</f>
        <v/>
      </c>
      <c r="I53" s="8">
        <f>I19+I20+I23+I24+I52*Costs!I164</f>
        <v/>
      </c>
      <c r="J53" s="8">
        <f>J19+J20+J23+J24+J52*Costs!J164</f>
        <v/>
      </c>
      <c r="K53" s="8">
        <f>K19+K20+K23+K24+K52*Costs!K164</f>
        <v/>
      </c>
      <c r="L53" s="8">
        <f>L19+L20+L23+L24+L52*Costs!L164</f>
        <v/>
      </c>
      <c r="M53" s="8">
        <f>M19+M20+M23+M24+M52*Costs!M164</f>
        <v/>
      </c>
      <c r="N53" s="8">
        <f>N19+N20+N23+N24+N52*Costs!N164</f>
        <v/>
      </c>
      <c r="O53" s="8">
        <f>O19+O20+O23+O24+O52*Costs!O164</f>
        <v/>
      </c>
      <c r="P53" s="8">
        <f>P19+P20+P23+P24+P52*Costs!P164</f>
        <v/>
      </c>
      <c r="Q53" s="8">
        <f>Q19+Q20+Q23+Q24+Q52*Costs!Q164</f>
        <v/>
      </c>
      <c r="R53" s="8">
        <f>R19+R20+R23+R24+R52*Costs!R164</f>
        <v/>
      </c>
      <c r="S53" s="8">
        <f>S19+S20+S23+S24+S52*Costs!S164</f>
        <v/>
      </c>
      <c r="T53" s="8">
        <f>T19+T20+T23+T24+T52*Costs!T164</f>
        <v/>
      </c>
      <c r="U53" s="8">
        <f>U19+U20+U23+U24+U52*Costs!U164</f>
        <v/>
      </c>
      <c r="V53" s="8">
        <f>V19+V20+V23+V24+V52*Costs!V164</f>
        <v/>
      </c>
      <c r="W53" s="8">
        <f>W19+W20+W23+W24+W52*Costs!W164</f>
        <v/>
      </c>
      <c r="X53" s="8">
        <f>X19+X20+X23+X24+X52*Costs!X164</f>
        <v/>
      </c>
      <c r="Y53" s="8">
        <f>Y19+Y20+Y23+Y24+Y52*Costs!Y164</f>
        <v/>
      </c>
      <c r="Z53" s="8">
        <f>Z19+Z20+Z23+Z24+Z52*Costs!Z164</f>
        <v/>
      </c>
      <c r="AA53" s="8">
        <f>AA19+AA20+AA23+AA24+AA52*Costs!AA164</f>
        <v/>
      </c>
      <c r="AB53" s="8">
        <f>AB19+AB20+AB23+AB24+AB52*Costs!AB164</f>
        <v/>
      </c>
      <c r="AC53" s="8">
        <f>AC19+AC20+AC23+AC24+AC52*Costs!AC164</f>
        <v/>
      </c>
      <c r="AD53" s="8">
        <f>AD19+AD20+AD23+AD24+AD52*Costs!AD164</f>
        <v/>
      </c>
      <c r="AE53" s="8">
        <f>AE19+AE20+AE23+AE24+AE52*Costs!AE164</f>
        <v/>
      </c>
      <c r="AF53" s="8">
        <f>AF19+AF20+AF23+AF24+AF52*Costs!AF164</f>
        <v/>
      </c>
      <c r="AG53" s="8">
        <f>AG19+AG20+AG23+AG24+AG52*Costs!AG164</f>
        <v/>
      </c>
      <c r="AH53" s="8">
        <f>AH19+AH20+AH23+AH24+AH52*Costs!AH164</f>
        <v/>
      </c>
      <c r="AI53" s="8">
        <f>AI19+AI20+AI23+AI24+AI52*Costs!AI164</f>
        <v/>
      </c>
      <c r="AJ53" s="8">
        <f>AJ19+AJ20+AJ23+AJ24+AJ52*Costs!AJ164</f>
        <v/>
      </c>
      <c r="AK53" s="8">
        <f>AK19+AK20+AK23+AK24+AK52*Costs!AK164</f>
        <v/>
      </c>
      <c r="AL53" s="8">
        <f>AL19+AL20+AL23+AL24+AL52*Costs!AL164</f>
        <v/>
      </c>
      <c r="AM53" s="8">
        <f>AM19+AM20+AM23+AM24+AM52*Costs!AM164</f>
        <v/>
      </c>
      <c r="AN53" s="8">
        <f>AN19+AN20+AN23+AN24+AN52*Costs!AN164</f>
        <v/>
      </c>
      <c r="AO53" s="8">
        <f>AO19+AO20+AO23+AO24+AO52*Costs!AO164</f>
        <v/>
      </c>
      <c r="AP53" s="8">
        <f>AP19+AP20+AP23+AP24+AP52*Costs!AP164</f>
        <v/>
      </c>
      <c r="AQ53" s="8">
        <f>AQ19+AQ20+AQ23+AQ24+AQ52*Costs!AQ164</f>
        <v/>
      </c>
      <c r="AR53" s="8">
        <f>AR19+AR20+AR23+AR24+AR52*Costs!AR164</f>
        <v/>
      </c>
      <c r="AS53" s="8">
        <f>AS19+AS20+AS23+AS24+AS52*Costs!AS164</f>
        <v/>
      </c>
      <c r="AT53" s="8">
        <f>AT19+AT20+AT23+AT24+AT52*Costs!AT164</f>
        <v/>
      </c>
      <c r="AU53" s="8">
        <f>AU19+AU20+AU23+AU24+AU52*Costs!AU164</f>
        <v/>
      </c>
      <c r="AV53" s="8">
        <f>AV19+AV20+AV23+AV24+AV52*Costs!AV164</f>
        <v/>
      </c>
      <c r="AW53" s="8">
        <f>AW19+AW20+AW23+AW24+AW52*Costs!AW164</f>
        <v/>
      </c>
      <c r="AX53" s="8">
        <f>AX19+AX20+AX23+AX24+AX52*Costs!AX164</f>
        <v/>
      </c>
      <c r="AY53" s="8">
        <f>AY19+AY20+AY23+AY24+AY52*Costs!AY164</f>
        <v/>
      </c>
      <c r="AZ53" s="8">
        <f>AZ19+AZ20+AZ23+AZ24+AZ52*Costs!AZ164</f>
        <v/>
      </c>
      <c r="BA53" s="8">
        <f>BA19+BA20+BA23+BA24+BA52*Costs!BA164</f>
        <v/>
      </c>
      <c r="BB53" s="8">
        <f>BB19+BB20+BB23+BB24+BB52*Costs!BB164</f>
        <v/>
      </c>
      <c r="BC53" s="8">
        <f>BC19+BC20+BC23+BC24+BC52*Costs!BC164</f>
        <v/>
      </c>
      <c r="BD53" s="8">
        <f>BD19+BD20+BD23+BD24+BD52*Costs!BD164</f>
        <v/>
      </c>
      <c r="BE53" s="8">
        <f>BE19+BE20+BE23+BE24+BE52*Costs!BE164</f>
        <v/>
      </c>
      <c r="BF53" s="8">
        <f>BF19+BF20+BF23+BF24+BF52*Costs!BF164</f>
        <v/>
      </c>
      <c r="BG53" s="8">
        <f>BG19+BG20+BG23+BG24+BG52*Costs!BG164</f>
        <v/>
      </c>
      <c r="BH53" s="8">
        <f>BH19+BH20+BH23+BH24+BH52*Costs!BH164</f>
        <v/>
      </c>
      <c r="BI53" s="8">
        <f>BI19+BI20+BI23+BI24+BI52*Costs!BI164</f>
        <v/>
      </c>
      <c r="BJ53" s="8">
        <f>BJ19+BJ20+BJ23+BJ24+BJ52*Costs!BJ164</f>
        <v/>
      </c>
    </row>
    <row r="54">
      <c r="A54" s="4" t="inlineStr">
        <is>
          <t>Software gross margin %</t>
        </is>
      </c>
      <c r="B54" s="17" t="inlineStr">
        <is>
          <t>%</t>
        </is>
      </c>
      <c r="C54" s="9">
        <f>IF(C52=0,0,1-C53/C52)</f>
        <v/>
      </c>
      <c r="D54" s="9">
        <f>IF(D52=0,0,1-D53/D52)</f>
        <v/>
      </c>
      <c r="E54" s="9">
        <f>IF(E52=0,0,1-E53/E52)</f>
        <v/>
      </c>
      <c r="F54" s="9">
        <f>IF(F52=0,0,1-F53/F52)</f>
        <v/>
      </c>
      <c r="G54" s="9">
        <f>IF(G52=0,0,1-G53/G52)</f>
        <v/>
      </c>
      <c r="H54" s="9">
        <f>IF(H52=0,0,1-H53/H52)</f>
        <v/>
      </c>
      <c r="I54" s="9">
        <f>IF(I52=0,0,1-I53/I52)</f>
        <v/>
      </c>
      <c r="J54" s="9">
        <f>IF(J52=0,0,1-J53/J52)</f>
        <v/>
      </c>
      <c r="K54" s="9">
        <f>IF(K52=0,0,1-K53/K52)</f>
        <v/>
      </c>
      <c r="L54" s="9">
        <f>IF(L52=0,0,1-L53/L52)</f>
        <v/>
      </c>
      <c r="M54" s="9">
        <f>IF(M52=0,0,1-M53/M52)</f>
        <v/>
      </c>
      <c r="N54" s="9">
        <f>IF(N52=0,0,1-N53/N52)</f>
        <v/>
      </c>
      <c r="O54" s="9">
        <f>IF(O52=0,0,1-O53/O52)</f>
        <v/>
      </c>
      <c r="P54" s="9">
        <f>IF(P52=0,0,1-P53/P52)</f>
        <v/>
      </c>
      <c r="Q54" s="9">
        <f>IF(Q52=0,0,1-Q53/Q52)</f>
        <v/>
      </c>
      <c r="R54" s="9">
        <f>IF(R52=0,0,1-R53/R52)</f>
        <v/>
      </c>
      <c r="S54" s="9">
        <f>IF(S52=0,0,1-S53/S52)</f>
        <v/>
      </c>
      <c r="T54" s="9">
        <f>IF(T52=0,0,1-T53/T52)</f>
        <v/>
      </c>
      <c r="U54" s="9">
        <f>IF(U52=0,0,1-U53/U52)</f>
        <v/>
      </c>
      <c r="V54" s="9">
        <f>IF(V52=0,0,1-V53/V52)</f>
        <v/>
      </c>
      <c r="W54" s="9">
        <f>IF(W52=0,0,1-W53/W52)</f>
        <v/>
      </c>
      <c r="X54" s="9">
        <f>IF(X52=0,0,1-X53/X52)</f>
        <v/>
      </c>
      <c r="Y54" s="9">
        <f>IF(Y52=0,0,1-Y53/Y52)</f>
        <v/>
      </c>
      <c r="Z54" s="9">
        <f>IF(Z52=0,0,1-Z53/Z52)</f>
        <v/>
      </c>
      <c r="AA54" s="9">
        <f>IF(AA52=0,0,1-AA53/AA52)</f>
        <v/>
      </c>
      <c r="AB54" s="9">
        <f>IF(AB52=0,0,1-AB53/AB52)</f>
        <v/>
      </c>
      <c r="AC54" s="9">
        <f>IF(AC52=0,0,1-AC53/AC52)</f>
        <v/>
      </c>
      <c r="AD54" s="9">
        <f>IF(AD52=0,0,1-AD53/AD52)</f>
        <v/>
      </c>
      <c r="AE54" s="9">
        <f>IF(AE52=0,0,1-AE53/AE52)</f>
        <v/>
      </c>
      <c r="AF54" s="9">
        <f>IF(AF52=0,0,1-AF53/AF52)</f>
        <v/>
      </c>
      <c r="AG54" s="9">
        <f>IF(AG52=0,0,1-AG53/AG52)</f>
        <v/>
      </c>
      <c r="AH54" s="9">
        <f>IF(AH52=0,0,1-AH53/AH52)</f>
        <v/>
      </c>
      <c r="AI54" s="9">
        <f>IF(AI52=0,0,1-AI53/AI52)</f>
        <v/>
      </c>
      <c r="AJ54" s="9">
        <f>IF(AJ52=0,0,1-AJ53/AJ52)</f>
        <v/>
      </c>
      <c r="AK54" s="9">
        <f>IF(AK52=0,0,1-AK53/AK52)</f>
        <v/>
      </c>
      <c r="AL54" s="9">
        <f>IF(AL52=0,0,1-AL53/AL52)</f>
        <v/>
      </c>
      <c r="AM54" s="9">
        <f>IF(AM52=0,0,1-AM53/AM52)</f>
        <v/>
      </c>
      <c r="AN54" s="9">
        <f>IF(AN52=0,0,1-AN53/AN52)</f>
        <v/>
      </c>
      <c r="AO54" s="9">
        <f>IF(AO52=0,0,1-AO53/AO52)</f>
        <v/>
      </c>
      <c r="AP54" s="9">
        <f>IF(AP52=0,0,1-AP53/AP52)</f>
        <v/>
      </c>
      <c r="AQ54" s="9">
        <f>IF(AQ52=0,0,1-AQ53/AQ52)</f>
        <v/>
      </c>
      <c r="AR54" s="9">
        <f>IF(AR52=0,0,1-AR53/AR52)</f>
        <v/>
      </c>
      <c r="AS54" s="9">
        <f>IF(AS52=0,0,1-AS53/AS52)</f>
        <v/>
      </c>
      <c r="AT54" s="9">
        <f>IF(AT52=0,0,1-AT53/AT52)</f>
        <v/>
      </c>
      <c r="AU54" s="9">
        <f>IF(AU52=0,0,1-AU53/AU52)</f>
        <v/>
      </c>
      <c r="AV54" s="9">
        <f>IF(AV52=0,0,1-AV53/AV52)</f>
        <v/>
      </c>
      <c r="AW54" s="9">
        <f>IF(AW52=0,0,1-AW53/AW52)</f>
        <v/>
      </c>
      <c r="AX54" s="9">
        <f>IF(AX52=0,0,1-AX53/AX52)</f>
        <v/>
      </c>
      <c r="AY54" s="9">
        <f>IF(AY52=0,0,1-AY53/AY52)</f>
        <v/>
      </c>
      <c r="AZ54" s="9">
        <f>IF(AZ52=0,0,1-AZ53/AZ52)</f>
        <v/>
      </c>
      <c r="BA54" s="9">
        <f>IF(BA52=0,0,1-BA53/BA52)</f>
        <v/>
      </c>
      <c r="BB54" s="9">
        <f>IF(BB52=0,0,1-BB53/BB52)</f>
        <v/>
      </c>
      <c r="BC54" s="9">
        <f>IF(BC52=0,0,1-BC53/BC52)</f>
        <v/>
      </c>
      <c r="BD54" s="9">
        <f>IF(BD52=0,0,1-BD53/BD52)</f>
        <v/>
      </c>
      <c r="BE54" s="9">
        <f>IF(BE52=0,0,1-BE53/BE52)</f>
        <v/>
      </c>
      <c r="BF54" s="9">
        <f>IF(BF52=0,0,1-BF53/BF52)</f>
        <v/>
      </c>
      <c r="BG54" s="9">
        <f>IF(BG52=0,0,1-BG53/BG52)</f>
        <v/>
      </c>
      <c r="BH54" s="9">
        <f>IF(BH52=0,0,1-BH53/BH52)</f>
        <v/>
      </c>
      <c r="BI54" s="9">
        <f>IF(BI52=0,0,1-BI53/BI52)</f>
        <v/>
      </c>
      <c r="BJ54" s="9">
        <f>IF(BJ52=0,0,1-BJ53/BJ52)</f>
        <v/>
      </c>
    </row>
    <row r="55">
      <c r="A55" s="4" t="inlineStr">
        <is>
          <t>Sales &amp; marketing total (programmes + marketing &amp; sales payroll)</t>
        </is>
      </c>
      <c r="B55" s="17" t="inlineStr">
        <is>
          <t>R</t>
        </is>
      </c>
      <c r="C55" s="8">
        <f>C37+C32+C33</f>
        <v/>
      </c>
      <c r="D55" s="8">
        <f>D37+D32+D33</f>
        <v/>
      </c>
      <c r="E55" s="8">
        <f>E37+E32+E33</f>
        <v/>
      </c>
      <c r="F55" s="8">
        <f>F37+F32+F33</f>
        <v/>
      </c>
      <c r="G55" s="8">
        <f>G37+G32+G33</f>
        <v/>
      </c>
      <c r="H55" s="8">
        <f>H37+H32+H33</f>
        <v/>
      </c>
      <c r="I55" s="8">
        <f>I37+I32+I33</f>
        <v/>
      </c>
      <c r="J55" s="8">
        <f>J37+J32+J33</f>
        <v/>
      </c>
      <c r="K55" s="8">
        <f>K37+K32+K33</f>
        <v/>
      </c>
      <c r="L55" s="8">
        <f>L37+L32+L33</f>
        <v/>
      </c>
      <c r="M55" s="8">
        <f>M37+M32+M33</f>
        <v/>
      </c>
      <c r="N55" s="8">
        <f>N37+N32+N33</f>
        <v/>
      </c>
      <c r="O55" s="8">
        <f>O37+O32+O33</f>
        <v/>
      </c>
      <c r="P55" s="8">
        <f>P37+P32+P33</f>
        <v/>
      </c>
      <c r="Q55" s="8">
        <f>Q37+Q32+Q33</f>
        <v/>
      </c>
      <c r="R55" s="8">
        <f>R37+R32+R33</f>
        <v/>
      </c>
      <c r="S55" s="8">
        <f>S37+S32+S33</f>
        <v/>
      </c>
      <c r="T55" s="8">
        <f>T37+T32+T33</f>
        <v/>
      </c>
      <c r="U55" s="8">
        <f>U37+U32+U33</f>
        <v/>
      </c>
      <c r="V55" s="8">
        <f>V37+V32+V33</f>
        <v/>
      </c>
      <c r="W55" s="8">
        <f>W37+W32+W33</f>
        <v/>
      </c>
      <c r="X55" s="8">
        <f>X37+X32+X33</f>
        <v/>
      </c>
      <c r="Y55" s="8">
        <f>Y37+Y32+Y33</f>
        <v/>
      </c>
      <c r="Z55" s="8">
        <f>Z37+Z32+Z33</f>
        <v/>
      </c>
      <c r="AA55" s="8">
        <f>AA37+AA32+AA33</f>
        <v/>
      </c>
      <c r="AB55" s="8">
        <f>AB37+AB32+AB33</f>
        <v/>
      </c>
      <c r="AC55" s="8">
        <f>AC37+AC32+AC33</f>
        <v/>
      </c>
      <c r="AD55" s="8">
        <f>AD37+AD32+AD33</f>
        <v/>
      </c>
      <c r="AE55" s="8">
        <f>AE37+AE32+AE33</f>
        <v/>
      </c>
      <c r="AF55" s="8">
        <f>AF37+AF32+AF33</f>
        <v/>
      </c>
      <c r="AG55" s="8">
        <f>AG37+AG32+AG33</f>
        <v/>
      </c>
      <c r="AH55" s="8">
        <f>AH37+AH32+AH33</f>
        <v/>
      </c>
      <c r="AI55" s="8">
        <f>AI37+AI32+AI33</f>
        <v/>
      </c>
      <c r="AJ55" s="8">
        <f>AJ37+AJ32+AJ33</f>
        <v/>
      </c>
      <c r="AK55" s="8">
        <f>AK37+AK32+AK33</f>
        <v/>
      </c>
      <c r="AL55" s="8">
        <f>AL37+AL32+AL33</f>
        <v/>
      </c>
      <c r="AM55" s="8">
        <f>AM37+AM32+AM33</f>
        <v/>
      </c>
      <c r="AN55" s="8">
        <f>AN37+AN32+AN33</f>
        <v/>
      </c>
      <c r="AO55" s="8">
        <f>AO37+AO32+AO33</f>
        <v/>
      </c>
      <c r="AP55" s="8">
        <f>AP37+AP32+AP33</f>
        <v/>
      </c>
      <c r="AQ55" s="8">
        <f>AQ37+AQ32+AQ33</f>
        <v/>
      </c>
      <c r="AR55" s="8">
        <f>AR37+AR32+AR33</f>
        <v/>
      </c>
      <c r="AS55" s="8">
        <f>AS37+AS32+AS33</f>
        <v/>
      </c>
      <c r="AT55" s="8">
        <f>AT37+AT32+AT33</f>
        <v/>
      </c>
      <c r="AU55" s="8">
        <f>AU37+AU32+AU33</f>
        <v/>
      </c>
      <c r="AV55" s="8">
        <f>AV37+AV32+AV33</f>
        <v/>
      </c>
      <c r="AW55" s="8">
        <f>AW37+AW32+AW33</f>
        <v/>
      </c>
      <c r="AX55" s="8">
        <f>AX37+AX32+AX33</f>
        <v/>
      </c>
      <c r="AY55" s="8">
        <f>AY37+AY32+AY33</f>
        <v/>
      </c>
      <c r="AZ55" s="8">
        <f>AZ37+AZ32+AZ33</f>
        <v/>
      </c>
      <c r="BA55" s="8">
        <f>BA37+BA32+BA33</f>
        <v/>
      </c>
      <c r="BB55" s="8">
        <f>BB37+BB32+BB33</f>
        <v/>
      </c>
      <c r="BC55" s="8">
        <f>BC37+BC32+BC33</f>
        <v/>
      </c>
      <c r="BD55" s="8">
        <f>BD37+BD32+BD33</f>
        <v/>
      </c>
      <c r="BE55" s="8">
        <f>BE37+BE32+BE33</f>
        <v/>
      </c>
      <c r="BF55" s="8">
        <f>BF37+BF32+BF33</f>
        <v/>
      </c>
      <c r="BG55" s="8">
        <f>BG37+BG32+BG33</f>
        <v/>
      </c>
      <c r="BH55" s="8">
        <f>BH37+BH32+BH33</f>
        <v/>
      </c>
      <c r="BI55" s="8">
        <f>BI37+BI32+BI33</f>
        <v/>
      </c>
      <c r="BJ55" s="8">
        <f>BJ37+BJ32+BJ33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G1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6" t="inlineStr">
        <is>
          <t>Annual Summary</t>
        </is>
      </c>
    </row>
    <row r="2">
      <c r="A2" s="17" t="inlineStr">
        <is>
          <t>FY1-FY5 (Oct-Sep) roll-up of the monthly model, selected scenario.</t>
        </is>
      </c>
    </row>
    <row r="3"/>
    <row r="4">
      <c r="A4" s="6" t="inlineStr">
        <is>
          <t>R unless stated</t>
        </is>
      </c>
      <c r="B4" s="6" t="inlineStr">
        <is>
          <t>Unit</t>
        </is>
      </c>
      <c r="C4" s="38" t="inlineStr">
        <is>
          <t>FY1</t>
        </is>
      </c>
      <c r="D4" s="38" t="inlineStr">
        <is>
          <t>FY2</t>
        </is>
      </c>
      <c r="E4" s="38" t="inlineStr">
        <is>
          <t>FY3</t>
        </is>
      </c>
      <c r="F4" s="38" t="inlineStr">
        <is>
          <t>FY4</t>
        </is>
      </c>
      <c r="G4" s="38" t="inlineStr">
        <is>
          <t>FY5</t>
        </is>
      </c>
    </row>
    <row r="5">
      <c r="C5" s="46" t="inlineStr">
        <is>
          <t>Oct 2026 - Sep 2027</t>
        </is>
      </c>
      <c r="D5" s="46" t="inlineStr">
        <is>
          <t>Oct 2027 - Sep 2028</t>
        </is>
      </c>
      <c r="E5" s="46" t="inlineStr">
        <is>
          <t>Oct 2028 - Sep 2029</t>
        </is>
      </c>
      <c r="F5" s="46" t="inlineStr">
        <is>
          <t>Oct 2029 - Sep 2030</t>
        </is>
      </c>
      <c r="G5" s="46" t="inlineStr">
        <is>
          <t>Oct 2030 - Sep 2031</t>
        </is>
      </c>
    </row>
    <row r="6"/>
    <row r="7">
      <c r="A7" s="19" t="inlineStr">
        <is>
          <t>Revenue by stream (gross subscriptions -&gt; launch discounts -&gt; net)</t>
        </is>
      </c>
      <c r="B7" s="19" t="n"/>
      <c r="C7" s="19" t="n"/>
      <c r="D7" s="19" t="n"/>
      <c r="E7" s="19" t="n"/>
      <c r="F7" s="19" t="n"/>
      <c r="G7" s="19" t="n"/>
    </row>
    <row r="8">
      <c r="A8" s="4" t="inlineStr">
        <is>
          <t>Subscriptions (gross)</t>
        </is>
      </c>
      <c r="B8" s="17" t="inlineStr">
        <is>
          <t>R</t>
        </is>
      </c>
      <c r="C8" s="47">
        <f>SUM('P&amp;L'!C8:N8)</f>
        <v/>
      </c>
      <c r="D8" s="47">
        <f>SUM('P&amp;L'!O8:Z8)</f>
        <v/>
      </c>
      <c r="E8" s="47">
        <f>SUM('P&amp;L'!AA8:AL8)</f>
        <v/>
      </c>
      <c r="F8" s="47">
        <f>SUM('P&amp;L'!AM8:AX8)</f>
        <v/>
      </c>
      <c r="G8" s="47">
        <f>SUM('P&amp;L'!AY8:BJ8)</f>
        <v/>
      </c>
    </row>
    <row r="9">
      <c r="A9" s="4" t="inlineStr">
        <is>
          <t>less: Founding Member discount</t>
        </is>
      </c>
      <c r="B9" s="17" t="inlineStr">
        <is>
          <t>R</t>
        </is>
      </c>
      <c r="C9" s="47">
        <f>SUM('P&amp;L'!C9:N9)</f>
        <v/>
      </c>
      <c r="D9" s="47">
        <f>SUM('P&amp;L'!O9:Z9)</f>
        <v/>
      </c>
      <c r="E9" s="47">
        <f>SUM('P&amp;L'!AA9:AL9)</f>
        <v/>
      </c>
      <c r="F9" s="47">
        <f>SUM('P&amp;L'!AM9:AX9)</f>
        <v/>
      </c>
      <c r="G9" s="47">
        <f>SUM('P&amp;L'!AY9:BJ9)</f>
        <v/>
      </c>
    </row>
    <row r="10">
      <c r="A10" s="3" t="inlineStr">
        <is>
          <t>Subscriptions (net)</t>
        </is>
      </c>
      <c r="B10" s="17" t="inlineStr">
        <is>
          <t>R</t>
        </is>
      </c>
      <c r="C10" s="48">
        <f>C8+C9</f>
        <v/>
      </c>
      <c r="D10" s="48">
        <f>D8+D9</f>
        <v/>
      </c>
      <c r="E10" s="48">
        <f>E8+E9</f>
        <v/>
      </c>
      <c r="F10" s="48">
        <f>F8+F9</f>
        <v/>
      </c>
      <c r="G10" s="48">
        <f>G8+G9</f>
        <v/>
      </c>
    </row>
    <row r="11">
      <c r="A11" s="4" t="inlineStr">
        <is>
          <t>AI-credit packs</t>
        </is>
      </c>
      <c r="B11" s="17" t="inlineStr">
        <is>
          <t>R</t>
        </is>
      </c>
      <c r="C11" s="47">
        <f>SUM('P&amp;L'!C11:N11)</f>
        <v/>
      </c>
      <c r="D11" s="47">
        <f>SUM('P&amp;L'!O11:Z11)</f>
        <v/>
      </c>
      <c r="E11" s="47">
        <f>SUM('P&amp;L'!AA11:AL11)</f>
        <v/>
      </c>
      <c r="F11" s="47">
        <f>SUM('P&amp;L'!AM11:AX11)</f>
        <v/>
      </c>
      <c r="G11" s="47">
        <f>SUM('P&amp;L'!AY11:BJ11)</f>
        <v/>
      </c>
    </row>
    <row r="12">
      <c r="A12" s="4" t="inlineStr">
        <is>
          <t>WhatsApp messaging (pass-through + margin)</t>
        </is>
      </c>
      <c r="B12" s="17" t="inlineStr">
        <is>
          <t>R</t>
        </is>
      </c>
      <c r="C12" s="47">
        <f>SUM('P&amp;L'!C12:N12)</f>
        <v/>
      </c>
      <c r="D12" s="47">
        <f>SUM('P&amp;L'!O12:Z12)</f>
        <v/>
      </c>
      <c r="E12" s="47">
        <f>SUM('P&amp;L'!AA12:AL12)</f>
        <v/>
      </c>
      <c r="F12" s="47">
        <f>SUM('P&amp;L'!AM12:AX12)</f>
        <v/>
      </c>
      <c r="G12" s="47">
        <f>SUM('P&amp;L'!AY12:BJ12)</f>
        <v/>
      </c>
    </row>
    <row r="13">
      <c r="A13" s="4" t="inlineStr">
        <is>
          <t>FluxMuse checkout fee (0%: pass-through only)</t>
        </is>
      </c>
      <c r="B13" s="17" t="inlineStr">
        <is>
          <t>R</t>
        </is>
      </c>
      <c r="C13" s="47">
        <f>SUM('P&amp;L'!C13:N13)</f>
        <v/>
      </c>
      <c r="D13" s="47">
        <f>SUM('P&amp;L'!O13:Z13)</f>
        <v/>
      </c>
      <c r="E13" s="47">
        <f>SUM('P&amp;L'!AA13:AL13)</f>
        <v/>
      </c>
      <c r="F13" s="47">
        <f>SUM('P&amp;L'!AM13:AX13)</f>
        <v/>
      </c>
      <c r="G13" s="47">
        <f>SUM('P&amp;L'!AY13:BJ13)</f>
        <v/>
      </c>
    </row>
    <row r="14">
      <c r="A14" s="4" t="inlineStr">
        <is>
          <t>Custom (Enterprise) setup fees</t>
        </is>
      </c>
      <c r="B14" s="17" t="inlineStr">
        <is>
          <t>R</t>
        </is>
      </c>
      <c r="C14" s="47">
        <f>SUM('P&amp;L'!C14:N14)</f>
        <v/>
      </c>
      <c r="D14" s="47">
        <f>SUM('P&amp;L'!O14:Z14)</f>
        <v/>
      </c>
      <c r="E14" s="47">
        <f>SUM('P&amp;L'!AA14:AL14)</f>
        <v/>
      </c>
      <c r="F14" s="47">
        <f>SUM('P&amp;L'!AM14:AX14)</f>
        <v/>
      </c>
      <c r="G14" s="47">
        <f>SUM('P&amp;L'!AY14:BJ14)</f>
        <v/>
      </c>
    </row>
    <row r="15">
      <c r="A15" s="4" t="inlineStr">
        <is>
          <t>Agency white-label setup fees</t>
        </is>
      </c>
      <c r="B15" s="17" t="inlineStr">
        <is>
          <t>R</t>
        </is>
      </c>
      <c r="C15" s="47">
        <f>SUM('P&amp;L'!C15:N15)</f>
        <v/>
      </c>
      <c r="D15" s="47">
        <f>SUM('P&amp;L'!O15:Z15)</f>
        <v/>
      </c>
      <c r="E15" s="47">
        <f>SUM('P&amp;L'!AA15:AL15)</f>
        <v/>
      </c>
      <c r="F15" s="47">
        <f>SUM('P&amp;L'!AM15:AX15)</f>
        <v/>
      </c>
      <c r="G15" s="47">
        <f>SUM('P&amp;L'!AY15:BJ15)</f>
        <v/>
      </c>
    </row>
    <row r="16">
      <c r="A16" s="3" t="inlineStr">
        <is>
          <t>Total revenue</t>
        </is>
      </c>
      <c r="B16" s="17" t="inlineStr">
        <is>
          <t>R</t>
        </is>
      </c>
      <c r="C16" s="48">
        <f>C10+C11+C12+C13+C14+C15</f>
        <v/>
      </c>
      <c r="D16" s="48">
        <f>D10+D11+D12+D13+D14+D15</f>
        <v/>
      </c>
      <c r="E16" s="48">
        <f>E10+E11+E12+E13+E14+E15</f>
        <v/>
      </c>
      <c r="F16" s="48">
        <f>F10+F11+F12+F13+F14+F15</f>
        <v/>
      </c>
      <c r="G16" s="48">
        <f>G10+G11+G12+G13+G14+G15</f>
        <v/>
      </c>
    </row>
    <row r="17">
      <c r="A17" s="4" t="inlineStr">
        <is>
          <t>Total revenue (US$)</t>
        </is>
      </c>
      <c r="B17" s="17" t="inlineStr">
        <is>
          <t>US$</t>
        </is>
      </c>
      <c r="C17" s="49">
        <f>C16/Assumptions!$B$10</f>
        <v/>
      </c>
      <c r="D17" s="49">
        <f>D16/Assumptions!$B$10</f>
        <v/>
      </c>
      <c r="E17" s="49">
        <f>E16/Assumptions!$B$10</f>
        <v/>
      </c>
      <c r="F17" s="49">
        <f>F16/Assumptions!$B$10</f>
        <v/>
      </c>
      <c r="G17" s="49">
        <f>G16/Assumptions!$B$10</f>
        <v/>
      </c>
    </row>
    <row r="18">
      <c r="A18" s="4" t="inlineStr">
        <is>
          <t>Revenue growth y/y</t>
        </is>
      </c>
      <c r="B18" s="17" t="inlineStr">
        <is>
          <t>%</t>
        </is>
      </c>
      <c r="C18" s="50">
        <f>"n/a"</f>
        <v/>
      </c>
      <c r="D18" s="50">
        <f>IF(C16=0,0,(D16-C16)/C16)</f>
        <v/>
      </c>
      <c r="E18" s="50">
        <f>IF(D16=0,0,(E16-D16)/D16)</f>
        <v/>
      </c>
      <c r="F18" s="50">
        <f>IF(E16=0,0,(F16-E16)/E16)</f>
        <v/>
      </c>
      <c r="G18" s="50">
        <f>IF(F16=0,0,(G16-F16)/F16)</f>
        <v/>
      </c>
    </row>
    <row r="19"/>
    <row r="20">
      <c r="A20" s="19" t="inlineStr">
        <is>
          <t>Launch discounts (cost of the offer, positive = revenue given up)</t>
        </is>
      </c>
      <c r="B20" s="19" t="n"/>
      <c r="C20" s="19" t="n"/>
      <c r="D20" s="19" t="n"/>
      <c r="E20" s="19" t="n"/>
      <c r="F20" s="19" t="n"/>
      <c r="G20" s="19" t="n"/>
    </row>
    <row r="21">
      <c r="A21" s="4" t="inlineStr">
        <is>
          <t>Founding Member discount cost</t>
        </is>
      </c>
      <c r="B21" s="17" t="inlineStr">
        <is>
          <t>R</t>
        </is>
      </c>
      <c r="C21" s="47">
        <f>SUM(Revenue_Build!C484:N484)</f>
        <v/>
      </c>
      <c r="D21" s="47">
        <f>SUM(Revenue_Build!O484:Z484)</f>
        <v/>
      </c>
      <c r="E21" s="47">
        <f>SUM(Revenue_Build!AA484:AL484)</f>
        <v/>
      </c>
      <c r="F21" s="47">
        <f>SUM(Revenue_Build!AM484:AX484)</f>
        <v/>
      </c>
      <c r="G21" s="47">
        <f>SUM(Revenue_Build!AY484:BJ484)</f>
        <v/>
      </c>
    </row>
    <row r="22">
      <c r="A22" s="4" t="inlineStr">
        <is>
          <t>of which South Africa</t>
        </is>
      </c>
      <c r="B22" s="17" t="inlineStr">
        <is>
          <t>R</t>
        </is>
      </c>
      <c r="C22" s="47">
        <f>SUM(Revenue_Build!C483:N483)</f>
        <v/>
      </c>
      <c r="D22" s="47">
        <f>SUM(Revenue_Build!O483:Z483)</f>
        <v/>
      </c>
      <c r="E22" s="47">
        <f>SUM(Revenue_Build!AA483:AL483)</f>
        <v/>
      </c>
      <c r="F22" s="47">
        <f>SUM(Revenue_Build!AM483:AX483)</f>
        <v/>
      </c>
      <c r="G22" s="47">
        <f>SUM(Revenue_Build!AY483:BJ483)</f>
        <v/>
      </c>
    </row>
    <row r="23">
      <c r="A23" s="4" t="inlineStr">
        <is>
          <t>Launch discounts as % of gross subscriptions</t>
        </is>
      </c>
      <c r="B23" s="17" t="inlineStr">
        <is>
          <t>%</t>
        </is>
      </c>
      <c r="C23" s="50">
        <f>IF(C8=0,0,C21/C8)</f>
        <v/>
      </c>
      <c r="D23" s="50">
        <f>IF(D8=0,0,D21/D8)</f>
        <v/>
      </c>
      <c r="E23" s="50">
        <f>IF(E8=0,0,E21/E8)</f>
        <v/>
      </c>
      <c r="F23" s="50">
        <f>IF(F8=0,0,F21/F8)</f>
        <v/>
      </c>
      <c r="G23" s="50">
        <f>IF(G8=0,0,G21/G8)</f>
        <v/>
      </c>
    </row>
    <row r="24"/>
    <row r="25">
      <c r="A25" s="19" t="inlineStr">
        <is>
          <t>Net subscription revenue by market</t>
        </is>
      </c>
      <c r="B25" s="19" t="n"/>
      <c r="C25" s="19" t="n"/>
      <c r="D25" s="19" t="n"/>
      <c r="E25" s="19" t="n"/>
      <c r="F25" s="19" t="n"/>
      <c r="G25" s="19" t="n"/>
    </row>
    <row r="26">
      <c r="A26" s="4" t="inlineStr">
        <is>
          <t>South Africa</t>
        </is>
      </c>
      <c r="B26" s="17" t="inlineStr">
        <is>
          <t>R</t>
        </is>
      </c>
      <c r="C26" s="47">
        <f>SUM(Revenue_Build!C487:N487)</f>
        <v/>
      </c>
      <c r="D26" s="47">
        <f>SUM(Revenue_Build!O487:Z487)</f>
        <v/>
      </c>
      <c r="E26" s="47">
        <f>SUM(Revenue_Build!AA487:AL487)</f>
        <v/>
      </c>
      <c r="F26" s="47">
        <f>SUM(Revenue_Build!AM487:AX487)</f>
        <v/>
      </c>
      <c r="G26" s="47">
        <f>SUM(Revenue_Build!AY487:BJ487)</f>
        <v/>
      </c>
    </row>
    <row r="27">
      <c r="A27" s="4" t="inlineStr">
        <is>
          <t>Nigeria</t>
        </is>
      </c>
      <c r="B27" s="17" t="inlineStr">
        <is>
          <t>R</t>
        </is>
      </c>
      <c r="C27" s="47">
        <f>SUM(Revenue_Build!C488:N488)</f>
        <v/>
      </c>
      <c r="D27" s="47">
        <f>SUM(Revenue_Build!O488:Z488)</f>
        <v/>
      </c>
      <c r="E27" s="47">
        <f>SUM(Revenue_Build!AA488:AL488)</f>
        <v/>
      </c>
      <c r="F27" s="47">
        <f>SUM(Revenue_Build!AM488:AX488)</f>
        <v/>
      </c>
      <c r="G27" s="47">
        <f>SUM(Revenue_Build!AY488:BJ488)</f>
        <v/>
      </c>
    </row>
    <row r="28">
      <c r="A28" s="4" t="inlineStr">
        <is>
          <t>Kenya</t>
        </is>
      </c>
      <c r="B28" s="17" t="inlineStr">
        <is>
          <t>R</t>
        </is>
      </c>
      <c r="C28" s="47">
        <f>SUM(Revenue_Build!C489:N489)</f>
        <v/>
      </c>
      <c r="D28" s="47">
        <f>SUM(Revenue_Build!O489:Z489)</f>
        <v/>
      </c>
      <c r="E28" s="47">
        <f>SUM(Revenue_Build!AA489:AL489)</f>
        <v/>
      </c>
      <c r="F28" s="47">
        <f>SUM(Revenue_Build!AM489:AX489)</f>
        <v/>
      </c>
      <c r="G28" s="47">
        <f>SUM(Revenue_Build!AY489:BJ489)</f>
        <v/>
      </c>
    </row>
    <row r="29">
      <c r="A29" s="4" t="inlineStr">
        <is>
          <t>Ghana</t>
        </is>
      </c>
      <c r="B29" s="17" t="inlineStr">
        <is>
          <t>R</t>
        </is>
      </c>
      <c r="C29" s="47">
        <f>SUM(Revenue_Build!C490:N490)</f>
        <v/>
      </c>
      <c r="D29" s="47">
        <f>SUM(Revenue_Build!O490:Z490)</f>
        <v/>
      </c>
      <c r="E29" s="47">
        <f>SUM(Revenue_Build!AA490:AL490)</f>
        <v/>
      </c>
      <c r="F29" s="47">
        <f>SUM(Revenue_Build!AM490:AX490)</f>
        <v/>
      </c>
      <c r="G29" s="47">
        <f>SUM(Revenue_Build!AY490:BJ490)</f>
        <v/>
      </c>
    </row>
    <row r="30">
      <c r="A30" s="4" t="inlineStr">
        <is>
          <t>Rest of Africa (USD)</t>
        </is>
      </c>
      <c r="B30" s="17" t="inlineStr">
        <is>
          <t>R</t>
        </is>
      </c>
      <c r="C30" s="47">
        <f>SUM(Revenue_Build!C491:N491)</f>
        <v/>
      </c>
      <c r="D30" s="47">
        <f>SUM(Revenue_Build!O491:Z491)</f>
        <v/>
      </c>
      <c r="E30" s="47">
        <f>SUM(Revenue_Build!AA491:AL491)</f>
        <v/>
      </c>
      <c r="F30" s="47">
        <f>SUM(Revenue_Build!AM491:AX491)</f>
        <v/>
      </c>
      <c r="G30" s="47">
        <f>SUM(Revenue_Build!AY491:BJ491)</f>
        <v/>
      </c>
    </row>
    <row r="31">
      <c r="A31" s="4" t="inlineStr">
        <is>
          <t>Botswana &amp; Namibia</t>
        </is>
      </c>
      <c r="B31" s="17" t="inlineStr">
        <is>
          <t>R</t>
        </is>
      </c>
      <c r="C31" s="47">
        <f>SUM(Revenue_Build!C492:N492)</f>
        <v/>
      </c>
      <c r="D31" s="47">
        <f>SUM(Revenue_Build!O492:Z492)</f>
        <v/>
      </c>
      <c r="E31" s="47">
        <f>SUM(Revenue_Build!AA492:AL492)</f>
        <v/>
      </c>
      <c r="F31" s="47">
        <f>SUM(Revenue_Build!AM492:AX492)</f>
        <v/>
      </c>
      <c r="G31" s="47">
        <f>SUM(Revenue_Build!AY492:BJ492)</f>
        <v/>
      </c>
    </row>
    <row r="32"/>
    <row r="33">
      <c r="A33" s="19" t="inlineStr">
        <is>
          <t>Gross profit</t>
        </is>
      </c>
      <c r="B33" s="19" t="n"/>
      <c r="C33" s="19" t="n"/>
      <c r="D33" s="19" t="n"/>
      <c r="E33" s="19" t="n"/>
      <c r="F33" s="19" t="n"/>
      <c r="G33" s="19" t="n"/>
    </row>
    <row r="34">
      <c r="A34" s="4" t="inlineStr">
        <is>
          <t>Cost of revenue</t>
        </is>
      </c>
      <c r="B34" s="17" t="inlineStr">
        <is>
          <t>R</t>
        </is>
      </c>
      <c r="C34" s="47">
        <f>SUM('P&amp;L'!C25:N25)</f>
        <v/>
      </c>
      <c r="D34" s="47">
        <f>SUM('P&amp;L'!O25:Z25)</f>
        <v/>
      </c>
      <c r="E34" s="47">
        <f>SUM('P&amp;L'!AA25:AL25)</f>
        <v/>
      </c>
      <c r="F34" s="47">
        <f>SUM('P&amp;L'!AM25:AX25)</f>
        <v/>
      </c>
      <c r="G34" s="47">
        <f>SUM('P&amp;L'!AY25:BJ25)</f>
        <v/>
      </c>
    </row>
    <row r="35">
      <c r="A35" s="3" t="inlineStr">
        <is>
          <t>Gross profit</t>
        </is>
      </c>
      <c r="B35" s="17" t="inlineStr">
        <is>
          <t>R</t>
        </is>
      </c>
      <c r="C35" s="48">
        <f>C16-C34</f>
        <v/>
      </c>
      <c r="D35" s="48">
        <f>D16-D34</f>
        <v/>
      </c>
      <c r="E35" s="48">
        <f>E16-E34</f>
        <v/>
      </c>
      <c r="F35" s="48">
        <f>F16-F34</f>
        <v/>
      </c>
      <c r="G35" s="48">
        <f>G16-G34</f>
        <v/>
      </c>
    </row>
    <row r="36">
      <c r="A36" s="4" t="inlineStr">
        <is>
          <t>Gross margin % (all revenue)</t>
        </is>
      </c>
      <c r="B36" s="17" t="inlineStr">
        <is>
          <t>%</t>
        </is>
      </c>
      <c r="C36" s="50">
        <f>IF(C16=0,0,C35/C16)</f>
        <v/>
      </c>
      <c r="D36" s="50">
        <f>IF(D16=0,0,D35/D16)</f>
        <v/>
      </c>
      <c r="E36" s="50">
        <f>IF(E16=0,0,E35/E16)</f>
        <v/>
      </c>
      <c r="F36" s="50">
        <f>IF(F16=0,0,F35/F16)</f>
        <v/>
      </c>
      <c r="G36" s="50">
        <f>IF(G16=0,0,G35/G16)</f>
        <v/>
      </c>
    </row>
    <row r="37">
      <c r="A37" s="4" t="inlineStr">
        <is>
          <t>Software gross margin %</t>
        </is>
      </c>
      <c r="B37" s="17" t="inlineStr">
        <is>
          <t>%</t>
        </is>
      </c>
      <c r="C37" s="50">
        <f>IF(SUM('P&amp;L'!C52:N52)=0,0,1-SUM('P&amp;L'!C53:N53)/SUM('P&amp;L'!C52:N52))</f>
        <v/>
      </c>
      <c r="D37" s="50">
        <f>IF(SUM('P&amp;L'!O52:Z52)=0,0,1-SUM('P&amp;L'!O53:Z53)/SUM('P&amp;L'!O52:Z52))</f>
        <v/>
      </c>
      <c r="E37" s="50">
        <f>IF(SUM('P&amp;L'!AA52:AL52)=0,0,1-SUM('P&amp;L'!AA53:AL53)/SUM('P&amp;L'!AA52:AL52))</f>
        <v/>
      </c>
      <c r="F37" s="50">
        <f>IF(SUM('P&amp;L'!AM52:AX52)=0,0,1-SUM('P&amp;L'!AM53:AX53)/SUM('P&amp;L'!AM52:AX52))</f>
        <v/>
      </c>
      <c r="G37" s="50">
        <f>IF(SUM('P&amp;L'!AY52:BJ52)=0,0,1-SUM('P&amp;L'!AY53:BJ53)/SUM('P&amp;L'!AY52:BJ52))</f>
        <v/>
      </c>
    </row>
    <row r="38"/>
    <row r="39">
      <c r="A39" s="19" t="inlineStr">
        <is>
          <t>Operating expenses by category</t>
        </is>
      </c>
      <c r="B39" s="19" t="n"/>
      <c r="C39" s="19" t="n"/>
      <c r="D39" s="19" t="n"/>
      <c r="E39" s="19" t="n"/>
      <c r="F39" s="19" t="n"/>
      <c r="G39" s="19" t="n"/>
    </row>
    <row r="40">
      <c r="A40" s="4" t="inlineStr">
        <is>
          <t>Payroll (excl. customer success)</t>
        </is>
      </c>
      <c r="B40" s="17" t="inlineStr">
        <is>
          <t>R</t>
        </is>
      </c>
      <c r="C40" s="47">
        <f>SUM('P&amp;L'!C36:N36)</f>
        <v/>
      </c>
      <c r="D40" s="47">
        <f>SUM('P&amp;L'!O36:Z36)</f>
        <v/>
      </c>
      <c r="E40" s="47">
        <f>SUM('P&amp;L'!AA36:AL36)</f>
        <v/>
      </c>
      <c r="F40" s="47">
        <f>SUM('P&amp;L'!AM36:AX36)</f>
        <v/>
      </c>
      <c r="G40" s="47">
        <f>SUM('P&amp;L'!AY36:BJ36)</f>
        <v/>
      </c>
    </row>
    <row r="41">
      <c r="A41" s="4" t="inlineStr">
        <is>
          <t>Marketing &amp; sales programmes</t>
        </is>
      </c>
      <c r="B41" s="17" t="inlineStr">
        <is>
          <t>R</t>
        </is>
      </c>
      <c r="C41" s="47">
        <f>SUM('P&amp;L'!C37:N37)</f>
        <v/>
      </c>
      <c r="D41" s="47">
        <f>SUM('P&amp;L'!O37:Z37)</f>
        <v/>
      </c>
      <c r="E41" s="47">
        <f>SUM('P&amp;L'!AA37:AL37)</f>
        <v/>
      </c>
      <c r="F41" s="47">
        <f>SUM('P&amp;L'!AM37:AX37)</f>
        <v/>
      </c>
      <c r="G41" s="47">
        <f>SUM('P&amp;L'!AY37:BJ37)</f>
        <v/>
      </c>
    </row>
    <row r="42">
      <c r="A42" s="4" t="inlineStr">
        <is>
          <t>G&amp;A (non-payroll)</t>
        </is>
      </c>
      <c r="B42" s="17" t="inlineStr">
        <is>
          <t>R</t>
        </is>
      </c>
      <c r="C42" s="47">
        <f>SUM('P&amp;L'!C38:N38)</f>
        <v/>
      </c>
      <c r="D42" s="47">
        <f>SUM('P&amp;L'!O38:Z38)</f>
        <v/>
      </c>
      <c r="E42" s="47">
        <f>SUM('P&amp;L'!AA38:AL38)</f>
        <v/>
      </c>
      <c r="F42" s="47">
        <f>SUM('P&amp;L'!AM38:AX38)</f>
        <v/>
      </c>
      <c r="G42" s="47">
        <f>SUM('P&amp;L'!AY38:BJ38)</f>
        <v/>
      </c>
    </row>
    <row r="43">
      <c r="A43" s="4" t="inlineStr">
        <is>
          <t>Meta, legal &amp; compliance</t>
        </is>
      </c>
      <c r="B43" s="17" t="inlineStr">
        <is>
          <t>R</t>
        </is>
      </c>
      <c r="C43" s="47">
        <f>SUM('P&amp;L'!C39:N39)</f>
        <v/>
      </c>
      <c r="D43" s="47">
        <f>SUM('P&amp;L'!O39:Z39)</f>
        <v/>
      </c>
      <c r="E43" s="47">
        <f>SUM('P&amp;L'!AA39:AL39)</f>
        <v/>
      </c>
      <c r="F43" s="47">
        <f>SUM('P&amp;L'!AM39:AX39)</f>
        <v/>
      </c>
      <c r="G43" s="47">
        <f>SUM('P&amp;L'!AY39:BJ39)</f>
        <v/>
      </c>
    </row>
    <row r="44">
      <c r="A44" s="4" t="inlineStr">
        <is>
          <t>Software &amp; tools</t>
        </is>
      </c>
      <c r="B44" s="17" t="inlineStr">
        <is>
          <t>R</t>
        </is>
      </c>
      <c r="C44" s="47">
        <f>SUM('P&amp;L'!C40:N40)</f>
        <v/>
      </c>
      <c r="D44" s="47">
        <f>SUM('P&amp;L'!O40:Z40)</f>
        <v/>
      </c>
      <c r="E44" s="47">
        <f>SUM('P&amp;L'!AA40:AL40)</f>
        <v/>
      </c>
      <c r="F44" s="47">
        <f>SUM('P&amp;L'!AM40:AX40)</f>
        <v/>
      </c>
      <c r="G44" s="47">
        <f>SUM('P&amp;L'!AY40:BJ40)</f>
        <v/>
      </c>
    </row>
    <row r="45">
      <c r="A45" s="4" t="inlineStr">
        <is>
          <t>Travel</t>
        </is>
      </c>
      <c r="B45" s="17" t="inlineStr">
        <is>
          <t>R</t>
        </is>
      </c>
      <c r="C45" s="47">
        <f>SUM('P&amp;L'!C41:N41)</f>
        <v/>
      </c>
      <c r="D45" s="47">
        <f>SUM('P&amp;L'!O41:Z41)</f>
        <v/>
      </c>
      <c r="E45" s="47">
        <f>SUM('P&amp;L'!AA41:AL41)</f>
        <v/>
      </c>
      <c r="F45" s="47">
        <f>SUM('P&amp;L'!AM41:AX41)</f>
        <v/>
      </c>
      <c r="G45" s="47">
        <f>SUM('P&amp;L'!AY41:BJ41)</f>
        <v/>
      </c>
    </row>
    <row r="46">
      <c r="A46" s="3" t="inlineStr">
        <is>
          <t>Total operating expenses</t>
        </is>
      </c>
      <c r="B46" s="17" t="inlineStr">
        <is>
          <t>R</t>
        </is>
      </c>
      <c r="C46" s="48">
        <f>C40+C41+C42+C43+C44+C45</f>
        <v/>
      </c>
      <c r="D46" s="48">
        <f>D40+D41+D42+D43+D44+D45</f>
        <v/>
      </c>
      <c r="E46" s="48">
        <f>E40+E41+E42+E43+E44+E45</f>
        <v/>
      </c>
      <c r="F46" s="48">
        <f>F40+F41+F42+F43+F44+F45</f>
        <v/>
      </c>
      <c r="G46" s="48">
        <f>G40+G41+G42+G43+G44+G45</f>
        <v/>
      </c>
    </row>
    <row r="47">
      <c r="A47" s="4" t="inlineStr">
        <is>
          <t>memo: paid acquisition spend (after cap)</t>
        </is>
      </c>
      <c r="B47" s="17" t="inlineStr">
        <is>
          <t>R</t>
        </is>
      </c>
      <c r="C47" s="47">
        <f>SUM(Revenue_Build!C142:N142)</f>
        <v/>
      </c>
      <c r="D47" s="47">
        <f>SUM(Revenue_Build!O142:Z142)</f>
        <v/>
      </c>
      <c r="E47" s="47">
        <f>SUM(Revenue_Build!AA142:AL142)</f>
        <v/>
      </c>
      <c r="F47" s="47">
        <f>SUM(Revenue_Build!AM142:AX142)</f>
        <v/>
      </c>
      <c r="G47" s="47">
        <f>SUM(Revenue_Build!AY142:BJ142)</f>
        <v/>
      </c>
    </row>
    <row r="48">
      <c r="A48" s="4" t="inlineStr">
        <is>
          <t>memo: share of desired paid acquisition funded by the cap</t>
        </is>
      </c>
      <c r="B48" s="17" t="inlineStr">
        <is>
          <t>%</t>
        </is>
      </c>
      <c r="C48" s="50">
        <f>IF(SUM(Revenue_Build!C137:N137)=0,0,SUM(Revenue_Build!C142:N142)/SUM(Revenue_Build!C137:N137))</f>
        <v/>
      </c>
      <c r="D48" s="50">
        <f>IF(SUM(Revenue_Build!O137:Z137)=0,0,SUM(Revenue_Build!O142:Z142)/SUM(Revenue_Build!O137:Z137))</f>
        <v/>
      </c>
      <c r="E48" s="50">
        <f>IF(SUM(Revenue_Build!AA137:AL137)=0,0,SUM(Revenue_Build!AA142:AL142)/SUM(Revenue_Build!AA137:AL137))</f>
        <v/>
      </c>
      <c r="F48" s="50">
        <f>IF(SUM(Revenue_Build!AM137:AX137)=0,0,SUM(Revenue_Build!AM142:AX142)/SUM(Revenue_Build!AM137:AX137))</f>
        <v/>
      </c>
      <c r="G48" s="50">
        <f>IF(SUM(Revenue_Build!AY137:BJ137)=0,0,SUM(Revenue_Build!AY142:BJ142)/SUM(Revenue_Build!AY137:BJ137))</f>
        <v/>
      </c>
    </row>
    <row r="49"/>
    <row r="50">
      <c r="A50" s="19" t="inlineStr">
        <is>
          <t>Profit</t>
        </is>
      </c>
      <c r="B50" s="19" t="n"/>
      <c r="C50" s="19" t="n"/>
      <c r="D50" s="19" t="n"/>
      <c r="E50" s="19" t="n"/>
      <c r="F50" s="19" t="n"/>
      <c r="G50" s="19" t="n"/>
    </row>
    <row r="51">
      <c r="A51" s="3" t="inlineStr">
        <is>
          <t>EBITDA</t>
        </is>
      </c>
      <c r="B51" s="17" t="inlineStr">
        <is>
          <t>R</t>
        </is>
      </c>
      <c r="C51" s="48">
        <f>C35-C46</f>
        <v/>
      </c>
      <c r="D51" s="48">
        <f>D35-D46</f>
        <v/>
      </c>
      <c r="E51" s="48">
        <f>E35-E46</f>
        <v/>
      </c>
      <c r="F51" s="48">
        <f>F35-F46</f>
        <v/>
      </c>
      <c r="G51" s="48">
        <f>G35-G46</f>
        <v/>
      </c>
    </row>
    <row r="52">
      <c r="A52" s="4" t="inlineStr">
        <is>
          <t>EBITDA margin %</t>
        </is>
      </c>
      <c r="B52" s="17" t="inlineStr">
        <is>
          <t>%</t>
        </is>
      </c>
      <c r="C52" s="50">
        <f>IF(C16=0,0,C51/C16)</f>
        <v/>
      </c>
      <c r="D52" s="50">
        <f>IF(D16=0,0,D51/D16)</f>
        <v/>
      </c>
      <c r="E52" s="50">
        <f>IF(E16=0,0,E51/E16)</f>
        <v/>
      </c>
      <c r="F52" s="50">
        <f>IF(F16=0,0,F51/F16)</f>
        <v/>
      </c>
      <c r="G52" s="50">
        <f>IF(G16=0,0,G51/G16)</f>
        <v/>
      </c>
    </row>
    <row r="53">
      <c r="A53" s="4" t="inlineStr">
        <is>
          <t>EBITDA (US$)</t>
        </is>
      </c>
      <c r="B53" s="17" t="inlineStr">
        <is>
          <t>US$</t>
        </is>
      </c>
      <c r="C53" s="49">
        <f>C51/Assumptions!$B$10</f>
        <v/>
      </c>
      <c r="D53" s="49">
        <f>D51/Assumptions!$B$10</f>
        <v/>
      </c>
      <c r="E53" s="49">
        <f>E51/Assumptions!$B$10</f>
        <v/>
      </c>
      <c r="F53" s="49">
        <f>F51/Assumptions!$B$10</f>
        <v/>
      </c>
      <c r="G53" s="49">
        <f>G51/Assumptions!$B$10</f>
        <v/>
      </c>
    </row>
    <row r="54">
      <c r="A54" s="4" t="inlineStr">
        <is>
          <t>Income tax</t>
        </is>
      </c>
      <c r="B54" s="17" t="inlineStr">
        <is>
          <t>R</t>
        </is>
      </c>
      <c r="C54" s="47">
        <f>SUM('P&amp;L'!C48:N48)</f>
        <v/>
      </c>
      <c r="D54" s="47">
        <f>SUM('P&amp;L'!O48:Z48)</f>
        <v/>
      </c>
      <c r="E54" s="47">
        <f>SUM('P&amp;L'!AA48:AL48)</f>
        <v/>
      </c>
      <c r="F54" s="47">
        <f>SUM('P&amp;L'!AM48:AX48)</f>
        <v/>
      </c>
      <c r="G54" s="47">
        <f>SUM('P&amp;L'!AY48:BJ48)</f>
        <v/>
      </c>
    </row>
    <row r="55">
      <c r="A55" s="3" t="inlineStr">
        <is>
          <t>Net income</t>
        </is>
      </c>
      <c r="B55" s="17" t="inlineStr">
        <is>
          <t>R</t>
        </is>
      </c>
      <c r="C55" s="48">
        <f>C51-C54</f>
        <v/>
      </c>
      <c r="D55" s="48">
        <f>D51-D54</f>
        <v/>
      </c>
      <c r="E55" s="48">
        <f>E51-E54</f>
        <v/>
      </c>
      <c r="F55" s="48">
        <f>F51-F54</f>
        <v/>
      </c>
      <c r="G55" s="48">
        <f>G51-G54</f>
        <v/>
      </c>
    </row>
    <row r="56"/>
    <row r="57">
      <c r="A57" s="19" t="inlineStr">
        <is>
          <t>Cash</t>
        </is>
      </c>
      <c r="B57" s="19" t="n"/>
      <c r="C57" s="19" t="n"/>
      <c r="D57" s="19" t="n"/>
      <c r="E57" s="19" t="n"/>
      <c r="F57" s="19" t="n"/>
      <c r="G57" s="19" t="n"/>
    </row>
    <row r="58">
      <c r="A58" s="4" t="inlineStr">
        <is>
          <t>Operating cash flow (before funding)</t>
        </is>
      </c>
      <c r="B58" s="17" t="inlineStr">
        <is>
          <t>R</t>
        </is>
      </c>
      <c r="C58" s="47">
        <f>SUM(Cash_Flow!C14:N14)</f>
        <v/>
      </c>
      <c r="D58" s="47">
        <f>SUM(Cash_Flow!O14:Z14)</f>
        <v/>
      </c>
      <c r="E58" s="47">
        <f>SUM(Cash_Flow!AA14:AL14)</f>
        <v/>
      </c>
      <c r="F58" s="47">
        <f>SUM(Cash_Flow!AM14:AX14)</f>
        <v/>
      </c>
      <c r="G58" s="47">
        <f>SUM(Cash_Flow!AY14:BJ14)</f>
        <v/>
      </c>
    </row>
    <row r="59">
      <c r="A59" s="4" t="inlineStr">
        <is>
          <t>Equity funding received</t>
        </is>
      </c>
      <c r="B59" s="17" t="inlineStr">
        <is>
          <t>R</t>
        </is>
      </c>
      <c r="C59" s="47">
        <f>SUM(Cash_Flow!C17:N17)+SUM(Cash_Flow!C18:N18)</f>
        <v/>
      </c>
      <c r="D59" s="47">
        <f>SUM(Cash_Flow!O17:Z17)+SUM(Cash_Flow!O18:Z18)</f>
        <v/>
      </c>
      <c r="E59" s="47">
        <f>SUM(Cash_Flow!AA17:AL17)+SUM(Cash_Flow!AA18:AL18)</f>
        <v/>
      </c>
      <c r="F59" s="47">
        <f>SUM(Cash_Flow!AM17:AX17)+SUM(Cash_Flow!AM18:AX18)</f>
        <v/>
      </c>
      <c r="G59" s="47">
        <f>SUM(Cash_Flow!AY17:BJ17)+SUM(Cash_Flow!AY18:BJ18)</f>
        <v/>
      </c>
    </row>
    <row r="60">
      <c r="A60" s="3" t="inlineStr">
        <is>
          <t>Closing cash (end of FY)</t>
        </is>
      </c>
      <c r="B60" s="17" t="inlineStr">
        <is>
          <t>R</t>
        </is>
      </c>
      <c r="C60" s="48">
        <f>Cash_Flow!N23</f>
        <v/>
      </c>
      <c r="D60" s="48">
        <f>Cash_Flow!Z23</f>
        <v/>
      </c>
      <c r="E60" s="48">
        <f>Cash_Flow!AL23</f>
        <v/>
      </c>
      <c r="F60" s="48">
        <f>Cash_Flow!AX23</f>
        <v/>
      </c>
      <c r="G60" s="48">
        <f>Cash_Flow!BJ23</f>
        <v/>
      </c>
    </row>
    <row r="61">
      <c r="A61" s="4" t="inlineStr">
        <is>
          <t>Lowest month-end cash in FY</t>
        </is>
      </c>
      <c r="B61" s="17" t="inlineStr">
        <is>
          <t>R</t>
        </is>
      </c>
      <c r="C61" s="47">
        <f>MIN(Cash_Flow!C23:N23)</f>
        <v/>
      </c>
      <c r="D61" s="47">
        <f>MIN(Cash_Flow!O23:Z23)</f>
        <v/>
      </c>
      <c r="E61" s="47">
        <f>MIN(Cash_Flow!AA23:AL23)</f>
        <v/>
      </c>
      <c r="F61" s="47">
        <f>MIN(Cash_Flow!AM23:AX23)</f>
        <v/>
      </c>
      <c r="G61" s="47">
        <f>MIN(Cash_Flow!AY23:BJ23)</f>
        <v/>
      </c>
    </row>
    <row r="62"/>
    <row r="63">
      <c r="A63" s="19" t="inlineStr">
        <is>
          <t>Paying workspaces at end of FY: by segment</t>
        </is>
      </c>
      <c r="B63" s="19" t="n"/>
      <c r="C63" s="19" t="n"/>
      <c r="D63" s="19" t="n"/>
      <c r="E63" s="19" t="n"/>
      <c r="F63" s="19" t="n"/>
      <c r="G63" s="19" t="n"/>
    </row>
    <row r="64">
      <c r="A64" s="4" t="inlineStr">
        <is>
          <t>Solo</t>
        </is>
      </c>
      <c r="B64" s="17" t="inlineStr">
        <is>
          <t>workspaces</t>
        </is>
      </c>
      <c r="C64" s="51">
        <f>Revenue_Build!N367</f>
        <v/>
      </c>
      <c r="D64" s="51">
        <f>Revenue_Build!Z367</f>
        <v/>
      </c>
      <c r="E64" s="51">
        <f>Revenue_Build!AL367</f>
        <v/>
      </c>
      <c r="F64" s="51">
        <f>Revenue_Build!AX367</f>
        <v/>
      </c>
      <c r="G64" s="51">
        <f>Revenue_Build!BJ367</f>
        <v/>
      </c>
    </row>
    <row r="65">
      <c r="A65" s="4" t="inlineStr">
        <is>
          <t>SMEs</t>
        </is>
      </c>
      <c r="B65" s="17" t="inlineStr">
        <is>
          <t>workspaces</t>
        </is>
      </c>
      <c r="C65" s="51">
        <f>Revenue_Build!N371</f>
        <v/>
      </c>
      <c r="D65" s="51">
        <f>Revenue_Build!Z371</f>
        <v/>
      </c>
      <c r="E65" s="51">
        <f>Revenue_Build!AL371</f>
        <v/>
      </c>
      <c r="F65" s="51">
        <f>Revenue_Build!AX371</f>
        <v/>
      </c>
      <c r="G65" s="51">
        <f>Revenue_Build!BJ371</f>
        <v/>
      </c>
    </row>
    <row r="66">
      <c r="A66" s="4" t="inlineStr">
        <is>
          <t>Agencies</t>
        </is>
      </c>
      <c r="B66" s="17" t="inlineStr">
        <is>
          <t>workspaces</t>
        </is>
      </c>
      <c r="C66" s="51">
        <f>Revenue_Build!N375</f>
        <v/>
      </c>
      <c r="D66" s="51">
        <f>Revenue_Build!Z375</f>
        <v/>
      </c>
      <c r="E66" s="51">
        <f>Revenue_Build!AL375</f>
        <v/>
      </c>
      <c r="F66" s="51">
        <f>Revenue_Build!AX375</f>
        <v/>
      </c>
      <c r="G66" s="51">
        <f>Revenue_Build!BJ375</f>
        <v/>
      </c>
    </row>
    <row r="67">
      <c r="A67" s="4" t="inlineStr">
        <is>
          <t>Corporate</t>
        </is>
      </c>
      <c r="B67" s="17" t="inlineStr">
        <is>
          <t>workspaces</t>
        </is>
      </c>
      <c r="C67" s="51">
        <f>Revenue_Build!N379</f>
        <v/>
      </c>
      <c r="D67" s="51">
        <f>Revenue_Build!Z379</f>
        <v/>
      </c>
      <c r="E67" s="51">
        <f>Revenue_Build!AL379</f>
        <v/>
      </c>
      <c r="F67" s="51">
        <f>Revenue_Build!AX379</f>
        <v/>
      </c>
      <c r="G67" s="51">
        <f>Revenue_Build!BJ379</f>
        <v/>
      </c>
    </row>
    <row r="68">
      <c r="A68" s="4" t="inlineStr">
        <is>
          <t>Enterprise</t>
        </is>
      </c>
      <c r="B68" s="17" t="inlineStr">
        <is>
          <t>workspaces</t>
        </is>
      </c>
      <c r="C68" s="51">
        <f>Revenue_Build!N383</f>
        <v/>
      </c>
      <c r="D68" s="51">
        <f>Revenue_Build!Z383</f>
        <v/>
      </c>
      <c r="E68" s="51">
        <f>Revenue_Build!AL383</f>
        <v/>
      </c>
      <c r="F68" s="51">
        <f>Revenue_Build!AX383</f>
        <v/>
      </c>
      <c r="G68" s="51">
        <f>Revenue_Build!BJ383</f>
        <v/>
      </c>
    </row>
    <row r="69"/>
    <row r="70">
      <c r="A70" s="19" t="inlineStr">
        <is>
          <t>Paying workspaces at end of FY: by market (gated countries = 0)</t>
        </is>
      </c>
      <c r="B70" s="19" t="n"/>
      <c r="C70" s="19" t="n"/>
      <c r="D70" s="19" t="n"/>
      <c r="E70" s="19" t="n"/>
      <c r="F70" s="19" t="n"/>
      <c r="G70" s="19" t="n"/>
    </row>
    <row r="71">
      <c r="A71" s="4" t="inlineStr">
        <is>
          <t>South Africa</t>
        </is>
      </c>
      <c r="B71" s="17" t="inlineStr">
        <is>
          <t>workspaces</t>
        </is>
      </c>
      <c r="C71" s="51">
        <f>Revenue_Build!N360</f>
        <v/>
      </c>
      <c r="D71" s="51">
        <f>Revenue_Build!Z360</f>
        <v/>
      </c>
      <c r="E71" s="51">
        <f>Revenue_Build!AL360</f>
        <v/>
      </c>
      <c r="F71" s="51">
        <f>Revenue_Build!AX360</f>
        <v/>
      </c>
      <c r="G71" s="51">
        <f>Revenue_Build!BJ360</f>
        <v/>
      </c>
    </row>
    <row r="72">
      <c r="A72" s="4" t="inlineStr">
        <is>
          <t>Nigeria</t>
        </is>
      </c>
      <c r="B72" s="17" t="inlineStr">
        <is>
          <t>workspaces</t>
        </is>
      </c>
      <c r="C72" s="51">
        <f>Revenue_Build!N361</f>
        <v/>
      </c>
      <c r="D72" s="51">
        <f>Revenue_Build!Z361</f>
        <v/>
      </c>
      <c r="E72" s="51">
        <f>Revenue_Build!AL361</f>
        <v/>
      </c>
      <c r="F72" s="51">
        <f>Revenue_Build!AX361</f>
        <v/>
      </c>
      <c r="G72" s="51">
        <f>Revenue_Build!BJ361</f>
        <v/>
      </c>
    </row>
    <row r="73">
      <c r="A73" s="4" t="inlineStr">
        <is>
          <t>Kenya</t>
        </is>
      </c>
      <c r="B73" s="17" t="inlineStr">
        <is>
          <t>workspaces</t>
        </is>
      </c>
      <c r="C73" s="51">
        <f>Revenue_Build!N362</f>
        <v/>
      </c>
      <c r="D73" s="51">
        <f>Revenue_Build!Z362</f>
        <v/>
      </c>
      <c r="E73" s="51">
        <f>Revenue_Build!AL362</f>
        <v/>
      </c>
      <c r="F73" s="51">
        <f>Revenue_Build!AX362</f>
        <v/>
      </c>
      <c r="G73" s="51">
        <f>Revenue_Build!BJ362</f>
        <v/>
      </c>
    </row>
    <row r="74">
      <c r="A74" s="4" t="inlineStr">
        <is>
          <t>Ghana</t>
        </is>
      </c>
      <c r="B74" s="17" t="inlineStr">
        <is>
          <t>workspaces</t>
        </is>
      </c>
      <c r="C74" s="51">
        <f>Revenue_Build!N363</f>
        <v/>
      </c>
      <c r="D74" s="51">
        <f>Revenue_Build!Z363</f>
        <v/>
      </c>
      <c r="E74" s="51">
        <f>Revenue_Build!AL363</f>
        <v/>
      </c>
      <c r="F74" s="51">
        <f>Revenue_Build!AX363</f>
        <v/>
      </c>
      <c r="G74" s="51">
        <f>Revenue_Build!BJ363</f>
        <v/>
      </c>
    </row>
    <row r="75">
      <c r="A75" s="4" t="inlineStr">
        <is>
          <t>Rest of Africa (USD)</t>
        </is>
      </c>
      <c r="B75" s="17" t="inlineStr">
        <is>
          <t>workspaces</t>
        </is>
      </c>
      <c r="C75" s="51">
        <f>Revenue_Build!N364</f>
        <v/>
      </c>
      <c r="D75" s="51">
        <f>Revenue_Build!Z364</f>
        <v/>
      </c>
      <c r="E75" s="51">
        <f>Revenue_Build!AL364</f>
        <v/>
      </c>
      <c r="F75" s="51">
        <f>Revenue_Build!AX364</f>
        <v/>
      </c>
      <c r="G75" s="51">
        <f>Revenue_Build!BJ364</f>
        <v/>
      </c>
    </row>
    <row r="76">
      <c r="A76" s="4" t="inlineStr">
        <is>
          <t>Botswana &amp; Namibia</t>
        </is>
      </c>
      <c r="B76" s="17" t="inlineStr">
        <is>
          <t>workspaces</t>
        </is>
      </c>
      <c r="C76" s="51">
        <f>Revenue_Build!N365</f>
        <v/>
      </c>
      <c r="D76" s="51">
        <f>Revenue_Build!Z365</f>
        <v/>
      </c>
      <c r="E76" s="51">
        <f>Revenue_Build!AL365</f>
        <v/>
      </c>
      <c r="F76" s="51">
        <f>Revenue_Build!AX365</f>
        <v/>
      </c>
      <c r="G76" s="51">
        <f>Revenue_Build!BJ365</f>
        <v/>
      </c>
    </row>
    <row r="77"/>
    <row r="78">
      <c r="A78" s="19" t="inlineStr">
        <is>
          <t>Paying workspaces at end of FY: by tier</t>
        </is>
      </c>
      <c r="B78" s="19" t="n"/>
      <c r="C78" s="19" t="n"/>
      <c r="D78" s="19" t="n"/>
      <c r="E78" s="19" t="n"/>
      <c r="F78" s="19" t="n"/>
      <c r="G78" s="19" t="n"/>
    </row>
    <row r="79">
      <c r="A79" s="4" t="inlineStr">
        <is>
          <t>Nano</t>
        </is>
      </c>
      <c r="B79" s="17" t="inlineStr">
        <is>
          <t>workspaces</t>
        </is>
      </c>
      <c r="C79" s="51">
        <f>Revenue_Build!N387</f>
        <v/>
      </c>
      <c r="D79" s="51">
        <f>Revenue_Build!Z387</f>
        <v/>
      </c>
      <c r="E79" s="51">
        <f>Revenue_Build!AL387</f>
        <v/>
      </c>
      <c r="F79" s="51">
        <f>Revenue_Build!AX387</f>
        <v/>
      </c>
      <c r="G79" s="51">
        <f>Revenue_Build!BJ387</f>
        <v/>
      </c>
    </row>
    <row r="80">
      <c r="A80" s="4" t="inlineStr">
        <is>
          <t>Micro</t>
        </is>
      </c>
      <c r="B80" s="17" t="inlineStr">
        <is>
          <t>workspaces</t>
        </is>
      </c>
      <c r="C80" s="51">
        <f>Revenue_Build!N390</f>
        <v/>
      </c>
      <c r="D80" s="51">
        <f>Revenue_Build!Z390</f>
        <v/>
      </c>
      <c r="E80" s="51">
        <f>Revenue_Build!AL390</f>
        <v/>
      </c>
      <c r="F80" s="51">
        <f>Revenue_Build!AX390</f>
        <v/>
      </c>
      <c r="G80" s="51">
        <f>Revenue_Build!BJ390</f>
        <v/>
      </c>
    </row>
    <row r="81">
      <c r="A81" s="4" t="inlineStr">
        <is>
          <t>Starter</t>
        </is>
      </c>
      <c r="B81" s="17" t="inlineStr">
        <is>
          <t>workspaces</t>
        </is>
      </c>
      <c r="C81" s="51">
        <f>Revenue_Build!N393</f>
        <v/>
      </c>
      <c r="D81" s="51">
        <f>Revenue_Build!Z393</f>
        <v/>
      </c>
      <c r="E81" s="51">
        <f>Revenue_Build!AL393</f>
        <v/>
      </c>
      <c r="F81" s="51">
        <f>Revenue_Build!AX393</f>
        <v/>
      </c>
      <c r="G81" s="51">
        <f>Revenue_Build!BJ393</f>
        <v/>
      </c>
    </row>
    <row r="82">
      <c r="A82" s="4" t="inlineStr">
        <is>
          <t>Growth</t>
        </is>
      </c>
      <c r="B82" s="17" t="inlineStr">
        <is>
          <t>workspaces</t>
        </is>
      </c>
      <c r="C82" s="51">
        <f>Revenue_Build!N396</f>
        <v/>
      </c>
      <c r="D82" s="51">
        <f>Revenue_Build!Z396</f>
        <v/>
      </c>
      <c r="E82" s="51">
        <f>Revenue_Build!AL396</f>
        <v/>
      </c>
      <c r="F82" s="51">
        <f>Revenue_Build!AX396</f>
        <v/>
      </c>
      <c r="G82" s="51">
        <f>Revenue_Build!BJ396</f>
        <v/>
      </c>
    </row>
    <row r="83">
      <c r="A83" s="4" t="inlineStr">
        <is>
          <t>Scale</t>
        </is>
      </c>
      <c r="B83" s="17" t="inlineStr">
        <is>
          <t>workspaces</t>
        </is>
      </c>
      <c r="C83" s="51">
        <f>Revenue_Build!N399</f>
        <v/>
      </c>
      <c r="D83" s="51">
        <f>Revenue_Build!Z399</f>
        <v/>
      </c>
      <c r="E83" s="51">
        <f>Revenue_Build!AL399</f>
        <v/>
      </c>
      <c r="F83" s="51">
        <f>Revenue_Build!AX399</f>
        <v/>
      </c>
      <c r="G83" s="51">
        <f>Revenue_Build!BJ399</f>
        <v/>
      </c>
    </row>
    <row r="84">
      <c r="A84" s="4" t="inlineStr">
        <is>
          <t>Corporate</t>
        </is>
      </c>
      <c r="B84" s="17" t="inlineStr">
        <is>
          <t>workspaces</t>
        </is>
      </c>
      <c r="C84" s="51">
        <f>Revenue_Build!N402</f>
        <v/>
      </c>
      <c r="D84" s="51">
        <f>Revenue_Build!Z402</f>
        <v/>
      </c>
      <c r="E84" s="51">
        <f>Revenue_Build!AL402</f>
        <v/>
      </c>
      <c r="F84" s="51">
        <f>Revenue_Build!AX402</f>
        <v/>
      </c>
      <c r="G84" s="51">
        <f>Revenue_Build!BJ402</f>
        <v/>
      </c>
    </row>
    <row r="85">
      <c r="A85" s="4" t="inlineStr">
        <is>
          <t>Agency</t>
        </is>
      </c>
      <c r="B85" s="17" t="inlineStr">
        <is>
          <t>workspaces</t>
        </is>
      </c>
      <c r="C85" s="51">
        <f>Revenue_Build!N405</f>
        <v/>
      </c>
      <c r="D85" s="51">
        <f>Revenue_Build!Z405</f>
        <v/>
      </c>
      <c r="E85" s="51">
        <f>Revenue_Build!AL405</f>
        <v/>
      </c>
      <c r="F85" s="51">
        <f>Revenue_Build!AX405</f>
        <v/>
      </c>
      <c r="G85" s="51">
        <f>Revenue_Build!BJ405</f>
        <v/>
      </c>
    </row>
    <row r="86">
      <c r="A86" s="4" t="inlineStr">
        <is>
          <t>Custom</t>
        </is>
      </c>
      <c r="B86" s="17" t="inlineStr">
        <is>
          <t>workspaces</t>
        </is>
      </c>
      <c r="C86" s="51">
        <f>Revenue_Build!N408</f>
        <v/>
      </c>
      <c r="D86" s="51">
        <f>Revenue_Build!Z408</f>
        <v/>
      </c>
      <c r="E86" s="51">
        <f>Revenue_Build!AL408</f>
        <v/>
      </c>
      <c r="F86" s="51">
        <f>Revenue_Build!AX408</f>
        <v/>
      </c>
      <c r="G86" s="51">
        <f>Revenue_Build!BJ408</f>
        <v/>
      </c>
    </row>
    <row r="87">
      <c r="A87" s="3" t="inlineStr">
        <is>
          <t>Total paying workspaces</t>
        </is>
      </c>
      <c r="B87" s="17" t="inlineStr">
        <is>
          <t>workspaces</t>
        </is>
      </c>
      <c r="C87" s="52">
        <f>C79+C80+C81+C82+C83+C84+C85+C86</f>
        <v/>
      </c>
      <c r="D87" s="52">
        <f>D79+D80+D81+D82+D83+D84+D85+D86</f>
        <v/>
      </c>
      <c r="E87" s="52">
        <f>E79+E80+E81+E82+E83+E84+E85+E86</f>
        <v/>
      </c>
      <c r="F87" s="52">
        <f>F79+F80+F81+F82+F83+F84+F85+F86</f>
        <v/>
      </c>
      <c r="G87" s="52">
        <f>G79+G80+G81+G82+G83+G84+G85+G86</f>
        <v/>
      </c>
    </row>
    <row r="88"/>
    <row r="89">
      <c r="A89" s="19" t="inlineStr">
        <is>
          <t>New customers acquired in FY by segment (excl. upgrades)</t>
        </is>
      </c>
      <c r="B89" s="19" t="n"/>
      <c r="C89" s="19" t="n"/>
      <c r="D89" s="19" t="n"/>
      <c r="E89" s="19" t="n"/>
      <c r="F89" s="19" t="n"/>
      <c r="G89" s="19" t="n"/>
    </row>
    <row r="90">
      <c r="A90" s="4" t="inlineStr">
        <is>
          <t>Solo</t>
        </is>
      </c>
      <c r="B90" s="17" t="inlineStr">
        <is>
          <t>workspaces</t>
        </is>
      </c>
      <c r="C90" s="51">
        <f>SUM(Revenue_Build!C369:N369)</f>
        <v/>
      </c>
      <c r="D90" s="51">
        <f>SUM(Revenue_Build!O369:Z369)</f>
        <v/>
      </c>
      <c r="E90" s="51">
        <f>SUM(Revenue_Build!AA369:AL369)</f>
        <v/>
      </c>
      <c r="F90" s="51">
        <f>SUM(Revenue_Build!AM369:AX369)</f>
        <v/>
      </c>
      <c r="G90" s="51">
        <f>SUM(Revenue_Build!AY369:BJ369)</f>
        <v/>
      </c>
    </row>
    <row r="91">
      <c r="A91" s="4" t="inlineStr">
        <is>
          <t>SMEs</t>
        </is>
      </c>
      <c r="B91" s="17" t="inlineStr">
        <is>
          <t>workspaces</t>
        </is>
      </c>
      <c r="C91" s="51">
        <f>SUM(Revenue_Build!C373:N373)</f>
        <v/>
      </c>
      <c r="D91" s="51">
        <f>SUM(Revenue_Build!O373:Z373)</f>
        <v/>
      </c>
      <c r="E91" s="51">
        <f>SUM(Revenue_Build!AA373:AL373)</f>
        <v/>
      </c>
      <c r="F91" s="51">
        <f>SUM(Revenue_Build!AM373:AX373)</f>
        <v/>
      </c>
      <c r="G91" s="51">
        <f>SUM(Revenue_Build!AY373:BJ373)</f>
        <v/>
      </c>
    </row>
    <row r="92">
      <c r="A92" s="4" t="inlineStr">
        <is>
          <t>Agencies</t>
        </is>
      </c>
      <c r="B92" s="17" t="inlineStr">
        <is>
          <t>workspaces</t>
        </is>
      </c>
      <c r="C92" s="51">
        <f>SUM(Revenue_Build!C377:N377)</f>
        <v/>
      </c>
      <c r="D92" s="51">
        <f>SUM(Revenue_Build!O377:Z377)</f>
        <v/>
      </c>
      <c r="E92" s="51">
        <f>SUM(Revenue_Build!AA377:AL377)</f>
        <v/>
      </c>
      <c r="F92" s="51">
        <f>SUM(Revenue_Build!AM377:AX377)</f>
        <v/>
      </c>
      <c r="G92" s="51">
        <f>SUM(Revenue_Build!AY377:BJ377)</f>
        <v/>
      </c>
    </row>
    <row r="93">
      <c r="A93" s="4" t="inlineStr">
        <is>
          <t>Corporate</t>
        </is>
      </c>
      <c r="B93" s="17" t="inlineStr">
        <is>
          <t>workspaces</t>
        </is>
      </c>
      <c r="C93" s="51">
        <f>SUM(Revenue_Build!C381:N381)</f>
        <v/>
      </c>
      <c r="D93" s="51">
        <f>SUM(Revenue_Build!O381:Z381)</f>
        <v/>
      </c>
      <c r="E93" s="51">
        <f>SUM(Revenue_Build!AA381:AL381)</f>
        <v/>
      </c>
      <c r="F93" s="51">
        <f>SUM(Revenue_Build!AM381:AX381)</f>
        <v/>
      </c>
      <c r="G93" s="51">
        <f>SUM(Revenue_Build!AY381:BJ381)</f>
        <v/>
      </c>
    </row>
    <row r="94">
      <c r="A94" s="4" t="inlineStr">
        <is>
          <t>Enterprise</t>
        </is>
      </c>
      <c r="B94" s="17" t="inlineStr">
        <is>
          <t>workspaces</t>
        </is>
      </c>
      <c r="C94" s="51">
        <f>SUM(Revenue_Build!C385:N385)</f>
        <v/>
      </c>
      <c r="D94" s="51">
        <f>SUM(Revenue_Build!O385:Z385)</f>
        <v/>
      </c>
      <c r="E94" s="51">
        <f>SUM(Revenue_Build!AA385:AL385)</f>
        <v/>
      </c>
      <c r="F94" s="51">
        <f>SUM(Revenue_Build!AM385:AX385)</f>
        <v/>
      </c>
      <c r="G94" s="51">
        <f>SUM(Revenue_Build!AY385:BJ385)</f>
        <v/>
      </c>
    </row>
    <row r="95">
      <c r="A95" s="4" t="inlineStr">
        <is>
          <t>New paying workspaces in FY</t>
        </is>
      </c>
      <c r="B95" s="17" t="inlineStr">
        <is>
          <t>workspaces</t>
        </is>
      </c>
      <c r="C95" s="51">
        <f>SUM(Revenue_Build!C413:N413)</f>
        <v/>
      </c>
      <c r="D95" s="51">
        <f>SUM(Revenue_Build!O413:Z413)</f>
        <v/>
      </c>
      <c r="E95" s="51">
        <f>SUM(Revenue_Build!AA413:AL413)</f>
        <v/>
      </c>
      <c r="F95" s="51">
        <f>SUM(Revenue_Build!AM413:AX413)</f>
        <v/>
      </c>
      <c r="G95" s="51">
        <f>SUM(Revenue_Build!AY413:BJ413)</f>
        <v/>
      </c>
    </row>
    <row r="96">
      <c r="A96" s="4" t="inlineStr">
        <is>
          <t>Churned workspaces in FY</t>
        </is>
      </c>
      <c r="B96" s="17" t="inlineStr">
        <is>
          <t>workspaces</t>
        </is>
      </c>
      <c r="C96" s="51">
        <f>SUM(Revenue_Build!C412:N412)</f>
        <v/>
      </c>
      <c r="D96" s="51">
        <f>SUM(Revenue_Build!O412:Z412)</f>
        <v/>
      </c>
      <c r="E96" s="51">
        <f>SUM(Revenue_Build!AA412:AL412)</f>
        <v/>
      </c>
      <c r="F96" s="51">
        <f>SUM(Revenue_Build!AM412:AX412)</f>
        <v/>
      </c>
      <c r="G96" s="51">
        <f>SUM(Revenue_Build!AY412:BJ412)</f>
        <v/>
      </c>
    </row>
    <row r="97"/>
    <row r="98">
      <c r="A98" s="19" t="inlineStr">
        <is>
          <t>Free plan funnel</t>
        </is>
      </c>
      <c r="B98" s="19" t="n"/>
      <c r="C98" s="19" t="n"/>
      <c r="D98" s="19" t="n"/>
      <c r="E98" s="19" t="n"/>
      <c r="F98" s="19" t="n"/>
      <c r="G98" s="19" t="n"/>
    </row>
    <row r="99">
      <c r="A99" s="4" t="inlineStr">
        <is>
          <t>New Free users in FY</t>
        </is>
      </c>
      <c r="B99" s="17" t="inlineStr">
        <is>
          <t>users</t>
        </is>
      </c>
      <c r="C99" s="51">
        <f>SUM(Revenue_Build!C102:N102)</f>
        <v/>
      </c>
      <c r="D99" s="51">
        <f>SUM(Revenue_Build!O102:Z102)</f>
        <v/>
      </c>
      <c r="E99" s="51">
        <f>SUM(Revenue_Build!AA102:AL102)</f>
        <v/>
      </c>
      <c r="F99" s="51">
        <f>SUM(Revenue_Build!AM102:AX102)</f>
        <v/>
      </c>
      <c r="G99" s="51">
        <f>SUM(Revenue_Build!AY102:BJ102)</f>
        <v/>
      </c>
    </row>
    <row r="100">
      <c r="A100" s="4" t="inlineStr">
        <is>
          <t>Free users upgrading to paid in FY</t>
        </is>
      </c>
      <c r="B100" s="17" t="inlineStr">
        <is>
          <t>workspaces</t>
        </is>
      </c>
      <c r="C100" s="51">
        <f>SUM(Revenue_Build!C103:N103)</f>
        <v/>
      </c>
      <c r="D100" s="51">
        <f>SUM(Revenue_Build!O103:Z103)</f>
        <v/>
      </c>
      <c r="E100" s="51">
        <f>SUM(Revenue_Build!AA103:AL103)</f>
        <v/>
      </c>
      <c r="F100" s="51">
        <f>SUM(Revenue_Build!AM103:AX103)</f>
        <v/>
      </c>
      <c r="G100" s="51">
        <f>SUM(Revenue_Build!AY103:BJ103)</f>
        <v/>
      </c>
    </row>
    <row r="101">
      <c r="A101" s="4" t="inlineStr">
        <is>
          <t>Active Free users at end of FY</t>
        </is>
      </c>
      <c r="B101" s="17" t="inlineStr">
        <is>
          <t>users</t>
        </is>
      </c>
      <c r="C101" s="51">
        <f>Revenue_Build!N101</f>
        <v/>
      </c>
      <c r="D101" s="51">
        <f>Revenue_Build!Z101</f>
        <v/>
      </c>
      <c r="E101" s="51">
        <f>Revenue_Build!AL101</f>
        <v/>
      </c>
      <c r="F101" s="51">
        <f>Revenue_Build!AX101</f>
        <v/>
      </c>
      <c r="G101" s="51">
        <f>Revenue_Build!BJ101</f>
        <v/>
      </c>
    </row>
    <row r="102">
      <c r="A102" s="4" t="inlineStr">
        <is>
          <t>Free plan cost (AI credits + hosting)</t>
        </is>
      </c>
      <c r="B102" s="17" t="inlineStr">
        <is>
          <t>R</t>
        </is>
      </c>
      <c r="C102" s="47">
        <f>SUM(Costs!C159:N159)</f>
        <v/>
      </c>
      <c r="D102" s="47">
        <f>SUM(Costs!O159:Z159)</f>
        <v/>
      </c>
      <c r="E102" s="47">
        <f>SUM(Costs!AA159:AL159)</f>
        <v/>
      </c>
      <c r="F102" s="47">
        <f>SUM(Costs!AM159:AX159)</f>
        <v/>
      </c>
      <c r="G102" s="47">
        <f>SUM(Costs!AY159:BJ159)</f>
        <v/>
      </c>
    </row>
    <row r="103"/>
    <row r="104">
      <c r="A104" s="19" t="inlineStr">
        <is>
          <t>Recurring revenue &amp; ARPA</t>
        </is>
      </c>
      <c r="B104" s="19" t="n"/>
      <c r="C104" s="19" t="n"/>
      <c r="D104" s="19" t="n"/>
      <c r="E104" s="19" t="n"/>
      <c r="F104" s="19" t="n"/>
      <c r="G104" s="19" t="n"/>
    </row>
    <row r="105">
      <c r="A105" s="4" t="inlineStr">
        <is>
          <t>Net subscription MRR (September)</t>
        </is>
      </c>
      <c r="B105" s="17" t="inlineStr">
        <is>
          <t>R</t>
        </is>
      </c>
      <c r="C105" s="47">
        <f>Revenue_Build!N486</f>
        <v/>
      </c>
      <c r="D105" s="47">
        <f>Revenue_Build!Z486</f>
        <v/>
      </c>
      <c r="E105" s="47">
        <f>Revenue_Build!AL486</f>
        <v/>
      </c>
      <c r="F105" s="47">
        <f>Revenue_Build!AX486</f>
        <v/>
      </c>
      <c r="G105" s="47">
        <f>Revenue_Build!BJ486</f>
        <v/>
      </c>
    </row>
    <row r="106">
      <c r="A106" s="3" t="inlineStr">
        <is>
          <t>Subscription ARR (Sept net MRR x 12)</t>
        </is>
      </c>
      <c r="B106" s="17" t="inlineStr">
        <is>
          <t>R</t>
        </is>
      </c>
      <c r="C106" s="48">
        <f>C105*12</f>
        <v/>
      </c>
      <c r="D106" s="48">
        <f>D105*12</f>
        <v/>
      </c>
      <c r="E106" s="48">
        <f>E105*12</f>
        <v/>
      </c>
      <c r="F106" s="48">
        <f>F105*12</f>
        <v/>
      </c>
      <c r="G106" s="48">
        <f>G105*12</f>
        <v/>
      </c>
    </row>
    <row r="107">
      <c r="A107" s="4" t="inlineStr">
        <is>
          <t>Subscription ARR (US$)</t>
        </is>
      </c>
      <c r="B107" s="17" t="inlineStr">
        <is>
          <t>US$</t>
        </is>
      </c>
      <c r="C107" s="49">
        <f>C106/Assumptions!$B$10</f>
        <v/>
      </c>
      <c r="D107" s="49">
        <f>D106/Assumptions!$B$10</f>
        <v/>
      </c>
      <c r="E107" s="49">
        <f>E106/Assumptions!$B$10</f>
        <v/>
      </c>
      <c r="F107" s="49">
        <f>F106/Assumptions!$B$10</f>
        <v/>
      </c>
      <c r="G107" s="49">
        <f>G106/Assumptions!$B$10</f>
        <v/>
      </c>
    </row>
    <row r="108">
      <c r="A108" s="4" t="inlineStr">
        <is>
          <t>Blended subscription ARPA (net)</t>
        </is>
      </c>
      <c r="B108" s="17" t="inlineStr">
        <is>
          <t>R / workspace / month</t>
        </is>
      </c>
      <c r="C108" s="47">
        <f>IF(SUM(Revenue_Build!C411:N411)=0,0,SUM('P&amp;L'!C10:N10)/SUM(Revenue_Build!C411:N411))</f>
        <v/>
      </c>
      <c r="D108" s="47">
        <f>IF(SUM(Revenue_Build!O411:Z411)=0,0,SUM('P&amp;L'!O10:Z10)/SUM(Revenue_Build!O411:Z411))</f>
        <v/>
      </c>
      <c r="E108" s="47">
        <f>IF(SUM(Revenue_Build!AA411:AL411)=0,0,SUM('P&amp;L'!AA10:AL10)/SUM(Revenue_Build!AA411:AL411))</f>
        <v/>
      </c>
      <c r="F108" s="47">
        <f>IF(SUM(Revenue_Build!AM411:AX411)=0,0,SUM('P&amp;L'!AM10:AX10)/SUM(Revenue_Build!AM411:AX411))</f>
        <v/>
      </c>
      <c r="G108" s="47">
        <f>IF(SUM(Revenue_Build!AY411:BJ411)=0,0,SUM('P&amp;L'!AY10:BJ10)/SUM(Revenue_Build!AY411:BJ411))</f>
        <v/>
      </c>
    </row>
    <row r="109">
      <c r="A109" s="4" t="inlineStr">
        <is>
          <t>Total revenue per workspace</t>
        </is>
      </c>
      <c r="B109" s="17" t="inlineStr">
        <is>
          <t>R / workspace / month</t>
        </is>
      </c>
      <c r="C109" s="47">
        <f>IF(SUM(Revenue_Build!C411:N411)=0,0,SUM('P&amp;L'!C16:N16)/SUM(Revenue_Build!C411:N411))</f>
        <v/>
      </c>
      <c r="D109" s="47">
        <f>IF(SUM(Revenue_Build!O411:Z411)=0,0,SUM('P&amp;L'!O16:Z16)/SUM(Revenue_Build!O411:Z411))</f>
        <v/>
      </c>
      <c r="E109" s="47">
        <f>IF(SUM(Revenue_Build!AA411:AL411)=0,0,SUM('P&amp;L'!AA16:AL16)/SUM(Revenue_Build!AA411:AL411))</f>
        <v/>
      </c>
      <c r="F109" s="47">
        <f>IF(SUM(Revenue_Build!AM411:AX411)=0,0,SUM('P&amp;L'!AM16:AX16)/SUM(Revenue_Build!AM411:AX411))</f>
        <v/>
      </c>
      <c r="G109" s="47">
        <f>IF(SUM(Revenue_Build!AY411:BJ411)=0,0,SUM('P&amp;L'!AY16:BJ16)/SUM(Revenue_Build!AY411:BJ411))</f>
        <v/>
      </c>
    </row>
    <row r="110"/>
    <row r="111">
      <c r="A111" s="19" t="inlineStr">
        <is>
          <t>Team</t>
        </is>
      </c>
      <c r="B111" s="19" t="n"/>
      <c r="C111" s="19" t="n"/>
      <c r="D111" s="19" t="n"/>
      <c r="E111" s="19" t="n"/>
      <c r="F111" s="19" t="n"/>
      <c r="G111" s="19" t="n"/>
    </row>
    <row r="112">
      <c r="A112" s="4" t="inlineStr">
        <is>
          <t>Headcount at end of FY</t>
        </is>
      </c>
      <c r="B112" s="17" t="inlineStr">
        <is>
          <t>FTE</t>
        </is>
      </c>
      <c r="C112" s="51">
        <f>Costs!N75</f>
        <v/>
      </c>
      <c r="D112" s="51">
        <f>Costs!Z75</f>
        <v/>
      </c>
      <c r="E112" s="51">
        <f>Costs!AL75</f>
        <v/>
      </c>
      <c r="F112" s="51">
        <f>Costs!AX75</f>
        <v/>
      </c>
      <c r="G112" s="51">
        <f>Costs!BJ75</f>
        <v/>
      </c>
    </row>
    <row r="113">
      <c r="A113" s="4" t="inlineStr">
        <is>
          <t>Revenue per FTE (end-of-FY headcount)</t>
        </is>
      </c>
      <c r="B113" s="17" t="inlineStr">
        <is>
          <t>R</t>
        </is>
      </c>
      <c r="C113" s="47">
        <f>IF(C112=0,0,C16/C112)</f>
        <v/>
      </c>
      <c r="D113" s="47">
        <f>IF(D112=0,0,D16/D112)</f>
        <v/>
      </c>
      <c r="E113" s="47">
        <f>IF(E112=0,0,E16/E112)</f>
        <v/>
      </c>
      <c r="F113" s="47">
        <f>IF(F112=0,0,F16/F112)</f>
        <v/>
      </c>
      <c r="G113" s="47">
        <f>IF(G112=0,0,G16/G112)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/>
  </sheetPr>
  <dimension ref="A1:BJ8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30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16" t="inlineStr">
        <is>
          <t>Cash Flow</t>
        </is>
      </c>
    </row>
    <row r="2">
      <c r="A2" s="17" t="inlineStr">
        <is>
          <t>Monthly cash flow &amp; funding (R25M seed only), R3.0M buffer test, runway and key outputs. No VAT flows (not VAT-registered).</t>
        </is>
      </c>
    </row>
    <row r="3">
      <c r="A3" s="6" t="inlineStr">
        <is>
          <t>Month #</t>
        </is>
      </c>
      <c r="B3" s="6" t="inlineStr">
        <is>
          <t>Unit</t>
        </is>
      </c>
      <c r="C3" s="37" t="n">
        <v>1</v>
      </c>
      <c r="D3" s="37" t="n">
        <v>2</v>
      </c>
      <c r="E3" s="37" t="n">
        <v>3</v>
      </c>
      <c r="F3" s="37" t="n">
        <v>4</v>
      </c>
      <c r="G3" s="37" t="n">
        <v>5</v>
      </c>
      <c r="H3" s="37" t="n">
        <v>6</v>
      </c>
      <c r="I3" s="37" t="n">
        <v>7</v>
      </c>
      <c r="J3" s="37" t="n">
        <v>8</v>
      </c>
      <c r="K3" s="37" t="n">
        <v>9</v>
      </c>
      <c r="L3" s="37" t="n">
        <v>10</v>
      </c>
      <c r="M3" s="37" t="n">
        <v>11</v>
      </c>
      <c r="N3" s="37" t="n">
        <v>12</v>
      </c>
      <c r="O3" s="37" t="n">
        <v>13</v>
      </c>
      <c r="P3" s="37" t="n">
        <v>14</v>
      </c>
      <c r="Q3" s="37" t="n">
        <v>15</v>
      </c>
      <c r="R3" s="37" t="n">
        <v>16</v>
      </c>
      <c r="S3" s="37" t="n">
        <v>17</v>
      </c>
      <c r="T3" s="37" t="n">
        <v>18</v>
      </c>
      <c r="U3" s="37" t="n">
        <v>19</v>
      </c>
      <c r="V3" s="37" t="n">
        <v>20</v>
      </c>
      <c r="W3" s="37" t="n">
        <v>21</v>
      </c>
      <c r="X3" s="37" t="n">
        <v>22</v>
      </c>
      <c r="Y3" s="37" t="n">
        <v>23</v>
      </c>
      <c r="Z3" s="37" t="n">
        <v>24</v>
      </c>
      <c r="AA3" s="37" t="n">
        <v>25</v>
      </c>
      <c r="AB3" s="37" t="n">
        <v>26</v>
      </c>
      <c r="AC3" s="37" t="n">
        <v>27</v>
      </c>
      <c r="AD3" s="37" t="n">
        <v>28</v>
      </c>
      <c r="AE3" s="37" t="n">
        <v>29</v>
      </c>
      <c r="AF3" s="37" t="n">
        <v>30</v>
      </c>
      <c r="AG3" s="37" t="n">
        <v>31</v>
      </c>
      <c r="AH3" s="37" t="n">
        <v>32</v>
      </c>
      <c r="AI3" s="37" t="n">
        <v>33</v>
      </c>
      <c r="AJ3" s="37" t="n">
        <v>34</v>
      </c>
      <c r="AK3" s="37" t="n">
        <v>35</v>
      </c>
      <c r="AL3" s="37" t="n">
        <v>36</v>
      </c>
      <c r="AM3" s="37" t="n">
        <v>37</v>
      </c>
      <c r="AN3" s="37" t="n">
        <v>38</v>
      </c>
      <c r="AO3" s="37" t="n">
        <v>39</v>
      </c>
      <c r="AP3" s="37" t="n">
        <v>40</v>
      </c>
      <c r="AQ3" s="37" t="n">
        <v>41</v>
      </c>
      <c r="AR3" s="37" t="n">
        <v>42</v>
      </c>
      <c r="AS3" s="37" t="n">
        <v>43</v>
      </c>
      <c r="AT3" s="37" t="n">
        <v>44</v>
      </c>
      <c r="AU3" s="37" t="n">
        <v>45</v>
      </c>
      <c r="AV3" s="37" t="n">
        <v>46</v>
      </c>
      <c r="AW3" s="37" t="n">
        <v>47</v>
      </c>
      <c r="AX3" s="37" t="n">
        <v>48</v>
      </c>
      <c r="AY3" s="37" t="n">
        <v>49</v>
      </c>
      <c r="AZ3" s="37" t="n">
        <v>50</v>
      </c>
      <c r="BA3" s="37" t="n">
        <v>51</v>
      </c>
      <c r="BB3" s="37" t="n">
        <v>52</v>
      </c>
      <c r="BC3" s="37" t="n">
        <v>53</v>
      </c>
      <c r="BD3" s="37" t="n">
        <v>54</v>
      </c>
      <c r="BE3" s="37" t="n">
        <v>55</v>
      </c>
      <c r="BF3" s="37" t="n">
        <v>56</v>
      </c>
      <c r="BG3" s="37" t="n">
        <v>57</v>
      </c>
      <c r="BH3" s="37" t="n">
        <v>58</v>
      </c>
      <c r="BI3" s="37" t="n">
        <v>59</v>
      </c>
      <c r="BJ3" s="37" t="n">
        <v>60</v>
      </c>
    </row>
    <row r="4">
      <c r="A4" s="6" t="inlineStr">
        <is>
          <t>Month</t>
        </is>
      </c>
      <c r="B4" s="6" t="inlineStr"/>
      <c r="C4" s="38" t="inlineStr">
        <is>
          <t>Oct 2026</t>
        </is>
      </c>
      <c r="D4" s="38" t="inlineStr">
        <is>
          <t>Nov 2026</t>
        </is>
      </c>
      <c r="E4" s="38" t="inlineStr">
        <is>
          <t>Dec 2026</t>
        </is>
      </c>
      <c r="F4" s="38" t="inlineStr">
        <is>
          <t>Jan 2027</t>
        </is>
      </c>
      <c r="G4" s="38" t="inlineStr">
        <is>
          <t>Feb 2027</t>
        </is>
      </c>
      <c r="H4" s="38" t="inlineStr">
        <is>
          <t>Mar 2027</t>
        </is>
      </c>
      <c r="I4" s="38" t="inlineStr">
        <is>
          <t>Apr 2027</t>
        </is>
      </c>
      <c r="J4" s="38" t="inlineStr">
        <is>
          <t>May 2027</t>
        </is>
      </c>
      <c r="K4" s="38" t="inlineStr">
        <is>
          <t>Jun 2027</t>
        </is>
      </c>
      <c r="L4" s="38" t="inlineStr">
        <is>
          <t>Jul 2027</t>
        </is>
      </c>
      <c r="M4" s="38" t="inlineStr">
        <is>
          <t>Aug 2027</t>
        </is>
      </c>
      <c r="N4" s="38" t="inlineStr">
        <is>
          <t>Sep 2027</t>
        </is>
      </c>
      <c r="O4" s="38" t="inlineStr">
        <is>
          <t>Oct 2027</t>
        </is>
      </c>
      <c r="P4" s="38" t="inlineStr">
        <is>
          <t>Nov 2027</t>
        </is>
      </c>
      <c r="Q4" s="38" t="inlineStr">
        <is>
          <t>Dec 2027</t>
        </is>
      </c>
      <c r="R4" s="38" t="inlineStr">
        <is>
          <t>Jan 2028</t>
        </is>
      </c>
      <c r="S4" s="38" t="inlineStr">
        <is>
          <t>Feb 2028</t>
        </is>
      </c>
      <c r="T4" s="38" t="inlineStr">
        <is>
          <t>Mar 2028</t>
        </is>
      </c>
      <c r="U4" s="38" t="inlineStr">
        <is>
          <t>Apr 2028</t>
        </is>
      </c>
      <c r="V4" s="38" t="inlineStr">
        <is>
          <t>May 2028</t>
        </is>
      </c>
      <c r="W4" s="38" t="inlineStr">
        <is>
          <t>Jun 2028</t>
        </is>
      </c>
      <c r="X4" s="38" t="inlineStr">
        <is>
          <t>Jul 2028</t>
        </is>
      </c>
      <c r="Y4" s="38" t="inlineStr">
        <is>
          <t>Aug 2028</t>
        </is>
      </c>
      <c r="Z4" s="38" t="inlineStr">
        <is>
          <t>Sep 2028</t>
        </is>
      </c>
      <c r="AA4" s="38" t="inlineStr">
        <is>
          <t>Oct 2028</t>
        </is>
      </c>
      <c r="AB4" s="38" t="inlineStr">
        <is>
          <t>Nov 2028</t>
        </is>
      </c>
      <c r="AC4" s="38" t="inlineStr">
        <is>
          <t>Dec 2028</t>
        </is>
      </c>
      <c r="AD4" s="38" t="inlineStr">
        <is>
          <t>Jan 2029</t>
        </is>
      </c>
      <c r="AE4" s="38" t="inlineStr">
        <is>
          <t>Feb 2029</t>
        </is>
      </c>
      <c r="AF4" s="38" t="inlineStr">
        <is>
          <t>Mar 2029</t>
        </is>
      </c>
      <c r="AG4" s="38" t="inlineStr">
        <is>
          <t>Apr 2029</t>
        </is>
      </c>
      <c r="AH4" s="38" t="inlineStr">
        <is>
          <t>May 2029</t>
        </is>
      </c>
      <c r="AI4" s="38" t="inlineStr">
        <is>
          <t>Jun 2029</t>
        </is>
      </c>
      <c r="AJ4" s="38" t="inlineStr">
        <is>
          <t>Jul 2029</t>
        </is>
      </c>
      <c r="AK4" s="38" t="inlineStr">
        <is>
          <t>Aug 2029</t>
        </is>
      </c>
      <c r="AL4" s="38" t="inlineStr">
        <is>
          <t>Sep 2029</t>
        </is>
      </c>
      <c r="AM4" s="38" t="inlineStr">
        <is>
          <t>Oct 2029</t>
        </is>
      </c>
      <c r="AN4" s="38" t="inlineStr">
        <is>
          <t>Nov 2029</t>
        </is>
      </c>
      <c r="AO4" s="38" t="inlineStr">
        <is>
          <t>Dec 2029</t>
        </is>
      </c>
      <c r="AP4" s="38" t="inlineStr">
        <is>
          <t>Jan 2030</t>
        </is>
      </c>
      <c r="AQ4" s="38" t="inlineStr">
        <is>
          <t>Feb 2030</t>
        </is>
      </c>
      <c r="AR4" s="38" t="inlineStr">
        <is>
          <t>Mar 2030</t>
        </is>
      </c>
      <c r="AS4" s="38" t="inlineStr">
        <is>
          <t>Apr 2030</t>
        </is>
      </c>
      <c r="AT4" s="38" t="inlineStr">
        <is>
          <t>May 2030</t>
        </is>
      </c>
      <c r="AU4" s="38" t="inlineStr">
        <is>
          <t>Jun 2030</t>
        </is>
      </c>
      <c r="AV4" s="38" t="inlineStr">
        <is>
          <t>Jul 2030</t>
        </is>
      </c>
      <c r="AW4" s="38" t="inlineStr">
        <is>
          <t>Aug 2030</t>
        </is>
      </c>
      <c r="AX4" s="38" t="inlineStr">
        <is>
          <t>Sep 2030</t>
        </is>
      </c>
      <c r="AY4" s="38" t="inlineStr">
        <is>
          <t>Oct 2030</t>
        </is>
      </c>
      <c r="AZ4" s="38" t="inlineStr">
        <is>
          <t>Nov 2030</t>
        </is>
      </c>
      <c r="BA4" s="38" t="inlineStr">
        <is>
          <t>Dec 2030</t>
        </is>
      </c>
      <c r="BB4" s="38" t="inlineStr">
        <is>
          <t>Jan 2031</t>
        </is>
      </c>
      <c r="BC4" s="38" t="inlineStr">
        <is>
          <t>Feb 2031</t>
        </is>
      </c>
      <c r="BD4" s="38" t="inlineStr">
        <is>
          <t>Mar 2031</t>
        </is>
      </c>
      <c r="BE4" s="38" t="inlineStr">
        <is>
          <t>Apr 2031</t>
        </is>
      </c>
      <c r="BF4" s="38" t="inlineStr">
        <is>
          <t>May 2031</t>
        </is>
      </c>
      <c r="BG4" s="38" t="inlineStr">
        <is>
          <t>Jun 2031</t>
        </is>
      </c>
      <c r="BH4" s="38" t="inlineStr">
        <is>
          <t>Jul 2031</t>
        </is>
      </c>
      <c r="BI4" s="38" t="inlineStr">
        <is>
          <t>Aug 2031</t>
        </is>
      </c>
      <c r="BJ4" s="38" t="inlineStr">
        <is>
          <t>Sep 2031</t>
        </is>
      </c>
    </row>
    <row r="5">
      <c r="A5" s="3" t="inlineStr">
        <is>
          <t>Fiscal year (Oct-Sep)</t>
        </is>
      </c>
      <c r="C5" s="39" t="n">
        <v>1</v>
      </c>
      <c r="D5" s="39" t="n">
        <v>1</v>
      </c>
      <c r="E5" s="39" t="n">
        <v>1</v>
      </c>
      <c r="F5" s="39" t="n">
        <v>1</v>
      </c>
      <c r="G5" s="39" t="n">
        <v>1</v>
      </c>
      <c r="H5" s="39" t="n">
        <v>1</v>
      </c>
      <c r="I5" s="39" t="n">
        <v>1</v>
      </c>
      <c r="J5" s="39" t="n">
        <v>1</v>
      </c>
      <c r="K5" s="39" t="n">
        <v>1</v>
      </c>
      <c r="L5" s="39" t="n">
        <v>1</v>
      </c>
      <c r="M5" s="39" t="n">
        <v>1</v>
      </c>
      <c r="N5" s="39" t="n">
        <v>1</v>
      </c>
      <c r="O5" s="39" t="n">
        <v>2</v>
      </c>
      <c r="P5" s="39" t="n">
        <v>2</v>
      </c>
      <c r="Q5" s="39" t="n">
        <v>2</v>
      </c>
      <c r="R5" s="39" t="n">
        <v>2</v>
      </c>
      <c r="S5" s="39" t="n">
        <v>2</v>
      </c>
      <c r="T5" s="39" t="n">
        <v>2</v>
      </c>
      <c r="U5" s="39" t="n">
        <v>2</v>
      </c>
      <c r="V5" s="39" t="n">
        <v>2</v>
      </c>
      <c r="W5" s="39" t="n">
        <v>2</v>
      </c>
      <c r="X5" s="39" t="n">
        <v>2</v>
      </c>
      <c r="Y5" s="39" t="n">
        <v>2</v>
      </c>
      <c r="Z5" s="39" t="n">
        <v>2</v>
      </c>
      <c r="AA5" s="39" t="n">
        <v>3</v>
      </c>
      <c r="AB5" s="39" t="n">
        <v>3</v>
      </c>
      <c r="AC5" s="39" t="n">
        <v>3</v>
      </c>
      <c r="AD5" s="39" t="n">
        <v>3</v>
      </c>
      <c r="AE5" s="39" t="n">
        <v>3</v>
      </c>
      <c r="AF5" s="39" t="n">
        <v>3</v>
      </c>
      <c r="AG5" s="39" t="n">
        <v>3</v>
      </c>
      <c r="AH5" s="39" t="n">
        <v>3</v>
      </c>
      <c r="AI5" s="39" t="n">
        <v>3</v>
      </c>
      <c r="AJ5" s="39" t="n">
        <v>3</v>
      </c>
      <c r="AK5" s="39" t="n">
        <v>3</v>
      </c>
      <c r="AL5" s="39" t="n">
        <v>3</v>
      </c>
      <c r="AM5" s="39" t="n">
        <v>4</v>
      </c>
      <c r="AN5" s="39" t="n">
        <v>4</v>
      </c>
      <c r="AO5" s="39" t="n">
        <v>4</v>
      </c>
      <c r="AP5" s="39" t="n">
        <v>4</v>
      </c>
      <c r="AQ5" s="39" t="n">
        <v>4</v>
      </c>
      <c r="AR5" s="39" t="n">
        <v>4</v>
      </c>
      <c r="AS5" s="39" t="n">
        <v>4</v>
      </c>
      <c r="AT5" s="39" t="n">
        <v>4</v>
      </c>
      <c r="AU5" s="39" t="n">
        <v>4</v>
      </c>
      <c r="AV5" s="39" t="n">
        <v>4</v>
      </c>
      <c r="AW5" s="39" t="n">
        <v>4</v>
      </c>
      <c r="AX5" s="39" t="n">
        <v>4</v>
      </c>
      <c r="AY5" s="39" t="n">
        <v>5</v>
      </c>
      <c r="AZ5" s="39" t="n">
        <v>5</v>
      </c>
      <c r="BA5" s="39" t="n">
        <v>5</v>
      </c>
      <c r="BB5" s="39" t="n">
        <v>5</v>
      </c>
      <c r="BC5" s="39" t="n">
        <v>5</v>
      </c>
      <c r="BD5" s="39" t="n">
        <v>5</v>
      </c>
      <c r="BE5" s="39" t="n">
        <v>5</v>
      </c>
      <c r="BF5" s="39" t="n">
        <v>5</v>
      </c>
      <c r="BG5" s="39" t="n">
        <v>5</v>
      </c>
      <c r="BH5" s="39" t="n">
        <v>5</v>
      </c>
      <c r="BI5" s="39" t="n">
        <v>5</v>
      </c>
      <c r="BJ5" s="39" t="n">
        <v>5</v>
      </c>
    </row>
    <row r="6"/>
    <row r="7">
      <c r="A7" s="19" t="inlineStr">
        <is>
          <t>Operating cash flow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</row>
    <row r="8">
      <c r="A8" s="4" t="inlineStr">
        <is>
          <t>EBITDA</t>
        </is>
      </c>
      <c r="B8" s="17" t="inlineStr">
        <is>
          <t>R</t>
        </is>
      </c>
      <c r="C8" s="8">
        <f>'P&amp;L'!C45</f>
        <v/>
      </c>
      <c r="D8" s="8">
        <f>'P&amp;L'!D45</f>
        <v/>
      </c>
      <c r="E8" s="8">
        <f>'P&amp;L'!E45</f>
        <v/>
      </c>
      <c r="F8" s="8">
        <f>'P&amp;L'!F45</f>
        <v/>
      </c>
      <c r="G8" s="8">
        <f>'P&amp;L'!G45</f>
        <v/>
      </c>
      <c r="H8" s="8">
        <f>'P&amp;L'!H45</f>
        <v/>
      </c>
      <c r="I8" s="8">
        <f>'P&amp;L'!I45</f>
        <v/>
      </c>
      <c r="J8" s="8">
        <f>'P&amp;L'!J45</f>
        <v/>
      </c>
      <c r="K8" s="8">
        <f>'P&amp;L'!K45</f>
        <v/>
      </c>
      <c r="L8" s="8">
        <f>'P&amp;L'!L45</f>
        <v/>
      </c>
      <c r="M8" s="8">
        <f>'P&amp;L'!M45</f>
        <v/>
      </c>
      <c r="N8" s="8">
        <f>'P&amp;L'!N45</f>
        <v/>
      </c>
      <c r="O8" s="8">
        <f>'P&amp;L'!O45</f>
        <v/>
      </c>
      <c r="P8" s="8">
        <f>'P&amp;L'!P45</f>
        <v/>
      </c>
      <c r="Q8" s="8">
        <f>'P&amp;L'!Q45</f>
        <v/>
      </c>
      <c r="R8" s="8">
        <f>'P&amp;L'!R45</f>
        <v/>
      </c>
      <c r="S8" s="8">
        <f>'P&amp;L'!S45</f>
        <v/>
      </c>
      <c r="T8" s="8">
        <f>'P&amp;L'!T45</f>
        <v/>
      </c>
      <c r="U8" s="8">
        <f>'P&amp;L'!U45</f>
        <v/>
      </c>
      <c r="V8" s="8">
        <f>'P&amp;L'!V45</f>
        <v/>
      </c>
      <c r="W8" s="8">
        <f>'P&amp;L'!W45</f>
        <v/>
      </c>
      <c r="X8" s="8">
        <f>'P&amp;L'!X45</f>
        <v/>
      </c>
      <c r="Y8" s="8">
        <f>'P&amp;L'!Y45</f>
        <v/>
      </c>
      <c r="Z8" s="8">
        <f>'P&amp;L'!Z45</f>
        <v/>
      </c>
      <c r="AA8" s="8">
        <f>'P&amp;L'!AA45</f>
        <v/>
      </c>
      <c r="AB8" s="8">
        <f>'P&amp;L'!AB45</f>
        <v/>
      </c>
      <c r="AC8" s="8">
        <f>'P&amp;L'!AC45</f>
        <v/>
      </c>
      <c r="AD8" s="8">
        <f>'P&amp;L'!AD45</f>
        <v/>
      </c>
      <c r="AE8" s="8">
        <f>'P&amp;L'!AE45</f>
        <v/>
      </c>
      <c r="AF8" s="8">
        <f>'P&amp;L'!AF45</f>
        <v/>
      </c>
      <c r="AG8" s="8">
        <f>'P&amp;L'!AG45</f>
        <v/>
      </c>
      <c r="AH8" s="8">
        <f>'P&amp;L'!AH45</f>
        <v/>
      </c>
      <c r="AI8" s="8">
        <f>'P&amp;L'!AI45</f>
        <v/>
      </c>
      <c r="AJ8" s="8">
        <f>'P&amp;L'!AJ45</f>
        <v/>
      </c>
      <c r="AK8" s="8">
        <f>'P&amp;L'!AK45</f>
        <v/>
      </c>
      <c r="AL8" s="8">
        <f>'P&amp;L'!AL45</f>
        <v/>
      </c>
      <c r="AM8" s="8">
        <f>'P&amp;L'!AM45</f>
        <v/>
      </c>
      <c r="AN8" s="8">
        <f>'P&amp;L'!AN45</f>
        <v/>
      </c>
      <c r="AO8" s="8">
        <f>'P&amp;L'!AO45</f>
        <v/>
      </c>
      <c r="AP8" s="8">
        <f>'P&amp;L'!AP45</f>
        <v/>
      </c>
      <c r="AQ8" s="8">
        <f>'P&amp;L'!AQ45</f>
        <v/>
      </c>
      <c r="AR8" s="8">
        <f>'P&amp;L'!AR45</f>
        <v/>
      </c>
      <c r="AS8" s="8">
        <f>'P&amp;L'!AS45</f>
        <v/>
      </c>
      <c r="AT8" s="8">
        <f>'P&amp;L'!AT45</f>
        <v/>
      </c>
      <c r="AU8" s="8">
        <f>'P&amp;L'!AU45</f>
        <v/>
      </c>
      <c r="AV8" s="8">
        <f>'P&amp;L'!AV45</f>
        <v/>
      </c>
      <c r="AW8" s="8">
        <f>'P&amp;L'!AW45</f>
        <v/>
      </c>
      <c r="AX8" s="8">
        <f>'P&amp;L'!AX45</f>
        <v/>
      </c>
      <c r="AY8" s="8">
        <f>'P&amp;L'!AY45</f>
        <v/>
      </c>
      <c r="AZ8" s="8">
        <f>'P&amp;L'!AZ45</f>
        <v/>
      </c>
      <c r="BA8" s="8">
        <f>'P&amp;L'!BA45</f>
        <v/>
      </c>
      <c r="BB8" s="8">
        <f>'P&amp;L'!BB45</f>
        <v/>
      </c>
      <c r="BC8" s="8">
        <f>'P&amp;L'!BC45</f>
        <v/>
      </c>
      <c r="BD8" s="8">
        <f>'P&amp;L'!BD45</f>
        <v/>
      </c>
      <c r="BE8" s="8">
        <f>'P&amp;L'!BE45</f>
        <v/>
      </c>
      <c r="BF8" s="8">
        <f>'P&amp;L'!BF45</f>
        <v/>
      </c>
      <c r="BG8" s="8">
        <f>'P&amp;L'!BG45</f>
        <v/>
      </c>
      <c r="BH8" s="8">
        <f>'P&amp;L'!BH45</f>
        <v/>
      </c>
      <c r="BI8" s="8">
        <f>'P&amp;L'!BI45</f>
        <v/>
      </c>
      <c r="BJ8" s="8">
        <f>'P&amp;L'!BJ45</f>
        <v/>
      </c>
    </row>
    <row r="9">
      <c r="A9" s="4" t="inlineStr">
        <is>
          <t>Tax paid (same month, simplified)</t>
        </is>
      </c>
      <c r="B9" s="17" t="inlineStr">
        <is>
          <t>R</t>
        </is>
      </c>
      <c r="C9" s="8">
        <f>-'P&amp;L'!C48</f>
        <v/>
      </c>
      <c r="D9" s="8">
        <f>-'P&amp;L'!D48</f>
        <v/>
      </c>
      <c r="E9" s="8">
        <f>-'P&amp;L'!E48</f>
        <v/>
      </c>
      <c r="F9" s="8">
        <f>-'P&amp;L'!F48</f>
        <v/>
      </c>
      <c r="G9" s="8">
        <f>-'P&amp;L'!G48</f>
        <v/>
      </c>
      <c r="H9" s="8">
        <f>-'P&amp;L'!H48</f>
        <v/>
      </c>
      <c r="I9" s="8">
        <f>-'P&amp;L'!I48</f>
        <v/>
      </c>
      <c r="J9" s="8">
        <f>-'P&amp;L'!J48</f>
        <v/>
      </c>
      <c r="K9" s="8">
        <f>-'P&amp;L'!K48</f>
        <v/>
      </c>
      <c r="L9" s="8">
        <f>-'P&amp;L'!L48</f>
        <v/>
      </c>
      <c r="M9" s="8">
        <f>-'P&amp;L'!M48</f>
        <v/>
      </c>
      <c r="N9" s="8">
        <f>-'P&amp;L'!N48</f>
        <v/>
      </c>
      <c r="O9" s="8">
        <f>-'P&amp;L'!O48</f>
        <v/>
      </c>
      <c r="P9" s="8">
        <f>-'P&amp;L'!P48</f>
        <v/>
      </c>
      <c r="Q9" s="8">
        <f>-'P&amp;L'!Q48</f>
        <v/>
      </c>
      <c r="R9" s="8">
        <f>-'P&amp;L'!R48</f>
        <v/>
      </c>
      <c r="S9" s="8">
        <f>-'P&amp;L'!S48</f>
        <v/>
      </c>
      <c r="T9" s="8">
        <f>-'P&amp;L'!T48</f>
        <v/>
      </c>
      <c r="U9" s="8">
        <f>-'P&amp;L'!U48</f>
        <v/>
      </c>
      <c r="V9" s="8">
        <f>-'P&amp;L'!V48</f>
        <v/>
      </c>
      <c r="W9" s="8">
        <f>-'P&amp;L'!W48</f>
        <v/>
      </c>
      <c r="X9" s="8">
        <f>-'P&amp;L'!X48</f>
        <v/>
      </c>
      <c r="Y9" s="8">
        <f>-'P&amp;L'!Y48</f>
        <v/>
      </c>
      <c r="Z9" s="8">
        <f>-'P&amp;L'!Z48</f>
        <v/>
      </c>
      <c r="AA9" s="8">
        <f>-'P&amp;L'!AA48</f>
        <v/>
      </c>
      <c r="AB9" s="8">
        <f>-'P&amp;L'!AB48</f>
        <v/>
      </c>
      <c r="AC9" s="8">
        <f>-'P&amp;L'!AC48</f>
        <v/>
      </c>
      <c r="AD9" s="8">
        <f>-'P&amp;L'!AD48</f>
        <v/>
      </c>
      <c r="AE9" s="8">
        <f>-'P&amp;L'!AE48</f>
        <v/>
      </c>
      <c r="AF9" s="8">
        <f>-'P&amp;L'!AF48</f>
        <v/>
      </c>
      <c r="AG9" s="8">
        <f>-'P&amp;L'!AG48</f>
        <v/>
      </c>
      <c r="AH9" s="8">
        <f>-'P&amp;L'!AH48</f>
        <v/>
      </c>
      <c r="AI9" s="8">
        <f>-'P&amp;L'!AI48</f>
        <v/>
      </c>
      <c r="AJ9" s="8">
        <f>-'P&amp;L'!AJ48</f>
        <v/>
      </c>
      <c r="AK9" s="8">
        <f>-'P&amp;L'!AK48</f>
        <v/>
      </c>
      <c r="AL9" s="8">
        <f>-'P&amp;L'!AL48</f>
        <v/>
      </c>
      <c r="AM9" s="8">
        <f>-'P&amp;L'!AM48</f>
        <v/>
      </c>
      <c r="AN9" s="8">
        <f>-'P&amp;L'!AN48</f>
        <v/>
      </c>
      <c r="AO9" s="8">
        <f>-'P&amp;L'!AO48</f>
        <v/>
      </c>
      <c r="AP9" s="8">
        <f>-'P&amp;L'!AP48</f>
        <v/>
      </c>
      <c r="AQ9" s="8">
        <f>-'P&amp;L'!AQ48</f>
        <v/>
      </c>
      <c r="AR9" s="8">
        <f>-'P&amp;L'!AR48</f>
        <v/>
      </c>
      <c r="AS9" s="8">
        <f>-'P&amp;L'!AS48</f>
        <v/>
      </c>
      <c r="AT9" s="8">
        <f>-'P&amp;L'!AT48</f>
        <v/>
      </c>
      <c r="AU9" s="8">
        <f>-'P&amp;L'!AU48</f>
        <v/>
      </c>
      <c r="AV9" s="8">
        <f>-'P&amp;L'!AV48</f>
        <v/>
      </c>
      <c r="AW9" s="8">
        <f>-'P&amp;L'!AW48</f>
        <v/>
      </c>
      <c r="AX9" s="8">
        <f>-'P&amp;L'!AX48</f>
        <v/>
      </c>
      <c r="AY9" s="8">
        <f>-'P&amp;L'!AY48</f>
        <v/>
      </c>
      <c r="AZ9" s="8">
        <f>-'P&amp;L'!AZ48</f>
        <v/>
      </c>
      <c r="BA9" s="8">
        <f>-'P&amp;L'!BA48</f>
        <v/>
      </c>
      <c r="BB9" s="8">
        <f>-'P&amp;L'!BB48</f>
        <v/>
      </c>
      <c r="BC9" s="8">
        <f>-'P&amp;L'!BC48</f>
        <v/>
      </c>
      <c r="BD9" s="8">
        <f>-'P&amp;L'!BD48</f>
        <v/>
      </c>
      <c r="BE9" s="8">
        <f>-'P&amp;L'!BE48</f>
        <v/>
      </c>
      <c r="BF9" s="8">
        <f>-'P&amp;L'!BF48</f>
        <v/>
      </c>
      <c r="BG9" s="8">
        <f>-'P&amp;L'!BG48</f>
        <v/>
      </c>
      <c r="BH9" s="8">
        <f>-'P&amp;L'!BH48</f>
        <v/>
      </c>
      <c r="BI9" s="8">
        <f>-'P&amp;L'!BI48</f>
        <v/>
      </c>
      <c r="BJ9" s="8">
        <f>-'P&amp;L'!BJ48</f>
        <v/>
      </c>
    </row>
    <row r="10">
      <c r="A10" s="4" t="inlineStr">
        <is>
          <t>Deferred revenue balance (annual self-serve plans: Solo + SME)</t>
        </is>
      </c>
      <c r="B10" s="17" t="inlineStr">
        <is>
          <t>R</t>
        </is>
      </c>
      <c r="C10" s="8">
        <f>(Revenue_Build!C466+Revenue_Build!C467)*Pricing!$B$17*Assumptions!$B$219</f>
        <v/>
      </c>
      <c r="D10" s="8">
        <f>(Revenue_Build!D466+Revenue_Build!D467)*Pricing!$B$17*Assumptions!$B$219</f>
        <v/>
      </c>
      <c r="E10" s="8">
        <f>(Revenue_Build!E466+Revenue_Build!E467)*Pricing!$B$17*Assumptions!$B$219</f>
        <v/>
      </c>
      <c r="F10" s="8">
        <f>(Revenue_Build!F466+Revenue_Build!F467)*Pricing!$B$17*Assumptions!$B$219</f>
        <v/>
      </c>
      <c r="G10" s="8">
        <f>(Revenue_Build!G466+Revenue_Build!G467)*Pricing!$B$17*Assumptions!$B$219</f>
        <v/>
      </c>
      <c r="H10" s="8">
        <f>(Revenue_Build!H466+Revenue_Build!H467)*Pricing!$B$17*Assumptions!$B$219</f>
        <v/>
      </c>
      <c r="I10" s="8">
        <f>(Revenue_Build!I466+Revenue_Build!I467)*Pricing!$B$17*Assumptions!$B$219</f>
        <v/>
      </c>
      <c r="J10" s="8">
        <f>(Revenue_Build!J466+Revenue_Build!J467)*Pricing!$B$17*Assumptions!$B$219</f>
        <v/>
      </c>
      <c r="K10" s="8">
        <f>(Revenue_Build!K466+Revenue_Build!K467)*Pricing!$B$17*Assumptions!$B$219</f>
        <v/>
      </c>
      <c r="L10" s="8">
        <f>(Revenue_Build!L466+Revenue_Build!L467)*Pricing!$B$17*Assumptions!$B$219</f>
        <v/>
      </c>
      <c r="M10" s="8">
        <f>(Revenue_Build!M466+Revenue_Build!M467)*Pricing!$B$17*Assumptions!$B$219</f>
        <v/>
      </c>
      <c r="N10" s="8">
        <f>(Revenue_Build!N466+Revenue_Build!N467)*Pricing!$B$17*Assumptions!$B$219</f>
        <v/>
      </c>
      <c r="O10" s="8">
        <f>(Revenue_Build!O466+Revenue_Build!O467)*Pricing!$B$17*Assumptions!$B$219</f>
        <v/>
      </c>
      <c r="P10" s="8">
        <f>(Revenue_Build!P466+Revenue_Build!P467)*Pricing!$B$17*Assumptions!$B$219</f>
        <v/>
      </c>
      <c r="Q10" s="8">
        <f>(Revenue_Build!Q466+Revenue_Build!Q467)*Pricing!$B$17*Assumptions!$B$219</f>
        <v/>
      </c>
      <c r="R10" s="8">
        <f>(Revenue_Build!R466+Revenue_Build!R467)*Pricing!$B$17*Assumptions!$B$219</f>
        <v/>
      </c>
      <c r="S10" s="8">
        <f>(Revenue_Build!S466+Revenue_Build!S467)*Pricing!$B$17*Assumptions!$B$219</f>
        <v/>
      </c>
      <c r="T10" s="8">
        <f>(Revenue_Build!T466+Revenue_Build!T467)*Pricing!$B$17*Assumptions!$B$219</f>
        <v/>
      </c>
      <c r="U10" s="8">
        <f>(Revenue_Build!U466+Revenue_Build!U467)*Pricing!$B$17*Assumptions!$B$219</f>
        <v/>
      </c>
      <c r="V10" s="8">
        <f>(Revenue_Build!V466+Revenue_Build!V467)*Pricing!$B$17*Assumptions!$B$219</f>
        <v/>
      </c>
      <c r="W10" s="8">
        <f>(Revenue_Build!W466+Revenue_Build!W467)*Pricing!$B$17*Assumptions!$B$219</f>
        <v/>
      </c>
      <c r="X10" s="8">
        <f>(Revenue_Build!X466+Revenue_Build!X467)*Pricing!$B$17*Assumptions!$B$219</f>
        <v/>
      </c>
      <c r="Y10" s="8">
        <f>(Revenue_Build!Y466+Revenue_Build!Y467)*Pricing!$B$17*Assumptions!$B$219</f>
        <v/>
      </c>
      <c r="Z10" s="8">
        <f>(Revenue_Build!Z466+Revenue_Build!Z467)*Pricing!$B$17*Assumptions!$B$219</f>
        <v/>
      </c>
      <c r="AA10" s="8">
        <f>(Revenue_Build!AA466+Revenue_Build!AA467)*Pricing!$B$17*Assumptions!$B$219</f>
        <v/>
      </c>
      <c r="AB10" s="8">
        <f>(Revenue_Build!AB466+Revenue_Build!AB467)*Pricing!$B$17*Assumptions!$B$219</f>
        <v/>
      </c>
      <c r="AC10" s="8">
        <f>(Revenue_Build!AC466+Revenue_Build!AC467)*Pricing!$B$17*Assumptions!$B$219</f>
        <v/>
      </c>
      <c r="AD10" s="8">
        <f>(Revenue_Build!AD466+Revenue_Build!AD467)*Pricing!$B$17*Assumptions!$B$219</f>
        <v/>
      </c>
      <c r="AE10" s="8">
        <f>(Revenue_Build!AE466+Revenue_Build!AE467)*Pricing!$B$17*Assumptions!$B$219</f>
        <v/>
      </c>
      <c r="AF10" s="8">
        <f>(Revenue_Build!AF466+Revenue_Build!AF467)*Pricing!$B$17*Assumptions!$B$219</f>
        <v/>
      </c>
      <c r="AG10" s="8">
        <f>(Revenue_Build!AG466+Revenue_Build!AG467)*Pricing!$B$17*Assumptions!$B$219</f>
        <v/>
      </c>
      <c r="AH10" s="8">
        <f>(Revenue_Build!AH466+Revenue_Build!AH467)*Pricing!$B$17*Assumptions!$B$219</f>
        <v/>
      </c>
      <c r="AI10" s="8">
        <f>(Revenue_Build!AI466+Revenue_Build!AI467)*Pricing!$B$17*Assumptions!$B$219</f>
        <v/>
      </c>
      <c r="AJ10" s="8">
        <f>(Revenue_Build!AJ466+Revenue_Build!AJ467)*Pricing!$B$17*Assumptions!$B$219</f>
        <v/>
      </c>
      <c r="AK10" s="8">
        <f>(Revenue_Build!AK466+Revenue_Build!AK467)*Pricing!$B$17*Assumptions!$B$219</f>
        <v/>
      </c>
      <c r="AL10" s="8">
        <f>(Revenue_Build!AL466+Revenue_Build!AL467)*Pricing!$B$17*Assumptions!$B$219</f>
        <v/>
      </c>
      <c r="AM10" s="8">
        <f>(Revenue_Build!AM466+Revenue_Build!AM467)*Pricing!$B$17*Assumptions!$B$219</f>
        <v/>
      </c>
      <c r="AN10" s="8">
        <f>(Revenue_Build!AN466+Revenue_Build!AN467)*Pricing!$B$17*Assumptions!$B$219</f>
        <v/>
      </c>
      <c r="AO10" s="8">
        <f>(Revenue_Build!AO466+Revenue_Build!AO467)*Pricing!$B$17*Assumptions!$B$219</f>
        <v/>
      </c>
      <c r="AP10" s="8">
        <f>(Revenue_Build!AP466+Revenue_Build!AP467)*Pricing!$B$17*Assumptions!$B$219</f>
        <v/>
      </c>
      <c r="AQ10" s="8">
        <f>(Revenue_Build!AQ466+Revenue_Build!AQ467)*Pricing!$B$17*Assumptions!$B$219</f>
        <v/>
      </c>
      <c r="AR10" s="8">
        <f>(Revenue_Build!AR466+Revenue_Build!AR467)*Pricing!$B$17*Assumptions!$B$219</f>
        <v/>
      </c>
      <c r="AS10" s="8">
        <f>(Revenue_Build!AS466+Revenue_Build!AS467)*Pricing!$B$17*Assumptions!$B$219</f>
        <v/>
      </c>
      <c r="AT10" s="8">
        <f>(Revenue_Build!AT466+Revenue_Build!AT467)*Pricing!$B$17*Assumptions!$B$219</f>
        <v/>
      </c>
      <c r="AU10" s="8">
        <f>(Revenue_Build!AU466+Revenue_Build!AU467)*Pricing!$B$17*Assumptions!$B$219</f>
        <v/>
      </c>
      <c r="AV10" s="8">
        <f>(Revenue_Build!AV466+Revenue_Build!AV467)*Pricing!$B$17*Assumptions!$B$219</f>
        <v/>
      </c>
      <c r="AW10" s="8">
        <f>(Revenue_Build!AW466+Revenue_Build!AW467)*Pricing!$B$17*Assumptions!$B$219</f>
        <v/>
      </c>
      <c r="AX10" s="8">
        <f>(Revenue_Build!AX466+Revenue_Build!AX467)*Pricing!$B$17*Assumptions!$B$219</f>
        <v/>
      </c>
      <c r="AY10" s="8">
        <f>(Revenue_Build!AY466+Revenue_Build!AY467)*Pricing!$B$17*Assumptions!$B$219</f>
        <v/>
      </c>
      <c r="AZ10" s="8">
        <f>(Revenue_Build!AZ466+Revenue_Build!AZ467)*Pricing!$B$17*Assumptions!$B$219</f>
        <v/>
      </c>
      <c r="BA10" s="8">
        <f>(Revenue_Build!BA466+Revenue_Build!BA467)*Pricing!$B$17*Assumptions!$B$219</f>
        <v/>
      </c>
      <c r="BB10" s="8">
        <f>(Revenue_Build!BB466+Revenue_Build!BB467)*Pricing!$B$17*Assumptions!$B$219</f>
        <v/>
      </c>
      <c r="BC10" s="8">
        <f>(Revenue_Build!BC466+Revenue_Build!BC467)*Pricing!$B$17*Assumptions!$B$219</f>
        <v/>
      </c>
      <c r="BD10" s="8">
        <f>(Revenue_Build!BD466+Revenue_Build!BD467)*Pricing!$B$17*Assumptions!$B$219</f>
        <v/>
      </c>
      <c r="BE10" s="8">
        <f>(Revenue_Build!BE466+Revenue_Build!BE467)*Pricing!$B$17*Assumptions!$B$219</f>
        <v/>
      </c>
      <c r="BF10" s="8">
        <f>(Revenue_Build!BF466+Revenue_Build!BF467)*Pricing!$B$17*Assumptions!$B$219</f>
        <v/>
      </c>
      <c r="BG10" s="8">
        <f>(Revenue_Build!BG466+Revenue_Build!BG467)*Pricing!$B$17*Assumptions!$B$219</f>
        <v/>
      </c>
      <c r="BH10" s="8">
        <f>(Revenue_Build!BH466+Revenue_Build!BH467)*Pricing!$B$17*Assumptions!$B$219</f>
        <v/>
      </c>
      <c r="BI10" s="8">
        <f>(Revenue_Build!BI466+Revenue_Build!BI467)*Pricing!$B$17*Assumptions!$B$219</f>
        <v/>
      </c>
      <c r="BJ10" s="8">
        <f>(Revenue_Build!BJ466+Revenue_Build!BJ467)*Pricing!$B$17*Assumptions!$B$219</f>
        <v/>
      </c>
    </row>
    <row r="11">
      <c r="A11" s="4" t="inlineStr">
        <is>
          <t>Increase in deferred revenue</t>
        </is>
      </c>
      <c r="B11" s="17" t="inlineStr">
        <is>
          <t>R</t>
        </is>
      </c>
      <c r="C11" s="8">
        <f>C10</f>
        <v/>
      </c>
      <c r="D11" s="8">
        <f>D10-C10</f>
        <v/>
      </c>
      <c r="E11" s="8">
        <f>E10-D10</f>
        <v/>
      </c>
      <c r="F11" s="8">
        <f>F10-E10</f>
        <v/>
      </c>
      <c r="G11" s="8">
        <f>G10-F10</f>
        <v/>
      </c>
      <c r="H11" s="8">
        <f>H10-G10</f>
        <v/>
      </c>
      <c r="I11" s="8">
        <f>I10-H10</f>
        <v/>
      </c>
      <c r="J11" s="8">
        <f>J10-I10</f>
        <v/>
      </c>
      <c r="K11" s="8">
        <f>K10-J10</f>
        <v/>
      </c>
      <c r="L11" s="8">
        <f>L10-K10</f>
        <v/>
      </c>
      <c r="M11" s="8">
        <f>M10-L10</f>
        <v/>
      </c>
      <c r="N11" s="8">
        <f>N10-M10</f>
        <v/>
      </c>
      <c r="O11" s="8">
        <f>O10-N10</f>
        <v/>
      </c>
      <c r="P11" s="8">
        <f>P10-O10</f>
        <v/>
      </c>
      <c r="Q11" s="8">
        <f>Q10-P10</f>
        <v/>
      </c>
      <c r="R11" s="8">
        <f>R10-Q10</f>
        <v/>
      </c>
      <c r="S11" s="8">
        <f>S10-R10</f>
        <v/>
      </c>
      <c r="T11" s="8">
        <f>T10-S10</f>
        <v/>
      </c>
      <c r="U11" s="8">
        <f>U10-T10</f>
        <v/>
      </c>
      <c r="V11" s="8">
        <f>V10-U10</f>
        <v/>
      </c>
      <c r="W11" s="8">
        <f>W10-V10</f>
        <v/>
      </c>
      <c r="X11" s="8">
        <f>X10-W10</f>
        <v/>
      </c>
      <c r="Y11" s="8">
        <f>Y10-X10</f>
        <v/>
      </c>
      <c r="Z11" s="8">
        <f>Z10-Y10</f>
        <v/>
      </c>
      <c r="AA11" s="8">
        <f>AA10-Z10</f>
        <v/>
      </c>
      <c r="AB11" s="8">
        <f>AB10-AA10</f>
        <v/>
      </c>
      <c r="AC11" s="8">
        <f>AC10-AB10</f>
        <v/>
      </c>
      <c r="AD11" s="8">
        <f>AD10-AC10</f>
        <v/>
      </c>
      <c r="AE11" s="8">
        <f>AE10-AD10</f>
        <v/>
      </c>
      <c r="AF11" s="8">
        <f>AF10-AE10</f>
        <v/>
      </c>
      <c r="AG11" s="8">
        <f>AG10-AF10</f>
        <v/>
      </c>
      <c r="AH11" s="8">
        <f>AH10-AG10</f>
        <v/>
      </c>
      <c r="AI11" s="8">
        <f>AI10-AH10</f>
        <v/>
      </c>
      <c r="AJ11" s="8">
        <f>AJ10-AI10</f>
        <v/>
      </c>
      <c r="AK11" s="8">
        <f>AK10-AJ10</f>
        <v/>
      </c>
      <c r="AL11" s="8">
        <f>AL10-AK10</f>
        <v/>
      </c>
      <c r="AM11" s="8">
        <f>AM10-AL10</f>
        <v/>
      </c>
      <c r="AN11" s="8">
        <f>AN10-AM10</f>
        <v/>
      </c>
      <c r="AO11" s="8">
        <f>AO10-AN10</f>
        <v/>
      </c>
      <c r="AP11" s="8">
        <f>AP10-AO10</f>
        <v/>
      </c>
      <c r="AQ11" s="8">
        <f>AQ10-AP10</f>
        <v/>
      </c>
      <c r="AR11" s="8">
        <f>AR10-AQ10</f>
        <v/>
      </c>
      <c r="AS11" s="8">
        <f>AS10-AR10</f>
        <v/>
      </c>
      <c r="AT11" s="8">
        <f>AT10-AS10</f>
        <v/>
      </c>
      <c r="AU11" s="8">
        <f>AU10-AT10</f>
        <v/>
      </c>
      <c r="AV11" s="8">
        <f>AV10-AU10</f>
        <v/>
      </c>
      <c r="AW11" s="8">
        <f>AW10-AV10</f>
        <v/>
      </c>
      <c r="AX11" s="8">
        <f>AX10-AW10</f>
        <v/>
      </c>
      <c r="AY11" s="8">
        <f>AY10-AX10</f>
        <v/>
      </c>
      <c r="AZ11" s="8">
        <f>AZ10-AY10</f>
        <v/>
      </c>
      <c r="BA11" s="8">
        <f>BA10-AZ10</f>
        <v/>
      </c>
      <c r="BB11" s="8">
        <f>BB10-BA10</f>
        <v/>
      </c>
      <c r="BC11" s="8">
        <f>BC10-BB10</f>
        <v/>
      </c>
      <c r="BD11" s="8">
        <f>BD10-BC10</f>
        <v/>
      </c>
      <c r="BE11" s="8">
        <f>BE10-BD10</f>
        <v/>
      </c>
      <c r="BF11" s="8">
        <f>BF10-BE10</f>
        <v/>
      </c>
      <c r="BG11" s="8">
        <f>BG10-BF10</f>
        <v/>
      </c>
      <c r="BH11" s="8">
        <f>BH10-BG10</f>
        <v/>
      </c>
      <c r="BI11" s="8">
        <f>BI10-BH10</f>
        <v/>
      </c>
      <c r="BJ11" s="8">
        <f>BJ10-BI10</f>
        <v/>
      </c>
    </row>
    <row r="12">
      <c r="A12" s="4" t="inlineStr">
        <is>
          <t>Receivables balance (agency, Corporate &amp; Custom invoices)</t>
        </is>
      </c>
      <c r="B12" s="17" t="inlineStr">
        <is>
          <t>R</t>
        </is>
      </c>
      <c r="C12" s="8">
        <f>(Revenue_Build!C468+Revenue_Build!C469+Revenue_Build!C470+Revenue_Build!C502+Revenue_Build!C503)*Assumptions!$B$220</f>
        <v/>
      </c>
      <c r="D12" s="8">
        <f>(Revenue_Build!D468+Revenue_Build!D469+Revenue_Build!D470+Revenue_Build!D502+Revenue_Build!D503)*Assumptions!$B$220</f>
        <v/>
      </c>
      <c r="E12" s="8">
        <f>(Revenue_Build!E468+Revenue_Build!E469+Revenue_Build!E470+Revenue_Build!E502+Revenue_Build!E503)*Assumptions!$B$220</f>
        <v/>
      </c>
      <c r="F12" s="8">
        <f>(Revenue_Build!F468+Revenue_Build!F469+Revenue_Build!F470+Revenue_Build!F502+Revenue_Build!F503)*Assumptions!$B$220</f>
        <v/>
      </c>
      <c r="G12" s="8">
        <f>(Revenue_Build!G468+Revenue_Build!G469+Revenue_Build!G470+Revenue_Build!G502+Revenue_Build!G503)*Assumptions!$B$220</f>
        <v/>
      </c>
      <c r="H12" s="8">
        <f>(Revenue_Build!H468+Revenue_Build!H469+Revenue_Build!H470+Revenue_Build!H502+Revenue_Build!H503)*Assumptions!$B$220</f>
        <v/>
      </c>
      <c r="I12" s="8">
        <f>(Revenue_Build!I468+Revenue_Build!I469+Revenue_Build!I470+Revenue_Build!I502+Revenue_Build!I503)*Assumptions!$B$220</f>
        <v/>
      </c>
      <c r="J12" s="8">
        <f>(Revenue_Build!J468+Revenue_Build!J469+Revenue_Build!J470+Revenue_Build!J502+Revenue_Build!J503)*Assumptions!$B$220</f>
        <v/>
      </c>
      <c r="K12" s="8">
        <f>(Revenue_Build!K468+Revenue_Build!K469+Revenue_Build!K470+Revenue_Build!K502+Revenue_Build!K503)*Assumptions!$B$220</f>
        <v/>
      </c>
      <c r="L12" s="8">
        <f>(Revenue_Build!L468+Revenue_Build!L469+Revenue_Build!L470+Revenue_Build!L502+Revenue_Build!L503)*Assumptions!$B$220</f>
        <v/>
      </c>
      <c r="M12" s="8">
        <f>(Revenue_Build!M468+Revenue_Build!M469+Revenue_Build!M470+Revenue_Build!M502+Revenue_Build!M503)*Assumptions!$B$220</f>
        <v/>
      </c>
      <c r="N12" s="8">
        <f>(Revenue_Build!N468+Revenue_Build!N469+Revenue_Build!N470+Revenue_Build!N502+Revenue_Build!N503)*Assumptions!$B$220</f>
        <v/>
      </c>
      <c r="O12" s="8">
        <f>(Revenue_Build!O468+Revenue_Build!O469+Revenue_Build!O470+Revenue_Build!O502+Revenue_Build!O503)*Assumptions!$B$220</f>
        <v/>
      </c>
      <c r="P12" s="8">
        <f>(Revenue_Build!P468+Revenue_Build!P469+Revenue_Build!P470+Revenue_Build!P502+Revenue_Build!P503)*Assumptions!$B$220</f>
        <v/>
      </c>
      <c r="Q12" s="8">
        <f>(Revenue_Build!Q468+Revenue_Build!Q469+Revenue_Build!Q470+Revenue_Build!Q502+Revenue_Build!Q503)*Assumptions!$B$220</f>
        <v/>
      </c>
      <c r="R12" s="8">
        <f>(Revenue_Build!R468+Revenue_Build!R469+Revenue_Build!R470+Revenue_Build!R502+Revenue_Build!R503)*Assumptions!$B$220</f>
        <v/>
      </c>
      <c r="S12" s="8">
        <f>(Revenue_Build!S468+Revenue_Build!S469+Revenue_Build!S470+Revenue_Build!S502+Revenue_Build!S503)*Assumptions!$B$220</f>
        <v/>
      </c>
      <c r="T12" s="8">
        <f>(Revenue_Build!T468+Revenue_Build!T469+Revenue_Build!T470+Revenue_Build!T502+Revenue_Build!T503)*Assumptions!$B$220</f>
        <v/>
      </c>
      <c r="U12" s="8">
        <f>(Revenue_Build!U468+Revenue_Build!U469+Revenue_Build!U470+Revenue_Build!U502+Revenue_Build!U503)*Assumptions!$B$220</f>
        <v/>
      </c>
      <c r="V12" s="8">
        <f>(Revenue_Build!V468+Revenue_Build!V469+Revenue_Build!V470+Revenue_Build!V502+Revenue_Build!V503)*Assumptions!$B$220</f>
        <v/>
      </c>
      <c r="W12" s="8">
        <f>(Revenue_Build!W468+Revenue_Build!W469+Revenue_Build!W470+Revenue_Build!W502+Revenue_Build!W503)*Assumptions!$B$220</f>
        <v/>
      </c>
      <c r="X12" s="8">
        <f>(Revenue_Build!X468+Revenue_Build!X469+Revenue_Build!X470+Revenue_Build!X502+Revenue_Build!X503)*Assumptions!$B$220</f>
        <v/>
      </c>
      <c r="Y12" s="8">
        <f>(Revenue_Build!Y468+Revenue_Build!Y469+Revenue_Build!Y470+Revenue_Build!Y502+Revenue_Build!Y503)*Assumptions!$B$220</f>
        <v/>
      </c>
      <c r="Z12" s="8">
        <f>(Revenue_Build!Z468+Revenue_Build!Z469+Revenue_Build!Z470+Revenue_Build!Z502+Revenue_Build!Z503)*Assumptions!$B$220</f>
        <v/>
      </c>
      <c r="AA12" s="8">
        <f>(Revenue_Build!AA468+Revenue_Build!AA469+Revenue_Build!AA470+Revenue_Build!AA502+Revenue_Build!AA503)*Assumptions!$B$220</f>
        <v/>
      </c>
      <c r="AB12" s="8">
        <f>(Revenue_Build!AB468+Revenue_Build!AB469+Revenue_Build!AB470+Revenue_Build!AB502+Revenue_Build!AB503)*Assumptions!$B$220</f>
        <v/>
      </c>
      <c r="AC12" s="8">
        <f>(Revenue_Build!AC468+Revenue_Build!AC469+Revenue_Build!AC470+Revenue_Build!AC502+Revenue_Build!AC503)*Assumptions!$B$220</f>
        <v/>
      </c>
      <c r="AD12" s="8">
        <f>(Revenue_Build!AD468+Revenue_Build!AD469+Revenue_Build!AD470+Revenue_Build!AD502+Revenue_Build!AD503)*Assumptions!$B$220</f>
        <v/>
      </c>
      <c r="AE12" s="8">
        <f>(Revenue_Build!AE468+Revenue_Build!AE469+Revenue_Build!AE470+Revenue_Build!AE502+Revenue_Build!AE503)*Assumptions!$B$220</f>
        <v/>
      </c>
      <c r="AF12" s="8">
        <f>(Revenue_Build!AF468+Revenue_Build!AF469+Revenue_Build!AF470+Revenue_Build!AF502+Revenue_Build!AF503)*Assumptions!$B$220</f>
        <v/>
      </c>
      <c r="AG12" s="8">
        <f>(Revenue_Build!AG468+Revenue_Build!AG469+Revenue_Build!AG470+Revenue_Build!AG502+Revenue_Build!AG503)*Assumptions!$B$220</f>
        <v/>
      </c>
      <c r="AH12" s="8">
        <f>(Revenue_Build!AH468+Revenue_Build!AH469+Revenue_Build!AH470+Revenue_Build!AH502+Revenue_Build!AH503)*Assumptions!$B$220</f>
        <v/>
      </c>
      <c r="AI12" s="8">
        <f>(Revenue_Build!AI468+Revenue_Build!AI469+Revenue_Build!AI470+Revenue_Build!AI502+Revenue_Build!AI503)*Assumptions!$B$220</f>
        <v/>
      </c>
      <c r="AJ12" s="8">
        <f>(Revenue_Build!AJ468+Revenue_Build!AJ469+Revenue_Build!AJ470+Revenue_Build!AJ502+Revenue_Build!AJ503)*Assumptions!$B$220</f>
        <v/>
      </c>
      <c r="AK12" s="8">
        <f>(Revenue_Build!AK468+Revenue_Build!AK469+Revenue_Build!AK470+Revenue_Build!AK502+Revenue_Build!AK503)*Assumptions!$B$220</f>
        <v/>
      </c>
      <c r="AL12" s="8">
        <f>(Revenue_Build!AL468+Revenue_Build!AL469+Revenue_Build!AL470+Revenue_Build!AL502+Revenue_Build!AL503)*Assumptions!$B$220</f>
        <v/>
      </c>
      <c r="AM12" s="8">
        <f>(Revenue_Build!AM468+Revenue_Build!AM469+Revenue_Build!AM470+Revenue_Build!AM502+Revenue_Build!AM503)*Assumptions!$B$220</f>
        <v/>
      </c>
      <c r="AN12" s="8">
        <f>(Revenue_Build!AN468+Revenue_Build!AN469+Revenue_Build!AN470+Revenue_Build!AN502+Revenue_Build!AN503)*Assumptions!$B$220</f>
        <v/>
      </c>
      <c r="AO12" s="8">
        <f>(Revenue_Build!AO468+Revenue_Build!AO469+Revenue_Build!AO470+Revenue_Build!AO502+Revenue_Build!AO503)*Assumptions!$B$220</f>
        <v/>
      </c>
      <c r="AP12" s="8">
        <f>(Revenue_Build!AP468+Revenue_Build!AP469+Revenue_Build!AP470+Revenue_Build!AP502+Revenue_Build!AP503)*Assumptions!$B$220</f>
        <v/>
      </c>
      <c r="AQ12" s="8">
        <f>(Revenue_Build!AQ468+Revenue_Build!AQ469+Revenue_Build!AQ470+Revenue_Build!AQ502+Revenue_Build!AQ503)*Assumptions!$B$220</f>
        <v/>
      </c>
      <c r="AR12" s="8">
        <f>(Revenue_Build!AR468+Revenue_Build!AR469+Revenue_Build!AR470+Revenue_Build!AR502+Revenue_Build!AR503)*Assumptions!$B$220</f>
        <v/>
      </c>
      <c r="AS12" s="8">
        <f>(Revenue_Build!AS468+Revenue_Build!AS469+Revenue_Build!AS470+Revenue_Build!AS502+Revenue_Build!AS503)*Assumptions!$B$220</f>
        <v/>
      </c>
      <c r="AT12" s="8">
        <f>(Revenue_Build!AT468+Revenue_Build!AT469+Revenue_Build!AT470+Revenue_Build!AT502+Revenue_Build!AT503)*Assumptions!$B$220</f>
        <v/>
      </c>
      <c r="AU12" s="8">
        <f>(Revenue_Build!AU468+Revenue_Build!AU469+Revenue_Build!AU470+Revenue_Build!AU502+Revenue_Build!AU503)*Assumptions!$B$220</f>
        <v/>
      </c>
      <c r="AV12" s="8">
        <f>(Revenue_Build!AV468+Revenue_Build!AV469+Revenue_Build!AV470+Revenue_Build!AV502+Revenue_Build!AV503)*Assumptions!$B$220</f>
        <v/>
      </c>
      <c r="AW12" s="8">
        <f>(Revenue_Build!AW468+Revenue_Build!AW469+Revenue_Build!AW470+Revenue_Build!AW502+Revenue_Build!AW503)*Assumptions!$B$220</f>
        <v/>
      </c>
      <c r="AX12" s="8">
        <f>(Revenue_Build!AX468+Revenue_Build!AX469+Revenue_Build!AX470+Revenue_Build!AX502+Revenue_Build!AX503)*Assumptions!$B$220</f>
        <v/>
      </c>
      <c r="AY12" s="8">
        <f>(Revenue_Build!AY468+Revenue_Build!AY469+Revenue_Build!AY470+Revenue_Build!AY502+Revenue_Build!AY503)*Assumptions!$B$220</f>
        <v/>
      </c>
      <c r="AZ12" s="8">
        <f>(Revenue_Build!AZ468+Revenue_Build!AZ469+Revenue_Build!AZ470+Revenue_Build!AZ502+Revenue_Build!AZ503)*Assumptions!$B$220</f>
        <v/>
      </c>
      <c r="BA12" s="8">
        <f>(Revenue_Build!BA468+Revenue_Build!BA469+Revenue_Build!BA470+Revenue_Build!BA502+Revenue_Build!BA503)*Assumptions!$B$220</f>
        <v/>
      </c>
      <c r="BB12" s="8">
        <f>(Revenue_Build!BB468+Revenue_Build!BB469+Revenue_Build!BB470+Revenue_Build!BB502+Revenue_Build!BB503)*Assumptions!$B$220</f>
        <v/>
      </c>
      <c r="BC12" s="8">
        <f>(Revenue_Build!BC468+Revenue_Build!BC469+Revenue_Build!BC470+Revenue_Build!BC502+Revenue_Build!BC503)*Assumptions!$B$220</f>
        <v/>
      </c>
      <c r="BD12" s="8">
        <f>(Revenue_Build!BD468+Revenue_Build!BD469+Revenue_Build!BD470+Revenue_Build!BD502+Revenue_Build!BD503)*Assumptions!$B$220</f>
        <v/>
      </c>
      <c r="BE12" s="8">
        <f>(Revenue_Build!BE468+Revenue_Build!BE469+Revenue_Build!BE470+Revenue_Build!BE502+Revenue_Build!BE503)*Assumptions!$B$220</f>
        <v/>
      </c>
      <c r="BF12" s="8">
        <f>(Revenue_Build!BF468+Revenue_Build!BF469+Revenue_Build!BF470+Revenue_Build!BF502+Revenue_Build!BF503)*Assumptions!$B$220</f>
        <v/>
      </c>
      <c r="BG12" s="8">
        <f>(Revenue_Build!BG468+Revenue_Build!BG469+Revenue_Build!BG470+Revenue_Build!BG502+Revenue_Build!BG503)*Assumptions!$B$220</f>
        <v/>
      </c>
      <c r="BH12" s="8">
        <f>(Revenue_Build!BH468+Revenue_Build!BH469+Revenue_Build!BH470+Revenue_Build!BH502+Revenue_Build!BH503)*Assumptions!$B$220</f>
        <v/>
      </c>
      <c r="BI12" s="8">
        <f>(Revenue_Build!BI468+Revenue_Build!BI469+Revenue_Build!BI470+Revenue_Build!BI502+Revenue_Build!BI503)*Assumptions!$B$220</f>
        <v/>
      </c>
      <c r="BJ12" s="8">
        <f>(Revenue_Build!BJ468+Revenue_Build!BJ469+Revenue_Build!BJ470+Revenue_Build!BJ502+Revenue_Build!BJ503)*Assumptions!$B$220</f>
        <v/>
      </c>
    </row>
    <row r="13">
      <c r="A13" s="4" t="inlineStr">
        <is>
          <t>Increase in receivables</t>
        </is>
      </c>
      <c r="B13" s="17" t="inlineStr">
        <is>
          <t>R</t>
        </is>
      </c>
      <c r="C13" s="8">
        <f>C12</f>
        <v/>
      </c>
      <c r="D13" s="8">
        <f>D12-C12</f>
        <v/>
      </c>
      <c r="E13" s="8">
        <f>E12-D12</f>
        <v/>
      </c>
      <c r="F13" s="8">
        <f>F12-E12</f>
        <v/>
      </c>
      <c r="G13" s="8">
        <f>G12-F12</f>
        <v/>
      </c>
      <c r="H13" s="8">
        <f>H12-G12</f>
        <v/>
      </c>
      <c r="I13" s="8">
        <f>I12-H12</f>
        <v/>
      </c>
      <c r="J13" s="8">
        <f>J12-I12</f>
        <v/>
      </c>
      <c r="K13" s="8">
        <f>K12-J12</f>
        <v/>
      </c>
      <c r="L13" s="8">
        <f>L12-K12</f>
        <v/>
      </c>
      <c r="M13" s="8">
        <f>M12-L12</f>
        <v/>
      </c>
      <c r="N13" s="8">
        <f>N12-M12</f>
        <v/>
      </c>
      <c r="O13" s="8">
        <f>O12-N12</f>
        <v/>
      </c>
      <c r="P13" s="8">
        <f>P12-O12</f>
        <v/>
      </c>
      <c r="Q13" s="8">
        <f>Q12-P12</f>
        <v/>
      </c>
      <c r="R13" s="8">
        <f>R12-Q12</f>
        <v/>
      </c>
      <c r="S13" s="8">
        <f>S12-R12</f>
        <v/>
      </c>
      <c r="T13" s="8">
        <f>T12-S12</f>
        <v/>
      </c>
      <c r="U13" s="8">
        <f>U12-T12</f>
        <v/>
      </c>
      <c r="V13" s="8">
        <f>V12-U12</f>
        <v/>
      </c>
      <c r="W13" s="8">
        <f>W12-V12</f>
        <v/>
      </c>
      <c r="X13" s="8">
        <f>X12-W12</f>
        <v/>
      </c>
      <c r="Y13" s="8">
        <f>Y12-X12</f>
        <v/>
      </c>
      <c r="Z13" s="8">
        <f>Z12-Y12</f>
        <v/>
      </c>
      <c r="AA13" s="8">
        <f>AA12-Z12</f>
        <v/>
      </c>
      <c r="AB13" s="8">
        <f>AB12-AA12</f>
        <v/>
      </c>
      <c r="AC13" s="8">
        <f>AC12-AB12</f>
        <v/>
      </c>
      <c r="AD13" s="8">
        <f>AD12-AC12</f>
        <v/>
      </c>
      <c r="AE13" s="8">
        <f>AE12-AD12</f>
        <v/>
      </c>
      <c r="AF13" s="8">
        <f>AF12-AE12</f>
        <v/>
      </c>
      <c r="AG13" s="8">
        <f>AG12-AF12</f>
        <v/>
      </c>
      <c r="AH13" s="8">
        <f>AH12-AG12</f>
        <v/>
      </c>
      <c r="AI13" s="8">
        <f>AI12-AH12</f>
        <v/>
      </c>
      <c r="AJ13" s="8">
        <f>AJ12-AI12</f>
        <v/>
      </c>
      <c r="AK13" s="8">
        <f>AK12-AJ12</f>
        <v/>
      </c>
      <c r="AL13" s="8">
        <f>AL12-AK12</f>
        <v/>
      </c>
      <c r="AM13" s="8">
        <f>AM12-AL12</f>
        <v/>
      </c>
      <c r="AN13" s="8">
        <f>AN12-AM12</f>
        <v/>
      </c>
      <c r="AO13" s="8">
        <f>AO12-AN12</f>
        <v/>
      </c>
      <c r="AP13" s="8">
        <f>AP12-AO12</f>
        <v/>
      </c>
      <c r="AQ13" s="8">
        <f>AQ12-AP12</f>
        <v/>
      </c>
      <c r="AR13" s="8">
        <f>AR12-AQ12</f>
        <v/>
      </c>
      <c r="AS13" s="8">
        <f>AS12-AR12</f>
        <v/>
      </c>
      <c r="AT13" s="8">
        <f>AT12-AS12</f>
        <v/>
      </c>
      <c r="AU13" s="8">
        <f>AU12-AT12</f>
        <v/>
      </c>
      <c r="AV13" s="8">
        <f>AV12-AU12</f>
        <v/>
      </c>
      <c r="AW13" s="8">
        <f>AW12-AV12</f>
        <v/>
      </c>
      <c r="AX13" s="8">
        <f>AX12-AW12</f>
        <v/>
      </c>
      <c r="AY13" s="8">
        <f>AY12-AX12</f>
        <v/>
      </c>
      <c r="AZ13" s="8">
        <f>AZ12-AY12</f>
        <v/>
      </c>
      <c r="BA13" s="8">
        <f>BA12-AZ12</f>
        <v/>
      </c>
      <c r="BB13" s="8">
        <f>BB12-BA12</f>
        <v/>
      </c>
      <c r="BC13" s="8">
        <f>BC12-BB12</f>
        <v/>
      </c>
      <c r="BD13" s="8">
        <f>BD12-BC12</f>
        <v/>
      </c>
      <c r="BE13" s="8">
        <f>BE12-BD12</f>
        <v/>
      </c>
      <c r="BF13" s="8">
        <f>BF12-BE12</f>
        <v/>
      </c>
      <c r="BG13" s="8">
        <f>BG12-BF12</f>
        <v/>
      </c>
      <c r="BH13" s="8">
        <f>BH12-BG12</f>
        <v/>
      </c>
      <c r="BI13" s="8">
        <f>BI12-BH12</f>
        <v/>
      </c>
      <c r="BJ13" s="8">
        <f>BJ12-BI12</f>
        <v/>
      </c>
    </row>
    <row r="14">
      <c r="A14" s="3" t="inlineStr">
        <is>
          <t>Operating cash flow (before funding)</t>
        </is>
      </c>
      <c r="B14" s="17" t="inlineStr">
        <is>
          <t>R</t>
        </is>
      </c>
      <c r="C14" s="42">
        <f>C8+C9+C11-C13</f>
        <v/>
      </c>
      <c r="D14" s="42">
        <f>D8+D9+D11-D13</f>
        <v/>
      </c>
      <c r="E14" s="42">
        <f>E8+E9+E11-E13</f>
        <v/>
      </c>
      <c r="F14" s="42">
        <f>F8+F9+F11-F13</f>
        <v/>
      </c>
      <c r="G14" s="42">
        <f>G8+G9+G11-G13</f>
        <v/>
      </c>
      <c r="H14" s="42">
        <f>H8+H9+H11-H13</f>
        <v/>
      </c>
      <c r="I14" s="42">
        <f>I8+I9+I11-I13</f>
        <v/>
      </c>
      <c r="J14" s="42">
        <f>J8+J9+J11-J13</f>
        <v/>
      </c>
      <c r="K14" s="42">
        <f>K8+K9+K11-K13</f>
        <v/>
      </c>
      <c r="L14" s="42">
        <f>L8+L9+L11-L13</f>
        <v/>
      </c>
      <c r="M14" s="42">
        <f>M8+M9+M11-M13</f>
        <v/>
      </c>
      <c r="N14" s="42">
        <f>N8+N9+N11-N13</f>
        <v/>
      </c>
      <c r="O14" s="42">
        <f>O8+O9+O11-O13</f>
        <v/>
      </c>
      <c r="P14" s="42">
        <f>P8+P9+P11-P13</f>
        <v/>
      </c>
      <c r="Q14" s="42">
        <f>Q8+Q9+Q11-Q13</f>
        <v/>
      </c>
      <c r="R14" s="42">
        <f>R8+R9+R11-R13</f>
        <v/>
      </c>
      <c r="S14" s="42">
        <f>S8+S9+S11-S13</f>
        <v/>
      </c>
      <c r="T14" s="42">
        <f>T8+T9+T11-T13</f>
        <v/>
      </c>
      <c r="U14" s="42">
        <f>U8+U9+U11-U13</f>
        <v/>
      </c>
      <c r="V14" s="42">
        <f>V8+V9+V11-V13</f>
        <v/>
      </c>
      <c r="W14" s="42">
        <f>W8+W9+W11-W13</f>
        <v/>
      </c>
      <c r="X14" s="42">
        <f>X8+X9+X11-X13</f>
        <v/>
      </c>
      <c r="Y14" s="42">
        <f>Y8+Y9+Y11-Y13</f>
        <v/>
      </c>
      <c r="Z14" s="42">
        <f>Z8+Z9+Z11-Z13</f>
        <v/>
      </c>
      <c r="AA14" s="42">
        <f>AA8+AA9+AA11-AA13</f>
        <v/>
      </c>
      <c r="AB14" s="42">
        <f>AB8+AB9+AB11-AB13</f>
        <v/>
      </c>
      <c r="AC14" s="42">
        <f>AC8+AC9+AC11-AC13</f>
        <v/>
      </c>
      <c r="AD14" s="42">
        <f>AD8+AD9+AD11-AD13</f>
        <v/>
      </c>
      <c r="AE14" s="42">
        <f>AE8+AE9+AE11-AE13</f>
        <v/>
      </c>
      <c r="AF14" s="42">
        <f>AF8+AF9+AF11-AF13</f>
        <v/>
      </c>
      <c r="AG14" s="42">
        <f>AG8+AG9+AG11-AG13</f>
        <v/>
      </c>
      <c r="AH14" s="42">
        <f>AH8+AH9+AH11-AH13</f>
        <v/>
      </c>
      <c r="AI14" s="42">
        <f>AI8+AI9+AI11-AI13</f>
        <v/>
      </c>
      <c r="AJ14" s="42">
        <f>AJ8+AJ9+AJ11-AJ13</f>
        <v/>
      </c>
      <c r="AK14" s="42">
        <f>AK8+AK9+AK11-AK13</f>
        <v/>
      </c>
      <c r="AL14" s="42">
        <f>AL8+AL9+AL11-AL13</f>
        <v/>
      </c>
      <c r="AM14" s="42">
        <f>AM8+AM9+AM11-AM13</f>
        <v/>
      </c>
      <c r="AN14" s="42">
        <f>AN8+AN9+AN11-AN13</f>
        <v/>
      </c>
      <c r="AO14" s="42">
        <f>AO8+AO9+AO11-AO13</f>
        <v/>
      </c>
      <c r="AP14" s="42">
        <f>AP8+AP9+AP11-AP13</f>
        <v/>
      </c>
      <c r="AQ14" s="42">
        <f>AQ8+AQ9+AQ11-AQ13</f>
        <v/>
      </c>
      <c r="AR14" s="42">
        <f>AR8+AR9+AR11-AR13</f>
        <v/>
      </c>
      <c r="AS14" s="42">
        <f>AS8+AS9+AS11-AS13</f>
        <v/>
      </c>
      <c r="AT14" s="42">
        <f>AT8+AT9+AT11-AT13</f>
        <v/>
      </c>
      <c r="AU14" s="42">
        <f>AU8+AU9+AU11-AU13</f>
        <v/>
      </c>
      <c r="AV14" s="42">
        <f>AV8+AV9+AV11-AV13</f>
        <v/>
      </c>
      <c r="AW14" s="42">
        <f>AW8+AW9+AW11-AW13</f>
        <v/>
      </c>
      <c r="AX14" s="42">
        <f>AX8+AX9+AX11-AX13</f>
        <v/>
      </c>
      <c r="AY14" s="42">
        <f>AY8+AY9+AY11-AY13</f>
        <v/>
      </c>
      <c r="AZ14" s="42">
        <f>AZ8+AZ9+AZ11-AZ13</f>
        <v/>
      </c>
      <c r="BA14" s="42">
        <f>BA8+BA9+BA11-BA13</f>
        <v/>
      </c>
      <c r="BB14" s="42">
        <f>BB8+BB9+BB11-BB13</f>
        <v/>
      </c>
      <c r="BC14" s="42">
        <f>BC8+BC9+BC11-BC13</f>
        <v/>
      </c>
      <c r="BD14" s="42">
        <f>BD8+BD9+BD11-BD13</f>
        <v/>
      </c>
      <c r="BE14" s="42">
        <f>BE8+BE9+BE11-BE13</f>
        <v/>
      </c>
      <c r="BF14" s="42">
        <f>BF8+BF9+BF11-BF13</f>
        <v/>
      </c>
      <c r="BG14" s="42">
        <f>BG8+BG9+BG11-BG13</f>
        <v/>
      </c>
      <c r="BH14" s="42">
        <f>BH8+BH9+BH11-BH13</f>
        <v/>
      </c>
      <c r="BI14" s="42">
        <f>BI8+BI9+BI11-BI13</f>
        <v/>
      </c>
      <c r="BJ14" s="42">
        <f>BJ8+BJ9+BJ11-BJ13</f>
        <v/>
      </c>
    </row>
    <row r="15"/>
    <row r="16">
      <c r="A16" s="19" t="inlineStr">
        <is>
          <t>Funding (seed only; Series A switched off in every scenario)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</row>
    <row r="17">
      <c r="A17" s="4" t="inlineStr">
        <is>
          <t>Seed equity</t>
        </is>
      </c>
      <c r="B17" s="17" t="inlineStr">
        <is>
          <t>R</t>
        </is>
      </c>
      <c r="C17" s="8">
        <f>IF(C$3=Assumptions!$B$14,Assumptions!$B$13,0)</f>
        <v/>
      </c>
      <c r="D17" s="8">
        <f>IF(D$3=Assumptions!$B$14,Assumptions!$B$13,0)</f>
        <v/>
      </c>
      <c r="E17" s="8">
        <f>IF(E$3=Assumptions!$B$14,Assumptions!$B$13,0)</f>
        <v/>
      </c>
      <c r="F17" s="8">
        <f>IF(F$3=Assumptions!$B$14,Assumptions!$B$13,0)</f>
        <v/>
      </c>
      <c r="G17" s="8">
        <f>IF(G$3=Assumptions!$B$14,Assumptions!$B$13,0)</f>
        <v/>
      </c>
      <c r="H17" s="8">
        <f>IF(H$3=Assumptions!$B$14,Assumptions!$B$13,0)</f>
        <v/>
      </c>
      <c r="I17" s="8">
        <f>IF(I$3=Assumptions!$B$14,Assumptions!$B$13,0)</f>
        <v/>
      </c>
      <c r="J17" s="8">
        <f>IF(J$3=Assumptions!$B$14,Assumptions!$B$13,0)</f>
        <v/>
      </c>
      <c r="K17" s="8">
        <f>IF(K$3=Assumptions!$B$14,Assumptions!$B$13,0)</f>
        <v/>
      </c>
      <c r="L17" s="8">
        <f>IF(L$3=Assumptions!$B$14,Assumptions!$B$13,0)</f>
        <v/>
      </c>
      <c r="M17" s="8">
        <f>IF(M$3=Assumptions!$B$14,Assumptions!$B$13,0)</f>
        <v/>
      </c>
      <c r="N17" s="8">
        <f>IF(N$3=Assumptions!$B$14,Assumptions!$B$13,0)</f>
        <v/>
      </c>
      <c r="O17" s="8">
        <f>IF(O$3=Assumptions!$B$14,Assumptions!$B$13,0)</f>
        <v/>
      </c>
      <c r="P17" s="8">
        <f>IF(P$3=Assumptions!$B$14,Assumptions!$B$13,0)</f>
        <v/>
      </c>
      <c r="Q17" s="8">
        <f>IF(Q$3=Assumptions!$B$14,Assumptions!$B$13,0)</f>
        <v/>
      </c>
      <c r="R17" s="8">
        <f>IF(R$3=Assumptions!$B$14,Assumptions!$B$13,0)</f>
        <v/>
      </c>
      <c r="S17" s="8">
        <f>IF(S$3=Assumptions!$B$14,Assumptions!$B$13,0)</f>
        <v/>
      </c>
      <c r="T17" s="8">
        <f>IF(T$3=Assumptions!$B$14,Assumptions!$B$13,0)</f>
        <v/>
      </c>
      <c r="U17" s="8">
        <f>IF(U$3=Assumptions!$B$14,Assumptions!$B$13,0)</f>
        <v/>
      </c>
      <c r="V17" s="8">
        <f>IF(V$3=Assumptions!$B$14,Assumptions!$B$13,0)</f>
        <v/>
      </c>
      <c r="W17" s="8">
        <f>IF(W$3=Assumptions!$B$14,Assumptions!$B$13,0)</f>
        <v/>
      </c>
      <c r="X17" s="8">
        <f>IF(X$3=Assumptions!$B$14,Assumptions!$B$13,0)</f>
        <v/>
      </c>
      <c r="Y17" s="8">
        <f>IF(Y$3=Assumptions!$B$14,Assumptions!$B$13,0)</f>
        <v/>
      </c>
      <c r="Z17" s="8">
        <f>IF(Z$3=Assumptions!$B$14,Assumptions!$B$13,0)</f>
        <v/>
      </c>
      <c r="AA17" s="8">
        <f>IF(AA$3=Assumptions!$B$14,Assumptions!$B$13,0)</f>
        <v/>
      </c>
      <c r="AB17" s="8">
        <f>IF(AB$3=Assumptions!$B$14,Assumptions!$B$13,0)</f>
        <v/>
      </c>
      <c r="AC17" s="8">
        <f>IF(AC$3=Assumptions!$B$14,Assumptions!$B$13,0)</f>
        <v/>
      </c>
      <c r="AD17" s="8">
        <f>IF(AD$3=Assumptions!$B$14,Assumptions!$B$13,0)</f>
        <v/>
      </c>
      <c r="AE17" s="8">
        <f>IF(AE$3=Assumptions!$B$14,Assumptions!$B$13,0)</f>
        <v/>
      </c>
      <c r="AF17" s="8">
        <f>IF(AF$3=Assumptions!$B$14,Assumptions!$B$13,0)</f>
        <v/>
      </c>
      <c r="AG17" s="8">
        <f>IF(AG$3=Assumptions!$B$14,Assumptions!$B$13,0)</f>
        <v/>
      </c>
      <c r="AH17" s="8">
        <f>IF(AH$3=Assumptions!$B$14,Assumptions!$B$13,0)</f>
        <v/>
      </c>
      <c r="AI17" s="8">
        <f>IF(AI$3=Assumptions!$B$14,Assumptions!$B$13,0)</f>
        <v/>
      </c>
      <c r="AJ17" s="8">
        <f>IF(AJ$3=Assumptions!$B$14,Assumptions!$B$13,0)</f>
        <v/>
      </c>
      <c r="AK17" s="8">
        <f>IF(AK$3=Assumptions!$B$14,Assumptions!$B$13,0)</f>
        <v/>
      </c>
      <c r="AL17" s="8">
        <f>IF(AL$3=Assumptions!$B$14,Assumptions!$B$13,0)</f>
        <v/>
      </c>
      <c r="AM17" s="8">
        <f>IF(AM$3=Assumptions!$B$14,Assumptions!$B$13,0)</f>
        <v/>
      </c>
      <c r="AN17" s="8">
        <f>IF(AN$3=Assumptions!$B$14,Assumptions!$B$13,0)</f>
        <v/>
      </c>
      <c r="AO17" s="8">
        <f>IF(AO$3=Assumptions!$B$14,Assumptions!$B$13,0)</f>
        <v/>
      </c>
      <c r="AP17" s="8">
        <f>IF(AP$3=Assumptions!$B$14,Assumptions!$B$13,0)</f>
        <v/>
      </c>
      <c r="AQ17" s="8">
        <f>IF(AQ$3=Assumptions!$B$14,Assumptions!$B$13,0)</f>
        <v/>
      </c>
      <c r="AR17" s="8">
        <f>IF(AR$3=Assumptions!$B$14,Assumptions!$B$13,0)</f>
        <v/>
      </c>
      <c r="AS17" s="8">
        <f>IF(AS$3=Assumptions!$B$14,Assumptions!$B$13,0)</f>
        <v/>
      </c>
      <c r="AT17" s="8">
        <f>IF(AT$3=Assumptions!$B$14,Assumptions!$B$13,0)</f>
        <v/>
      </c>
      <c r="AU17" s="8">
        <f>IF(AU$3=Assumptions!$B$14,Assumptions!$B$13,0)</f>
        <v/>
      </c>
      <c r="AV17" s="8">
        <f>IF(AV$3=Assumptions!$B$14,Assumptions!$B$13,0)</f>
        <v/>
      </c>
      <c r="AW17" s="8">
        <f>IF(AW$3=Assumptions!$B$14,Assumptions!$B$13,0)</f>
        <v/>
      </c>
      <c r="AX17" s="8">
        <f>IF(AX$3=Assumptions!$B$14,Assumptions!$B$13,0)</f>
        <v/>
      </c>
      <c r="AY17" s="8">
        <f>IF(AY$3=Assumptions!$B$14,Assumptions!$B$13,0)</f>
        <v/>
      </c>
      <c r="AZ17" s="8">
        <f>IF(AZ$3=Assumptions!$B$14,Assumptions!$B$13,0)</f>
        <v/>
      </c>
      <c r="BA17" s="8">
        <f>IF(BA$3=Assumptions!$B$14,Assumptions!$B$13,0)</f>
        <v/>
      </c>
      <c r="BB17" s="8">
        <f>IF(BB$3=Assumptions!$B$14,Assumptions!$B$13,0)</f>
        <v/>
      </c>
      <c r="BC17" s="8">
        <f>IF(BC$3=Assumptions!$B$14,Assumptions!$B$13,0)</f>
        <v/>
      </c>
      <c r="BD17" s="8">
        <f>IF(BD$3=Assumptions!$B$14,Assumptions!$B$13,0)</f>
        <v/>
      </c>
      <c r="BE17" s="8">
        <f>IF(BE$3=Assumptions!$B$14,Assumptions!$B$13,0)</f>
        <v/>
      </c>
      <c r="BF17" s="8">
        <f>IF(BF$3=Assumptions!$B$14,Assumptions!$B$13,0)</f>
        <v/>
      </c>
      <c r="BG17" s="8">
        <f>IF(BG$3=Assumptions!$B$14,Assumptions!$B$13,0)</f>
        <v/>
      </c>
      <c r="BH17" s="8">
        <f>IF(BH$3=Assumptions!$B$14,Assumptions!$B$13,0)</f>
        <v/>
      </c>
      <c r="BI17" s="8">
        <f>IF(BI$3=Assumptions!$B$14,Assumptions!$B$13,0)</f>
        <v/>
      </c>
      <c r="BJ17" s="8">
        <f>IF(BJ$3=Assumptions!$B$14,Assumptions!$B$13,0)</f>
        <v/>
      </c>
    </row>
    <row r="18">
      <c r="A18" s="4" t="inlineStr">
        <is>
          <t>Series A equity (optional acceleration; off)</t>
        </is>
      </c>
      <c r="B18" s="17" t="inlineStr">
        <is>
          <t>R</t>
        </is>
      </c>
      <c r="C18" s="8">
        <f>IF(AND(Assumptions!$B$16=1,C$3=Assumptions!$B$18),Assumptions!$B$17,0)</f>
        <v/>
      </c>
      <c r="D18" s="8">
        <f>IF(AND(Assumptions!$B$16=1,D$3=Assumptions!$B$18),Assumptions!$B$17,0)</f>
        <v/>
      </c>
      <c r="E18" s="8">
        <f>IF(AND(Assumptions!$B$16=1,E$3=Assumptions!$B$18),Assumptions!$B$17,0)</f>
        <v/>
      </c>
      <c r="F18" s="8">
        <f>IF(AND(Assumptions!$B$16=1,F$3=Assumptions!$B$18),Assumptions!$B$17,0)</f>
        <v/>
      </c>
      <c r="G18" s="8">
        <f>IF(AND(Assumptions!$B$16=1,G$3=Assumptions!$B$18),Assumptions!$B$17,0)</f>
        <v/>
      </c>
      <c r="H18" s="8">
        <f>IF(AND(Assumptions!$B$16=1,H$3=Assumptions!$B$18),Assumptions!$B$17,0)</f>
        <v/>
      </c>
      <c r="I18" s="8">
        <f>IF(AND(Assumptions!$B$16=1,I$3=Assumptions!$B$18),Assumptions!$B$17,0)</f>
        <v/>
      </c>
      <c r="J18" s="8">
        <f>IF(AND(Assumptions!$B$16=1,J$3=Assumptions!$B$18),Assumptions!$B$17,0)</f>
        <v/>
      </c>
      <c r="K18" s="8">
        <f>IF(AND(Assumptions!$B$16=1,K$3=Assumptions!$B$18),Assumptions!$B$17,0)</f>
        <v/>
      </c>
      <c r="L18" s="8">
        <f>IF(AND(Assumptions!$B$16=1,L$3=Assumptions!$B$18),Assumptions!$B$17,0)</f>
        <v/>
      </c>
      <c r="M18" s="8">
        <f>IF(AND(Assumptions!$B$16=1,M$3=Assumptions!$B$18),Assumptions!$B$17,0)</f>
        <v/>
      </c>
      <c r="N18" s="8">
        <f>IF(AND(Assumptions!$B$16=1,N$3=Assumptions!$B$18),Assumptions!$B$17,0)</f>
        <v/>
      </c>
      <c r="O18" s="8">
        <f>IF(AND(Assumptions!$B$16=1,O$3=Assumptions!$B$18),Assumptions!$B$17,0)</f>
        <v/>
      </c>
      <c r="P18" s="8">
        <f>IF(AND(Assumptions!$B$16=1,P$3=Assumptions!$B$18),Assumptions!$B$17,0)</f>
        <v/>
      </c>
      <c r="Q18" s="8">
        <f>IF(AND(Assumptions!$B$16=1,Q$3=Assumptions!$B$18),Assumptions!$B$17,0)</f>
        <v/>
      </c>
      <c r="R18" s="8">
        <f>IF(AND(Assumptions!$B$16=1,R$3=Assumptions!$B$18),Assumptions!$B$17,0)</f>
        <v/>
      </c>
      <c r="S18" s="8">
        <f>IF(AND(Assumptions!$B$16=1,S$3=Assumptions!$B$18),Assumptions!$B$17,0)</f>
        <v/>
      </c>
      <c r="T18" s="8">
        <f>IF(AND(Assumptions!$B$16=1,T$3=Assumptions!$B$18),Assumptions!$B$17,0)</f>
        <v/>
      </c>
      <c r="U18" s="8">
        <f>IF(AND(Assumptions!$B$16=1,U$3=Assumptions!$B$18),Assumptions!$B$17,0)</f>
        <v/>
      </c>
      <c r="V18" s="8">
        <f>IF(AND(Assumptions!$B$16=1,V$3=Assumptions!$B$18),Assumptions!$B$17,0)</f>
        <v/>
      </c>
      <c r="W18" s="8">
        <f>IF(AND(Assumptions!$B$16=1,W$3=Assumptions!$B$18),Assumptions!$B$17,0)</f>
        <v/>
      </c>
      <c r="X18" s="8">
        <f>IF(AND(Assumptions!$B$16=1,X$3=Assumptions!$B$18),Assumptions!$B$17,0)</f>
        <v/>
      </c>
      <c r="Y18" s="8">
        <f>IF(AND(Assumptions!$B$16=1,Y$3=Assumptions!$B$18),Assumptions!$B$17,0)</f>
        <v/>
      </c>
      <c r="Z18" s="8">
        <f>IF(AND(Assumptions!$B$16=1,Z$3=Assumptions!$B$18),Assumptions!$B$17,0)</f>
        <v/>
      </c>
      <c r="AA18" s="8">
        <f>IF(AND(Assumptions!$B$16=1,AA$3=Assumptions!$B$18),Assumptions!$B$17,0)</f>
        <v/>
      </c>
      <c r="AB18" s="8">
        <f>IF(AND(Assumptions!$B$16=1,AB$3=Assumptions!$B$18),Assumptions!$B$17,0)</f>
        <v/>
      </c>
      <c r="AC18" s="8">
        <f>IF(AND(Assumptions!$B$16=1,AC$3=Assumptions!$B$18),Assumptions!$B$17,0)</f>
        <v/>
      </c>
      <c r="AD18" s="8">
        <f>IF(AND(Assumptions!$B$16=1,AD$3=Assumptions!$B$18),Assumptions!$B$17,0)</f>
        <v/>
      </c>
      <c r="AE18" s="8">
        <f>IF(AND(Assumptions!$B$16=1,AE$3=Assumptions!$B$18),Assumptions!$B$17,0)</f>
        <v/>
      </c>
      <c r="AF18" s="8">
        <f>IF(AND(Assumptions!$B$16=1,AF$3=Assumptions!$B$18),Assumptions!$B$17,0)</f>
        <v/>
      </c>
      <c r="AG18" s="8">
        <f>IF(AND(Assumptions!$B$16=1,AG$3=Assumptions!$B$18),Assumptions!$B$17,0)</f>
        <v/>
      </c>
      <c r="AH18" s="8">
        <f>IF(AND(Assumptions!$B$16=1,AH$3=Assumptions!$B$18),Assumptions!$B$17,0)</f>
        <v/>
      </c>
      <c r="AI18" s="8">
        <f>IF(AND(Assumptions!$B$16=1,AI$3=Assumptions!$B$18),Assumptions!$B$17,0)</f>
        <v/>
      </c>
      <c r="AJ18" s="8">
        <f>IF(AND(Assumptions!$B$16=1,AJ$3=Assumptions!$B$18),Assumptions!$B$17,0)</f>
        <v/>
      </c>
      <c r="AK18" s="8">
        <f>IF(AND(Assumptions!$B$16=1,AK$3=Assumptions!$B$18),Assumptions!$B$17,0)</f>
        <v/>
      </c>
      <c r="AL18" s="8">
        <f>IF(AND(Assumptions!$B$16=1,AL$3=Assumptions!$B$18),Assumptions!$B$17,0)</f>
        <v/>
      </c>
      <c r="AM18" s="8">
        <f>IF(AND(Assumptions!$B$16=1,AM$3=Assumptions!$B$18),Assumptions!$B$17,0)</f>
        <v/>
      </c>
      <c r="AN18" s="8">
        <f>IF(AND(Assumptions!$B$16=1,AN$3=Assumptions!$B$18),Assumptions!$B$17,0)</f>
        <v/>
      </c>
      <c r="AO18" s="8">
        <f>IF(AND(Assumptions!$B$16=1,AO$3=Assumptions!$B$18),Assumptions!$B$17,0)</f>
        <v/>
      </c>
      <c r="AP18" s="8">
        <f>IF(AND(Assumptions!$B$16=1,AP$3=Assumptions!$B$18),Assumptions!$B$17,0)</f>
        <v/>
      </c>
      <c r="AQ18" s="8">
        <f>IF(AND(Assumptions!$B$16=1,AQ$3=Assumptions!$B$18),Assumptions!$B$17,0)</f>
        <v/>
      </c>
      <c r="AR18" s="8">
        <f>IF(AND(Assumptions!$B$16=1,AR$3=Assumptions!$B$18),Assumptions!$B$17,0)</f>
        <v/>
      </c>
      <c r="AS18" s="8">
        <f>IF(AND(Assumptions!$B$16=1,AS$3=Assumptions!$B$18),Assumptions!$B$17,0)</f>
        <v/>
      </c>
      <c r="AT18" s="8">
        <f>IF(AND(Assumptions!$B$16=1,AT$3=Assumptions!$B$18),Assumptions!$B$17,0)</f>
        <v/>
      </c>
      <c r="AU18" s="8">
        <f>IF(AND(Assumptions!$B$16=1,AU$3=Assumptions!$B$18),Assumptions!$B$17,0)</f>
        <v/>
      </c>
      <c r="AV18" s="8">
        <f>IF(AND(Assumptions!$B$16=1,AV$3=Assumptions!$B$18),Assumptions!$B$17,0)</f>
        <v/>
      </c>
      <c r="AW18" s="8">
        <f>IF(AND(Assumptions!$B$16=1,AW$3=Assumptions!$B$18),Assumptions!$B$17,0)</f>
        <v/>
      </c>
      <c r="AX18" s="8">
        <f>IF(AND(Assumptions!$B$16=1,AX$3=Assumptions!$B$18),Assumptions!$B$17,0)</f>
        <v/>
      </c>
      <c r="AY18" s="8">
        <f>IF(AND(Assumptions!$B$16=1,AY$3=Assumptions!$B$18),Assumptions!$B$17,0)</f>
        <v/>
      </c>
      <c r="AZ18" s="8">
        <f>IF(AND(Assumptions!$B$16=1,AZ$3=Assumptions!$B$18),Assumptions!$B$17,0)</f>
        <v/>
      </c>
      <c r="BA18" s="8">
        <f>IF(AND(Assumptions!$B$16=1,BA$3=Assumptions!$B$18),Assumptions!$B$17,0)</f>
        <v/>
      </c>
      <c r="BB18" s="8">
        <f>IF(AND(Assumptions!$B$16=1,BB$3=Assumptions!$B$18),Assumptions!$B$17,0)</f>
        <v/>
      </c>
      <c r="BC18" s="8">
        <f>IF(AND(Assumptions!$B$16=1,BC$3=Assumptions!$B$18),Assumptions!$B$17,0)</f>
        <v/>
      </c>
      <c r="BD18" s="8">
        <f>IF(AND(Assumptions!$B$16=1,BD$3=Assumptions!$B$18),Assumptions!$B$17,0)</f>
        <v/>
      </c>
      <c r="BE18" s="8">
        <f>IF(AND(Assumptions!$B$16=1,BE$3=Assumptions!$B$18),Assumptions!$B$17,0)</f>
        <v/>
      </c>
      <c r="BF18" s="8">
        <f>IF(AND(Assumptions!$B$16=1,BF$3=Assumptions!$B$18),Assumptions!$B$17,0)</f>
        <v/>
      </c>
      <c r="BG18" s="8">
        <f>IF(AND(Assumptions!$B$16=1,BG$3=Assumptions!$B$18),Assumptions!$B$17,0)</f>
        <v/>
      </c>
      <c r="BH18" s="8">
        <f>IF(AND(Assumptions!$B$16=1,BH$3=Assumptions!$B$18),Assumptions!$B$17,0)</f>
        <v/>
      </c>
      <c r="BI18" s="8">
        <f>IF(AND(Assumptions!$B$16=1,BI$3=Assumptions!$B$18),Assumptions!$B$17,0)</f>
        <v/>
      </c>
      <c r="BJ18" s="8">
        <f>IF(AND(Assumptions!$B$16=1,BJ$3=Assumptions!$B$18),Assumptions!$B$17,0)</f>
        <v/>
      </c>
    </row>
    <row r="19">
      <c r="A19" s="3" t="inlineStr">
        <is>
          <t>Net cash flow</t>
        </is>
      </c>
      <c r="B19" s="17" t="inlineStr">
        <is>
          <t>R</t>
        </is>
      </c>
      <c r="C19" s="42">
        <f>C14+C17+C18</f>
        <v/>
      </c>
      <c r="D19" s="42">
        <f>D14+D17+D18</f>
        <v/>
      </c>
      <c r="E19" s="42">
        <f>E14+E17+E18</f>
        <v/>
      </c>
      <c r="F19" s="42">
        <f>F14+F17+F18</f>
        <v/>
      </c>
      <c r="G19" s="42">
        <f>G14+G17+G18</f>
        <v/>
      </c>
      <c r="H19" s="42">
        <f>H14+H17+H18</f>
        <v/>
      </c>
      <c r="I19" s="42">
        <f>I14+I17+I18</f>
        <v/>
      </c>
      <c r="J19" s="42">
        <f>J14+J17+J18</f>
        <v/>
      </c>
      <c r="K19" s="42">
        <f>K14+K17+K18</f>
        <v/>
      </c>
      <c r="L19" s="42">
        <f>L14+L17+L18</f>
        <v/>
      </c>
      <c r="M19" s="42">
        <f>M14+M17+M18</f>
        <v/>
      </c>
      <c r="N19" s="42">
        <f>N14+N17+N18</f>
        <v/>
      </c>
      <c r="O19" s="42">
        <f>O14+O17+O18</f>
        <v/>
      </c>
      <c r="P19" s="42">
        <f>P14+P17+P18</f>
        <v/>
      </c>
      <c r="Q19" s="42">
        <f>Q14+Q17+Q18</f>
        <v/>
      </c>
      <c r="R19" s="42">
        <f>R14+R17+R18</f>
        <v/>
      </c>
      <c r="S19" s="42">
        <f>S14+S17+S18</f>
        <v/>
      </c>
      <c r="T19" s="42">
        <f>T14+T17+T18</f>
        <v/>
      </c>
      <c r="U19" s="42">
        <f>U14+U17+U18</f>
        <v/>
      </c>
      <c r="V19" s="42">
        <f>V14+V17+V18</f>
        <v/>
      </c>
      <c r="W19" s="42">
        <f>W14+W17+W18</f>
        <v/>
      </c>
      <c r="X19" s="42">
        <f>X14+X17+X18</f>
        <v/>
      </c>
      <c r="Y19" s="42">
        <f>Y14+Y17+Y18</f>
        <v/>
      </c>
      <c r="Z19" s="42">
        <f>Z14+Z17+Z18</f>
        <v/>
      </c>
      <c r="AA19" s="42">
        <f>AA14+AA17+AA18</f>
        <v/>
      </c>
      <c r="AB19" s="42">
        <f>AB14+AB17+AB18</f>
        <v/>
      </c>
      <c r="AC19" s="42">
        <f>AC14+AC17+AC18</f>
        <v/>
      </c>
      <c r="AD19" s="42">
        <f>AD14+AD17+AD18</f>
        <v/>
      </c>
      <c r="AE19" s="42">
        <f>AE14+AE17+AE18</f>
        <v/>
      </c>
      <c r="AF19" s="42">
        <f>AF14+AF17+AF18</f>
        <v/>
      </c>
      <c r="AG19" s="42">
        <f>AG14+AG17+AG18</f>
        <v/>
      </c>
      <c r="AH19" s="42">
        <f>AH14+AH17+AH18</f>
        <v/>
      </c>
      <c r="AI19" s="42">
        <f>AI14+AI17+AI18</f>
        <v/>
      </c>
      <c r="AJ19" s="42">
        <f>AJ14+AJ17+AJ18</f>
        <v/>
      </c>
      <c r="AK19" s="42">
        <f>AK14+AK17+AK18</f>
        <v/>
      </c>
      <c r="AL19" s="42">
        <f>AL14+AL17+AL18</f>
        <v/>
      </c>
      <c r="AM19" s="42">
        <f>AM14+AM17+AM18</f>
        <v/>
      </c>
      <c r="AN19" s="42">
        <f>AN14+AN17+AN18</f>
        <v/>
      </c>
      <c r="AO19" s="42">
        <f>AO14+AO17+AO18</f>
        <v/>
      </c>
      <c r="AP19" s="42">
        <f>AP14+AP17+AP18</f>
        <v/>
      </c>
      <c r="AQ19" s="42">
        <f>AQ14+AQ17+AQ18</f>
        <v/>
      </c>
      <c r="AR19" s="42">
        <f>AR14+AR17+AR18</f>
        <v/>
      </c>
      <c r="AS19" s="42">
        <f>AS14+AS17+AS18</f>
        <v/>
      </c>
      <c r="AT19" s="42">
        <f>AT14+AT17+AT18</f>
        <v/>
      </c>
      <c r="AU19" s="42">
        <f>AU14+AU17+AU18</f>
        <v/>
      </c>
      <c r="AV19" s="42">
        <f>AV14+AV17+AV18</f>
        <v/>
      </c>
      <c r="AW19" s="42">
        <f>AW14+AW17+AW18</f>
        <v/>
      </c>
      <c r="AX19" s="42">
        <f>AX14+AX17+AX18</f>
        <v/>
      </c>
      <c r="AY19" s="42">
        <f>AY14+AY17+AY18</f>
        <v/>
      </c>
      <c r="AZ19" s="42">
        <f>AZ14+AZ17+AZ18</f>
        <v/>
      </c>
      <c r="BA19" s="42">
        <f>BA14+BA17+BA18</f>
        <v/>
      </c>
      <c r="BB19" s="42">
        <f>BB14+BB17+BB18</f>
        <v/>
      </c>
      <c r="BC19" s="42">
        <f>BC14+BC17+BC18</f>
        <v/>
      </c>
      <c r="BD19" s="42">
        <f>BD14+BD17+BD18</f>
        <v/>
      </c>
      <c r="BE19" s="42">
        <f>BE14+BE17+BE18</f>
        <v/>
      </c>
      <c r="BF19" s="42">
        <f>BF14+BF17+BF18</f>
        <v/>
      </c>
      <c r="BG19" s="42">
        <f>BG14+BG17+BG18</f>
        <v/>
      </c>
      <c r="BH19" s="42">
        <f>BH14+BH17+BH18</f>
        <v/>
      </c>
      <c r="BI19" s="42">
        <f>BI14+BI17+BI18</f>
        <v/>
      </c>
      <c r="BJ19" s="42">
        <f>BJ14+BJ17+BJ18</f>
        <v/>
      </c>
    </row>
    <row r="20"/>
    <row r="21">
      <c r="A21" s="19" t="inlineStr">
        <is>
          <t>Cash (no pre-seed bridge is added: any pre-seed shortfall shows as negative cash and is absorbed by the seed)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</row>
    <row r="22">
      <c r="A22" s="4" t="inlineStr">
        <is>
          <t>Opening cash</t>
        </is>
      </c>
      <c r="B22" s="17" t="inlineStr">
        <is>
          <t>R</t>
        </is>
      </c>
      <c r="C22" s="8">
        <f>Assumptions!$B$12</f>
        <v/>
      </c>
      <c r="D22" s="8">
        <f>C23</f>
        <v/>
      </c>
      <c r="E22" s="8">
        <f>D23</f>
        <v/>
      </c>
      <c r="F22" s="8">
        <f>E23</f>
        <v/>
      </c>
      <c r="G22" s="8">
        <f>F23</f>
        <v/>
      </c>
      <c r="H22" s="8">
        <f>G23</f>
        <v/>
      </c>
      <c r="I22" s="8">
        <f>H23</f>
        <v/>
      </c>
      <c r="J22" s="8">
        <f>I23</f>
        <v/>
      </c>
      <c r="K22" s="8">
        <f>J23</f>
        <v/>
      </c>
      <c r="L22" s="8">
        <f>K23</f>
        <v/>
      </c>
      <c r="M22" s="8">
        <f>L23</f>
        <v/>
      </c>
      <c r="N22" s="8">
        <f>M23</f>
        <v/>
      </c>
      <c r="O22" s="8">
        <f>N23</f>
        <v/>
      </c>
      <c r="P22" s="8">
        <f>O23</f>
        <v/>
      </c>
      <c r="Q22" s="8">
        <f>P23</f>
        <v/>
      </c>
      <c r="R22" s="8">
        <f>Q23</f>
        <v/>
      </c>
      <c r="S22" s="8">
        <f>R23</f>
        <v/>
      </c>
      <c r="T22" s="8">
        <f>S23</f>
        <v/>
      </c>
      <c r="U22" s="8">
        <f>T23</f>
        <v/>
      </c>
      <c r="V22" s="8">
        <f>U23</f>
        <v/>
      </c>
      <c r="W22" s="8">
        <f>V23</f>
        <v/>
      </c>
      <c r="X22" s="8">
        <f>W23</f>
        <v/>
      </c>
      <c r="Y22" s="8">
        <f>X23</f>
        <v/>
      </c>
      <c r="Z22" s="8">
        <f>Y23</f>
        <v/>
      </c>
      <c r="AA22" s="8">
        <f>Z23</f>
        <v/>
      </c>
      <c r="AB22" s="8">
        <f>AA23</f>
        <v/>
      </c>
      <c r="AC22" s="8">
        <f>AB23</f>
        <v/>
      </c>
      <c r="AD22" s="8">
        <f>AC23</f>
        <v/>
      </c>
      <c r="AE22" s="8">
        <f>AD23</f>
        <v/>
      </c>
      <c r="AF22" s="8">
        <f>AE23</f>
        <v/>
      </c>
      <c r="AG22" s="8">
        <f>AF23</f>
        <v/>
      </c>
      <c r="AH22" s="8">
        <f>AG23</f>
        <v/>
      </c>
      <c r="AI22" s="8">
        <f>AH23</f>
        <v/>
      </c>
      <c r="AJ22" s="8">
        <f>AI23</f>
        <v/>
      </c>
      <c r="AK22" s="8">
        <f>AJ23</f>
        <v/>
      </c>
      <c r="AL22" s="8">
        <f>AK23</f>
        <v/>
      </c>
      <c r="AM22" s="8">
        <f>AL23</f>
        <v/>
      </c>
      <c r="AN22" s="8">
        <f>AM23</f>
        <v/>
      </c>
      <c r="AO22" s="8">
        <f>AN23</f>
        <v/>
      </c>
      <c r="AP22" s="8">
        <f>AO23</f>
        <v/>
      </c>
      <c r="AQ22" s="8">
        <f>AP23</f>
        <v/>
      </c>
      <c r="AR22" s="8">
        <f>AQ23</f>
        <v/>
      </c>
      <c r="AS22" s="8">
        <f>AR23</f>
        <v/>
      </c>
      <c r="AT22" s="8">
        <f>AS23</f>
        <v/>
      </c>
      <c r="AU22" s="8">
        <f>AT23</f>
        <v/>
      </c>
      <c r="AV22" s="8">
        <f>AU23</f>
        <v/>
      </c>
      <c r="AW22" s="8">
        <f>AV23</f>
        <v/>
      </c>
      <c r="AX22" s="8">
        <f>AW23</f>
        <v/>
      </c>
      <c r="AY22" s="8">
        <f>AX23</f>
        <v/>
      </c>
      <c r="AZ22" s="8">
        <f>AY23</f>
        <v/>
      </c>
      <c r="BA22" s="8">
        <f>AZ23</f>
        <v/>
      </c>
      <c r="BB22" s="8">
        <f>BA23</f>
        <v/>
      </c>
      <c r="BC22" s="8">
        <f>BB23</f>
        <v/>
      </c>
      <c r="BD22" s="8">
        <f>BC23</f>
        <v/>
      </c>
      <c r="BE22" s="8">
        <f>BD23</f>
        <v/>
      </c>
      <c r="BF22" s="8">
        <f>BE23</f>
        <v/>
      </c>
      <c r="BG22" s="8">
        <f>BF23</f>
        <v/>
      </c>
      <c r="BH22" s="8">
        <f>BG23</f>
        <v/>
      </c>
      <c r="BI22" s="8">
        <f>BH23</f>
        <v/>
      </c>
      <c r="BJ22" s="8">
        <f>BI23</f>
        <v/>
      </c>
    </row>
    <row r="23">
      <c r="A23" s="3" t="inlineStr">
        <is>
          <t>Closing cash</t>
        </is>
      </c>
      <c r="B23" s="17" t="inlineStr">
        <is>
          <t>R</t>
        </is>
      </c>
      <c r="C23" s="42">
        <f>C22+C19</f>
        <v/>
      </c>
      <c r="D23" s="42">
        <f>D22+D19</f>
        <v/>
      </c>
      <c r="E23" s="42">
        <f>E22+E19</f>
        <v/>
      </c>
      <c r="F23" s="42">
        <f>F22+F19</f>
        <v/>
      </c>
      <c r="G23" s="42">
        <f>G22+G19</f>
        <v/>
      </c>
      <c r="H23" s="42">
        <f>H22+H19</f>
        <v/>
      </c>
      <c r="I23" s="42">
        <f>I22+I19</f>
        <v/>
      </c>
      <c r="J23" s="42">
        <f>J22+J19</f>
        <v/>
      </c>
      <c r="K23" s="42">
        <f>K22+K19</f>
        <v/>
      </c>
      <c r="L23" s="42">
        <f>L22+L19</f>
        <v/>
      </c>
      <c r="M23" s="42">
        <f>M22+M19</f>
        <v/>
      </c>
      <c r="N23" s="42">
        <f>N22+N19</f>
        <v/>
      </c>
      <c r="O23" s="42">
        <f>O22+O19</f>
        <v/>
      </c>
      <c r="P23" s="42">
        <f>P22+P19</f>
        <v/>
      </c>
      <c r="Q23" s="42">
        <f>Q22+Q19</f>
        <v/>
      </c>
      <c r="R23" s="42">
        <f>R22+R19</f>
        <v/>
      </c>
      <c r="S23" s="42">
        <f>S22+S19</f>
        <v/>
      </c>
      <c r="T23" s="42">
        <f>T22+T19</f>
        <v/>
      </c>
      <c r="U23" s="42">
        <f>U22+U19</f>
        <v/>
      </c>
      <c r="V23" s="42">
        <f>V22+V19</f>
        <v/>
      </c>
      <c r="W23" s="42">
        <f>W22+W19</f>
        <v/>
      </c>
      <c r="X23" s="42">
        <f>X22+X19</f>
        <v/>
      </c>
      <c r="Y23" s="42">
        <f>Y22+Y19</f>
        <v/>
      </c>
      <c r="Z23" s="42">
        <f>Z22+Z19</f>
        <v/>
      </c>
      <c r="AA23" s="42">
        <f>AA22+AA19</f>
        <v/>
      </c>
      <c r="AB23" s="42">
        <f>AB22+AB19</f>
        <v/>
      </c>
      <c r="AC23" s="42">
        <f>AC22+AC19</f>
        <v/>
      </c>
      <c r="AD23" s="42">
        <f>AD22+AD19</f>
        <v/>
      </c>
      <c r="AE23" s="42">
        <f>AE22+AE19</f>
        <v/>
      </c>
      <c r="AF23" s="42">
        <f>AF22+AF19</f>
        <v/>
      </c>
      <c r="AG23" s="42">
        <f>AG22+AG19</f>
        <v/>
      </c>
      <c r="AH23" s="42">
        <f>AH22+AH19</f>
        <v/>
      </c>
      <c r="AI23" s="42">
        <f>AI22+AI19</f>
        <v/>
      </c>
      <c r="AJ23" s="42">
        <f>AJ22+AJ19</f>
        <v/>
      </c>
      <c r="AK23" s="42">
        <f>AK22+AK19</f>
        <v/>
      </c>
      <c r="AL23" s="42">
        <f>AL22+AL19</f>
        <v/>
      </c>
      <c r="AM23" s="42">
        <f>AM22+AM19</f>
        <v/>
      </c>
      <c r="AN23" s="42">
        <f>AN22+AN19</f>
        <v/>
      </c>
      <c r="AO23" s="42">
        <f>AO22+AO19</f>
        <v/>
      </c>
      <c r="AP23" s="42">
        <f>AP22+AP19</f>
        <v/>
      </c>
      <c r="AQ23" s="42">
        <f>AQ22+AQ19</f>
        <v/>
      </c>
      <c r="AR23" s="42">
        <f>AR22+AR19</f>
        <v/>
      </c>
      <c r="AS23" s="42">
        <f>AS22+AS19</f>
        <v/>
      </c>
      <c r="AT23" s="42">
        <f>AT22+AT19</f>
        <v/>
      </c>
      <c r="AU23" s="42">
        <f>AU22+AU19</f>
        <v/>
      </c>
      <c r="AV23" s="42">
        <f>AV22+AV19</f>
        <v/>
      </c>
      <c r="AW23" s="42">
        <f>AW22+AW19</f>
        <v/>
      </c>
      <c r="AX23" s="42">
        <f>AX22+AX19</f>
        <v/>
      </c>
      <c r="AY23" s="42">
        <f>AY22+AY19</f>
        <v/>
      </c>
      <c r="AZ23" s="42">
        <f>AZ22+AZ19</f>
        <v/>
      </c>
      <c r="BA23" s="42">
        <f>BA22+BA19</f>
        <v/>
      </c>
      <c r="BB23" s="42">
        <f>BB22+BB19</f>
        <v/>
      </c>
      <c r="BC23" s="42">
        <f>BC22+BC19</f>
        <v/>
      </c>
      <c r="BD23" s="42">
        <f>BD22+BD19</f>
        <v/>
      </c>
      <c r="BE23" s="42">
        <f>BE22+BE19</f>
        <v/>
      </c>
      <c r="BF23" s="42">
        <f>BF22+BF19</f>
        <v/>
      </c>
      <c r="BG23" s="42">
        <f>BG22+BG19</f>
        <v/>
      </c>
      <c r="BH23" s="42">
        <f>BH22+BH19</f>
        <v/>
      </c>
      <c r="BI23" s="42">
        <f>BI22+BI19</f>
        <v/>
      </c>
      <c r="BJ23" s="42">
        <f>BJ22+BJ19</f>
        <v/>
      </c>
    </row>
    <row r="24">
      <c r="A24" s="4" t="inlineStr">
        <is>
          <t>Minimum-cash buffer (applies from the seed month)</t>
        </is>
      </c>
      <c r="B24" s="17" t="inlineStr">
        <is>
          <t>R</t>
        </is>
      </c>
      <c r="C24" s="8">
        <f>IF(C$3&gt;=Assumptions!$B$14,Assumptions!$B$15,0)</f>
        <v/>
      </c>
      <c r="D24" s="8">
        <f>IF(D$3&gt;=Assumptions!$B$14,Assumptions!$B$15,0)</f>
        <v/>
      </c>
      <c r="E24" s="8">
        <f>IF(E$3&gt;=Assumptions!$B$14,Assumptions!$B$15,0)</f>
        <v/>
      </c>
      <c r="F24" s="8">
        <f>IF(F$3&gt;=Assumptions!$B$14,Assumptions!$B$15,0)</f>
        <v/>
      </c>
      <c r="G24" s="8">
        <f>IF(G$3&gt;=Assumptions!$B$14,Assumptions!$B$15,0)</f>
        <v/>
      </c>
      <c r="H24" s="8">
        <f>IF(H$3&gt;=Assumptions!$B$14,Assumptions!$B$15,0)</f>
        <v/>
      </c>
      <c r="I24" s="8">
        <f>IF(I$3&gt;=Assumptions!$B$14,Assumptions!$B$15,0)</f>
        <v/>
      </c>
      <c r="J24" s="8">
        <f>IF(J$3&gt;=Assumptions!$B$14,Assumptions!$B$15,0)</f>
        <v/>
      </c>
      <c r="K24" s="8">
        <f>IF(K$3&gt;=Assumptions!$B$14,Assumptions!$B$15,0)</f>
        <v/>
      </c>
      <c r="L24" s="8">
        <f>IF(L$3&gt;=Assumptions!$B$14,Assumptions!$B$15,0)</f>
        <v/>
      </c>
      <c r="M24" s="8">
        <f>IF(M$3&gt;=Assumptions!$B$14,Assumptions!$B$15,0)</f>
        <v/>
      </c>
      <c r="N24" s="8">
        <f>IF(N$3&gt;=Assumptions!$B$14,Assumptions!$B$15,0)</f>
        <v/>
      </c>
      <c r="O24" s="8">
        <f>IF(O$3&gt;=Assumptions!$B$14,Assumptions!$B$15,0)</f>
        <v/>
      </c>
      <c r="P24" s="8">
        <f>IF(P$3&gt;=Assumptions!$B$14,Assumptions!$B$15,0)</f>
        <v/>
      </c>
      <c r="Q24" s="8">
        <f>IF(Q$3&gt;=Assumptions!$B$14,Assumptions!$B$15,0)</f>
        <v/>
      </c>
      <c r="R24" s="8">
        <f>IF(R$3&gt;=Assumptions!$B$14,Assumptions!$B$15,0)</f>
        <v/>
      </c>
      <c r="S24" s="8">
        <f>IF(S$3&gt;=Assumptions!$B$14,Assumptions!$B$15,0)</f>
        <v/>
      </c>
      <c r="T24" s="8">
        <f>IF(T$3&gt;=Assumptions!$B$14,Assumptions!$B$15,0)</f>
        <v/>
      </c>
      <c r="U24" s="8">
        <f>IF(U$3&gt;=Assumptions!$B$14,Assumptions!$B$15,0)</f>
        <v/>
      </c>
      <c r="V24" s="8">
        <f>IF(V$3&gt;=Assumptions!$B$14,Assumptions!$B$15,0)</f>
        <v/>
      </c>
      <c r="W24" s="8">
        <f>IF(W$3&gt;=Assumptions!$B$14,Assumptions!$B$15,0)</f>
        <v/>
      </c>
      <c r="X24" s="8">
        <f>IF(X$3&gt;=Assumptions!$B$14,Assumptions!$B$15,0)</f>
        <v/>
      </c>
      <c r="Y24" s="8">
        <f>IF(Y$3&gt;=Assumptions!$B$14,Assumptions!$B$15,0)</f>
        <v/>
      </c>
      <c r="Z24" s="8">
        <f>IF(Z$3&gt;=Assumptions!$B$14,Assumptions!$B$15,0)</f>
        <v/>
      </c>
      <c r="AA24" s="8">
        <f>IF(AA$3&gt;=Assumptions!$B$14,Assumptions!$B$15,0)</f>
        <v/>
      </c>
      <c r="AB24" s="8">
        <f>IF(AB$3&gt;=Assumptions!$B$14,Assumptions!$B$15,0)</f>
        <v/>
      </c>
      <c r="AC24" s="8">
        <f>IF(AC$3&gt;=Assumptions!$B$14,Assumptions!$B$15,0)</f>
        <v/>
      </c>
      <c r="AD24" s="8">
        <f>IF(AD$3&gt;=Assumptions!$B$14,Assumptions!$B$15,0)</f>
        <v/>
      </c>
      <c r="AE24" s="8">
        <f>IF(AE$3&gt;=Assumptions!$B$14,Assumptions!$B$15,0)</f>
        <v/>
      </c>
      <c r="AF24" s="8">
        <f>IF(AF$3&gt;=Assumptions!$B$14,Assumptions!$B$15,0)</f>
        <v/>
      </c>
      <c r="AG24" s="8">
        <f>IF(AG$3&gt;=Assumptions!$B$14,Assumptions!$B$15,0)</f>
        <v/>
      </c>
      <c r="AH24" s="8">
        <f>IF(AH$3&gt;=Assumptions!$B$14,Assumptions!$B$15,0)</f>
        <v/>
      </c>
      <c r="AI24" s="8">
        <f>IF(AI$3&gt;=Assumptions!$B$14,Assumptions!$B$15,0)</f>
        <v/>
      </c>
      <c r="AJ24" s="8">
        <f>IF(AJ$3&gt;=Assumptions!$B$14,Assumptions!$B$15,0)</f>
        <v/>
      </c>
      <c r="AK24" s="8">
        <f>IF(AK$3&gt;=Assumptions!$B$14,Assumptions!$B$15,0)</f>
        <v/>
      </c>
      <c r="AL24" s="8">
        <f>IF(AL$3&gt;=Assumptions!$B$14,Assumptions!$B$15,0)</f>
        <v/>
      </c>
      <c r="AM24" s="8">
        <f>IF(AM$3&gt;=Assumptions!$B$14,Assumptions!$B$15,0)</f>
        <v/>
      </c>
      <c r="AN24" s="8">
        <f>IF(AN$3&gt;=Assumptions!$B$14,Assumptions!$B$15,0)</f>
        <v/>
      </c>
      <c r="AO24" s="8">
        <f>IF(AO$3&gt;=Assumptions!$B$14,Assumptions!$B$15,0)</f>
        <v/>
      </c>
      <c r="AP24" s="8">
        <f>IF(AP$3&gt;=Assumptions!$B$14,Assumptions!$B$15,0)</f>
        <v/>
      </c>
      <c r="AQ24" s="8">
        <f>IF(AQ$3&gt;=Assumptions!$B$14,Assumptions!$B$15,0)</f>
        <v/>
      </c>
      <c r="AR24" s="8">
        <f>IF(AR$3&gt;=Assumptions!$B$14,Assumptions!$B$15,0)</f>
        <v/>
      </c>
      <c r="AS24" s="8">
        <f>IF(AS$3&gt;=Assumptions!$B$14,Assumptions!$B$15,0)</f>
        <v/>
      </c>
      <c r="AT24" s="8">
        <f>IF(AT$3&gt;=Assumptions!$B$14,Assumptions!$B$15,0)</f>
        <v/>
      </c>
      <c r="AU24" s="8">
        <f>IF(AU$3&gt;=Assumptions!$B$14,Assumptions!$B$15,0)</f>
        <v/>
      </c>
      <c r="AV24" s="8">
        <f>IF(AV$3&gt;=Assumptions!$B$14,Assumptions!$B$15,0)</f>
        <v/>
      </c>
      <c r="AW24" s="8">
        <f>IF(AW$3&gt;=Assumptions!$B$14,Assumptions!$B$15,0)</f>
        <v/>
      </c>
      <c r="AX24" s="8">
        <f>IF(AX$3&gt;=Assumptions!$B$14,Assumptions!$B$15,0)</f>
        <v/>
      </c>
      <c r="AY24" s="8">
        <f>IF(AY$3&gt;=Assumptions!$B$14,Assumptions!$B$15,0)</f>
        <v/>
      </c>
      <c r="AZ24" s="8">
        <f>IF(AZ$3&gt;=Assumptions!$B$14,Assumptions!$B$15,0)</f>
        <v/>
      </c>
      <c r="BA24" s="8">
        <f>IF(BA$3&gt;=Assumptions!$B$14,Assumptions!$B$15,0)</f>
        <v/>
      </c>
      <c r="BB24" s="8">
        <f>IF(BB$3&gt;=Assumptions!$B$14,Assumptions!$B$15,0)</f>
        <v/>
      </c>
      <c r="BC24" s="8">
        <f>IF(BC$3&gt;=Assumptions!$B$14,Assumptions!$B$15,0)</f>
        <v/>
      </c>
      <c r="BD24" s="8">
        <f>IF(BD$3&gt;=Assumptions!$B$14,Assumptions!$B$15,0)</f>
        <v/>
      </c>
      <c r="BE24" s="8">
        <f>IF(BE$3&gt;=Assumptions!$B$14,Assumptions!$B$15,0)</f>
        <v/>
      </c>
      <c r="BF24" s="8">
        <f>IF(BF$3&gt;=Assumptions!$B$14,Assumptions!$B$15,0)</f>
        <v/>
      </c>
      <c r="BG24" s="8">
        <f>IF(BG$3&gt;=Assumptions!$B$14,Assumptions!$B$15,0)</f>
        <v/>
      </c>
      <c r="BH24" s="8">
        <f>IF(BH$3&gt;=Assumptions!$B$14,Assumptions!$B$15,0)</f>
        <v/>
      </c>
      <c r="BI24" s="8">
        <f>IF(BI$3&gt;=Assumptions!$B$14,Assumptions!$B$15,0)</f>
        <v/>
      </c>
      <c r="BJ24" s="8">
        <f>IF(BJ$3&gt;=Assumptions!$B$14,Assumptions!$B$15,0)</f>
        <v/>
      </c>
    </row>
    <row r="25">
      <c r="A25" s="4" t="inlineStr">
        <is>
          <t>Headroom over the buffer</t>
        </is>
      </c>
      <c r="B25" s="17" t="inlineStr">
        <is>
          <t>R</t>
        </is>
      </c>
      <c r="C25" s="8">
        <f>C23-C24</f>
        <v/>
      </c>
      <c r="D25" s="8">
        <f>D23-D24</f>
        <v/>
      </c>
      <c r="E25" s="8">
        <f>E23-E24</f>
        <v/>
      </c>
      <c r="F25" s="8">
        <f>F23-F24</f>
        <v/>
      </c>
      <c r="G25" s="8">
        <f>G23-G24</f>
        <v/>
      </c>
      <c r="H25" s="8">
        <f>H23-H24</f>
        <v/>
      </c>
      <c r="I25" s="8">
        <f>I23-I24</f>
        <v/>
      </c>
      <c r="J25" s="8">
        <f>J23-J24</f>
        <v/>
      </c>
      <c r="K25" s="8">
        <f>K23-K24</f>
        <v/>
      </c>
      <c r="L25" s="8">
        <f>L23-L24</f>
        <v/>
      </c>
      <c r="M25" s="8">
        <f>M23-M24</f>
        <v/>
      </c>
      <c r="N25" s="8">
        <f>N23-N24</f>
        <v/>
      </c>
      <c r="O25" s="8">
        <f>O23-O24</f>
        <v/>
      </c>
      <c r="P25" s="8">
        <f>P23-P24</f>
        <v/>
      </c>
      <c r="Q25" s="8">
        <f>Q23-Q24</f>
        <v/>
      </c>
      <c r="R25" s="8">
        <f>R23-R24</f>
        <v/>
      </c>
      <c r="S25" s="8">
        <f>S23-S24</f>
        <v/>
      </c>
      <c r="T25" s="8">
        <f>T23-T24</f>
        <v/>
      </c>
      <c r="U25" s="8">
        <f>U23-U24</f>
        <v/>
      </c>
      <c r="V25" s="8">
        <f>V23-V24</f>
        <v/>
      </c>
      <c r="W25" s="8">
        <f>W23-W24</f>
        <v/>
      </c>
      <c r="X25" s="8">
        <f>X23-X24</f>
        <v/>
      </c>
      <c r="Y25" s="8">
        <f>Y23-Y24</f>
        <v/>
      </c>
      <c r="Z25" s="8">
        <f>Z23-Z24</f>
        <v/>
      </c>
      <c r="AA25" s="8">
        <f>AA23-AA24</f>
        <v/>
      </c>
      <c r="AB25" s="8">
        <f>AB23-AB24</f>
        <v/>
      </c>
      <c r="AC25" s="8">
        <f>AC23-AC24</f>
        <v/>
      </c>
      <c r="AD25" s="8">
        <f>AD23-AD24</f>
        <v/>
      </c>
      <c r="AE25" s="8">
        <f>AE23-AE24</f>
        <v/>
      </c>
      <c r="AF25" s="8">
        <f>AF23-AF24</f>
        <v/>
      </c>
      <c r="AG25" s="8">
        <f>AG23-AG24</f>
        <v/>
      </c>
      <c r="AH25" s="8">
        <f>AH23-AH24</f>
        <v/>
      </c>
      <c r="AI25" s="8">
        <f>AI23-AI24</f>
        <v/>
      </c>
      <c r="AJ25" s="8">
        <f>AJ23-AJ24</f>
        <v/>
      </c>
      <c r="AK25" s="8">
        <f>AK23-AK24</f>
        <v/>
      </c>
      <c r="AL25" s="8">
        <f>AL23-AL24</f>
        <v/>
      </c>
      <c r="AM25" s="8">
        <f>AM23-AM24</f>
        <v/>
      </c>
      <c r="AN25" s="8">
        <f>AN23-AN24</f>
        <v/>
      </c>
      <c r="AO25" s="8">
        <f>AO23-AO24</f>
        <v/>
      </c>
      <c r="AP25" s="8">
        <f>AP23-AP24</f>
        <v/>
      </c>
      <c r="AQ25" s="8">
        <f>AQ23-AQ24</f>
        <v/>
      </c>
      <c r="AR25" s="8">
        <f>AR23-AR24</f>
        <v/>
      </c>
      <c r="AS25" s="8">
        <f>AS23-AS24</f>
        <v/>
      </c>
      <c r="AT25" s="8">
        <f>AT23-AT24</f>
        <v/>
      </c>
      <c r="AU25" s="8">
        <f>AU23-AU24</f>
        <v/>
      </c>
      <c r="AV25" s="8">
        <f>AV23-AV24</f>
        <v/>
      </c>
      <c r="AW25" s="8">
        <f>AW23-AW24</f>
        <v/>
      </c>
      <c r="AX25" s="8">
        <f>AX23-AX24</f>
        <v/>
      </c>
      <c r="AY25" s="8">
        <f>AY23-AY24</f>
        <v/>
      </c>
      <c r="AZ25" s="8">
        <f>AZ23-AZ24</f>
        <v/>
      </c>
      <c r="BA25" s="8">
        <f>BA23-BA24</f>
        <v/>
      </c>
      <c r="BB25" s="8">
        <f>BB23-BB24</f>
        <v/>
      </c>
      <c r="BC25" s="8">
        <f>BC23-BC24</f>
        <v/>
      </c>
      <c r="BD25" s="8">
        <f>BD23-BD24</f>
        <v/>
      </c>
      <c r="BE25" s="8">
        <f>BE23-BE24</f>
        <v/>
      </c>
      <c r="BF25" s="8">
        <f>BF23-BF24</f>
        <v/>
      </c>
      <c r="BG25" s="8">
        <f>BG23-BG24</f>
        <v/>
      </c>
      <c r="BH25" s="8">
        <f>BH23-BH24</f>
        <v/>
      </c>
      <c r="BI25" s="8">
        <f>BI23-BI24</f>
        <v/>
      </c>
      <c r="BJ25" s="8">
        <f>BJ23-BJ24</f>
        <v/>
      </c>
    </row>
    <row r="26">
      <c r="A26" s="4" t="inlineStr">
        <is>
          <t>Average operating cash flow, trailing 3 months</t>
        </is>
      </c>
      <c r="B26" s="17" t="inlineStr">
        <is>
          <t>R</t>
        </is>
      </c>
      <c r="C26" s="8">
        <f>AVERAGE(C14:C14)</f>
        <v/>
      </c>
      <c r="D26" s="8">
        <f>AVERAGE(C14:D14)</f>
        <v/>
      </c>
      <c r="E26" s="8">
        <f>AVERAGE(C14:E14)</f>
        <v/>
      </c>
      <c r="F26" s="8">
        <f>AVERAGE(D14:F14)</f>
        <v/>
      </c>
      <c r="G26" s="8">
        <f>AVERAGE(E14:G14)</f>
        <v/>
      </c>
      <c r="H26" s="8">
        <f>AVERAGE(F14:H14)</f>
        <v/>
      </c>
      <c r="I26" s="8">
        <f>AVERAGE(G14:I14)</f>
        <v/>
      </c>
      <c r="J26" s="8">
        <f>AVERAGE(H14:J14)</f>
        <v/>
      </c>
      <c r="K26" s="8">
        <f>AVERAGE(I14:K14)</f>
        <v/>
      </c>
      <c r="L26" s="8">
        <f>AVERAGE(J14:L14)</f>
        <v/>
      </c>
      <c r="M26" s="8">
        <f>AVERAGE(K14:M14)</f>
        <v/>
      </c>
      <c r="N26" s="8">
        <f>AVERAGE(L14:N14)</f>
        <v/>
      </c>
      <c r="O26" s="8">
        <f>AVERAGE(M14:O14)</f>
        <v/>
      </c>
      <c r="P26" s="8">
        <f>AVERAGE(N14:P14)</f>
        <v/>
      </c>
      <c r="Q26" s="8">
        <f>AVERAGE(O14:Q14)</f>
        <v/>
      </c>
      <c r="R26" s="8">
        <f>AVERAGE(P14:R14)</f>
        <v/>
      </c>
      <c r="S26" s="8">
        <f>AVERAGE(Q14:S14)</f>
        <v/>
      </c>
      <c r="T26" s="8">
        <f>AVERAGE(R14:T14)</f>
        <v/>
      </c>
      <c r="U26" s="8">
        <f>AVERAGE(S14:U14)</f>
        <v/>
      </c>
      <c r="V26" s="8">
        <f>AVERAGE(T14:V14)</f>
        <v/>
      </c>
      <c r="W26" s="8">
        <f>AVERAGE(U14:W14)</f>
        <v/>
      </c>
      <c r="X26" s="8">
        <f>AVERAGE(V14:X14)</f>
        <v/>
      </c>
      <c r="Y26" s="8">
        <f>AVERAGE(W14:Y14)</f>
        <v/>
      </c>
      <c r="Z26" s="8">
        <f>AVERAGE(X14:Z14)</f>
        <v/>
      </c>
      <c r="AA26" s="8">
        <f>AVERAGE(Y14:AA14)</f>
        <v/>
      </c>
      <c r="AB26" s="8">
        <f>AVERAGE(Z14:AB14)</f>
        <v/>
      </c>
      <c r="AC26" s="8">
        <f>AVERAGE(AA14:AC14)</f>
        <v/>
      </c>
      <c r="AD26" s="8">
        <f>AVERAGE(AB14:AD14)</f>
        <v/>
      </c>
      <c r="AE26" s="8">
        <f>AVERAGE(AC14:AE14)</f>
        <v/>
      </c>
      <c r="AF26" s="8">
        <f>AVERAGE(AD14:AF14)</f>
        <v/>
      </c>
      <c r="AG26" s="8">
        <f>AVERAGE(AE14:AG14)</f>
        <v/>
      </c>
      <c r="AH26" s="8">
        <f>AVERAGE(AF14:AH14)</f>
        <v/>
      </c>
      <c r="AI26" s="8">
        <f>AVERAGE(AG14:AI14)</f>
        <v/>
      </c>
      <c r="AJ26" s="8">
        <f>AVERAGE(AH14:AJ14)</f>
        <v/>
      </c>
      <c r="AK26" s="8">
        <f>AVERAGE(AI14:AK14)</f>
        <v/>
      </c>
      <c r="AL26" s="8">
        <f>AVERAGE(AJ14:AL14)</f>
        <v/>
      </c>
      <c r="AM26" s="8">
        <f>AVERAGE(AK14:AM14)</f>
        <v/>
      </c>
      <c r="AN26" s="8">
        <f>AVERAGE(AL14:AN14)</f>
        <v/>
      </c>
      <c r="AO26" s="8">
        <f>AVERAGE(AM14:AO14)</f>
        <v/>
      </c>
      <c r="AP26" s="8">
        <f>AVERAGE(AN14:AP14)</f>
        <v/>
      </c>
      <c r="AQ26" s="8">
        <f>AVERAGE(AO14:AQ14)</f>
        <v/>
      </c>
      <c r="AR26" s="8">
        <f>AVERAGE(AP14:AR14)</f>
        <v/>
      </c>
      <c r="AS26" s="8">
        <f>AVERAGE(AQ14:AS14)</f>
        <v/>
      </c>
      <c r="AT26" s="8">
        <f>AVERAGE(AR14:AT14)</f>
        <v/>
      </c>
      <c r="AU26" s="8">
        <f>AVERAGE(AS14:AU14)</f>
        <v/>
      </c>
      <c r="AV26" s="8">
        <f>AVERAGE(AT14:AV14)</f>
        <v/>
      </c>
      <c r="AW26" s="8">
        <f>AVERAGE(AU14:AW14)</f>
        <v/>
      </c>
      <c r="AX26" s="8">
        <f>AVERAGE(AV14:AX14)</f>
        <v/>
      </c>
      <c r="AY26" s="8">
        <f>AVERAGE(AW14:AY14)</f>
        <v/>
      </c>
      <c r="AZ26" s="8">
        <f>AVERAGE(AX14:AZ14)</f>
        <v/>
      </c>
      <c r="BA26" s="8">
        <f>AVERAGE(AY14:BA14)</f>
        <v/>
      </c>
      <c r="BB26" s="8">
        <f>AVERAGE(AZ14:BB14)</f>
        <v/>
      </c>
      <c r="BC26" s="8">
        <f>AVERAGE(BA14:BC14)</f>
        <v/>
      </c>
      <c r="BD26" s="8">
        <f>AVERAGE(BB14:BD14)</f>
        <v/>
      </c>
      <c r="BE26" s="8">
        <f>AVERAGE(BC14:BE14)</f>
        <v/>
      </c>
      <c r="BF26" s="8">
        <f>AVERAGE(BD14:BF14)</f>
        <v/>
      </c>
      <c r="BG26" s="8">
        <f>AVERAGE(BE14:BG14)</f>
        <v/>
      </c>
      <c r="BH26" s="8">
        <f>AVERAGE(BF14:BH14)</f>
        <v/>
      </c>
      <c r="BI26" s="8">
        <f>AVERAGE(BG14:BI14)</f>
        <v/>
      </c>
      <c r="BJ26" s="8">
        <f>AVERAGE(BH14:$BJ$14)</f>
        <v/>
      </c>
    </row>
    <row r="27">
      <c r="A27" s="4" t="inlineStr">
        <is>
          <t>Runway at trailing burn (months)</t>
        </is>
      </c>
      <c r="B27" s="17" t="inlineStr">
        <is>
          <t>months</t>
        </is>
      </c>
      <c r="C27" s="41">
        <f>IF(C26&gt;=0,"CF positive",C23/-C26)</f>
        <v/>
      </c>
      <c r="D27" s="41">
        <f>IF(D26&gt;=0,"CF positive",D23/-D26)</f>
        <v/>
      </c>
      <c r="E27" s="41">
        <f>IF(E26&gt;=0,"CF positive",E23/-E26)</f>
        <v/>
      </c>
      <c r="F27" s="41">
        <f>IF(F26&gt;=0,"CF positive",F23/-F26)</f>
        <v/>
      </c>
      <c r="G27" s="41">
        <f>IF(G26&gt;=0,"CF positive",G23/-G26)</f>
        <v/>
      </c>
      <c r="H27" s="41">
        <f>IF(H26&gt;=0,"CF positive",H23/-H26)</f>
        <v/>
      </c>
      <c r="I27" s="41">
        <f>IF(I26&gt;=0,"CF positive",I23/-I26)</f>
        <v/>
      </c>
      <c r="J27" s="41">
        <f>IF(J26&gt;=0,"CF positive",J23/-J26)</f>
        <v/>
      </c>
      <c r="K27" s="41">
        <f>IF(K26&gt;=0,"CF positive",K23/-K26)</f>
        <v/>
      </c>
      <c r="L27" s="41">
        <f>IF(L26&gt;=0,"CF positive",L23/-L26)</f>
        <v/>
      </c>
      <c r="M27" s="41">
        <f>IF(M26&gt;=0,"CF positive",M23/-M26)</f>
        <v/>
      </c>
      <c r="N27" s="41">
        <f>IF(N26&gt;=0,"CF positive",N23/-N26)</f>
        <v/>
      </c>
      <c r="O27" s="41">
        <f>IF(O26&gt;=0,"CF positive",O23/-O26)</f>
        <v/>
      </c>
      <c r="P27" s="41">
        <f>IF(P26&gt;=0,"CF positive",P23/-P26)</f>
        <v/>
      </c>
      <c r="Q27" s="41">
        <f>IF(Q26&gt;=0,"CF positive",Q23/-Q26)</f>
        <v/>
      </c>
      <c r="R27" s="41">
        <f>IF(R26&gt;=0,"CF positive",R23/-R26)</f>
        <v/>
      </c>
      <c r="S27" s="41">
        <f>IF(S26&gt;=0,"CF positive",S23/-S26)</f>
        <v/>
      </c>
      <c r="T27" s="41">
        <f>IF(T26&gt;=0,"CF positive",T23/-T26)</f>
        <v/>
      </c>
      <c r="U27" s="41">
        <f>IF(U26&gt;=0,"CF positive",U23/-U26)</f>
        <v/>
      </c>
      <c r="V27" s="41">
        <f>IF(V26&gt;=0,"CF positive",V23/-V26)</f>
        <v/>
      </c>
      <c r="W27" s="41">
        <f>IF(W26&gt;=0,"CF positive",W23/-W26)</f>
        <v/>
      </c>
      <c r="X27" s="41">
        <f>IF(X26&gt;=0,"CF positive",X23/-X26)</f>
        <v/>
      </c>
      <c r="Y27" s="41">
        <f>IF(Y26&gt;=0,"CF positive",Y23/-Y26)</f>
        <v/>
      </c>
      <c r="Z27" s="41">
        <f>IF(Z26&gt;=0,"CF positive",Z23/-Z26)</f>
        <v/>
      </c>
      <c r="AA27" s="41">
        <f>IF(AA26&gt;=0,"CF positive",AA23/-AA26)</f>
        <v/>
      </c>
      <c r="AB27" s="41">
        <f>IF(AB26&gt;=0,"CF positive",AB23/-AB26)</f>
        <v/>
      </c>
      <c r="AC27" s="41">
        <f>IF(AC26&gt;=0,"CF positive",AC23/-AC26)</f>
        <v/>
      </c>
      <c r="AD27" s="41">
        <f>IF(AD26&gt;=0,"CF positive",AD23/-AD26)</f>
        <v/>
      </c>
      <c r="AE27" s="41">
        <f>IF(AE26&gt;=0,"CF positive",AE23/-AE26)</f>
        <v/>
      </c>
      <c r="AF27" s="41">
        <f>IF(AF26&gt;=0,"CF positive",AF23/-AF26)</f>
        <v/>
      </c>
      <c r="AG27" s="41">
        <f>IF(AG26&gt;=0,"CF positive",AG23/-AG26)</f>
        <v/>
      </c>
      <c r="AH27" s="41">
        <f>IF(AH26&gt;=0,"CF positive",AH23/-AH26)</f>
        <v/>
      </c>
      <c r="AI27" s="41">
        <f>IF(AI26&gt;=0,"CF positive",AI23/-AI26)</f>
        <v/>
      </c>
      <c r="AJ27" s="41">
        <f>IF(AJ26&gt;=0,"CF positive",AJ23/-AJ26)</f>
        <v/>
      </c>
      <c r="AK27" s="41">
        <f>IF(AK26&gt;=0,"CF positive",AK23/-AK26)</f>
        <v/>
      </c>
      <c r="AL27" s="41">
        <f>IF(AL26&gt;=0,"CF positive",AL23/-AL26)</f>
        <v/>
      </c>
      <c r="AM27" s="41">
        <f>IF(AM26&gt;=0,"CF positive",AM23/-AM26)</f>
        <v/>
      </c>
      <c r="AN27" s="41">
        <f>IF(AN26&gt;=0,"CF positive",AN23/-AN26)</f>
        <v/>
      </c>
      <c r="AO27" s="41">
        <f>IF(AO26&gt;=0,"CF positive",AO23/-AO26)</f>
        <v/>
      </c>
      <c r="AP27" s="41">
        <f>IF(AP26&gt;=0,"CF positive",AP23/-AP26)</f>
        <v/>
      </c>
      <c r="AQ27" s="41">
        <f>IF(AQ26&gt;=0,"CF positive",AQ23/-AQ26)</f>
        <v/>
      </c>
      <c r="AR27" s="41">
        <f>IF(AR26&gt;=0,"CF positive",AR23/-AR26)</f>
        <v/>
      </c>
      <c r="AS27" s="41">
        <f>IF(AS26&gt;=0,"CF positive",AS23/-AS26)</f>
        <v/>
      </c>
      <c r="AT27" s="41">
        <f>IF(AT26&gt;=0,"CF positive",AT23/-AT26)</f>
        <v/>
      </c>
      <c r="AU27" s="41">
        <f>IF(AU26&gt;=0,"CF positive",AU23/-AU26)</f>
        <v/>
      </c>
      <c r="AV27" s="41">
        <f>IF(AV26&gt;=0,"CF positive",AV23/-AV26)</f>
        <v/>
      </c>
      <c r="AW27" s="41">
        <f>IF(AW26&gt;=0,"CF positive",AW23/-AW26)</f>
        <v/>
      </c>
      <c r="AX27" s="41">
        <f>IF(AX26&gt;=0,"CF positive",AX23/-AX26)</f>
        <v/>
      </c>
      <c r="AY27" s="41">
        <f>IF(AY26&gt;=0,"CF positive",AY23/-AY26)</f>
        <v/>
      </c>
      <c r="AZ27" s="41">
        <f>IF(AZ26&gt;=0,"CF positive",AZ23/-AZ26)</f>
        <v/>
      </c>
      <c r="BA27" s="41">
        <f>IF(BA26&gt;=0,"CF positive",BA23/-BA26)</f>
        <v/>
      </c>
      <c r="BB27" s="41">
        <f>IF(BB26&gt;=0,"CF positive",BB23/-BB26)</f>
        <v/>
      </c>
      <c r="BC27" s="41">
        <f>IF(BC26&gt;=0,"CF positive",BC23/-BC26)</f>
        <v/>
      </c>
      <c r="BD27" s="41">
        <f>IF(BD26&gt;=0,"CF positive",BD23/-BD26)</f>
        <v/>
      </c>
      <c r="BE27" s="41">
        <f>IF(BE26&gt;=0,"CF positive",BE23/-BE26)</f>
        <v/>
      </c>
      <c r="BF27" s="41">
        <f>IF(BF26&gt;=0,"CF positive",BF23/-BF26)</f>
        <v/>
      </c>
      <c r="BG27" s="41">
        <f>IF(BG26&gt;=0,"CF positive",BG23/-BG26)</f>
        <v/>
      </c>
      <c r="BH27" s="41">
        <f>IF(BH26&gt;=0,"CF positive",BH23/-BH26)</f>
        <v/>
      </c>
      <c r="BI27" s="41">
        <f>IF(BI26&gt;=0,"CF positive",BI23/-BI26)</f>
        <v/>
      </c>
      <c r="BJ27" s="41">
        <f>IF(BJ26&gt;=0,"CF positive",BJ23/-BJ26)</f>
        <v/>
      </c>
    </row>
    <row r="28"/>
    <row r="29">
      <c r="A29" s="19" t="inlineStr">
        <is>
          <t>Helper rows for key outputs (999 = condition not met; 1E+15 = month excluded)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</row>
    <row r="30">
      <c r="A30" s="4" t="inlineStr">
        <is>
          <t>EBITDA &gt;= 0 (month #)</t>
        </is>
      </c>
      <c r="B30" s="17" t="inlineStr">
        <is>
          <t>month #</t>
        </is>
      </c>
      <c r="C30" s="10">
        <f>IF('P&amp;L'!C45&gt;=0,C$3,999)</f>
        <v/>
      </c>
      <c r="D30" s="10">
        <f>IF('P&amp;L'!D45&gt;=0,D$3,999)</f>
        <v/>
      </c>
      <c r="E30" s="10">
        <f>IF('P&amp;L'!E45&gt;=0,E$3,999)</f>
        <v/>
      </c>
      <c r="F30" s="10">
        <f>IF('P&amp;L'!F45&gt;=0,F$3,999)</f>
        <v/>
      </c>
      <c r="G30" s="10">
        <f>IF('P&amp;L'!G45&gt;=0,G$3,999)</f>
        <v/>
      </c>
      <c r="H30" s="10">
        <f>IF('P&amp;L'!H45&gt;=0,H$3,999)</f>
        <v/>
      </c>
      <c r="I30" s="10">
        <f>IF('P&amp;L'!I45&gt;=0,I$3,999)</f>
        <v/>
      </c>
      <c r="J30" s="10">
        <f>IF('P&amp;L'!J45&gt;=0,J$3,999)</f>
        <v/>
      </c>
      <c r="K30" s="10">
        <f>IF('P&amp;L'!K45&gt;=0,K$3,999)</f>
        <v/>
      </c>
      <c r="L30" s="10">
        <f>IF('P&amp;L'!L45&gt;=0,L$3,999)</f>
        <v/>
      </c>
      <c r="M30" s="10">
        <f>IF('P&amp;L'!M45&gt;=0,M$3,999)</f>
        <v/>
      </c>
      <c r="N30" s="10">
        <f>IF('P&amp;L'!N45&gt;=0,N$3,999)</f>
        <v/>
      </c>
      <c r="O30" s="10">
        <f>IF('P&amp;L'!O45&gt;=0,O$3,999)</f>
        <v/>
      </c>
      <c r="P30" s="10">
        <f>IF('P&amp;L'!P45&gt;=0,P$3,999)</f>
        <v/>
      </c>
      <c r="Q30" s="10">
        <f>IF('P&amp;L'!Q45&gt;=0,Q$3,999)</f>
        <v/>
      </c>
      <c r="R30" s="10">
        <f>IF('P&amp;L'!R45&gt;=0,R$3,999)</f>
        <v/>
      </c>
      <c r="S30" s="10">
        <f>IF('P&amp;L'!S45&gt;=0,S$3,999)</f>
        <v/>
      </c>
      <c r="T30" s="10">
        <f>IF('P&amp;L'!T45&gt;=0,T$3,999)</f>
        <v/>
      </c>
      <c r="U30" s="10">
        <f>IF('P&amp;L'!U45&gt;=0,U$3,999)</f>
        <v/>
      </c>
      <c r="V30" s="10">
        <f>IF('P&amp;L'!V45&gt;=0,V$3,999)</f>
        <v/>
      </c>
      <c r="W30" s="10">
        <f>IF('P&amp;L'!W45&gt;=0,W$3,999)</f>
        <v/>
      </c>
      <c r="X30" s="10">
        <f>IF('P&amp;L'!X45&gt;=0,X$3,999)</f>
        <v/>
      </c>
      <c r="Y30" s="10">
        <f>IF('P&amp;L'!Y45&gt;=0,Y$3,999)</f>
        <v/>
      </c>
      <c r="Z30" s="10">
        <f>IF('P&amp;L'!Z45&gt;=0,Z$3,999)</f>
        <v/>
      </c>
      <c r="AA30" s="10">
        <f>IF('P&amp;L'!AA45&gt;=0,AA$3,999)</f>
        <v/>
      </c>
      <c r="AB30" s="10">
        <f>IF('P&amp;L'!AB45&gt;=0,AB$3,999)</f>
        <v/>
      </c>
      <c r="AC30" s="10">
        <f>IF('P&amp;L'!AC45&gt;=0,AC$3,999)</f>
        <v/>
      </c>
      <c r="AD30" s="10">
        <f>IF('P&amp;L'!AD45&gt;=0,AD$3,999)</f>
        <v/>
      </c>
      <c r="AE30" s="10">
        <f>IF('P&amp;L'!AE45&gt;=0,AE$3,999)</f>
        <v/>
      </c>
      <c r="AF30" s="10">
        <f>IF('P&amp;L'!AF45&gt;=0,AF$3,999)</f>
        <v/>
      </c>
      <c r="AG30" s="10">
        <f>IF('P&amp;L'!AG45&gt;=0,AG$3,999)</f>
        <v/>
      </c>
      <c r="AH30" s="10">
        <f>IF('P&amp;L'!AH45&gt;=0,AH$3,999)</f>
        <v/>
      </c>
      <c r="AI30" s="10">
        <f>IF('P&amp;L'!AI45&gt;=0,AI$3,999)</f>
        <v/>
      </c>
      <c r="AJ30" s="10">
        <f>IF('P&amp;L'!AJ45&gt;=0,AJ$3,999)</f>
        <v/>
      </c>
      <c r="AK30" s="10">
        <f>IF('P&amp;L'!AK45&gt;=0,AK$3,999)</f>
        <v/>
      </c>
      <c r="AL30" s="10">
        <f>IF('P&amp;L'!AL45&gt;=0,AL$3,999)</f>
        <v/>
      </c>
      <c r="AM30" s="10">
        <f>IF('P&amp;L'!AM45&gt;=0,AM$3,999)</f>
        <v/>
      </c>
      <c r="AN30" s="10">
        <f>IF('P&amp;L'!AN45&gt;=0,AN$3,999)</f>
        <v/>
      </c>
      <c r="AO30" s="10">
        <f>IF('P&amp;L'!AO45&gt;=0,AO$3,999)</f>
        <v/>
      </c>
      <c r="AP30" s="10">
        <f>IF('P&amp;L'!AP45&gt;=0,AP$3,999)</f>
        <v/>
      </c>
      <c r="AQ30" s="10">
        <f>IF('P&amp;L'!AQ45&gt;=0,AQ$3,999)</f>
        <v/>
      </c>
      <c r="AR30" s="10">
        <f>IF('P&amp;L'!AR45&gt;=0,AR$3,999)</f>
        <v/>
      </c>
      <c r="AS30" s="10">
        <f>IF('P&amp;L'!AS45&gt;=0,AS$3,999)</f>
        <v/>
      </c>
      <c r="AT30" s="10">
        <f>IF('P&amp;L'!AT45&gt;=0,AT$3,999)</f>
        <v/>
      </c>
      <c r="AU30" s="10">
        <f>IF('P&amp;L'!AU45&gt;=0,AU$3,999)</f>
        <v/>
      </c>
      <c r="AV30" s="10">
        <f>IF('P&amp;L'!AV45&gt;=0,AV$3,999)</f>
        <v/>
      </c>
      <c r="AW30" s="10">
        <f>IF('P&amp;L'!AW45&gt;=0,AW$3,999)</f>
        <v/>
      </c>
      <c r="AX30" s="10">
        <f>IF('P&amp;L'!AX45&gt;=0,AX$3,999)</f>
        <v/>
      </c>
      <c r="AY30" s="10">
        <f>IF('P&amp;L'!AY45&gt;=0,AY$3,999)</f>
        <v/>
      </c>
      <c r="AZ30" s="10">
        <f>IF('P&amp;L'!AZ45&gt;=0,AZ$3,999)</f>
        <v/>
      </c>
      <c r="BA30" s="10">
        <f>IF('P&amp;L'!BA45&gt;=0,BA$3,999)</f>
        <v/>
      </c>
      <c r="BB30" s="10">
        <f>IF('P&amp;L'!BB45&gt;=0,BB$3,999)</f>
        <v/>
      </c>
      <c r="BC30" s="10">
        <f>IF('P&amp;L'!BC45&gt;=0,BC$3,999)</f>
        <v/>
      </c>
      <c r="BD30" s="10">
        <f>IF('P&amp;L'!BD45&gt;=0,BD$3,999)</f>
        <v/>
      </c>
      <c r="BE30" s="10">
        <f>IF('P&amp;L'!BE45&gt;=0,BE$3,999)</f>
        <v/>
      </c>
      <c r="BF30" s="10">
        <f>IF('P&amp;L'!BF45&gt;=0,BF$3,999)</f>
        <v/>
      </c>
      <c r="BG30" s="10">
        <f>IF('P&amp;L'!BG45&gt;=0,BG$3,999)</f>
        <v/>
      </c>
      <c r="BH30" s="10">
        <f>IF('P&amp;L'!BH45&gt;=0,BH$3,999)</f>
        <v/>
      </c>
      <c r="BI30" s="10">
        <f>IF('P&amp;L'!BI45&gt;=0,BI$3,999)</f>
        <v/>
      </c>
      <c r="BJ30" s="10">
        <f>IF('P&amp;L'!BJ45&gt;=0,BJ$3,999)</f>
        <v/>
      </c>
    </row>
    <row r="31">
      <c r="A31" s="4" t="inlineStr">
        <is>
          <t>Lowest EBITDA from this month onward</t>
        </is>
      </c>
      <c r="B31" s="17" t="inlineStr">
        <is>
          <t>R</t>
        </is>
      </c>
      <c r="C31" s="8">
        <f>MIN('P&amp;L'!C45:$BJ$45)</f>
        <v/>
      </c>
      <c r="D31" s="8">
        <f>MIN('P&amp;L'!D45:$BJ$45)</f>
        <v/>
      </c>
      <c r="E31" s="8">
        <f>MIN('P&amp;L'!E45:$BJ$45)</f>
        <v/>
      </c>
      <c r="F31" s="8">
        <f>MIN('P&amp;L'!F45:$BJ$45)</f>
        <v/>
      </c>
      <c r="G31" s="8">
        <f>MIN('P&amp;L'!G45:$BJ$45)</f>
        <v/>
      </c>
      <c r="H31" s="8">
        <f>MIN('P&amp;L'!H45:$BJ$45)</f>
        <v/>
      </c>
      <c r="I31" s="8">
        <f>MIN('P&amp;L'!I45:$BJ$45)</f>
        <v/>
      </c>
      <c r="J31" s="8">
        <f>MIN('P&amp;L'!J45:$BJ$45)</f>
        <v/>
      </c>
      <c r="K31" s="8">
        <f>MIN('P&amp;L'!K45:$BJ$45)</f>
        <v/>
      </c>
      <c r="L31" s="8">
        <f>MIN('P&amp;L'!L45:$BJ$45)</f>
        <v/>
      </c>
      <c r="M31" s="8">
        <f>MIN('P&amp;L'!M45:$BJ$45)</f>
        <v/>
      </c>
      <c r="N31" s="8">
        <f>MIN('P&amp;L'!N45:$BJ$45)</f>
        <v/>
      </c>
      <c r="O31" s="8">
        <f>MIN('P&amp;L'!O45:$BJ$45)</f>
        <v/>
      </c>
      <c r="P31" s="8">
        <f>MIN('P&amp;L'!P45:$BJ$45)</f>
        <v/>
      </c>
      <c r="Q31" s="8">
        <f>MIN('P&amp;L'!Q45:$BJ$45)</f>
        <v/>
      </c>
      <c r="R31" s="8">
        <f>MIN('P&amp;L'!R45:$BJ$45)</f>
        <v/>
      </c>
      <c r="S31" s="8">
        <f>MIN('P&amp;L'!S45:$BJ$45)</f>
        <v/>
      </c>
      <c r="T31" s="8">
        <f>MIN('P&amp;L'!T45:$BJ$45)</f>
        <v/>
      </c>
      <c r="U31" s="8">
        <f>MIN('P&amp;L'!U45:$BJ$45)</f>
        <v/>
      </c>
      <c r="V31" s="8">
        <f>MIN('P&amp;L'!V45:$BJ$45)</f>
        <v/>
      </c>
      <c r="W31" s="8">
        <f>MIN('P&amp;L'!W45:$BJ$45)</f>
        <v/>
      </c>
      <c r="X31" s="8">
        <f>MIN('P&amp;L'!X45:$BJ$45)</f>
        <v/>
      </c>
      <c r="Y31" s="8">
        <f>MIN('P&amp;L'!Y45:$BJ$45)</f>
        <v/>
      </c>
      <c r="Z31" s="8">
        <f>MIN('P&amp;L'!Z45:$BJ$45)</f>
        <v/>
      </c>
      <c r="AA31" s="8">
        <f>MIN('P&amp;L'!AA45:$BJ$45)</f>
        <v/>
      </c>
      <c r="AB31" s="8">
        <f>MIN('P&amp;L'!AB45:$BJ$45)</f>
        <v/>
      </c>
      <c r="AC31" s="8">
        <f>MIN('P&amp;L'!AC45:$BJ$45)</f>
        <v/>
      </c>
      <c r="AD31" s="8">
        <f>MIN('P&amp;L'!AD45:$BJ$45)</f>
        <v/>
      </c>
      <c r="AE31" s="8">
        <f>MIN('P&amp;L'!AE45:$BJ$45)</f>
        <v/>
      </c>
      <c r="AF31" s="8">
        <f>MIN('P&amp;L'!AF45:$BJ$45)</f>
        <v/>
      </c>
      <c r="AG31" s="8">
        <f>MIN('P&amp;L'!AG45:$BJ$45)</f>
        <v/>
      </c>
      <c r="AH31" s="8">
        <f>MIN('P&amp;L'!AH45:$BJ$45)</f>
        <v/>
      </c>
      <c r="AI31" s="8">
        <f>MIN('P&amp;L'!AI45:$BJ$45)</f>
        <v/>
      </c>
      <c r="AJ31" s="8">
        <f>MIN('P&amp;L'!AJ45:$BJ$45)</f>
        <v/>
      </c>
      <c r="AK31" s="8">
        <f>MIN('P&amp;L'!AK45:$BJ$45)</f>
        <v/>
      </c>
      <c r="AL31" s="8">
        <f>MIN('P&amp;L'!AL45:$BJ$45)</f>
        <v/>
      </c>
      <c r="AM31" s="8">
        <f>MIN('P&amp;L'!AM45:$BJ$45)</f>
        <v/>
      </c>
      <c r="AN31" s="8">
        <f>MIN('P&amp;L'!AN45:$BJ$45)</f>
        <v/>
      </c>
      <c r="AO31" s="8">
        <f>MIN('P&amp;L'!AO45:$BJ$45)</f>
        <v/>
      </c>
      <c r="AP31" s="8">
        <f>MIN('P&amp;L'!AP45:$BJ$45)</f>
        <v/>
      </c>
      <c r="AQ31" s="8">
        <f>MIN('P&amp;L'!AQ45:$BJ$45)</f>
        <v/>
      </c>
      <c r="AR31" s="8">
        <f>MIN('P&amp;L'!AR45:$BJ$45)</f>
        <v/>
      </c>
      <c r="AS31" s="8">
        <f>MIN('P&amp;L'!AS45:$BJ$45)</f>
        <v/>
      </c>
      <c r="AT31" s="8">
        <f>MIN('P&amp;L'!AT45:$BJ$45)</f>
        <v/>
      </c>
      <c r="AU31" s="8">
        <f>MIN('P&amp;L'!AU45:$BJ$45)</f>
        <v/>
      </c>
      <c r="AV31" s="8">
        <f>MIN('P&amp;L'!AV45:$BJ$45)</f>
        <v/>
      </c>
      <c r="AW31" s="8">
        <f>MIN('P&amp;L'!AW45:$BJ$45)</f>
        <v/>
      </c>
      <c r="AX31" s="8">
        <f>MIN('P&amp;L'!AX45:$BJ$45)</f>
        <v/>
      </c>
      <c r="AY31" s="8">
        <f>MIN('P&amp;L'!AY45:$BJ$45)</f>
        <v/>
      </c>
      <c r="AZ31" s="8">
        <f>MIN('P&amp;L'!AZ45:$BJ$45)</f>
        <v/>
      </c>
      <c r="BA31" s="8">
        <f>MIN('P&amp;L'!BA45:$BJ$45)</f>
        <v/>
      </c>
      <c r="BB31" s="8">
        <f>MIN('P&amp;L'!BB45:$BJ$45)</f>
        <v/>
      </c>
      <c r="BC31" s="8">
        <f>MIN('P&amp;L'!BC45:$BJ$45)</f>
        <v/>
      </c>
      <c r="BD31" s="8">
        <f>MIN('P&amp;L'!BD45:$BJ$45)</f>
        <v/>
      </c>
      <c r="BE31" s="8">
        <f>MIN('P&amp;L'!BE45:$BJ$45)</f>
        <v/>
      </c>
      <c r="BF31" s="8">
        <f>MIN('P&amp;L'!BF45:$BJ$45)</f>
        <v/>
      </c>
      <c r="BG31" s="8">
        <f>MIN('P&amp;L'!BG45:$BJ$45)</f>
        <v/>
      </c>
      <c r="BH31" s="8">
        <f>MIN('P&amp;L'!BH45:$BJ$45)</f>
        <v/>
      </c>
      <c r="BI31" s="8">
        <f>MIN('P&amp;L'!BI45:$BJ$45)</f>
        <v/>
      </c>
      <c r="BJ31" s="8">
        <f>MIN('P&amp;L'!BJ45:$BJ$45)</f>
        <v/>
      </c>
    </row>
    <row r="32">
      <c r="A32" s="4" t="inlineStr">
        <is>
          <t>EBITDA stays &gt;= 0 from this month (month #)</t>
        </is>
      </c>
      <c r="B32" s="17" t="inlineStr">
        <is>
          <t>month #</t>
        </is>
      </c>
      <c r="C32" s="10">
        <f>IF(C31&gt;=0,C$3,999)</f>
        <v/>
      </c>
      <c r="D32" s="10">
        <f>IF(D31&gt;=0,D$3,999)</f>
        <v/>
      </c>
      <c r="E32" s="10">
        <f>IF(E31&gt;=0,E$3,999)</f>
        <v/>
      </c>
      <c r="F32" s="10">
        <f>IF(F31&gt;=0,F$3,999)</f>
        <v/>
      </c>
      <c r="G32" s="10">
        <f>IF(G31&gt;=0,G$3,999)</f>
        <v/>
      </c>
      <c r="H32" s="10">
        <f>IF(H31&gt;=0,H$3,999)</f>
        <v/>
      </c>
      <c r="I32" s="10">
        <f>IF(I31&gt;=0,I$3,999)</f>
        <v/>
      </c>
      <c r="J32" s="10">
        <f>IF(J31&gt;=0,J$3,999)</f>
        <v/>
      </c>
      <c r="K32" s="10">
        <f>IF(K31&gt;=0,K$3,999)</f>
        <v/>
      </c>
      <c r="L32" s="10">
        <f>IF(L31&gt;=0,L$3,999)</f>
        <v/>
      </c>
      <c r="M32" s="10">
        <f>IF(M31&gt;=0,M$3,999)</f>
        <v/>
      </c>
      <c r="N32" s="10">
        <f>IF(N31&gt;=0,N$3,999)</f>
        <v/>
      </c>
      <c r="O32" s="10">
        <f>IF(O31&gt;=0,O$3,999)</f>
        <v/>
      </c>
      <c r="P32" s="10">
        <f>IF(P31&gt;=0,P$3,999)</f>
        <v/>
      </c>
      <c r="Q32" s="10">
        <f>IF(Q31&gt;=0,Q$3,999)</f>
        <v/>
      </c>
      <c r="R32" s="10">
        <f>IF(R31&gt;=0,R$3,999)</f>
        <v/>
      </c>
      <c r="S32" s="10">
        <f>IF(S31&gt;=0,S$3,999)</f>
        <v/>
      </c>
      <c r="T32" s="10">
        <f>IF(T31&gt;=0,T$3,999)</f>
        <v/>
      </c>
      <c r="U32" s="10">
        <f>IF(U31&gt;=0,U$3,999)</f>
        <v/>
      </c>
      <c r="V32" s="10">
        <f>IF(V31&gt;=0,V$3,999)</f>
        <v/>
      </c>
      <c r="W32" s="10">
        <f>IF(W31&gt;=0,W$3,999)</f>
        <v/>
      </c>
      <c r="X32" s="10">
        <f>IF(X31&gt;=0,X$3,999)</f>
        <v/>
      </c>
      <c r="Y32" s="10">
        <f>IF(Y31&gt;=0,Y$3,999)</f>
        <v/>
      </c>
      <c r="Z32" s="10">
        <f>IF(Z31&gt;=0,Z$3,999)</f>
        <v/>
      </c>
      <c r="AA32" s="10">
        <f>IF(AA31&gt;=0,AA$3,999)</f>
        <v/>
      </c>
      <c r="AB32" s="10">
        <f>IF(AB31&gt;=0,AB$3,999)</f>
        <v/>
      </c>
      <c r="AC32" s="10">
        <f>IF(AC31&gt;=0,AC$3,999)</f>
        <v/>
      </c>
      <c r="AD32" s="10">
        <f>IF(AD31&gt;=0,AD$3,999)</f>
        <v/>
      </c>
      <c r="AE32" s="10">
        <f>IF(AE31&gt;=0,AE$3,999)</f>
        <v/>
      </c>
      <c r="AF32" s="10">
        <f>IF(AF31&gt;=0,AF$3,999)</f>
        <v/>
      </c>
      <c r="AG32" s="10">
        <f>IF(AG31&gt;=0,AG$3,999)</f>
        <v/>
      </c>
      <c r="AH32" s="10">
        <f>IF(AH31&gt;=0,AH$3,999)</f>
        <v/>
      </c>
      <c r="AI32" s="10">
        <f>IF(AI31&gt;=0,AI$3,999)</f>
        <v/>
      </c>
      <c r="AJ32" s="10">
        <f>IF(AJ31&gt;=0,AJ$3,999)</f>
        <v/>
      </c>
      <c r="AK32" s="10">
        <f>IF(AK31&gt;=0,AK$3,999)</f>
        <v/>
      </c>
      <c r="AL32" s="10">
        <f>IF(AL31&gt;=0,AL$3,999)</f>
        <v/>
      </c>
      <c r="AM32" s="10">
        <f>IF(AM31&gt;=0,AM$3,999)</f>
        <v/>
      </c>
      <c r="AN32" s="10">
        <f>IF(AN31&gt;=0,AN$3,999)</f>
        <v/>
      </c>
      <c r="AO32" s="10">
        <f>IF(AO31&gt;=0,AO$3,999)</f>
        <v/>
      </c>
      <c r="AP32" s="10">
        <f>IF(AP31&gt;=0,AP$3,999)</f>
        <v/>
      </c>
      <c r="AQ32" s="10">
        <f>IF(AQ31&gt;=0,AQ$3,999)</f>
        <v/>
      </c>
      <c r="AR32" s="10">
        <f>IF(AR31&gt;=0,AR$3,999)</f>
        <v/>
      </c>
      <c r="AS32" s="10">
        <f>IF(AS31&gt;=0,AS$3,999)</f>
        <v/>
      </c>
      <c r="AT32" s="10">
        <f>IF(AT31&gt;=0,AT$3,999)</f>
        <v/>
      </c>
      <c r="AU32" s="10">
        <f>IF(AU31&gt;=0,AU$3,999)</f>
        <v/>
      </c>
      <c r="AV32" s="10">
        <f>IF(AV31&gt;=0,AV$3,999)</f>
        <v/>
      </c>
      <c r="AW32" s="10">
        <f>IF(AW31&gt;=0,AW$3,999)</f>
        <v/>
      </c>
      <c r="AX32" s="10">
        <f>IF(AX31&gt;=0,AX$3,999)</f>
        <v/>
      </c>
      <c r="AY32" s="10">
        <f>IF(AY31&gt;=0,AY$3,999)</f>
        <v/>
      </c>
      <c r="AZ32" s="10">
        <f>IF(AZ31&gt;=0,AZ$3,999)</f>
        <v/>
      </c>
      <c r="BA32" s="10">
        <f>IF(BA31&gt;=0,BA$3,999)</f>
        <v/>
      </c>
      <c r="BB32" s="10">
        <f>IF(BB31&gt;=0,BB$3,999)</f>
        <v/>
      </c>
      <c r="BC32" s="10">
        <f>IF(BC31&gt;=0,BC$3,999)</f>
        <v/>
      </c>
      <c r="BD32" s="10">
        <f>IF(BD31&gt;=0,BD$3,999)</f>
        <v/>
      </c>
      <c r="BE32" s="10">
        <f>IF(BE31&gt;=0,BE$3,999)</f>
        <v/>
      </c>
      <c r="BF32" s="10">
        <f>IF(BF31&gt;=0,BF$3,999)</f>
        <v/>
      </c>
      <c r="BG32" s="10">
        <f>IF(BG31&gt;=0,BG$3,999)</f>
        <v/>
      </c>
      <c r="BH32" s="10">
        <f>IF(BH31&gt;=0,BH$3,999)</f>
        <v/>
      </c>
      <c r="BI32" s="10">
        <f>IF(BI31&gt;=0,BI$3,999)</f>
        <v/>
      </c>
      <c r="BJ32" s="10">
        <f>IF(BJ31&gt;=0,BJ$3,999)</f>
        <v/>
      </c>
    </row>
    <row r="33">
      <c r="A33" s="4" t="inlineStr">
        <is>
          <t>Operating cash flow &gt;= 0 (month #)</t>
        </is>
      </c>
      <c r="B33" s="17" t="inlineStr">
        <is>
          <t>month #</t>
        </is>
      </c>
      <c r="C33" s="10">
        <f>IF(C14&gt;=0,C$3,999)</f>
        <v/>
      </c>
      <c r="D33" s="10">
        <f>IF(D14&gt;=0,D$3,999)</f>
        <v/>
      </c>
      <c r="E33" s="10">
        <f>IF(E14&gt;=0,E$3,999)</f>
        <v/>
      </c>
      <c r="F33" s="10">
        <f>IF(F14&gt;=0,F$3,999)</f>
        <v/>
      </c>
      <c r="G33" s="10">
        <f>IF(G14&gt;=0,G$3,999)</f>
        <v/>
      </c>
      <c r="H33" s="10">
        <f>IF(H14&gt;=0,H$3,999)</f>
        <v/>
      </c>
      <c r="I33" s="10">
        <f>IF(I14&gt;=0,I$3,999)</f>
        <v/>
      </c>
      <c r="J33" s="10">
        <f>IF(J14&gt;=0,J$3,999)</f>
        <v/>
      </c>
      <c r="K33" s="10">
        <f>IF(K14&gt;=0,K$3,999)</f>
        <v/>
      </c>
      <c r="L33" s="10">
        <f>IF(L14&gt;=0,L$3,999)</f>
        <v/>
      </c>
      <c r="M33" s="10">
        <f>IF(M14&gt;=0,M$3,999)</f>
        <v/>
      </c>
      <c r="N33" s="10">
        <f>IF(N14&gt;=0,N$3,999)</f>
        <v/>
      </c>
      <c r="O33" s="10">
        <f>IF(O14&gt;=0,O$3,999)</f>
        <v/>
      </c>
      <c r="P33" s="10">
        <f>IF(P14&gt;=0,P$3,999)</f>
        <v/>
      </c>
      <c r="Q33" s="10">
        <f>IF(Q14&gt;=0,Q$3,999)</f>
        <v/>
      </c>
      <c r="R33" s="10">
        <f>IF(R14&gt;=0,R$3,999)</f>
        <v/>
      </c>
      <c r="S33" s="10">
        <f>IF(S14&gt;=0,S$3,999)</f>
        <v/>
      </c>
      <c r="T33" s="10">
        <f>IF(T14&gt;=0,T$3,999)</f>
        <v/>
      </c>
      <c r="U33" s="10">
        <f>IF(U14&gt;=0,U$3,999)</f>
        <v/>
      </c>
      <c r="V33" s="10">
        <f>IF(V14&gt;=0,V$3,999)</f>
        <v/>
      </c>
      <c r="W33" s="10">
        <f>IF(W14&gt;=0,W$3,999)</f>
        <v/>
      </c>
      <c r="X33" s="10">
        <f>IF(X14&gt;=0,X$3,999)</f>
        <v/>
      </c>
      <c r="Y33" s="10">
        <f>IF(Y14&gt;=0,Y$3,999)</f>
        <v/>
      </c>
      <c r="Z33" s="10">
        <f>IF(Z14&gt;=0,Z$3,999)</f>
        <v/>
      </c>
      <c r="AA33" s="10">
        <f>IF(AA14&gt;=0,AA$3,999)</f>
        <v/>
      </c>
      <c r="AB33" s="10">
        <f>IF(AB14&gt;=0,AB$3,999)</f>
        <v/>
      </c>
      <c r="AC33" s="10">
        <f>IF(AC14&gt;=0,AC$3,999)</f>
        <v/>
      </c>
      <c r="AD33" s="10">
        <f>IF(AD14&gt;=0,AD$3,999)</f>
        <v/>
      </c>
      <c r="AE33" s="10">
        <f>IF(AE14&gt;=0,AE$3,999)</f>
        <v/>
      </c>
      <c r="AF33" s="10">
        <f>IF(AF14&gt;=0,AF$3,999)</f>
        <v/>
      </c>
      <c r="AG33" s="10">
        <f>IF(AG14&gt;=0,AG$3,999)</f>
        <v/>
      </c>
      <c r="AH33" s="10">
        <f>IF(AH14&gt;=0,AH$3,999)</f>
        <v/>
      </c>
      <c r="AI33" s="10">
        <f>IF(AI14&gt;=0,AI$3,999)</f>
        <v/>
      </c>
      <c r="AJ33" s="10">
        <f>IF(AJ14&gt;=0,AJ$3,999)</f>
        <v/>
      </c>
      <c r="AK33" s="10">
        <f>IF(AK14&gt;=0,AK$3,999)</f>
        <v/>
      </c>
      <c r="AL33" s="10">
        <f>IF(AL14&gt;=0,AL$3,999)</f>
        <v/>
      </c>
      <c r="AM33" s="10">
        <f>IF(AM14&gt;=0,AM$3,999)</f>
        <v/>
      </c>
      <c r="AN33" s="10">
        <f>IF(AN14&gt;=0,AN$3,999)</f>
        <v/>
      </c>
      <c r="AO33" s="10">
        <f>IF(AO14&gt;=0,AO$3,999)</f>
        <v/>
      </c>
      <c r="AP33" s="10">
        <f>IF(AP14&gt;=0,AP$3,999)</f>
        <v/>
      </c>
      <c r="AQ33" s="10">
        <f>IF(AQ14&gt;=0,AQ$3,999)</f>
        <v/>
      </c>
      <c r="AR33" s="10">
        <f>IF(AR14&gt;=0,AR$3,999)</f>
        <v/>
      </c>
      <c r="AS33" s="10">
        <f>IF(AS14&gt;=0,AS$3,999)</f>
        <v/>
      </c>
      <c r="AT33" s="10">
        <f>IF(AT14&gt;=0,AT$3,999)</f>
        <v/>
      </c>
      <c r="AU33" s="10">
        <f>IF(AU14&gt;=0,AU$3,999)</f>
        <v/>
      </c>
      <c r="AV33" s="10">
        <f>IF(AV14&gt;=0,AV$3,999)</f>
        <v/>
      </c>
      <c r="AW33" s="10">
        <f>IF(AW14&gt;=0,AW$3,999)</f>
        <v/>
      </c>
      <c r="AX33" s="10">
        <f>IF(AX14&gt;=0,AX$3,999)</f>
        <v/>
      </c>
      <c r="AY33" s="10">
        <f>IF(AY14&gt;=0,AY$3,999)</f>
        <v/>
      </c>
      <c r="AZ33" s="10">
        <f>IF(AZ14&gt;=0,AZ$3,999)</f>
        <v/>
      </c>
      <c r="BA33" s="10">
        <f>IF(BA14&gt;=0,BA$3,999)</f>
        <v/>
      </c>
      <c r="BB33" s="10">
        <f>IF(BB14&gt;=0,BB$3,999)</f>
        <v/>
      </c>
      <c r="BC33" s="10">
        <f>IF(BC14&gt;=0,BC$3,999)</f>
        <v/>
      </c>
      <c r="BD33" s="10">
        <f>IF(BD14&gt;=0,BD$3,999)</f>
        <v/>
      </c>
      <c r="BE33" s="10">
        <f>IF(BE14&gt;=0,BE$3,999)</f>
        <v/>
      </c>
      <c r="BF33" s="10">
        <f>IF(BF14&gt;=0,BF$3,999)</f>
        <v/>
      </c>
      <c r="BG33" s="10">
        <f>IF(BG14&gt;=0,BG$3,999)</f>
        <v/>
      </c>
      <c r="BH33" s="10">
        <f>IF(BH14&gt;=0,BH$3,999)</f>
        <v/>
      </c>
      <c r="BI33" s="10">
        <f>IF(BI14&gt;=0,BI$3,999)</f>
        <v/>
      </c>
      <c r="BJ33" s="10">
        <f>IF(BJ14&gt;=0,BJ$3,999)</f>
        <v/>
      </c>
    </row>
    <row r="34">
      <c r="A34" s="4" t="inlineStr">
        <is>
          <t>Lowest operating cash flow from this month onward</t>
        </is>
      </c>
      <c r="B34" s="17" t="inlineStr">
        <is>
          <t>R</t>
        </is>
      </c>
      <c r="C34" s="8">
        <f>MIN(C14:$BJ$14)</f>
        <v/>
      </c>
      <c r="D34" s="8">
        <f>MIN(D14:$BJ$14)</f>
        <v/>
      </c>
      <c r="E34" s="8">
        <f>MIN(E14:$BJ$14)</f>
        <v/>
      </c>
      <c r="F34" s="8">
        <f>MIN(F14:$BJ$14)</f>
        <v/>
      </c>
      <c r="G34" s="8">
        <f>MIN(G14:$BJ$14)</f>
        <v/>
      </c>
      <c r="H34" s="8">
        <f>MIN(H14:$BJ$14)</f>
        <v/>
      </c>
      <c r="I34" s="8">
        <f>MIN(I14:$BJ$14)</f>
        <v/>
      </c>
      <c r="J34" s="8">
        <f>MIN(J14:$BJ$14)</f>
        <v/>
      </c>
      <c r="K34" s="8">
        <f>MIN(K14:$BJ$14)</f>
        <v/>
      </c>
      <c r="L34" s="8">
        <f>MIN(L14:$BJ$14)</f>
        <v/>
      </c>
      <c r="M34" s="8">
        <f>MIN(M14:$BJ$14)</f>
        <v/>
      </c>
      <c r="N34" s="8">
        <f>MIN(N14:$BJ$14)</f>
        <v/>
      </c>
      <c r="O34" s="8">
        <f>MIN(O14:$BJ$14)</f>
        <v/>
      </c>
      <c r="P34" s="8">
        <f>MIN(P14:$BJ$14)</f>
        <v/>
      </c>
      <c r="Q34" s="8">
        <f>MIN(Q14:$BJ$14)</f>
        <v/>
      </c>
      <c r="R34" s="8">
        <f>MIN(R14:$BJ$14)</f>
        <v/>
      </c>
      <c r="S34" s="8">
        <f>MIN(S14:$BJ$14)</f>
        <v/>
      </c>
      <c r="T34" s="8">
        <f>MIN(T14:$BJ$14)</f>
        <v/>
      </c>
      <c r="U34" s="8">
        <f>MIN(U14:$BJ$14)</f>
        <v/>
      </c>
      <c r="V34" s="8">
        <f>MIN(V14:$BJ$14)</f>
        <v/>
      </c>
      <c r="W34" s="8">
        <f>MIN(W14:$BJ$14)</f>
        <v/>
      </c>
      <c r="X34" s="8">
        <f>MIN(X14:$BJ$14)</f>
        <v/>
      </c>
      <c r="Y34" s="8">
        <f>MIN(Y14:$BJ$14)</f>
        <v/>
      </c>
      <c r="Z34" s="8">
        <f>MIN(Z14:$BJ$14)</f>
        <v/>
      </c>
      <c r="AA34" s="8">
        <f>MIN(AA14:$BJ$14)</f>
        <v/>
      </c>
      <c r="AB34" s="8">
        <f>MIN(AB14:$BJ$14)</f>
        <v/>
      </c>
      <c r="AC34" s="8">
        <f>MIN(AC14:$BJ$14)</f>
        <v/>
      </c>
      <c r="AD34" s="8">
        <f>MIN(AD14:$BJ$14)</f>
        <v/>
      </c>
      <c r="AE34" s="8">
        <f>MIN(AE14:$BJ$14)</f>
        <v/>
      </c>
      <c r="AF34" s="8">
        <f>MIN(AF14:$BJ$14)</f>
        <v/>
      </c>
      <c r="AG34" s="8">
        <f>MIN(AG14:$BJ$14)</f>
        <v/>
      </c>
      <c r="AH34" s="8">
        <f>MIN(AH14:$BJ$14)</f>
        <v/>
      </c>
      <c r="AI34" s="8">
        <f>MIN(AI14:$BJ$14)</f>
        <v/>
      </c>
      <c r="AJ34" s="8">
        <f>MIN(AJ14:$BJ$14)</f>
        <v/>
      </c>
      <c r="AK34" s="8">
        <f>MIN(AK14:$BJ$14)</f>
        <v/>
      </c>
      <c r="AL34" s="8">
        <f>MIN(AL14:$BJ$14)</f>
        <v/>
      </c>
      <c r="AM34" s="8">
        <f>MIN(AM14:$BJ$14)</f>
        <v/>
      </c>
      <c r="AN34" s="8">
        <f>MIN(AN14:$BJ$14)</f>
        <v/>
      </c>
      <c r="AO34" s="8">
        <f>MIN(AO14:$BJ$14)</f>
        <v/>
      </c>
      <c r="AP34" s="8">
        <f>MIN(AP14:$BJ$14)</f>
        <v/>
      </c>
      <c r="AQ34" s="8">
        <f>MIN(AQ14:$BJ$14)</f>
        <v/>
      </c>
      <c r="AR34" s="8">
        <f>MIN(AR14:$BJ$14)</f>
        <v/>
      </c>
      <c r="AS34" s="8">
        <f>MIN(AS14:$BJ$14)</f>
        <v/>
      </c>
      <c r="AT34" s="8">
        <f>MIN(AT14:$BJ$14)</f>
        <v/>
      </c>
      <c r="AU34" s="8">
        <f>MIN(AU14:$BJ$14)</f>
        <v/>
      </c>
      <c r="AV34" s="8">
        <f>MIN(AV14:$BJ$14)</f>
        <v/>
      </c>
      <c r="AW34" s="8">
        <f>MIN(AW14:$BJ$14)</f>
        <v/>
      </c>
      <c r="AX34" s="8">
        <f>MIN(AX14:$BJ$14)</f>
        <v/>
      </c>
      <c r="AY34" s="8">
        <f>MIN(AY14:$BJ$14)</f>
        <v/>
      </c>
      <c r="AZ34" s="8">
        <f>MIN(AZ14:$BJ$14)</f>
        <v/>
      </c>
      <c r="BA34" s="8">
        <f>MIN(BA14:$BJ$14)</f>
        <v/>
      </c>
      <c r="BB34" s="8">
        <f>MIN(BB14:$BJ$14)</f>
        <v/>
      </c>
      <c r="BC34" s="8">
        <f>MIN(BC14:$BJ$14)</f>
        <v/>
      </c>
      <c r="BD34" s="8">
        <f>MIN(BD14:$BJ$14)</f>
        <v/>
      </c>
      <c r="BE34" s="8">
        <f>MIN(BE14:$BJ$14)</f>
        <v/>
      </c>
      <c r="BF34" s="8">
        <f>MIN(BF14:$BJ$14)</f>
        <v/>
      </c>
      <c r="BG34" s="8">
        <f>MIN(BG14:$BJ$14)</f>
        <v/>
      </c>
      <c r="BH34" s="8">
        <f>MIN(BH14:$BJ$14)</f>
        <v/>
      </c>
      <c r="BI34" s="8">
        <f>MIN(BI14:$BJ$14)</f>
        <v/>
      </c>
      <c r="BJ34" s="8">
        <f>MIN(BJ14:$BJ$14)</f>
        <v/>
      </c>
    </row>
    <row r="35">
      <c r="A35" s="4" t="inlineStr">
        <is>
          <t>Operating cash flow stays &gt;= 0 from this month (month #)</t>
        </is>
      </c>
      <c r="B35" s="17" t="inlineStr">
        <is>
          <t>month #</t>
        </is>
      </c>
      <c r="C35" s="10">
        <f>IF(C34&gt;=0,C$3,999)</f>
        <v/>
      </c>
      <c r="D35" s="10">
        <f>IF(D34&gt;=0,D$3,999)</f>
        <v/>
      </c>
      <c r="E35" s="10">
        <f>IF(E34&gt;=0,E$3,999)</f>
        <v/>
      </c>
      <c r="F35" s="10">
        <f>IF(F34&gt;=0,F$3,999)</f>
        <v/>
      </c>
      <c r="G35" s="10">
        <f>IF(G34&gt;=0,G$3,999)</f>
        <v/>
      </c>
      <c r="H35" s="10">
        <f>IF(H34&gt;=0,H$3,999)</f>
        <v/>
      </c>
      <c r="I35" s="10">
        <f>IF(I34&gt;=0,I$3,999)</f>
        <v/>
      </c>
      <c r="J35" s="10">
        <f>IF(J34&gt;=0,J$3,999)</f>
        <v/>
      </c>
      <c r="K35" s="10">
        <f>IF(K34&gt;=0,K$3,999)</f>
        <v/>
      </c>
      <c r="L35" s="10">
        <f>IF(L34&gt;=0,L$3,999)</f>
        <v/>
      </c>
      <c r="M35" s="10">
        <f>IF(M34&gt;=0,M$3,999)</f>
        <v/>
      </c>
      <c r="N35" s="10">
        <f>IF(N34&gt;=0,N$3,999)</f>
        <v/>
      </c>
      <c r="O35" s="10">
        <f>IF(O34&gt;=0,O$3,999)</f>
        <v/>
      </c>
      <c r="P35" s="10">
        <f>IF(P34&gt;=0,P$3,999)</f>
        <v/>
      </c>
      <c r="Q35" s="10">
        <f>IF(Q34&gt;=0,Q$3,999)</f>
        <v/>
      </c>
      <c r="R35" s="10">
        <f>IF(R34&gt;=0,R$3,999)</f>
        <v/>
      </c>
      <c r="S35" s="10">
        <f>IF(S34&gt;=0,S$3,999)</f>
        <v/>
      </c>
      <c r="T35" s="10">
        <f>IF(T34&gt;=0,T$3,999)</f>
        <v/>
      </c>
      <c r="U35" s="10">
        <f>IF(U34&gt;=0,U$3,999)</f>
        <v/>
      </c>
      <c r="V35" s="10">
        <f>IF(V34&gt;=0,V$3,999)</f>
        <v/>
      </c>
      <c r="W35" s="10">
        <f>IF(W34&gt;=0,W$3,999)</f>
        <v/>
      </c>
      <c r="X35" s="10">
        <f>IF(X34&gt;=0,X$3,999)</f>
        <v/>
      </c>
      <c r="Y35" s="10">
        <f>IF(Y34&gt;=0,Y$3,999)</f>
        <v/>
      </c>
      <c r="Z35" s="10">
        <f>IF(Z34&gt;=0,Z$3,999)</f>
        <v/>
      </c>
      <c r="AA35" s="10">
        <f>IF(AA34&gt;=0,AA$3,999)</f>
        <v/>
      </c>
      <c r="AB35" s="10">
        <f>IF(AB34&gt;=0,AB$3,999)</f>
        <v/>
      </c>
      <c r="AC35" s="10">
        <f>IF(AC34&gt;=0,AC$3,999)</f>
        <v/>
      </c>
      <c r="AD35" s="10">
        <f>IF(AD34&gt;=0,AD$3,999)</f>
        <v/>
      </c>
      <c r="AE35" s="10">
        <f>IF(AE34&gt;=0,AE$3,999)</f>
        <v/>
      </c>
      <c r="AF35" s="10">
        <f>IF(AF34&gt;=0,AF$3,999)</f>
        <v/>
      </c>
      <c r="AG35" s="10">
        <f>IF(AG34&gt;=0,AG$3,999)</f>
        <v/>
      </c>
      <c r="AH35" s="10">
        <f>IF(AH34&gt;=0,AH$3,999)</f>
        <v/>
      </c>
      <c r="AI35" s="10">
        <f>IF(AI34&gt;=0,AI$3,999)</f>
        <v/>
      </c>
      <c r="AJ35" s="10">
        <f>IF(AJ34&gt;=0,AJ$3,999)</f>
        <v/>
      </c>
      <c r="AK35" s="10">
        <f>IF(AK34&gt;=0,AK$3,999)</f>
        <v/>
      </c>
      <c r="AL35" s="10">
        <f>IF(AL34&gt;=0,AL$3,999)</f>
        <v/>
      </c>
      <c r="AM35" s="10">
        <f>IF(AM34&gt;=0,AM$3,999)</f>
        <v/>
      </c>
      <c r="AN35" s="10">
        <f>IF(AN34&gt;=0,AN$3,999)</f>
        <v/>
      </c>
      <c r="AO35" s="10">
        <f>IF(AO34&gt;=0,AO$3,999)</f>
        <v/>
      </c>
      <c r="AP35" s="10">
        <f>IF(AP34&gt;=0,AP$3,999)</f>
        <v/>
      </c>
      <c r="AQ35" s="10">
        <f>IF(AQ34&gt;=0,AQ$3,999)</f>
        <v/>
      </c>
      <c r="AR35" s="10">
        <f>IF(AR34&gt;=0,AR$3,999)</f>
        <v/>
      </c>
      <c r="AS35" s="10">
        <f>IF(AS34&gt;=0,AS$3,999)</f>
        <v/>
      </c>
      <c r="AT35" s="10">
        <f>IF(AT34&gt;=0,AT$3,999)</f>
        <v/>
      </c>
      <c r="AU35" s="10">
        <f>IF(AU34&gt;=0,AU$3,999)</f>
        <v/>
      </c>
      <c r="AV35" s="10">
        <f>IF(AV34&gt;=0,AV$3,999)</f>
        <v/>
      </c>
      <c r="AW35" s="10">
        <f>IF(AW34&gt;=0,AW$3,999)</f>
        <v/>
      </c>
      <c r="AX35" s="10">
        <f>IF(AX34&gt;=0,AX$3,999)</f>
        <v/>
      </c>
      <c r="AY35" s="10">
        <f>IF(AY34&gt;=0,AY$3,999)</f>
        <v/>
      </c>
      <c r="AZ35" s="10">
        <f>IF(AZ34&gt;=0,AZ$3,999)</f>
        <v/>
      </c>
      <c r="BA35" s="10">
        <f>IF(BA34&gt;=0,BA$3,999)</f>
        <v/>
      </c>
      <c r="BB35" s="10">
        <f>IF(BB34&gt;=0,BB$3,999)</f>
        <v/>
      </c>
      <c r="BC35" s="10">
        <f>IF(BC34&gt;=0,BC$3,999)</f>
        <v/>
      </c>
      <c r="BD35" s="10">
        <f>IF(BD34&gt;=0,BD$3,999)</f>
        <v/>
      </c>
      <c r="BE35" s="10">
        <f>IF(BE34&gt;=0,BE$3,999)</f>
        <v/>
      </c>
      <c r="BF35" s="10">
        <f>IF(BF34&gt;=0,BF$3,999)</f>
        <v/>
      </c>
      <c r="BG35" s="10">
        <f>IF(BG34&gt;=0,BG$3,999)</f>
        <v/>
      </c>
      <c r="BH35" s="10">
        <f>IF(BH34&gt;=0,BH$3,999)</f>
        <v/>
      </c>
      <c r="BI35" s="10">
        <f>IF(BI34&gt;=0,BI$3,999)</f>
        <v/>
      </c>
      <c r="BJ35" s="10">
        <f>IF(BJ34&gt;=0,BJ$3,999)</f>
        <v/>
      </c>
    </row>
    <row r="36">
      <c r="A36" s="4" t="inlineStr">
        <is>
          <t>Closing cash &lt; 0 after the seed lands (month #)</t>
        </is>
      </c>
      <c r="B36" s="17" t="inlineStr">
        <is>
          <t>month #</t>
        </is>
      </c>
      <c r="C36" s="10">
        <f>IF(AND(C$3&gt;=Assumptions!$B$14,C23&lt;0),C$3,999)</f>
        <v/>
      </c>
      <c r="D36" s="10">
        <f>IF(AND(D$3&gt;=Assumptions!$B$14,D23&lt;0),D$3,999)</f>
        <v/>
      </c>
      <c r="E36" s="10">
        <f>IF(AND(E$3&gt;=Assumptions!$B$14,E23&lt;0),E$3,999)</f>
        <v/>
      </c>
      <c r="F36" s="10">
        <f>IF(AND(F$3&gt;=Assumptions!$B$14,F23&lt;0),F$3,999)</f>
        <v/>
      </c>
      <c r="G36" s="10">
        <f>IF(AND(G$3&gt;=Assumptions!$B$14,G23&lt;0),G$3,999)</f>
        <v/>
      </c>
      <c r="H36" s="10">
        <f>IF(AND(H$3&gt;=Assumptions!$B$14,H23&lt;0),H$3,999)</f>
        <v/>
      </c>
      <c r="I36" s="10">
        <f>IF(AND(I$3&gt;=Assumptions!$B$14,I23&lt;0),I$3,999)</f>
        <v/>
      </c>
      <c r="J36" s="10">
        <f>IF(AND(J$3&gt;=Assumptions!$B$14,J23&lt;0),J$3,999)</f>
        <v/>
      </c>
      <c r="K36" s="10">
        <f>IF(AND(K$3&gt;=Assumptions!$B$14,K23&lt;0),K$3,999)</f>
        <v/>
      </c>
      <c r="L36" s="10">
        <f>IF(AND(L$3&gt;=Assumptions!$B$14,L23&lt;0),L$3,999)</f>
        <v/>
      </c>
      <c r="M36" s="10">
        <f>IF(AND(M$3&gt;=Assumptions!$B$14,M23&lt;0),M$3,999)</f>
        <v/>
      </c>
      <c r="N36" s="10">
        <f>IF(AND(N$3&gt;=Assumptions!$B$14,N23&lt;0),N$3,999)</f>
        <v/>
      </c>
      <c r="O36" s="10">
        <f>IF(AND(O$3&gt;=Assumptions!$B$14,O23&lt;0),O$3,999)</f>
        <v/>
      </c>
      <c r="P36" s="10">
        <f>IF(AND(P$3&gt;=Assumptions!$B$14,P23&lt;0),P$3,999)</f>
        <v/>
      </c>
      <c r="Q36" s="10">
        <f>IF(AND(Q$3&gt;=Assumptions!$B$14,Q23&lt;0),Q$3,999)</f>
        <v/>
      </c>
      <c r="R36" s="10">
        <f>IF(AND(R$3&gt;=Assumptions!$B$14,R23&lt;0),R$3,999)</f>
        <v/>
      </c>
      <c r="S36" s="10">
        <f>IF(AND(S$3&gt;=Assumptions!$B$14,S23&lt;0),S$3,999)</f>
        <v/>
      </c>
      <c r="T36" s="10">
        <f>IF(AND(T$3&gt;=Assumptions!$B$14,T23&lt;0),T$3,999)</f>
        <v/>
      </c>
      <c r="U36" s="10">
        <f>IF(AND(U$3&gt;=Assumptions!$B$14,U23&lt;0),U$3,999)</f>
        <v/>
      </c>
      <c r="V36" s="10">
        <f>IF(AND(V$3&gt;=Assumptions!$B$14,V23&lt;0),V$3,999)</f>
        <v/>
      </c>
      <c r="W36" s="10">
        <f>IF(AND(W$3&gt;=Assumptions!$B$14,W23&lt;0),W$3,999)</f>
        <v/>
      </c>
      <c r="X36" s="10">
        <f>IF(AND(X$3&gt;=Assumptions!$B$14,X23&lt;0),X$3,999)</f>
        <v/>
      </c>
      <c r="Y36" s="10">
        <f>IF(AND(Y$3&gt;=Assumptions!$B$14,Y23&lt;0),Y$3,999)</f>
        <v/>
      </c>
      <c r="Z36" s="10">
        <f>IF(AND(Z$3&gt;=Assumptions!$B$14,Z23&lt;0),Z$3,999)</f>
        <v/>
      </c>
      <c r="AA36" s="10">
        <f>IF(AND(AA$3&gt;=Assumptions!$B$14,AA23&lt;0),AA$3,999)</f>
        <v/>
      </c>
      <c r="AB36" s="10">
        <f>IF(AND(AB$3&gt;=Assumptions!$B$14,AB23&lt;0),AB$3,999)</f>
        <v/>
      </c>
      <c r="AC36" s="10">
        <f>IF(AND(AC$3&gt;=Assumptions!$B$14,AC23&lt;0),AC$3,999)</f>
        <v/>
      </c>
      <c r="AD36" s="10">
        <f>IF(AND(AD$3&gt;=Assumptions!$B$14,AD23&lt;0),AD$3,999)</f>
        <v/>
      </c>
      <c r="AE36" s="10">
        <f>IF(AND(AE$3&gt;=Assumptions!$B$14,AE23&lt;0),AE$3,999)</f>
        <v/>
      </c>
      <c r="AF36" s="10">
        <f>IF(AND(AF$3&gt;=Assumptions!$B$14,AF23&lt;0),AF$3,999)</f>
        <v/>
      </c>
      <c r="AG36" s="10">
        <f>IF(AND(AG$3&gt;=Assumptions!$B$14,AG23&lt;0),AG$3,999)</f>
        <v/>
      </c>
      <c r="AH36" s="10">
        <f>IF(AND(AH$3&gt;=Assumptions!$B$14,AH23&lt;0),AH$3,999)</f>
        <v/>
      </c>
      <c r="AI36" s="10">
        <f>IF(AND(AI$3&gt;=Assumptions!$B$14,AI23&lt;0),AI$3,999)</f>
        <v/>
      </c>
      <c r="AJ36" s="10">
        <f>IF(AND(AJ$3&gt;=Assumptions!$B$14,AJ23&lt;0),AJ$3,999)</f>
        <v/>
      </c>
      <c r="AK36" s="10">
        <f>IF(AND(AK$3&gt;=Assumptions!$B$14,AK23&lt;0),AK$3,999)</f>
        <v/>
      </c>
      <c r="AL36" s="10">
        <f>IF(AND(AL$3&gt;=Assumptions!$B$14,AL23&lt;0),AL$3,999)</f>
        <v/>
      </c>
      <c r="AM36" s="10">
        <f>IF(AND(AM$3&gt;=Assumptions!$B$14,AM23&lt;0),AM$3,999)</f>
        <v/>
      </c>
      <c r="AN36" s="10">
        <f>IF(AND(AN$3&gt;=Assumptions!$B$14,AN23&lt;0),AN$3,999)</f>
        <v/>
      </c>
      <c r="AO36" s="10">
        <f>IF(AND(AO$3&gt;=Assumptions!$B$14,AO23&lt;0),AO$3,999)</f>
        <v/>
      </c>
      <c r="AP36" s="10">
        <f>IF(AND(AP$3&gt;=Assumptions!$B$14,AP23&lt;0),AP$3,999)</f>
        <v/>
      </c>
      <c r="AQ36" s="10">
        <f>IF(AND(AQ$3&gt;=Assumptions!$B$14,AQ23&lt;0),AQ$3,999)</f>
        <v/>
      </c>
      <c r="AR36" s="10">
        <f>IF(AND(AR$3&gt;=Assumptions!$B$14,AR23&lt;0),AR$3,999)</f>
        <v/>
      </c>
      <c r="AS36" s="10">
        <f>IF(AND(AS$3&gt;=Assumptions!$B$14,AS23&lt;0),AS$3,999)</f>
        <v/>
      </c>
      <c r="AT36" s="10">
        <f>IF(AND(AT$3&gt;=Assumptions!$B$14,AT23&lt;0),AT$3,999)</f>
        <v/>
      </c>
      <c r="AU36" s="10">
        <f>IF(AND(AU$3&gt;=Assumptions!$B$14,AU23&lt;0),AU$3,999)</f>
        <v/>
      </c>
      <c r="AV36" s="10">
        <f>IF(AND(AV$3&gt;=Assumptions!$B$14,AV23&lt;0),AV$3,999)</f>
        <v/>
      </c>
      <c r="AW36" s="10">
        <f>IF(AND(AW$3&gt;=Assumptions!$B$14,AW23&lt;0),AW$3,999)</f>
        <v/>
      </c>
      <c r="AX36" s="10">
        <f>IF(AND(AX$3&gt;=Assumptions!$B$14,AX23&lt;0),AX$3,999)</f>
        <v/>
      </c>
      <c r="AY36" s="10">
        <f>IF(AND(AY$3&gt;=Assumptions!$B$14,AY23&lt;0),AY$3,999)</f>
        <v/>
      </c>
      <c r="AZ36" s="10">
        <f>IF(AND(AZ$3&gt;=Assumptions!$B$14,AZ23&lt;0),AZ$3,999)</f>
        <v/>
      </c>
      <c r="BA36" s="10">
        <f>IF(AND(BA$3&gt;=Assumptions!$B$14,BA23&lt;0),BA$3,999)</f>
        <v/>
      </c>
      <c r="BB36" s="10">
        <f>IF(AND(BB$3&gt;=Assumptions!$B$14,BB23&lt;0),BB$3,999)</f>
        <v/>
      </c>
      <c r="BC36" s="10">
        <f>IF(AND(BC$3&gt;=Assumptions!$B$14,BC23&lt;0),BC$3,999)</f>
        <v/>
      </c>
      <c r="BD36" s="10">
        <f>IF(AND(BD$3&gt;=Assumptions!$B$14,BD23&lt;0),BD$3,999)</f>
        <v/>
      </c>
      <c r="BE36" s="10">
        <f>IF(AND(BE$3&gt;=Assumptions!$B$14,BE23&lt;0),BE$3,999)</f>
        <v/>
      </c>
      <c r="BF36" s="10">
        <f>IF(AND(BF$3&gt;=Assumptions!$B$14,BF23&lt;0),BF$3,999)</f>
        <v/>
      </c>
      <c r="BG36" s="10">
        <f>IF(AND(BG$3&gt;=Assumptions!$B$14,BG23&lt;0),BG$3,999)</f>
        <v/>
      </c>
      <c r="BH36" s="10">
        <f>IF(AND(BH$3&gt;=Assumptions!$B$14,BH23&lt;0),BH$3,999)</f>
        <v/>
      </c>
      <c r="BI36" s="10">
        <f>IF(AND(BI$3&gt;=Assumptions!$B$14,BI23&lt;0),BI$3,999)</f>
        <v/>
      </c>
      <c r="BJ36" s="10">
        <f>IF(AND(BJ$3&gt;=Assumptions!$B$14,BJ23&lt;0),BJ$3,999)</f>
        <v/>
      </c>
    </row>
    <row r="37">
      <c r="A37" s="4" t="inlineStr">
        <is>
          <t>Closing cash below buffer after the seed lands (month #)</t>
        </is>
      </c>
      <c r="B37" s="17" t="inlineStr">
        <is>
          <t>month #</t>
        </is>
      </c>
      <c r="C37" s="10">
        <f>IF(AND(C$3&gt;=Assumptions!$B$14,C23&lt;Assumptions!$B$15),C$3,999)</f>
        <v/>
      </c>
      <c r="D37" s="10">
        <f>IF(AND(D$3&gt;=Assumptions!$B$14,D23&lt;Assumptions!$B$15),D$3,999)</f>
        <v/>
      </c>
      <c r="E37" s="10">
        <f>IF(AND(E$3&gt;=Assumptions!$B$14,E23&lt;Assumptions!$B$15),E$3,999)</f>
        <v/>
      </c>
      <c r="F37" s="10">
        <f>IF(AND(F$3&gt;=Assumptions!$B$14,F23&lt;Assumptions!$B$15),F$3,999)</f>
        <v/>
      </c>
      <c r="G37" s="10">
        <f>IF(AND(G$3&gt;=Assumptions!$B$14,G23&lt;Assumptions!$B$15),G$3,999)</f>
        <v/>
      </c>
      <c r="H37" s="10">
        <f>IF(AND(H$3&gt;=Assumptions!$B$14,H23&lt;Assumptions!$B$15),H$3,999)</f>
        <v/>
      </c>
      <c r="I37" s="10">
        <f>IF(AND(I$3&gt;=Assumptions!$B$14,I23&lt;Assumptions!$B$15),I$3,999)</f>
        <v/>
      </c>
      <c r="J37" s="10">
        <f>IF(AND(J$3&gt;=Assumptions!$B$14,J23&lt;Assumptions!$B$15),J$3,999)</f>
        <v/>
      </c>
      <c r="K37" s="10">
        <f>IF(AND(K$3&gt;=Assumptions!$B$14,K23&lt;Assumptions!$B$15),K$3,999)</f>
        <v/>
      </c>
      <c r="L37" s="10">
        <f>IF(AND(L$3&gt;=Assumptions!$B$14,L23&lt;Assumptions!$B$15),L$3,999)</f>
        <v/>
      </c>
      <c r="M37" s="10">
        <f>IF(AND(M$3&gt;=Assumptions!$B$14,M23&lt;Assumptions!$B$15),M$3,999)</f>
        <v/>
      </c>
      <c r="N37" s="10">
        <f>IF(AND(N$3&gt;=Assumptions!$B$14,N23&lt;Assumptions!$B$15),N$3,999)</f>
        <v/>
      </c>
      <c r="O37" s="10">
        <f>IF(AND(O$3&gt;=Assumptions!$B$14,O23&lt;Assumptions!$B$15),O$3,999)</f>
        <v/>
      </c>
      <c r="P37" s="10">
        <f>IF(AND(P$3&gt;=Assumptions!$B$14,P23&lt;Assumptions!$B$15),P$3,999)</f>
        <v/>
      </c>
      <c r="Q37" s="10">
        <f>IF(AND(Q$3&gt;=Assumptions!$B$14,Q23&lt;Assumptions!$B$15),Q$3,999)</f>
        <v/>
      </c>
      <c r="R37" s="10">
        <f>IF(AND(R$3&gt;=Assumptions!$B$14,R23&lt;Assumptions!$B$15),R$3,999)</f>
        <v/>
      </c>
      <c r="S37" s="10">
        <f>IF(AND(S$3&gt;=Assumptions!$B$14,S23&lt;Assumptions!$B$15),S$3,999)</f>
        <v/>
      </c>
      <c r="T37" s="10">
        <f>IF(AND(T$3&gt;=Assumptions!$B$14,T23&lt;Assumptions!$B$15),T$3,999)</f>
        <v/>
      </c>
      <c r="U37" s="10">
        <f>IF(AND(U$3&gt;=Assumptions!$B$14,U23&lt;Assumptions!$B$15),U$3,999)</f>
        <v/>
      </c>
      <c r="V37" s="10">
        <f>IF(AND(V$3&gt;=Assumptions!$B$14,V23&lt;Assumptions!$B$15),V$3,999)</f>
        <v/>
      </c>
      <c r="W37" s="10">
        <f>IF(AND(W$3&gt;=Assumptions!$B$14,W23&lt;Assumptions!$B$15),W$3,999)</f>
        <v/>
      </c>
      <c r="X37" s="10">
        <f>IF(AND(X$3&gt;=Assumptions!$B$14,X23&lt;Assumptions!$B$15),X$3,999)</f>
        <v/>
      </c>
      <c r="Y37" s="10">
        <f>IF(AND(Y$3&gt;=Assumptions!$B$14,Y23&lt;Assumptions!$B$15),Y$3,999)</f>
        <v/>
      </c>
      <c r="Z37" s="10">
        <f>IF(AND(Z$3&gt;=Assumptions!$B$14,Z23&lt;Assumptions!$B$15),Z$3,999)</f>
        <v/>
      </c>
      <c r="AA37" s="10">
        <f>IF(AND(AA$3&gt;=Assumptions!$B$14,AA23&lt;Assumptions!$B$15),AA$3,999)</f>
        <v/>
      </c>
      <c r="AB37" s="10">
        <f>IF(AND(AB$3&gt;=Assumptions!$B$14,AB23&lt;Assumptions!$B$15),AB$3,999)</f>
        <v/>
      </c>
      <c r="AC37" s="10">
        <f>IF(AND(AC$3&gt;=Assumptions!$B$14,AC23&lt;Assumptions!$B$15),AC$3,999)</f>
        <v/>
      </c>
      <c r="AD37" s="10">
        <f>IF(AND(AD$3&gt;=Assumptions!$B$14,AD23&lt;Assumptions!$B$15),AD$3,999)</f>
        <v/>
      </c>
      <c r="AE37" s="10">
        <f>IF(AND(AE$3&gt;=Assumptions!$B$14,AE23&lt;Assumptions!$B$15),AE$3,999)</f>
        <v/>
      </c>
      <c r="AF37" s="10">
        <f>IF(AND(AF$3&gt;=Assumptions!$B$14,AF23&lt;Assumptions!$B$15),AF$3,999)</f>
        <v/>
      </c>
      <c r="AG37" s="10">
        <f>IF(AND(AG$3&gt;=Assumptions!$B$14,AG23&lt;Assumptions!$B$15),AG$3,999)</f>
        <v/>
      </c>
      <c r="AH37" s="10">
        <f>IF(AND(AH$3&gt;=Assumptions!$B$14,AH23&lt;Assumptions!$B$15),AH$3,999)</f>
        <v/>
      </c>
      <c r="AI37" s="10">
        <f>IF(AND(AI$3&gt;=Assumptions!$B$14,AI23&lt;Assumptions!$B$15),AI$3,999)</f>
        <v/>
      </c>
      <c r="AJ37" s="10">
        <f>IF(AND(AJ$3&gt;=Assumptions!$B$14,AJ23&lt;Assumptions!$B$15),AJ$3,999)</f>
        <v/>
      </c>
      <c r="AK37" s="10">
        <f>IF(AND(AK$3&gt;=Assumptions!$B$14,AK23&lt;Assumptions!$B$15),AK$3,999)</f>
        <v/>
      </c>
      <c r="AL37" s="10">
        <f>IF(AND(AL$3&gt;=Assumptions!$B$14,AL23&lt;Assumptions!$B$15),AL$3,999)</f>
        <v/>
      </c>
      <c r="AM37" s="10">
        <f>IF(AND(AM$3&gt;=Assumptions!$B$14,AM23&lt;Assumptions!$B$15),AM$3,999)</f>
        <v/>
      </c>
      <c r="AN37" s="10">
        <f>IF(AND(AN$3&gt;=Assumptions!$B$14,AN23&lt;Assumptions!$B$15),AN$3,999)</f>
        <v/>
      </c>
      <c r="AO37" s="10">
        <f>IF(AND(AO$3&gt;=Assumptions!$B$14,AO23&lt;Assumptions!$B$15),AO$3,999)</f>
        <v/>
      </c>
      <c r="AP37" s="10">
        <f>IF(AND(AP$3&gt;=Assumptions!$B$14,AP23&lt;Assumptions!$B$15),AP$3,999)</f>
        <v/>
      </c>
      <c r="AQ37" s="10">
        <f>IF(AND(AQ$3&gt;=Assumptions!$B$14,AQ23&lt;Assumptions!$B$15),AQ$3,999)</f>
        <v/>
      </c>
      <c r="AR37" s="10">
        <f>IF(AND(AR$3&gt;=Assumptions!$B$14,AR23&lt;Assumptions!$B$15),AR$3,999)</f>
        <v/>
      </c>
      <c r="AS37" s="10">
        <f>IF(AND(AS$3&gt;=Assumptions!$B$14,AS23&lt;Assumptions!$B$15),AS$3,999)</f>
        <v/>
      </c>
      <c r="AT37" s="10">
        <f>IF(AND(AT$3&gt;=Assumptions!$B$14,AT23&lt;Assumptions!$B$15),AT$3,999)</f>
        <v/>
      </c>
      <c r="AU37" s="10">
        <f>IF(AND(AU$3&gt;=Assumptions!$B$14,AU23&lt;Assumptions!$B$15),AU$3,999)</f>
        <v/>
      </c>
      <c r="AV37" s="10">
        <f>IF(AND(AV$3&gt;=Assumptions!$B$14,AV23&lt;Assumptions!$B$15),AV$3,999)</f>
        <v/>
      </c>
      <c r="AW37" s="10">
        <f>IF(AND(AW$3&gt;=Assumptions!$B$14,AW23&lt;Assumptions!$B$15),AW$3,999)</f>
        <v/>
      </c>
      <c r="AX37" s="10">
        <f>IF(AND(AX$3&gt;=Assumptions!$B$14,AX23&lt;Assumptions!$B$15),AX$3,999)</f>
        <v/>
      </c>
      <c r="AY37" s="10">
        <f>IF(AND(AY$3&gt;=Assumptions!$B$14,AY23&lt;Assumptions!$B$15),AY$3,999)</f>
        <v/>
      </c>
      <c r="AZ37" s="10">
        <f>IF(AND(AZ$3&gt;=Assumptions!$B$14,AZ23&lt;Assumptions!$B$15),AZ$3,999)</f>
        <v/>
      </c>
      <c r="BA37" s="10">
        <f>IF(AND(BA$3&gt;=Assumptions!$B$14,BA23&lt;Assumptions!$B$15),BA$3,999)</f>
        <v/>
      </c>
      <c r="BB37" s="10">
        <f>IF(AND(BB$3&gt;=Assumptions!$B$14,BB23&lt;Assumptions!$B$15),BB$3,999)</f>
        <v/>
      </c>
      <c r="BC37" s="10">
        <f>IF(AND(BC$3&gt;=Assumptions!$B$14,BC23&lt;Assumptions!$B$15),BC$3,999)</f>
        <v/>
      </c>
      <c r="BD37" s="10">
        <f>IF(AND(BD$3&gt;=Assumptions!$B$14,BD23&lt;Assumptions!$B$15),BD$3,999)</f>
        <v/>
      </c>
      <c r="BE37" s="10">
        <f>IF(AND(BE$3&gt;=Assumptions!$B$14,BE23&lt;Assumptions!$B$15),BE$3,999)</f>
        <v/>
      </c>
      <c r="BF37" s="10">
        <f>IF(AND(BF$3&gt;=Assumptions!$B$14,BF23&lt;Assumptions!$B$15),BF$3,999)</f>
        <v/>
      </c>
      <c r="BG37" s="10">
        <f>IF(AND(BG$3&gt;=Assumptions!$B$14,BG23&lt;Assumptions!$B$15),BG$3,999)</f>
        <v/>
      </c>
      <c r="BH37" s="10">
        <f>IF(AND(BH$3&gt;=Assumptions!$B$14,BH23&lt;Assumptions!$B$15),BH$3,999)</f>
        <v/>
      </c>
      <c r="BI37" s="10">
        <f>IF(AND(BI$3&gt;=Assumptions!$B$14,BI23&lt;Assumptions!$B$15),BI$3,999)</f>
        <v/>
      </c>
      <c r="BJ37" s="10">
        <f>IF(AND(BJ$3&gt;=Assumptions!$B$14,BJ23&lt;Assumptions!$B$15),BJ$3,999)</f>
        <v/>
      </c>
    </row>
    <row r="38">
      <c r="A38" s="4" t="inlineStr">
        <is>
          <t>Closing cash in seed month</t>
        </is>
      </c>
      <c r="B38" s="17" t="inlineStr">
        <is>
          <t>R</t>
        </is>
      </c>
      <c r="C38" s="8">
        <f>IF(C$3=Assumptions!$B$14,C23,0)</f>
        <v/>
      </c>
      <c r="D38" s="8">
        <f>IF(D$3=Assumptions!$B$14,D23,0)</f>
        <v/>
      </c>
      <c r="E38" s="8">
        <f>IF(E$3=Assumptions!$B$14,E23,0)</f>
        <v/>
      </c>
      <c r="F38" s="8">
        <f>IF(F$3=Assumptions!$B$14,F23,0)</f>
        <v/>
      </c>
      <c r="G38" s="8">
        <f>IF(G$3=Assumptions!$B$14,G23,0)</f>
        <v/>
      </c>
      <c r="H38" s="8">
        <f>IF(H$3=Assumptions!$B$14,H23,0)</f>
        <v/>
      </c>
      <c r="I38" s="8">
        <f>IF(I$3=Assumptions!$B$14,I23,0)</f>
        <v/>
      </c>
      <c r="J38" s="8">
        <f>IF(J$3=Assumptions!$B$14,J23,0)</f>
        <v/>
      </c>
      <c r="K38" s="8">
        <f>IF(K$3=Assumptions!$B$14,K23,0)</f>
        <v/>
      </c>
      <c r="L38" s="8">
        <f>IF(L$3=Assumptions!$B$14,L23,0)</f>
        <v/>
      </c>
      <c r="M38" s="8">
        <f>IF(M$3=Assumptions!$B$14,M23,0)</f>
        <v/>
      </c>
      <c r="N38" s="8">
        <f>IF(N$3=Assumptions!$B$14,N23,0)</f>
        <v/>
      </c>
      <c r="O38" s="8">
        <f>IF(O$3=Assumptions!$B$14,O23,0)</f>
        <v/>
      </c>
      <c r="P38" s="8">
        <f>IF(P$3=Assumptions!$B$14,P23,0)</f>
        <v/>
      </c>
      <c r="Q38" s="8">
        <f>IF(Q$3=Assumptions!$B$14,Q23,0)</f>
        <v/>
      </c>
      <c r="R38" s="8">
        <f>IF(R$3=Assumptions!$B$14,R23,0)</f>
        <v/>
      </c>
      <c r="S38" s="8">
        <f>IF(S$3=Assumptions!$B$14,S23,0)</f>
        <v/>
      </c>
      <c r="T38" s="8">
        <f>IF(T$3=Assumptions!$B$14,T23,0)</f>
        <v/>
      </c>
      <c r="U38" s="8">
        <f>IF(U$3=Assumptions!$B$14,U23,0)</f>
        <v/>
      </c>
      <c r="V38" s="8">
        <f>IF(V$3=Assumptions!$B$14,V23,0)</f>
        <v/>
      </c>
      <c r="W38" s="8">
        <f>IF(W$3=Assumptions!$B$14,W23,0)</f>
        <v/>
      </c>
      <c r="X38" s="8">
        <f>IF(X$3=Assumptions!$B$14,X23,0)</f>
        <v/>
      </c>
      <c r="Y38" s="8">
        <f>IF(Y$3=Assumptions!$B$14,Y23,0)</f>
        <v/>
      </c>
      <c r="Z38" s="8">
        <f>IF(Z$3=Assumptions!$B$14,Z23,0)</f>
        <v/>
      </c>
      <c r="AA38" s="8">
        <f>IF(AA$3=Assumptions!$B$14,AA23,0)</f>
        <v/>
      </c>
      <c r="AB38" s="8">
        <f>IF(AB$3=Assumptions!$B$14,AB23,0)</f>
        <v/>
      </c>
      <c r="AC38" s="8">
        <f>IF(AC$3=Assumptions!$B$14,AC23,0)</f>
        <v/>
      </c>
      <c r="AD38" s="8">
        <f>IF(AD$3=Assumptions!$B$14,AD23,0)</f>
        <v/>
      </c>
      <c r="AE38" s="8">
        <f>IF(AE$3=Assumptions!$B$14,AE23,0)</f>
        <v/>
      </c>
      <c r="AF38" s="8">
        <f>IF(AF$3=Assumptions!$B$14,AF23,0)</f>
        <v/>
      </c>
      <c r="AG38" s="8">
        <f>IF(AG$3=Assumptions!$B$14,AG23,0)</f>
        <v/>
      </c>
      <c r="AH38" s="8">
        <f>IF(AH$3=Assumptions!$B$14,AH23,0)</f>
        <v/>
      </c>
      <c r="AI38" s="8">
        <f>IF(AI$3=Assumptions!$B$14,AI23,0)</f>
        <v/>
      </c>
      <c r="AJ38" s="8">
        <f>IF(AJ$3=Assumptions!$B$14,AJ23,0)</f>
        <v/>
      </c>
      <c r="AK38" s="8">
        <f>IF(AK$3=Assumptions!$B$14,AK23,0)</f>
        <v/>
      </c>
      <c r="AL38" s="8">
        <f>IF(AL$3=Assumptions!$B$14,AL23,0)</f>
        <v/>
      </c>
      <c r="AM38" s="8">
        <f>IF(AM$3=Assumptions!$B$14,AM23,0)</f>
        <v/>
      </c>
      <c r="AN38" s="8">
        <f>IF(AN$3=Assumptions!$B$14,AN23,0)</f>
        <v/>
      </c>
      <c r="AO38" s="8">
        <f>IF(AO$3=Assumptions!$B$14,AO23,0)</f>
        <v/>
      </c>
      <c r="AP38" s="8">
        <f>IF(AP$3=Assumptions!$B$14,AP23,0)</f>
        <v/>
      </c>
      <c r="AQ38" s="8">
        <f>IF(AQ$3=Assumptions!$B$14,AQ23,0)</f>
        <v/>
      </c>
      <c r="AR38" s="8">
        <f>IF(AR$3=Assumptions!$B$14,AR23,0)</f>
        <v/>
      </c>
      <c r="AS38" s="8">
        <f>IF(AS$3=Assumptions!$B$14,AS23,0)</f>
        <v/>
      </c>
      <c r="AT38" s="8">
        <f>IF(AT$3=Assumptions!$B$14,AT23,0)</f>
        <v/>
      </c>
      <c r="AU38" s="8">
        <f>IF(AU$3=Assumptions!$B$14,AU23,0)</f>
        <v/>
      </c>
      <c r="AV38" s="8">
        <f>IF(AV$3=Assumptions!$B$14,AV23,0)</f>
        <v/>
      </c>
      <c r="AW38" s="8">
        <f>IF(AW$3=Assumptions!$B$14,AW23,0)</f>
        <v/>
      </c>
      <c r="AX38" s="8">
        <f>IF(AX$3=Assumptions!$B$14,AX23,0)</f>
        <v/>
      </c>
      <c r="AY38" s="8">
        <f>IF(AY$3=Assumptions!$B$14,AY23,0)</f>
        <v/>
      </c>
      <c r="AZ38" s="8">
        <f>IF(AZ$3=Assumptions!$B$14,AZ23,0)</f>
        <v/>
      </c>
      <c r="BA38" s="8">
        <f>IF(BA$3=Assumptions!$B$14,BA23,0)</f>
        <v/>
      </c>
      <c r="BB38" s="8">
        <f>IF(BB$3=Assumptions!$B$14,BB23,0)</f>
        <v/>
      </c>
      <c r="BC38" s="8">
        <f>IF(BC$3=Assumptions!$B$14,BC23,0)</f>
        <v/>
      </c>
      <c r="BD38" s="8">
        <f>IF(BD$3=Assumptions!$B$14,BD23,0)</f>
        <v/>
      </c>
      <c r="BE38" s="8">
        <f>IF(BE$3=Assumptions!$B$14,BE23,0)</f>
        <v/>
      </c>
      <c r="BF38" s="8">
        <f>IF(BF$3=Assumptions!$B$14,BF23,0)</f>
        <v/>
      </c>
      <c r="BG38" s="8">
        <f>IF(BG$3=Assumptions!$B$14,BG23,0)</f>
        <v/>
      </c>
      <c r="BH38" s="8">
        <f>IF(BH$3=Assumptions!$B$14,BH23,0)</f>
        <v/>
      </c>
      <c r="BI38" s="8">
        <f>IF(BI$3=Assumptions!$B$14,BI23,0)</f>
        <v/>
      </c>
      <c r="BJ38" s="8">
        <f>IF(BJ$3=Assumptions!$B$14,BJ23,0)</f>
        <v/>
      </c>
    </row>
    <row r="39">
      <c r="A39" s="4" t="inlineStr">
        <is>
          <t>Closing cash from the seed month (1E+15 before)</t>
        </is>
      </c>
      <c r="B39" s="17" t="inlineStr">
        <is>
          <t>R</t>
        </is>
      </c>
      <c r="C39" s="8">
        <f>IF(C$3&gt;=Assumptions!$B$14,C23,1E+15)</f>
        <v/>
      </c>
      <c r="D39" s="8">
        <f>IF(D$3&gt;=Assumptions!$B$14,D23,1E+15)</f>
        <v/>
      </c>
      <c r="E39" s="8">
        <f>IF(E$3&gt;=Assumptions!$B$14,E23,1E+15)</f>
        <v/>
      </c>
      <c r="F39" s="8">
        <f>IF(F$3&gt;=Assumptions!$B$14,F23,1E+15)</f>
        <v/>
      </c>
      <c r="G39" s="8">
        <f>IF(G$3&gt;=Assumptions!$B$14,G23,1E+15)</f>
        <v/>
      </c>
      <c r="H39" s="8">
        <f>IF(H$3&gt;=Assumptions!$B$14,H23,1E+15)</f>
        <v/>
      </c>
      <c r="I39" s="8">
        <f>IF(I$3&gt;=Assumptions!$B$14,I23,1E+15)</f>
        <v/>
      </c>
      <c r="J39" s="8">
        <f>IF(J$3&gt;=Assumptions!$B$14,J23,1E+15)</f>
        <v/>
      </c>
      <c r="K39" s="8">
        <f>IF(K$3&gt;=Assumptions!$B$14,K23,1E+15)</f>
        <v/>
      </c>
      <c r="L39" s="8">
        <f>IF(L$3&gt;=Assumptions!$B$14,L23,1E+15)</f>
        <v/>
      </c>
      <c r="M39" s="8">
        <f>IF(M$3&gt;=Assumptions!$B$14,M23,1E+15)</f>
        <v/>
      </c>
      <c r="N39" s="8">
        <f>IF(N$3&gt;=Assumptions!$B$14,N23,1E+15)</f>
        <v/>
      </c>
      <c r="O39" s="8">
        <f>IF(O$3&gt;=Assumptions!$B$14,O23,1E+15)</f>
        <v/>
      </c>
      <c r="P39" s="8">
        <f>IF(P$3&gt;=Assumptions!$B$14,P23,1E+15)</f>
        <v/>
      </c>
      <c r="Q39" s="8">
        <f>IF(Q$3&gt;=Assumptions!$B$14,Q23,1E+15)</f>
        <v/>
      </c>
      <c r="R39" s="8">
        <f>IF(R$3&gt;=Assumptions!$B$14,R23,1E+15)</f>
        <v/>
      </c>
      <c r="S39" s="8">
        <f>IF(S$3&gt;=Assumptions!$B$14,S23,1E+15)</f>
        <v/>
      </c>
      <c r="T39" s="8">
        <f>IF(T$3&gt;=Assumptions!$B$14,T23,1E+15)</f>
        <v/>
      </c>
      <c r="U39" s="8">
        <f>IF(U$3&gt;=Assumptions!$B$14,U23,1E+15)</f>
        <v/>
      </c>
      <c r="V39" s="8">
        <f>IF(V$3&gt;=Assumptions!$B$14,V23,1E+15)</f>
        <v/>
      </c>
      <c r="W39" s="8">
        <f>IF(W$3&gt;=Assumptions!$B$14,W23,1E+15)</f>
        <v/>
      </c>
      <c r="X39" s="8">
        <f>IF(X$3&gt;=Assumptions!$B$14,X23,1E+15)</f>
        <v/>
      </c>
      <c r="Y39" s="8">
        <f>IF(Y$3&gt;=Assumptions!$B$14,Y23,1E+15)</f>
        <v/>
      </c>
      <c r="Z39" s="8">
        <f>IF(Z$3&gt;=Assumptions!$B$14,Z23,1E+15)</f>
        <v/>
      </c>
      <c r="AA39" s="8">
        <f>IF(AA$3&gt;=Assumptions!$B$14,AA23,1E+15)</f>
        <v/>
      </c>
      <c r="AB39" s="8">
        <f>IF(AB$3&gt;=Assumptions!$B$14,AB23,1E+15)</f>
        <v/>
      </c>
      <c r="AC39" s="8">
        <f>IF(AC$3&gt;=Assumptions!$B$14,AC23,1E+15)</f>
        <v/>
      </c>
      <c r="AD39" s="8">
        <f>IF(AD$3&gt;=Assumptions!$B$14,AD23,1E+15)</f>
        <v/>
      </c>
      <c r="AE39" s="8">
        <f>IF(AE$3&gt;=Assumptions!$B$14,AE23,1E+15)</f>
        <v/>
      </c>
      <c r="AF39" s="8">
        <f>IF(AF$3&gt;=Assumptions!$B$14,AF23,1E+15)</f>
        <v/>
      </c>
      <c r="AG39" s="8">
        <f>IF(AG$3&gt;=Assumptions!$B$14,AG23,1E+15)</f>
        <v/>
      </c>
      <c r="AH39" s="8">
        <f>IF(AH$3&gt;=Assumptions!$B$14,AH23,1E+15)</f>
        <v/>
      </c>
      <c r="AI39" s="8">
        <f>IF(AI$3&gt;=Assumptions!$B$14,AI23,1E+15)</f>
        <v/>
      </c>
      <c r="AJ39" s="8">
        <f>IF(AJ$3&gt;=Assumptions!$B$14,AJ23,1E+15)</f>
        <v/>
      </c>
      <c r="AK39" s="8">
        <f>IF(AK$3&gt;=Assumptions!$B$14,AK23,1E+15)</f>
        <v/>
      </c>
      <c r="AL39" s="8">
        <f>IF(AL$3&gt;=Assumptions!$B$14,AL23,1E+15)</f>
        <v/>
      </c>
      <c r="AM39" s="8">
        <f>IF(AM$3&gt;=Assumptions!$B$14,AM23,1E+15)</f>
        <v/>
      </c>
      <c r="AN39" s="8">
        <f>IF(AN$3&gt;=Assumptions!$B$14,AN23,1E+15)</f>
        <v/>
      </c>
      <c r="AO39" s="8">
        <f>IF(AO$3&gt;=Assumptions!$B$14,AO23,1E+15)</f>
        <v/>
      </c>
      <c r="AP39" s="8">
        <f>IF(AP$3&gt;=Assumptions!$B$14,AP23,1E+15)</f>
        <v/>
      </c>
      <c r="AQ39" s="8">
        <f>IF(AQ$3&gt;=Assumptions!$B$14,AQ23,1E+15)</f>
        <v/>
      </c>
      <c r="AR39" s="8">
        <f>IF(AR$3&gt;=Assumptions!$B$14,AR23,1E+15)</f>
        <v/>
      </c>
      <c r="AS39" s="8">
        <f>IF(AS$3&gt;=Assumptions!$B$14,AS23,1E+15)</f>
        <v/>
      </c>
      <c r="AT39" s="8">
        <f>IF(AT$3&gt;=Assumptions!$B$14,AT23,1E+15)</f>
        <v/>
      </c>
      <c r="AU39" s="8">
        <f>IF(AU$3&gt;=Assumptions!$B$14,AU23,1E+15)</f>
        <v/>
      </c>
      <c r="AV39" s="8">
        <f>IF(AV$3&gt;=Assumptions!$B$14,AV23,1E+15)</f>
        <v/>
      </c>
      <c r="AW39" s="8">
        <f>IF(AW$3&gt;=Assumptions!$B$14,AW23,1E+15)</f>
        <v/>
      </c>
      <c r="AX39" s="8">
        <f>IF(AX$3&gt;=Assumptions!$B$14,AX23,1E+15)</f>
        <v/>
      </c>
      <c r="AY39" s="8">
        <f>IF(AY$3&gt;=Assumptions!$B$14,AY23,1E+15)</f>
        <v/>
      </c>
      <c r="AZ39" s="8">
        <f>IF(AZ$3&gt;=Assumptions!$B$14,AZ23,1E+15)</f>
        <v/>
      </c>
      <c r="BA39" s="8">
        <f>IF(BA$3&gt;=Assumptions!$B$14,BA23,1E+15)</f>
        <v/>
      </c>
      <c r="BB39" s="8">
        <f>IF(BB$3&gt;=Assumptions!$B$14,BB23,1E+15)</f>
        <v/>
      </c>
      <c r="BC39" s="8">
        <f>IF(BC$3&gt;=Assumptions!$B$14,BC23,1E+15)</f>
        <v/>
      </c>
      <c r="BD39" s="8">
        <f>IF(BD$3&gt;=Assumptions!$B$14,BD23,1E+15)</f>
        <v/>
      </c>
      <c r="BE39" s="8">
        <f>IF(BE$3&gt;=Assumptions!$B$14,BE23,1E+15)</f>
        <v/>
      </c>
      <c r="BF39" s="8">
        <f>IF(BF$3&gt;=Assumptions!$B$14,BF23,1E+15)</f>
        <v/>
      </c>
      <c r="BG39" s="8">
        <f>IF(BG$3&gt;=Assumptions!$B$14,BG23,1E+15)</f>
        <v/>
      </c>
      <c r="BH39" s="8">
        <f>IF(BH$3&gt;=Assumptions!$B$14,BH23,1E+15)</f>
        <v/>
      </c>
      <c r="BI39" s="8">
        <f>IF(BI$3&gt;=Assumptions!$B$14,BI23,1E+15)</f>
        <v/>
      </c>
      <c r="BJ39" s="8">
        <f>IF(BJ$3&gt;=Assumptions!$B$14,BJ23,1E+15)</f>
        <v/>
      </c>
    </row>
    <row r="40">
      <c r="A40" s="4" t="inlineStr">
        <is>
          <t>Closing cash before the seed month (1E+15 after)</t>
        </is>
      </c>
      <c r="B40" s="17" t="inlineStr">
        <is>
          <t>R</t>
        </is>
      </c>
      <c r="C40" s="8">
        <f>IF(C$3&lt;Assumptions!$B$14,C23,1E+15)</f>
        <v/>
      </c>
      <c r="D40" s="8">
        <f>IF(D$3&lt;Assumptions!$B$14,D23,1E+15)</f>
        <v/>
      </c>
      <c r="E40" s="8">
        <f>IF(E$3&lt;Assumptions!$B$14,E23,1E+15)</f>
        <v/>
      </c>
      <c r="F40" s="8">
        <f>IF(F$3&lt;Assumptions!$B$14,F23,1E+15)</f>
        <v/>
      </c>
      <c r="G40" s="8">
        <f>IF(G$3&lt;Assumptions!$B$14,G23,1E+15)</f>
        <v/>
      </c>
      <c r="H40" s="8">
        <f>IF(H$3&lt;Assumptions!$B$14,H23,1E+15)</f>
        <v/>
      </c>
      <c r="I40" s="8">
        <f>IF(I$3&lt;Assumptions!$B$14,I23,1E+15)</f>
        <v/>
      </c>
      <c r="J40" s="8">
        <f>IF(J$3&lt;Assumptions!$B$14,J23,1E+15)</f>
        <v/>
      </c>
      <c r="K40" s="8">
        <f>IF(K$3&lt;Assumptions!$B$14,K23,1E+15)</f>
        <v/>
      </c>
      <c r="L40" s="8">
        <f>IF(L$3&lt;Assumptions!$B$14,L23,1E+15)</f>
        <v/>
      </c>
      <c r="M40" s="8">
        <f>IF(M$3&lt;Assumptions!$B$14,M23,1E+15)</f>
        <v/>
      </c>
      <c r="N40" s="8">
        <f>IF(N$3&lt;Assumptions!$B$14,N23,1E+15)</f>
        <v/>
      </c>
      <c r="O40" s="8">
        <f>IF(O$3&lt;Assumptions!$B$14,O23,1E+15)</f>
        <v/>
      </c>
      <c r="P40" s="8">
        <f>IF(P$3&lt;Assumptions!$B$14,P23,1E+15)</f>
        <v/>
      </c>
      <c r="Q40" s="8">
        <f>IF(Q$3&lt;Assumptions!$B$14,Q23,1E+15)</f>
        <v/>
      </c>
      <c r="R40" s="8">
        <f>IF(R$3&lt;Assumptions!$B$14,R23,1E+15)</f>
        <v/>
      </c>
      <c r="S40" s="8">
        <f>IF(S$3&lt;Assumptions!$B$14,S23,1E+15)</f>
        <v/>
      </c>
      <c r="T40" s="8">
        <f>IF(T$3&lt;Assumptions!$B$14,T23,1E+15)</f>
        <v/>
      </c>
      <c r="U40" s="8">
        <f>IF(U$3&lt;Assumptions!$B$14,U23,1E+15)</f>
        <v/>
      </c>
      <c r="V40" s="8">
        <f>IF(V$3&lt;Assumptions!$B$14,V23,1E+15)</f>
        <v/>
      </c>
      <c r="W40" s="8">
        <f>IF(W$3&lt;Assumptions!$B$14,W23,1E+15)</f>
        <v/>
      </c>
      <c r="X40" s="8">
        <f>IF(X$3&lt;Assumptions!$B$14,X23,1E+15)</f>
        <v/>
      </c>
      <c r="Y40" s="8">
        <f>IF(Y$3&lt;Assumptions!$B$14,Y23,1E+15)</f>
        <v/>
      </c>
      <c r="Z40" s="8">
        <f>IF(Z$3&lt;Assumptions!$B$14,Z23,1E+15)</f>
        <v/>
      </c>
      <c r="AA40" s="8">
        <f>IF(AA$3&lt;Assumptions!$B$14,AA23,1E+15)</f>
        <v/>
      </c>
      <c r="AB40" s="8">
        <f>IF(AB$3&lt;Assumptions!$B$14,AB23,1E+15)</f>
        <v/>
      </c>
      <c r="AC40" s="8">
        <f>IF(AC$3&lt;Assumptions!$B$14,AC23,1E+15)</f>
        <v/>
      </c>
      <c r="AD40" s="8">
        <f>IF(AD$3&lt;Assumptions!$B$14,AD23,1E+15)</f>
        <v/>
      </c>
      <c r="AE40" s="8">
        <f>IF(AE$3&lt;Assumptions!$B$14,AE23,1E+15)</f>
        <v/>
      </c>
      <c r="AF40" s="8">
        <f>IF(AF$3&lt;Assumptions!$B$14,AF23,1E+15)</f>
        <v/>
      </c>
      <c r="AG40" s="8">
        <f>IF(AG$3&lt;Assumptions!$B$14,AG23,1E+15)</f>
        <v/>
      </c>
      <c r="AH40" s="8">
        <f>IF(AH$3&lt;Assumptions!$B$14,AH23,1E+15)</f>
        <v/>
      </c>
      <c r="AI40" s="8">
        <f>IF(AI$3&lt;Assumptions!$B$14,AI23,1E+15)</f>
        <v/>
      </c>
      <c r="AJ40" s="8">
        <f>IF(AJ$3&lt;Assumptions!$B$14,AJ23,1E+15)</f>
        <v/>
      </c>
      <c r="AK40" s="8">
        <f>IF(AK$3&lt;Assumptions!$B$14,AK23,1E+15)</f>
        <v/>
      </c>
      <c r="AL40" s="8">
        <f>IF(AL$3&lt;Assumptions!$B$14,AL23,1E+15)</f>
        <v/>
      </c>
      <c r="AM40" s="8">
        <f>IF(AM$3&lt;Assumptions!$B$14,AM23,1E+15)</f>
        <v/>
      </c>
      <c r="AN40" s="8">
        <f>IF(AN$3&lt;Assumptions!$B$14,AN23,1E+15)</f>
        <v/>
      </c>
      <c r="AO40" s="8">
        <f>IF(AO$3&lt;Assumptions!$B$14,AO23,1E+15)</f>
        <v/>
      </c>
      <c r="AP40" s="8">
        <f>IF(AP$3&lt;Assumptions!$B$14,AP23,1E+15)</f>
        <v/>
      </c>
      <c r="AQ40" s="8">
        <f>IF(AQ$3&lt;Assumptions!$B$14,AQ23,1E+15)</f>
        <v/>
      </c>
      <c r="AR40" s="8">
        <f>IF(AR$3&lt;Assumptions!$B$14,AR23,1E+15)</f>
        <v/>
      </c>
      <c r="AS40" s="8">
        <f>IF(AS$3&lt;Assumptions!$B$14,AS23,1E+15)</f>
        <v/>
      </c>
      <c r="AT40" s="8">
        <f>IF(AT$3&lt;Assumptions!$B$14,AT23,1E+15)</f>
        <v/>
      </c>
      <c r="AU40" s="8">
        <f>IF(AU$3&lt;Assumptions!$B$14,AU23,1E+15)</f>
        <v/>
      </c>
      <c r="AV40" s="8">
        <f>IF(AV$3&lt;Assumptions!$B$14,AV23,1E+15)</f>
        <v/>
      </c>
      <c r="AW40" s="8">
        <f>IF(AW$3&lt;Assumptions!$B$14,AW23,1E+15)</f>
        <v/>
      </c>
      <c r="AX40" s="8">
        <f>IF(AX$3&lt;Assumptions!$B$14,AX23,1E+15)</f>
        <v/>
      </c>
      <c r="AY40" s="8">
        <f>IF(AY$3&lt;Assumptions!$B$14,AY23,1E+15)</f>
        <v/>
      </c>
      <c r="AZ40" s="8">
        <f>IF(AZ$3&lt;Assumptions!$B$14,AZ23,1E+15)</f>
        <v/>
      </c>
      <c r="BA40" s="8">
        <f>IF(BA$3&lt;Assumptions!$B$14,BA23,1E+15)</f>
        <v/>
      </c>
      <c r="BB40" s="8">
        <f>IF(BB$3&lt;Assumptions!$B$14,BB23,1E+15)</f>
        <v/>
      </c>
      <c r="BC40" s="8">
        <f>IF(BC$3&lt;Assumptions!$B$14,BC23,1E+15)</f>
        <v/>
      </c>
      <c r="BD40" s="8">
        <f>IF(BD$3&lt;Assumptions!$B$14,BD23,1E+15)</f>
        <v/>
      </c>
      <c r="BE40" s="8">
        <f>IF(BE$3&lt;Assumptions!$B$14,BE23,1E+15)</f>
        <v/>
      </c>
      <c r="BF40" s="8">
        <f>IF(BF$3&lt;Assumptions!$B$14,BF23,1E+15)</f>
        <v/>
      </c>
      <c r="BG40" s="8">
        <f>IF(BG$3&lt;Assumptions!$B$14,BG23,1E+15)</f>
        <v/>
      </c>
      <c r="BH40" s="8">
        <f>IF(BH$3&lt;Assumptions!$B$14,BH23,1E+15)</f>
        <v/>
      </c>
      <c r="BI40" s="8">
        <f>IF(BI$3&lt;Assumptions!$B$14,BI23,1E+15)</f>
        <v/>
      </c>
      <c r="BJ40" s="8">
        <f>IF(BJ$3&lt;Assumptions!$B$14,BJ23,1E+15)</f>
        <v/>
      </c>
    </row>
    <row r="41">
      <c r="A41" s="4" t="inlineStr">
        <is>
          <t>Operating cash flow in the 12 months after seed</t>
        </is>
      </c>
      <c r="B41" s="17" t="inlineStr">
        <is>
          <t>R</t>
        </is>
      </c>
      <c r="C41" s="8">
        <f>IF(AND(C$3&gt;Assumptions!$B$14,C$3&lt;=Assumptions!$B$14+12),C14,0)</f>
        <v/>
      </c>
      <c r="D41" s="8">
        <f>IF(AND(D$3&gt;Assumptions!$B$14,D$3&lt;=Assumptions!$B$14+12),D14,0)</f>
        <v/>
      </c>
      <c r="E41" s="8">
        <f>IF(AND(E$3&gt;Assumptions!$B$14,E$3&lt;=Assumptions!$B$14+12),E14,0)</f>
        <v/>
      </c>
      <c r="F41" s="8">
        <f>IF(AND(F$3&gt;Assumptions!$B$14,F$3&lt;=Assumptions!$B$14+12),F14,0)</f>
        <v/>
      </c>
      <c r="G41" s="8">
        <f>IF(AND(G$3&gt;Assumptions!$B$14,G$3&lt;=Assumptions!$B$14+12),G14,0)</f>
        <v/>
      </c>
      <c r="H41" s="8">
        <f>IF(AND(H$3&gt;Assumptions!$B$14,H$3&lt;=Assumptions!$B$14+12),H14,0)</f>
        <v/>
      </c>
      <c r="I41" s="8">
        <f>IF(AND(I$3&gt;Assumptions!$B$14,I$3&lt;=Assumptions!$B$14+12),I14,0)</f>
        <v/>
      </c>
      <c r="J41" s="8">
        <f>IF(AND(J$3&gt;Assumptions!$B$14,J$3&lt;=Assumptions!$B$14+12),J14,0)</f>
        <v/>
      </c>
      <c r="K41" s="8">
        <f>IF(AND(K$3&gt;Assumptions!$B$14,K$3&lt;=Assumptions!$B$14+12),K14,0)</f>
        <v/>
      </c>
      <c r="L41" s="8">
        <f>IF(AND(L$3&gt;Assumptions!$B$14,L$3&lt;=Assumptions!$B$14+12),L14,0)</f>
        <v/>
      </c>
      <c r="M41" s="8">
        <f>IF(AND(M$3&gt;Assumptions!$B$14,M$3&lt;=Assumptions!$B$14+12),M14,0)</f>
        <v/>
      </c>
      <c r="N41" s="8">
        <f>IF(AND(N$3&gt;Assumptions!$B$14,N$3&lt;=Assumptions!$B$14+12),N14,0)</f>
        <v/>
      </c>
      <c r="O41" s="8">
        <f>IF(AND(O$3&gt;Assumptions!$B$14,O$3&lt;=Assumptions!$B$14+12),O14,0)</f>
        <v/>
      </c>
      <c r="P41" s="8">
        <f>IF(AND(P$3&gt;Assumptions!$B$14,P$3&lt;=Assumptions!$B$14+12),P14,0)</f>
        <v/>
      </c>
      <c r="Q41" s="8">
        <f>IF(AND(Q$3&gt;Assumptions!$B$14,Q$3&lt;=Assumptions!$B$14+12),Q14,0)</f>
        <v/>
      </c>
      <c r="R41" s="8">
        <f>IF(AND(R$3&gt;Assumptions!$B$14,R$3&lt;=Assumptions!$B$14+12),R14,0)</f>
        <v/>
      </c>
      <c r="S41" s="8">
        <f>IF(AND(S$3&gt;Assumptions!$B$14,S$3&lt;=Assumptions!$B$14+12),S14,0)</f>
        <v/>
      </c>
      <c r="T41" s="8">
        <f>IF(AND(T$3&gt;Assumptions!$B$14,T$3&lt;=Assumptions!$B$14+12),T14,0)</f>
        <v/>
      </c>
      <c r="U41" s="8">
        <f>IF(AND(U$3&gt;Assumptions!$B$14,U$3&lt;=Assumptions!$B$14+12),U14,0)</f>
        <v/>
      </c>
      <c r="V41" s="8">
        <f>IF(AND(V$3&gt;Assumptions!$B$14,V$3&lt;=Assumptions!$B$14+12),V14,0)</f>
        <v/>
      </c>
      <c r="W41" s="8">
        <f>IF(AND(W$3&gt;Assumptions!$B$14,W$3&lt;=Assumptions!$B$14+12),W14,0)</f>
        <v/>
      </c>
      <c r="X41" s="8">
        <f>IF(AND(X$3&gt;Assumptions!$B$14,X$3&lt;=Assumptions!$B$14+12),X14,0)</f>
        <v/>
      </c>
      <c r="Y41" s="8">
        <f>IF(AND(Y$3&gt;Assumptions!$B$14,Y$3&lt;=Assumptions!$B$14+12),Y14,0)</f>
        <v/>
      </c>
      <c r="Z41" s="8">
        <f>IF(AND(Z$3&gt;Assumptions!$B$14,Z$3&lt;=Assumptions!$B$14+12),Z14,0)</f>
        <v/>
      </c>
      <c r="AA41" s="8">
        <f>IF(AND(AA$3&gt;Assumptions!$B$14,AA$3&lt;=Assumptions!$B$14+12),AA14,0)</f>
        <v/>
      </c>
      <c r="AB41" s="8">
        <f>IF(AND(AB$3&gt;Assumptions!$B$14,AB$3&lt;=Assumptions!$B$14+12),AB14,0)</f>
        <v/>
      </c>
      <c r="AC41" s="8">
        <f>IF(AND(AC$3&gt;Assumptions!$B$14,AC$3&lt;=Assumptions!$B$14+12),AC14,0)</f>
        <v/>
      </c>
      <c r="AD41" s="8">
        <f>IF(AND(AD$3&gt;Assumptions!$B$14,AD$3&lt;=Assumptions!$B$14+12),AD14,0)</f>
        <v/>
      </c>
      <c r="AE41" s="8">
        <f>IF(AND(AE$3&gt;Assumptions!$B$14,AE$3&lt;=Assumptions!$B$14+12),AE14,0)</f>
        <v/>
      </c>
      <c r="AF41" s="8">
        <f>IF(AND(AF$3&gt;Assumptions!$B$14,AF$3&lt;=Assumptions!$B$14+12),AF14,0)</f>
        <v/>
      </c>
      <c r="AG41" s="8">
        <f>IF(AND(AG$3&gt;Assumptions!$B$14,AG$3&lt;=Assumptions!$B$14+12),AG14,0)</f>
        <v/>
      </c>
      <c r="AH41" s="8">
        <f>IF(AND(AH$3&gt;Assumptions!$B$14,AH$3&lt;=Assumptions!$B$14+12),AH14,0)</f>
        <v/>
      </c>
      <c r="AI41" s="8">
        <f>IF(AND(AI$3&gt;Assumptions!$B$14,AI$3&lt;=Assumptions!$B$14+12),AI14,0)</f>
        <v/>
      </c>
      <c r="AJ41" s="8">
        <f>IF(AND(AJ$3&gt;Assumptions!$B$14,AJ$3&lt;=Assumptions!$B$14+12),AJ14,0)</f>
        <v/>
      </c>
      <c r="AK41" s="8">
        <f>IF(AND(AK$3&gt;Assumptions!$B$14,AK$3&lt;=Assumptions!$B$14+12),AK14,0)</f>
        <v/>
      </c>
      <c r="AL41" s="8">
        <f>IF(AND(AL$3&gt;Assumptions!$B$14,AL$3&lt;=Assumptions!$B$14+12),AL14,0)</f>
        <v/>
      </c>
      <c r="AM41" s="8">
        <f>IF(AND(AM$3&gt;Assumptions!$B$14,AM$3&lt;=Assumptions!$B$14+12),AM14,0)</f>
        <v/>
      </c>
      <c r="AN41" s="8">
        <f>IF(AND(AN$3&gt;Assumptions!$B$14,AN$3&lt;=Assumptions!$B$14+12),AN14,0)</f>
        <v/>
      </c>
      <c r="AO41" s="8">
        <f>IF(AND(AO$3&gt;Assumptions!$B$14,AO$3&lt;=Assumptions!$B$14+12),AO14,0)</f>
        <v/>
      </c>
      <c r="AP41" s="8">
        <f>IF(AND(AP$3&gt;Assumptions!$B$14,AP$3&lt;=Assumptions!$B$14+12),AP14,0)</f>
        <v/>
      </c>
      <c r="AQ41" s="8">
        <f>IF(AND(AQ$3&gt;Assumptions!$B$14,AQ$3&lt;=Assumptions!$B$14+12),AQ14,0)</f>
        <v/>
      </c>
      <c r="AR41" s="8">
        <f>IF(AND(AR$3&gt;Assumptions!$B$14,AR$3&lt;=Assumptions!$B$14+12),AR14,0)</f>
        <v/>
      </c>
      <c r="AS41" s="8">
        <f>IF(AND(AS$3&gt;Assumptions!$B$14,AS$3&lt;=Assumptions!$B$14+12),AS14,0)</f>
        <v/>
      </c>
      <c r="AT41" s="8">
        <f>IF(AND(AT$3&gt;Assumptions!$B$14,AT$3&lt;=Assumptions!$B$14+12),AT14,0)</f>
        <v/>
      </c>
      <c r="AU41" s="8">
        <f>IF(AND(AU$3&gt;Assumptions!$B$14,AU$3&lt;=Assumptions!$B$14+12),AU14,0)</f>
        <v/>
      </c>
      <c r="AV41" s="8">
        <f>IF(AND(AV$3&gt;Assumptions!$B$14,AV$3&lt;=Assumptions!$B$14+12),AV14,0)</f>
        <v/>
      </c>
      <c r="AW41" s="8">
        <f>IF(AND(AW$3&gt;Assumptions!$B$14,AW$3&lt;=Assumptions!$B$14+12),AW14,0)</f>
        <v/>
      </c>
      <c r="AX41" s="8">
        <f>IF(AND(AX$3&gt;Assumptions!$B$14,AX$3&lt;=Assumptions!$B$14+12),AX14,0)</f>
        <v/>
      </c>
      <c r="AY41" s="8">
        <f>IF(AND(AY$3&gt;Assumptions!$B$14,AY$3&lt;=Assumptions!$B$14+12),AY14,0)</f>
        <v/>
      </c>
      <c r="AZ41" s="8">
        <f>IF(AND(AZ$3&gt;Assumptions!$B$14,AZ$3&lt;=Assumptions!$B$14+12),AZ14,0)</f>
        <v/>
      </c>
      <c r="BA41" s="8">
        <f>IF(AND(BA$3&gt;Assumptions!$B$14,BA$3&lt;=Assumptions!$B$14+12),BA14,0)</f>
        <v/>
      </c>
      <c r="BB41" s="8">
        <f>IF(AND(BB$3&gt;Assumptions!$B$14,BB$3&lt;=Assumptions!$B$14+12),BB14,0)</f>
        <v/>
      </c>
      <c r="BC41" s="8">
        <f>IF(AND(BC$3&gt;Assumptions!$B$14,BC$3&lt;=Assumptions!$B$14+12),BC14,0)</f>
        <v/>
      </c>
      <c r="BD41" s="8">
        <f>IF(AND(BD$3&gt;Assumptions!$B$14,BD$3&lt;=Assumptions!$B$14+12),BD14,0)</f>
        <v/>
      </c>
      <c r="BE41" s="8">
        <f>IF(AND(BE$3&gt;Assumptions!$B$14,BE$3&lt;=Assumptions!$B$14+12),BE14,0)</f>
        <v/>
      </c>
      <c r="BF41" s="8">
        <f>IF(AND(BF$3&gt;Assumptions!$B$14,BF$3&lt;=Assumptions!$B$14+12),BF14,0)</f>
        <v/>
      </c>
      <c r="BG41" s="8">
        <f>IF(AND(BG$3&gt;Assumptions!$B$14,BG$3&lt;=Assumptions!$B$14+12),BG14,0)</f>
        <v/>
      </c>
      <c r="BH41" s="8">
        <f>IF(AND(BH$3&gt;Assumptions!$B$14,BH$3&lt;=Assumptions!$B$14+12),BH14,0)</f>
        <v/>
      </c>
      <c r="BI41" s="8">
        <f>IF(AND(BI$3&gt;Assumptions!$B$14,BI$3&lt;=Assumptions!$B$14+12),BI14,0)</f>
        <v/>
      </c>
      <c r="BJ41" s="8">
        <f>IF(AND(BJ$3&gt;Assumptions!$B$14,BJ$3&lt;=Assumptions!$B$14+12),BJ14,0)</f>
        <v/>
      </c>
    </row>
    <row r="42"/>
    <row r="43"/>
    <row r="44">
      <c r="A44" s="6" t="inlineStr">
        <is>
          <t>KEY CASH OUTPUTS (selected scenario)</t>
        </is>
      </c>
      <c r="B44" s="6" t="n"/>
    </row>
    <row r="45">
      <c r="A45" s="4" t="inlineStr">
        <is>
          <t>Break-even: first month EBITDA &gt;= 0 (month #)</t>
        </is>
      </c>
      <c r="B45" s="52">
        <f>MIN($C$30:$BJ$30)</f>
        <v/>
      </c>
    </row>
    <row r="46">
      <c r="A46" s="3" t="inlineStr">
        <is>
          <t>Break-even: first month EBITDA &gt;= 0</t>
        </is>
      </c>
      <c r="B46" s="53">
        <f>IF($B$45=999,"Not within horizon (to Sep 2031)",INDEX(Revenue_Build!$C$4:$BJ$4,$B$45))</f>
        <v/>
      </c>
    </row>
    <row r="47">
      <c r="A47" s="4" t="inlineStr">
        <is>
          <t>Sustained break-even: EBITDA &gt;= 0 every month thereafter (month #)</t>
        </is>
      </c>
      <c r="B47" s="52">
        <f>MIN($C$32:$BJ$32)</f>
        <v/>
      </c>
    </row>
    <row r="48">
      <c r="A48" s="3" t="inlineStr">
        <is>
          <t>Sustained break-even: EBITDA &gt;= 0 every month thereafter</t>
        </is>
      </c>
      <c r="B48" s="53">
        <f>IF($B$47=999,"Not within horizon (to Sep 2031)",INDEX(Revenue_Build!$C$4:$BJ$4,$B$47))</f>
        <v/>
      </c>
    </row>
    <row r="49">
      <c r="A49" s="4" t="inlineStr">
        <is>
          <t>Cash-flow positive: first month operating cash flow &gt;= 0 (month #)</t>
        </is>
      </c>
      <c r="B49" s="52">
        <f>MIN($C$33:$BJ$33)</f>
        <v/>
      </c>
    </row>
    <row r="50">
      <c r="A50" s="3" t="inlineStr">
        <is>
          <t>Cash-flow positive: first month operating cash flow &gt;= 0</t>
        </is>
      </c>
      <c r="B50" s="53">
        <f>IF($B$49=999,"Not within horizon (to Sep 2031)",INDEX(Revenue_Build!$C$4:$BJ$4,$B$49))</f>
        <v/>
      </c>
    </row>
    <row r="51">
      <c r="A51" s="4" t="inlineStr">
        <is>
          <t>Sustained cash-flow positive: operating cash flow &gt;= 0 every month thereafter (month #)</t>
        </is>
      </c>
      <c r="B51" s="52">
        <f>MIN($C$35:$BJ$35)</f>
        <v/>
      </c>
    </row>
    <row r="52">
      <c r="A52" s="3" t="inlineStr">
        <is>
          <t>Sustained cash-flow positive: operating cash flow &gt;= 0 every month thereafter</t>
        </is>
      </c>
      <c r="B52" s="53">
        <f>IF($B$51=999,"Not within horizon (to Sep 2031)",INDEX(Revenue_Build!$C$4:$BJ$4,$B$51))</f>
        <v/>
      </c>
    </row>
    <row r="53">
      <c r="A53" s="3" t="inlineStr">
        <is>
          <t>Minimum closing cash (all months, incl. pre-seed)</t>
        </is>
      </c>
      <c r="B53" s="48">
        <f>MIN($C$23:$BJ$23)</f>
        <v/>
      </c>
    </row>
    <row r="54">
      <c r="A54" s="4" t="inlineStr">
        <is>
          <t>Month # of minimum cash</t>
        </is>
      </c>
      <c r="B54" s="52">
        <f>MATCH($B$53,$C$23:$BJ$23,0)</f>
        <v/>
      </c>
    </row>
    <row r="55">
      <c r="A55" s="3" t="inlineStr">
        <is>
          <t>Month of minimum cash</t>
        </is>
      </c>
      <c r="B55" s="53">
        <f>INDEX(Revenue_Build!$C$4:$BJ$4,$B$54)</f>
        <v/>
      </c>
    </row>
    <row r="56">
      <c r="A56" s="3" t="inlineStr">
        <is>
          <t>Minimum closing cash from the seed month on</t>
        </is>
      </c>
      <c r="B56" s="48">
        <f>MIN($C$39:$BJ$39)</f>
        <v/>
      </c>
    </row>
    <row r="57">
      <c r="A57" s="4" t="inlineStr">
        <is>
          <t>Month # of minimum post-seed cash</t>
        </is>
      </c>
      <c r="B57" s="52">
        <f>MATCH($B$56,$C$39:$BJ$39,0)</f>
        <v/>
      </c>
    </row>
    <row r="58">
      <c r="A58" s="3" t="inlineStr">
        <is>
          <t>Month of minimum post-seed cash (cash trough)</t>
        </is>
      </c>
      <c r="B58" s="53">
        <f>INDEX(Revenue_Build!$C$4:$BJ$4,$B$57)</f>
        <v/>
      </c>
    </row>
    <row r="59">
      <c r="A59" s="3" t="inlineStr">
        <is>
          <t>Minimum closing cash before the seed lands</t>
        </is>
      </c>
      <c r="B59" s="48">
        <f>MIN($C$40:$BJ$40)</f>
        <v/>
      </c>
    </row>
    <row r="60">
      <c r="A60" s="4" t="inlineStr">
        <is>
          <t>Month # of minimum pre-seed cash</t>
        </is>
      </c>
      <c r="B60" s="52">
        <f>MATCH($B$59,$C$40:$BJ$40,0)</f>
        <v/>
      </c>
    </row>
    <row r="61">
      <c r="A61" s="3" t="inlineStr">
        <is>
          <t>Month of minimum pre-seed cash</t>
        </is>
      </c>
      <c r="B61" s="53">
        <f>INDEX(Revenue_Build!$C$4:$BJ$4,$B$60)</f>
        <v/>
      </c>
    </row>
    <row r="62">
      <c r="A62" s="3" t="inlineStr">
        <is>
          <t>PRE-SEED BRIDGE REQUIRED (shortfall below zero before the seed lands)</t>
        </is>
      </c>
      <c r="B62" s="48">
        <f>MAX(0,-$B$59)</f>
        <v/>
      </c>
    </row>
    <row r="63">
      <c r="A63" s="3" t="inlineStr">
        <is>
          <t>Minimum-cash buffer</t>
        </is>
      </c>
      <c r="B63" s="48">
        <f>Assumptions!$B$15</f>
        <v/>
      </c>
    </row>
    <row r="64">
      <c r="A64" s="3" t="inlineStr">
        <is>
          <t>Headroom: minimum post-seed cash minus buffer</t>
        </is>
      </c>
      <c r="B64" s="48">
        <f>$B$56-$B$63</f>
        <v/>
      </c>
    </row>
    <row r="65">
      <c r="A65" s="3" t="inlineStr">
        <is>
          <t>Shortfall vs buffer (extra cash needed to hold the buffer)</t>
        </is>
      </c>
      <c r="B65" s="48">
        <f>MAX(0,-$B$64)</f>
        <v/>
      </c>
    </row>
    <row r="66">
      <c r="A66" s="4" t="inlineStr">
        <is>
          <t>First post-seed month below the buffer (month #; 999 = never)</t>
        </is>
      </c>
      <c r="B66" s="52">
        <f>MIN($C$37:$BJ$37)</f>
        <v/>
      </c>
    </row>
    <row r="67">
      <c r="A67" s="3" t="inlineStr">
        <is>
          <t>First post-seed month below the buffer</t>
        </is>
      </c>
      <c r="B67" s="53">
        <f>IF($B$66=999,"Never",INDEX(Revenue_Build!$C$4:$BJ$4,$B$66))</f>
        <v/>
      </c>
    </row>
    <row r="68">
      <c r="A68" s="3" t="inlineStr">
        <is>
          <t>PROFITABLE ON THE SEED ALONE? (no Series A, cash &gt;= buffer, sustained EBITDA and cash-flow break-even)</t>
        </is>
      </c>
      <c r="B68" s="53">
        <f>IF(AND(OR(Assumptions!$B$16=0,Assumptions!$B$17=0),$B$56&gt;=$B$63,$B$47&lt;999,$B$51&lt;999),"Yes","No")</f>
        <v/>
      </c>
    </row>
    <row r="69">
      <c r="A69" s="4" t="inlineStr">
        <is>
          <t>First post-seed month closing cash &lt; 0 (month #; 999 = never)</t>
        </is>
      </c>
      <c r="B69" s="52">
        <f>MIN($C$36:$BJ$36)</f>
        <v/>
      </c>
    </row>
    <row r="70">
      <c r="A70" s="3" t="inlineStr">
        <is>
          <t>Months from seed until cash runs out</t>
        </is>
      </c>
      <c r="B70" s="52">
        <f>IF($B$69=999,"Not exhausted within 60 months",$B$69-Assumptions!$B$14)</f>
        <v/>
      </c>
    </row>
    <row r="71">
      <c r="A71" s="3" t="inlineStr">
        <is>
          <t>Closing cash in seed month</t>
        </is>
      </c>
      <c r="B71" s="48">
        <f>SUM($C$38:$BJ$38)</f>
        <v/>
      </c>
    </row>
    <row r="72">
      <c r="A72" s="3" t="inlineStr">
        <is>
          <t>Average monthly net burn, 12 months after seed</t>
        </is>
      </c>
      <c r="B72" s="48">
        <f>-SUM($C$41:$BJ$41)/12</f>
        <v/>
      </c>
    </row>
    <row r="73">
      <c r="A73" s="3" t="inlineStr">
        <is>
          <t>Runway at seed close (cash / avg burn of next 12 months)</t>
        </is>
      </c>
      <c r="B73" s="54">
        <f>IF($B$72&lt;=0,"Cash generative",$B$71/$B$72)</f>
        <v/>
      </c>
    </row>
    <row r="74">
      <c r="A74" s="3" t="inlineStr">
        <is>
          <t>Months from seed to cash trough</t>
        </is>
      </c>
      <c r="B74" s="52">
        <f>$B$57-Assumptions!$B$14</f>
        <v/>
      </c>
    </row>
    <row r="75">
      <c r="A75" s="3" t="inlineStr">
        <is>
          <t>Additional funding needed to keep post-seed cash &gt;= 0</t>
        </is>
      </c>
      <c r="B75" s="48">
        <f>MAX(0,-$B$56)</f>
        <v/>
      </c>
    </row>
    <row r="76">
      <c r="A76" s="3" t="inlineStr">
        <is>
          <t>Effective launch month #: Nigeria (999 = not launched)</t>
        </is>
      </c>
      <c r="B76" s="52">
        <f>IF(SUM(Revenue_Build!$C$15:$BJ$15)=0,999,61-SUM(Revenue_Build!$C$15:$BJ$15))</f>
        <v/>
      </c>
    </row>
    <row r="77">
      <c r="A77" s="3" t="inlineStr">
        <is>
          <t>Effective launch month: Nigeria</t>
        </is>
      </c>
      <c r="B77" s="53">
        <f>IF($B$76=999,"Not launched",INDEX(Revenue_Build!$C$4:$BJ$4,$B$76))</f>
        <v/>
      </c>
    </row>
    <row r="78">
      <c r="A78" s="3" t="inlineStr">
        <is>
          <t>Effective launch month #: Kenya (999 = not launched)</t>
        </is>
      </c>
      <c r="B78" s="52">
        <f>IF(SUM(Revenue_Build!$C$17:$BJ$17)=0,999,61-SUM(Revenue_Build!$C$17:$BJ$17))</f>
        <v/>
      </c>
    </row>
    <row r="79">
      <c r="A79" s="3" t="inlineStr">
        <is>
          <t>Effective launch month: Kenya</t>
        </is>
      </c>
      <c r="B79" s="53">
        <f>IF($B$78=999,"Not launched",INDEX(Revenue_Build!$C$4:$BJ$4,$B$78))</f>
        <v/>
      </c>
    </row>
    <row r="80">
      <c r="A80" s="3" t="inlineStr">
        <is>
          <t>Effective launch month #: Ghana (999 = not launched)</t>
        </is>
      </c>
      <c r="B80" s="52">
        <f>IF(SUM(Revenue_Build!$C$19:$BJ$19)=0,999,61-SUM(Revenue_Build!$C$19:$BJ$19))</f>
        <v/>
      </c>
    </row>
    <row r="81">
      <c r="A81" s="3" t="inlineStr">
        <is>
          <t>Effective launch month: Ghana</t>
        </is>
      </c>
      <c r="B81" s="53">
        <f>IF($B$80=999,"Not launched",INDEX(Revenue_Build!$C$4:$BJ$4,$B$80))</f>
        <v/>
      </c>
    </row>
    <row r="82">
      <c r="A82" s="3" t="inlineStr">
        <is>
          <t>Effective launch month #: Rest of Africa (USD) (999 = not launched)</t>
        </is>
      </c>
      <c r="B82" s="52">
        <f>IF(SUM(Revenue_Build!$C$21:$BJ$21)=0,999,61-SUM(Revenue_Build!$C$21:$BJ$21))</f>
        <v/>
      </c>
    </row>
    <row r="83">
      <c r="A83" s="3" t="inlineStr">
        <is>
          <t>Effective launch month: Rest of Africa (USD)</t>
        </is>
      </c>
      <c r="B83" s="53">
        <f>IF($B$82=999,"Not launched",INDEX(Revenue_Build!$C$4:$BJ$4,$B$82))</f>
        <v/>
      </c>
    </row>
    <row r="84">
      <c r="A84" s="3" t="inlineStr">
        <is>
          <t>Effective launch month #: Botswana &amp; Namibia (999 = not launched)</t>
        </is>
      </c>
      <c r="B84" s="52">
        <f>IF(SUM(Revenue_Build!$C$23:$BJ$23)=0,999,61-SUM(Revenue_Build!$C$23:$BJ$23))</f>
        <v/>
      </c>
    </row>
    <row r="85">
      <c r="A85" s="3" t="inlineStr">
        <is>
          <t>Effective launch month: Botswana &amp; Namibia</t>
        </is>
      </c>
      <c r="B85" s="53">
        <f>IF($B$84=999,"Not launched",INDEX(Revenue_Build!$C$4:$BJ$4,$B$84))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474F"/>
    <outlinePr summaryBelow="1" summaryRight="1"/>
    <pageSetUpPr/>
  </sheetPr>
  <dimension ref="A1:G9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6" t="inlineStr">
        <is>
          <t>Unit Economics</t>
        </is>
      </c>
    </row>
    <row r="2">
      <c r="A2" s="17" t="inlineStr">
        <is>
          <t>Unit economics by segment and year. LTV uses software gross margin and segment churn.</t>
        </is>
      </c>
    </row>
    <row r="3"/>
    <row r="4">
      <c r="A4" s="6" t="inlineStr">
        <is>
          <t>R unless stated</t>
        </is>
      </c>
      <c r="B4" s="6" t="inlineStr">
        <is>
          <t>Unit</t>
        </is>
      </c>
      <c r="C4" s="38" t="inlineStr">
        <is>
          <t>FY1</t>
        </is>
      </c>
      <c r="D4" s="38" t="inlineStr">
        <is>
          <t>FY2</t>
        </is>
      </c>
      <c r="E4" s="38" t="inlineStr">
        <is>
          <t>FY3</t>
        </is>
      </c>
      <c r="F4" s="38" t="inlineStr">
        <is>
          <t>FY4</t>
        </is>
      </c>
      <c r="G4" s="38" t="inlineStr">
        <is>
          <t>FY5</t>
        </is>
      </c>
    </row>
    <row r="5">
      <c r="C5" s="46" t="inlineStr">
        <is>
          <t>Oct 2026 - Sep 2027</t>
        </is>
      </c>
      <c r="D5" s="46" t="inlineStr">
        <is>
          <t>Oct 2027 - Sep 2028</t>
        </is>
      </c>
      <c r="E5" s="46" t="inlineStr">
        <is>
          <t>Oct 2028 - Sep 2029</t>
        </is>
      </c>
      <c r="F5" s="46" t="inlineStr">
        <is>
          <t>Oct 2029 - Sep 2030</t>
        </is>
      </c>
      <c r="G5" s="46" t="inlineStr">
        <is>
          <t>Oct 2030 - Sep 2031</t>
        </is>
      </c>
    </row>
    <row r="6"/>
    <row r="7">
      <c r="A7" s="19" t="inlineStr">
        <is>
          <t>By segment: ARPA (gross list), churn, LTV = ARPA x software GM % / monthly churn</t>
        </is>
      </c>
      <c r="B7" s="19" t="n"/>
      <c r="C7" s="19" t="n"/>
      <c r="D7" s="19" t="n"/>
      <c r="E7" s="19" t="n"/>
      <c r="F7" s="19" t="n"/>
      <c r="G7" s="19" t="n"/>
    </row>
    <row r="8">
      <c r="A8" s="4" t="inlineStr">
        <is>
          <t>ARPA: Solo</t>
        </is>
      </c>
      <c r="B8" s="17" t="inlineStr">
        <is>
          <t>R / month</t>
        </is>
      </c>
      <c r="C8" s="47">
        <f>IF(SUM(Revenue_Build!C367:N367)=0,0,SUM(Revenue_Build!C466:N466)/SUM(Revenue_Build!C367:N367))</f>
        <v/>
      </c>
      <c r="D8" s="47">
        <f>IF(SUM(Revenue_Build!O367:Z367)=0,0,SUM(Revenue_Build!O466:Z466)/SUM(Revenue_Build!O367:Z367))</f>
        <v/>
      </c>
      <c r="E8" s="47">
        <f>IF(SUM(Revenue_Build!AA367:AL367)=0,0,SUM(Revenue_Build!AA466:AL466)/SUM(Revenue_Build!AA367:AL367))</f>
        <v/>
      </c>
      <c r="F8" s="47">
        <f>IF(SUM(Revenue_Build!AM367:AX367)=0,0,SUM(Revenue_Build!AM466:AX466)/SUM(Revenue_Build!AM367:AX367))</f>
        <v/>
      </c>
      <c r="G8" s="47">
        <f>IF(SUM(Revenue_Build!AY367:BJ367)=0,0,SUM(Revenue_Build!AY466:BJ466)/SUM(Revenue_Build!AY367:BJ367))</f>
        <v/>
      </c>
    </row>
    <row r="9">
      <c r="A9" s="4" t="inlineStr">
        <is>
          <t>ARPA: SMEs</t>
        </is>
      </c>
      <c r="B9" s="17" t="inlineStr">
        <is>
          <t>R / month</t>
        </is>
      </c>
      <c r="C9" s="47">
        <f>IF(SUM(Revenue_Build!C371:N371)=0,0,SUM(Revenue_Build!C467:N467)/SUM(Revenue_Build!C371:N371))</f>
        <v/>
      </c>
      <c r="D9" s="47">
        <f>IF(SUM(Revenue_Build!O371:Z371)=0,0,SUM(Revenue_Build!O467:Z467)/SUM(Revenue_Build!O371:Z371))</f>
        <v/>
      </c>
      <c r="E9" s="47">
        <f>IF(SUM(Revenue_Build!AA371:AL371)=0,0,SUM(Revenue_Build!AA467:AL467)/SUM(Revenue_Build!AA371:AL371))</f>
        <v/>
      </c>
      <c r="F9" s="47">
        <f>IF(SUM(Revenue_Build!AM371:AX371)=0,0,SUM(Revenue_Build!AM467:AX467)/SUM(Revenue_Build!AM371:AX371))</f>
        <v/>
      </c>
      <c r="G9" s="47">
        <f>IF(SUM(Revenue_Build!AY371:BJ371)=0,0,SUM(Revenue_Build!AY467:BJ467)/SUM(Revenue_Build!AY371:BJ371))</f>
        <v/>
      </c>
    </row>
    <row r="10">
      <c r="A10" s="4" t="inlineStr">
        <is>
          <t>ARPA: Agencies</t>
        </is>
      </c>
      <c r="B10" s="17" t="inlineStr">
        <is>
          <t>R / month</t>
        </is>
      </c>
      <c r="C10" s="47">
        <f>IF(SUM(Revenue_Build!C375:N375)=0,0,SUM(Revenue_Build!C468:N468)/SUM(Revenue_Build!C375:N375))</f>
        <v/>
      </c>
      <c r="D10" s="47">
        <f>IF(SUM(Revenue_Build!O375:Z375)=0,0,SUM(Revenue_Build!O468:Z468)/SUM(Revenue_Build!O375:Z375))</f>
        <v/>
      </c>
      <c r="E10" s="47">
        <f>IF(SUM(Revenue_Build!AA375:AL375)=0,0,SUM(Revenue_Build!AA468:AL468)/SUM(Revenue_Build!AA375:AL375))</f>
        <v/>
      </c>
      <c r="F10" s="47">
        <f>IF(SUM(Revenue_Build!AM375:AX375)=0,0,SUM(Revenue_Build!AM468:AX468)/SUM(Revenue_Build!AM375:AX375))</f>
        <v/>
      </c>
      <c r="G10" s="47">
        <f>IF(SUM(Revenue_Build!AY375:BJ375)=0,0,SUM(Revenue_Build!AY468:BJ468)/SUM(Revenue_Build!AY375:BJ375))</f>
        <v/>
      </c>
    </row>
    <row r="11">
      <c r="A11" s="4" t="inlineStr">
        <is>
          <t>ARPA: Corporate</t>
        </is>
      </c>
      <c r="B11" s="17" t="inlineStr">
        <is>
          <t>R / month</t>
        </is>
      </c>
      <c r="C11" s="47">
        <f>IF(SUM(Revenue_Build!C379:N379)=0,0,SUM(Revenue_Build!C469:N469)/SUM(Revenue_Build!C379:N379))</f>
        <v/>
      </c>
      <c r="D11" s="47">
        <f>IF(SUM(Revenue_Build!O379:Z379)=0,0,SUM(Revenue_Build!O469:Z469)/SUM(Revenue_Build!O379:Z379))</f>
        <v/>
      </c>
      <c r="E11" s="47">
        <f>IF(SUM(Revenue_Build!AA379:AL379)=0,0,SUM(Revenue_Build!AA469:AL469)/SUM(Revenue_Build!AA379:AL379))</f>
        <v/>
      </c>
      <c r="F11" s="47">
        <f>IF(SUM(Revenue_Build!AM379:AX379)=0,0,SUM(Revenue_Build!AM469:AX469)/SUM(Revenue_Build!AM379:AX379))</f>
        <v/>
      </c>
      <c r="G11" s="47">
        <f>IF(SUM(Revenue_Build!AY379:BJ379)=0,0,SUM(Revenue_Build!AY469:BJ469)/SUM(Revenue_Build!AY379:BJ379))</f>
        <v/>
      </c>
    </row>
    <row r="12">
      <c r="A12" s="4" t="inlineStr">
        <is>
          <t>ARPA: Enterprise</t>
        </is>
      </c>
      <c r="B12" s="17" t="inlineStr">
        <is>
          <t>R / month</t>
        </is>
      </c>
      <c r="C12" s="47">
        <f>IF(SUM(Revenue_Build!C383:N383)=0,0,SUM(Revenue_Build!C470:N470)/SUM(Revenue_Build!C383:N383))</f>
        <v/>
      </c>
      <c r="D12" s="47">
        <f>IF(SUM(Revenue_Build!O383:Z383)=0,0,SUM(Revenue_Build!O470:Z470)/SUM(Revenue_Build!O383:Z383))</f>
        <v/>
      </c>
      <c r="E12" s="47">
        <f>IF(SUM(Revenue_Build!AA383:AL383)=0,0,SUM(Revenue_Build!AA470:AL470)/SUM(Revenue_Build!AA383:AL383))</f>
        <v/>
      </c>
      <c r="F12" s="47">
        <f>IF(SUM(Revenue_Build!AM383:AX383)=0,0,SUM(Revenue_Build!AM470:AX470)/SUM(Revenue_Build!AM383:AX383))</f>
        <v/>
      </c>
      <c r="G12" s="47">
        <f>IF(SUM(Revenue_Build!AY383:BJ383)=0,0,SUM(Revenue_Build!AY470:BJ470)/SUM(Revenue_Build!AY383:BJ383))</f>
        <v/>
      </c>
    </row>
    <row r="13">
      <c r="A13" s="4" t="inlineStr">
        <is>
          <t>Software gross margin % (used for LTV)</t>
        </is>
      </c>
      <c r="B13" s="17" t="inlineStr">
        <is>
          <t>%</t>
        </is>
      </c>
      <c r="C13" s="50">
        <f>Annual_Summary!C37</f>
        <v/>
      </c>
      <c r="D13" s="50">
        <f>Annual_Summary!D37</f>
        <v/>
      </c>
      <c r="E13" s="50">
        <f>Annual_Summary!E37</f>
        <v/>
      </c>
      <c r="F13" s="50">
        <f>Annual_Summary!F37</f>
        <v/>
      </c>
      <c r="G13" s="50">
        <f>Annual_Summary!G37</f>
        <v/>
      </c>
    </row>
    <row r="14">
      <c r="A14" s="4" t="inlineStr">
        <is>
          <t>Monthly logo churn: Solo (churned / opening)</t>
        </is>
      </c>
      <c r="B14" s="17" t="inlineStr">
        <is>
          <t>%</t>
        </is>
      </c>
      <c r="C14" s="50">
        <f>IF(SUM(Revenue_Build!C366:N366)=0,0,SUM(Revenue_Build!C368:N368)/SUM(Revenue_Build!C366:N366))</f>
        <v/>
      </c>
      <c r="D14" s="50">
        <f>IF(SUM(Revenue_Build!O366:Z366)=0,0,SUM(Revenue_Build!O368:Z368)/SUM(Revenue_Build!O366:Z366))</f>
        <v/>
      </c>
      <c r="E14" s="50">
        <f>IF(SUM(Revenue_Build!AA366:AL366)=0,0,SUM(Revenue_Build!AA368:AL368)/SUM(Revenue_Build!AA366:AL366))</f>
        <v/>
      </c>
      <c r="F14" s="50">
        <f>IF(SUM(Revenue_Build!AM366:AX366)=0,0,SUM(Revenue_Build!AM368:AX368)/SUM(Revenue_Build!AM366:AX366))</f>
        <v/>
      </c>
      <c r="G14" s="50">
        <f>IF(SUM(Revenue_Build!AY366:BJ366)=0,0,SUM(Revenue_Build!AY368:BJ368)/SUM(Revenue_Build!AY366:BJ366))</f>
        <v/>
      </c>
    </row>
    <row r="15">
      <c r="A15" s="4" t="inlineStr">
        <is>
          <t>Monthly logo churn: SMEs (churned / opening)</t>
        </is>
      </c>
      <c r="B15" s="17" t="inlineStr">
        <is>
          <t>%</t>
        </is>
      </c>
      <c r="C15" s="50">
        <f>IF(SUM(Revenue_Build!C370:N370)=0,0,SUM(Revenue_Build!C372:N372)/SUM(Revenue_Build!C370:N370))</f>
        <v/>
      </c>
      <c r="D15" s="50">
        <f>IF(SUM(Revenue_Build!O370:Z370)=0,0,SUM(Revenue_Build!O372:Z372)/SUM(Revenue_Build!O370:Z370))</f>
        <v/>
      </c>
      <c r="E15" s="50">
        <f>IF(SUM(Revenue_Build!AA370:AL370)=0,0,SUM(Revenue_Build!AA372:AL372)/SUM(Revenue_Build!AA370:AL370))</f>
        <v/>
      </c>
      <c r="F15" s="50">
        <f>IF(SUM(Revenue_Build!AM370:AX370)=0,0,SUM(Revenue_Build!AM372:AX372)/SUM(Revenue_Build!AM370:AX370))</f>
        <v/>
      </c>
      <c r="G15" s="50">
        <f>IF(SUM(Revenue_Build!AY370:BJ370)=0,0,SUM(Revenue_Build!AY372:BJ372)/SUM(Revenue_Build!AY370:BJ370))</f>
        <v/>
      </c>
    </row>
    <row r="16">
      <c r="A16" s="4" t="inlineStr">
        <is>
          <t>Monthly logo churn: Agencies (churned / opening)</t>
        </is>
      </c>
      <c r="B16" s="17" t="inlineStr">
        <is>
          <t>%</t>
        </is>
      </c>
      <c r="C16" s="50">
        <f>IF(SUM(Revenue_Build!C374:N374)=0,0,SUM(Revenue_Build!C376:N376)/SUM(Revenue_Build!C374:N374))</f>
        <v/>
      </c>
      <c r="D16" s="50">
        <f>IF(SUM(Revenue_Build!O374:Z374)=0,0,SUM(Revenue_Build!O376:Z376)/SUM(Revenue_Build!O374:Z374))</f>
        <v/>
      </c>
      <c r="E16" s="50">
        <f>IF(SUM(Revenue_Build!AA374:AL374)=0,0,SUM(Revenue_Build!AA376:AL376)/SUM(Revenue_Build!AA374:AL374))</f>
        <v/>
      </c>
      <c r="F16" s="50">
        <f>IF(SUM(Revenue_Build!AM374:AX374)=0,0,SUM(Revenue_Build!AM376:AX376)/SUM(Revenue_Build!AM374:AX374))</f>
        <v/>
      </c>
      <c r="G16" s="50">
        <f>IF(SUM(Revenue_Build!AY374:BJ374)=0,0,SUM(Revenue_Build!AY376:BJ376)/SUM(Revenue_Build!AY374:BJ374))</f>
        <v/>
      </c>
    </row>
    <row r="17">
      <c r="A17" s="4" t="inlineStr">
        <is>
          <t>Monthly logo churn: Corporate (churned / opening)</t>
        </is>
      </c>
      <c r="B17" s="17" t="inlineStr">
        <is>
          <t>%</t>
        </is>
      </c>
      <c r="C17" s="50">
        <f>IF(SUM(Revenue_Build!C378:N378)=0,0,SUM(Revenue_Build!C380:N380)/SUM(Revenue_Build!C378:N378))</f>
        <v/>
      </c>
      <c r="D17" s="50">
        <f>IF(SUM(Revenue_Build!O378:Z378)=0,0,SUM(Revenue_Build!O380:Z380)/SUM(Revenue_Build!O378:Z378))</f>
        <v/>
      </c>
      <c r="E17" s="50">
        <f>IF(SUM(Revenue_Build!AA378:AL378)=0,0,SUM(Revenue_Build!AA380:AL380)/SUM(Revenue_Build!AA378:AL378))</f>
        <v/>
      </c>
      <c r="F17" s="50">
        <f>IF(SUM(Revenue_Build!AM378:AX378)=0,0,SUM(Revenue_Build!AM380:AX380)/SUM(Revenue_Build!AM378:AX378))</f>
        <v/>
      </c>
      <c r="G17" s="50">
        <f>IF(SUM(Revenue_Build!AY378:BJ378)=0,0,SUM(Revenue_Build!AY380:BJ380)/SUM(Revenue_Build!AY378:BJ378))</f>
        <v/>
      </c>
    </row>
    <row r="18">
      <c r="A18" s="4" t="inlineStr">
        <is>
          <t>Monthly logo churn: Enterprise (churned / opening)</t>
        </is>
      </c>
      <c r="B18" s="17" t="inlineStr">
        <is>
          <t>%</t>
        </is>
      </c>
      <c r="C18" s="50">
        <f>IF(SUM(Revenue_Build!C382:N382)=0,0,SUM(Revenue_Build!C384:N384)/SUM(Revenue_Build!C382:N382))</f>
        <v/>
      </c>
      <c r="D18" s="50">
        <f>IF(SUM(Revenue_Build!O382:Z382)=0,0,SUM(Revenue_Build!O384:Z384)/SUM(Revenue_Build!O382:Z382))</f>
        <v/>
      </c>
      <c r="E18" s="50">
        <f>IF(SUM(Revenue_Build!AA382:AL382)=0,0,SUM(Revenue_Build!AA384:AL384)/SUM(Revenue_Build!AA382:AL382))</f>
        <v/>
      </c>
      <c r="F18" s="50">
        <f>IF(SUM(Revenue_Build!AM382:AX382)=0,0,SUM(Revenue_Build!AM384:AX384)/SUM(Revenue_Build!AM382:AX382))</f>
        <v/>
      </c>
      <c r="G18" s="50">
        <f>IF(SUM(Revenue_Build!AY382:BJ382)=0,0,SUM(Revenue_Build!AY384:BJ384)/SUM(Revenue_Build!AY382:BJ382))</f>
        <v/>
      </c>
    </row>
    <row r="19">
      <c r="A19" s="3" t="inlineStr">
        <is>
          <t>LTV: Solo</t>
        </is>
      </c>
      <c r="B19" s="17" t="inlineStr">
        <is>
          <t>R</t>
        </is>
      </c>
      <c r="C19" s="48">
        <f>IF(C14=0,0,C8*C13/C14)</f>
        <v/>
      </c>
      <c r="D19" s="48">
        <f>IF(D14=0,0,D8*D13/D14)</f>
        <v/>
      </c>
      <c r="E19" s="48">
        <f>IF(E14=0,0,E8*E13/E14)</f>
        <v/>
      </c>
      <c r="F19" s="48">
        <f>IF(F14=0,0,F8*F13/F14)</f>
        <v/>
      </c>
      <c r="G19" s="48">
        <f>IF(G14=0,0,G8*G13/G14)</f>
        <v/>
      </c>
    </row>
    <row r="20">
      <c r="A20" s="3" t="inlineStr">
        <is>
          <t>LTV: SMEs</t>
        </is>
      </c>
      <c r="B20" s="17" t="inlineStr">
        <is>
          <t>R</t>
        </is>
      </c>
      <c r="C20" s="48">
        <f>IF(C15=0,0,C9*C13/C15)</f>
        <v/>
      </c>
      <c r="D20" s="48">
        <f>IF(D15=0,0,D9*D13/D15)</f>
        <v/>
      </c>
      <c r="E20" s="48">
        <f>IF(E15=0,0,E9*E13/E15)</f>
        <v/>
      </c>
      <c r="F20" s="48">
        <f>IF(F15=0,0,F9*F13/F15)</f>
        <v/>
      </c>
      <c r="G20" s="48">
        <f>IF(G15=0,0,G9*G13/G15)</f>
        <v/>
      </c>
    </row>
    <row r="21">
      <c r="A21" s="3" t="inlineStr">
        <is>
          <t>LTV: Agencies</t>
        </is>
      </c>
      <c r="B21" s="17" t="inlineStr">
        <is>
          <t>R</t>
        </is>
      </c>
      <c r="C21" s="48">
        <f>IF(C16=0,0,C10*C13/C16)</f>
        <v/>
      </c>
      <c r="D21" s="48">
        <f>IF(D16=0,0,D10*D13/D16)</f>
        <v/>
      </c>
      <c r="E21" s="48">
        <f>IF(E16=0,0,E10*E13/E16)</f>
        <v/>
      </c>
      <c r="F21" s="48">
        <f>IF(F16=0,0,F10*F13/F16)</f>
        <v/>
      </c>
      <c r="G21" s="48">
        <f>IF(G16=0,0,G10*G13/G16)</f>
        <v/>
      </c>
    </row>
    <row r="22">
      <c r="A22" s="3" t="inlineStr">
        <is>
          <t>LTV: Corporate</t>
        </is>
      </c>
      <c r="B22" s="17" t="inlineStr">
        <is>
          <t>R</t>
        </is>
      </c>
      <c r="C22" s="48">
        <f>IF(C17=0,0,C11*C13/C17)</f>
        <v/>
      </c>
      <c r="D22" s="48">
        <f>IF(D17=0,0,D11*D13/D17)</f>
        <v/>
      </c>
      <c r="E22" s="48">
        <f>IF(E17=0,0,E11*E13/E17)</f>
        <v/>
      </c>
      <c r="F22" s="48">
        <f>IF(F17=0,0,F11*F13/F17)</f>
        <v/>
      </c>
      <c r="G22" s="48">
        <f>IF(G17=0,0,G11*G13/G17)</f>
        <v/>
      </c>
    </row>
    <row r="23">
      <c r="A23" s="3" t="inlineStr">
        <is>
          <t>LTV: Enterprise</t>
        </is>
      </c>
      <c r="B23" s="17" t="inlineStr">
        <is>
          <t>R</t>
        </is>
      </c>
      <c r="C23" s="48">
        <f>IF(C18=0,0,C12*C13/C18)</f>
        <v/>
      </c>
      <c r="D23" s="48">
        <f>IF(D18=0,0,D12*D13/D18)</f>
        <v/>
      </c>
      <c r="E23" s="48">
        <f>IF(E18=0,0,E12*E13/E18)</f>
        <v/>
      </c>
      <c r="F23" s="48">
        <f>IF(F18=0,0,F12*F13/F18)</f>
        <v/>
      </c>
      <c r="G23" s="48">
        <f>IF(G18=0,0,G12*G13/G18)</f>
        <v/>
      </c>
    </row>
    <row r="24"/>
    <row r="25">
      <c r="A25" s="19" t="inlineStr">
        <is>
          <t>By segment: acquisition spend, new customers, CAC (self-serve brand/launch/marketing payroll shared by new-customer mix)</t>
        </is>
      </c>
      <c r="B25" s="19" t="n"/>
      <c r="C25" s="19" t="n"/>
      <c r="D25" s="19" t="n"/>
      <c r="E25" s="19" t="n"/>
      <c r="F25" s="19" t="n"/>
      <c r="G25" s="19" t="n"/>
    </row>
    <row r="26">
      <c r="A26" s="4" t="inlineStr">
        <is>
          <t>Acquisition spend: Solo</t>
        </is>
      </c>
      <c r="B26" s="17" t="inlineStr">
        <is>
          <t>R</t>
        </is>
      </c>
      <c r="C26" s="47">
        <f>SUM(Revenue_Build!C140:N140)+(SUM(Costs!C172:N172)+SUM(Costs!C173:N173)+SUM(Costs!C174:N174)+SUM(Costs!C146:N146))*IF((SUM(Revenue_Build!C369:N369)+SUM(Revenue_Build!C373:N373))=0,0,SUM(Revenue_Build!C369:N369)/(SUM(Revenue_Build!C369:N369)+SUM(Revenue_Build!C373:N373)))</f>
        <v/>
      </c>
      <c r="D26" s="47">
        <f>SUM(Revenue_Build!O140:Z140)+(SUM(Costs!O172:Z172)+SUM(Costs!O173:Z173)+SUM(Costs!O174:Z174)+SUM(Costs!O146:Z146))*IF((SUM(Revenue_Build!O369:Z369)+SUM(Revenue_Build!O373:Z373))=0,0,SUM(Revenue_Build!O369:Z369)/(SUM(Revenue_Build!O369:Z369)+SUM(Revenue_Build!O373:Z373)))</f>
        <v/>
      </c>
      <c r="E26" s="47">
        <f>SUM(Revenue_Build!AA140:AL140)+(SUM(Costs!AA172:AL172)+SUM(Costs!AA173:AL173)+SUM(Costs!AA174:AL174)+SUM(Costs!AA146:AL146))*IF((SUM(Revenue_Build!AA369:AL369)+SUM(Revenue_Build!AA373:AL373))=0,0,SUM(Revenue_Build!AA369:AL369)/(SUM(Revenue_Build!AA369:AL369)+SUM(Revenue_Build!AA373:AL373)))</f>
        <v/>
      </c>
      <c r="F26" s="47">
        <f>SUM(Revenue_Build!AM140:AX140)+(SUM(Costs!AM172:AX172)+SUM(Costs!AM173:AX173)+SUM(Costs!AM174:AX174)+SUM(Costs!AM146:AX146))*IF((SUM(Revenue_Build!AM369:AX369)+SUM(Revenue_Build!AM373:AX373))=0,0,SUM(Revenue_Build!AM369:AX369)/(SUM(Revenue_Build!AM369:AX369)+SUM(Revenue_Build!AM373:AX373)))</f>
        <v/>
      </c>
      <c r="G26" s="47">
        <f>SUM(Revenue_Build!AY140:BJ140)+(SUM(Costs!AY172:BJ172)+SUM(Costs!AY173:BJ173)+SUM(Costs!AY174:BJ174)+SUM(Costs!AY146:BJ146))*IF((SUM(Revenue_Build!AY369:BJ369)+SUM(Revenue_Build!AY373:BJ373))=0,0,SUM(Revenue_Build!AY369:BJ369)/(SUM(Revenue_Build!AY369:BJ369)+SUM(Revenue_Build!AY373:BJ373)))</f>
        <v/>
      </c>
    </row>
    <row r="27">
      <c r="A27" s="4" t="inlineStr">
        <is>
          <t>Acquisition spend: SMEs</t>
        </is>
      </c>
      <c r="B27" s="17" t="inlineStr">
        <is>
          <t>R</t>
        </is>
      </c>
      <c r="C27" s="47">
        <f>SUM(Revenue_Build!C141:N141)+(SUM(Costs!C172:N172)+SUM(Costs!C173:N173)+SUM(Costs!C174:N174)+SUM(Costs!C146:N146))*IF((SUM(Revenue_Build!C369:N369)+SUM(Revenue_Build!C373:N373))=0,0,SUM(Revenue_Build!C373:N373)/(SUM(Revenue_Build!C369:N369)+SUM(Revenue_Build!C373:N373)))</f>
        <v/>
      </c>
      <c r="D27" s="47">
        <f>SUM(Revenue_Build!O141:Z141)+(SUM(Costs!O172:Z172)+SUM(Costs!O173:Z173)+SUM(Costs!O174:Z174)+SUM(Costs!O146:Z146))*IF((SUM(Revenue_Build!O369:Z369)+SUM(Revenue_Build!O373:Z373))=0,0,SUM(Revenue_Build!O373:Z373)/(SUM(Revenue_Build!O369:Z369)+SUM(Revenue_Build!O373:Z373)))</f>
        <v/>
      </c>
      <c r="E27" s="47">
        <f>SUM(Revenue_Build!AA141:AL141)+(SUM(Costs!AA172:AL172)+SUM(Costs!AA173:AL173)+SUM(Costs!AA174:AL174)+SUM(Costs!AA146:AL146))*IF((SUM(Revenue_Build!AA369:AL369)+SUM(Revenue_Build!AA373:AL373))=0,0,SUM(Revenue_Build!AA373:AL373)/(SUM(Revenue_Build!AA369:AL369)+SUM(Revenue_Build!AA373:AL373)))</f>
        <v/>
      </c>
      <c r="F27" s="47">
        <f>SUM(Revenue_Build!AM141:AX141)+(SUM(Costs!AM172:AX172)+SUM(Costs!AM173:AX173)+SUM(Costs!AM174:AX174)+SUM(Costs!AM146:AX146))*IF((SUM(Revenue_Build!AM369:AX369)+SUM(Revenue_Build!AM373:AX373))=0,0,SUM(Revenue_Build!AM373:AX373)/(SUM(Revenue_Build!AM369:AX369)+SUM(Revenue_Build!AM373:AX373)))</f>
        <v/>
      </c>
      <c r="G27" s="47">
        <f>SUM(Revenue_Build!AY141:BJ141)+(SUM(Costs!AY172:BJ172)+SUM(Costs!AY173:BJ173)+SUM(Costs!AY174:BJ174)+SUM(Costs!AY146:BJ146))*IF((SUM(Revenue_Build!AY369:BJ369)+SUM(Revenue_Build!AY373:BJ373))=0,0,SUM(Revenue_Build!AY373:BJ373)/(SUM(Revenue_Build!AY369:BJ369)+SUM(Revenue_Build!AY373:BJ373)))</f>
        <v/>
      </c>
    </row>
    <row r="28">
      <c r="A28" s="4" t="inlineStr">
        <is>
          <t>Acquisition spend: Agencies</t>
        </is>
      </c>
      <c r="B28" s="17" t="inlineStr">
        <is>
          <t>R</t>
        </is>
      </c>
      <c r="C28" s="47">
        <f>SUM(Costs!C176:N176)+SUM(Costs!C152:N152)</f>
        <v/>
      </c>
      <c r="D28" s="47">
        <f>SUM(Costs!O176:Z176)+SUM(Costs!O152:Z152)</f>
        <v/>
      </c>
      <c r="E28" s="47">
        <f>SUM(Costs!AA176:AL176)+SUM(Costs!AA152:AL152)</f>
        <v/>
      </c>
      <c r="F28" s="47">
        <f>SUM(Costs!AM176:AX176)+SUM(Costs!AM152:AX152)</f>
        <v/>
      </c>
      <c r="G28" s="47">
        <f>SUM(Costs!AY176:BJ176)+SUM(Costs!AY152:BJ152)</f>
        <v/>
      </c>
    </row>
    <row r="29">
      <c r="A29" s="4" t="inlineStr">
        <is>
          <t>Acquisition spend: Corporate</t>
        </is>
      </c>
      <c r="B29" s="17" t="inlineStr">
        <is>
          <t>R</t>
        </is>
      </c>
      <c r="C29" s="47">
        <f>SUM(Costs!C178:N178)</f>
        <v/>
      </c>
      <c r="D29" s="47">
        <f>SUM(Costs!O178:Z178)</f>
        <v/>
      </c>
      <c r="E29" s="47">
        <f>SUM(Costs!AA178:AL178)</f>
        <v/>
      </c>
      <c r="F29" s="47">
        <f>SUM(Costs!AM178:AX178)</f>
        <v/>
      </c>
      <c r="G29" s="47">
        <f>SUM(Costs!AY178:BJ178)</f>
        <v/>
      </c>
    </row>
    <row r="30">
      <c r="A30" s="4" t="inlineStr">
        <is>
          <t>Acquisition spend: Enterprise</t>
        </is>
      </c>
      <c r="B30" s="17" t="inlineStr">
        <is>
          <t>R</t>
        </is>
      </c>
      <c r="C30" s="47">
        <f>SUM(Costs!C177:N177)</f>
        <v/>
      </c>
      <c r="D30" s="47">
        <f>SUM(Costs!O177:Z177)</f>
        <v/>
      </c>
      <c r="E30" s="47">
        <f>SUM(Costs!AA177:AL177)</f>
        <v/>
      </c>
      <c r="F30" s="47">
        <f>SUM(Costs!AM177:AX177)</f>
        <v/>
      </c>
      <c r="G30" s="47">
        <f>SUM(Costs!AY177:BJ177)</f>
        <v/>
      </c>
    </row>
    <row r="31">
      <c r="A31" s="4" t="inlineStr">
        <is>
          <t>New customers: Solo</t>
        </is>
      </c>
      <c r="B31" s="17" t="inlineStr">
        <is>
          <t>workspaces</t>
        </is>
      </c>
      <c r="C31" s="51">
        <f>SUM(Revenue_Build!C369:N369)</f>
        <v/>
      </c>
      <c r="D31" s="51">
        <f>SUM(Revenue_Build!O369:Z369)</f>
        <v/>
      </c>
      <c r="E31" s="51">
        <f>SUM(Revenue_Build!AA369:AL369)</f>
        <v/>
      </c>
      <c r="F31" s="51">
        <f>SUM(Revenue_Build!AM369:AX369)</f>
        <v/>
      </c>
      <c r="G31" s="51">
        <f>SUM(Revenue_Build!AY369:BJ369)</f>
        <v/>
      </c>
    </row>
    <row r="32">
      <c r="A32" s="4" t="inlineStr">
        <is>
          <t>New customers: SMEs</t>
        </is>
      </c>
      <c r="B32" s="17" t="inlineStr">
        <is>
          <t>workspaces</t>
        </is>
      </c>
      <c r="C32" s="51">
        <f>SUM(Revenue_Build!C373:N373)</f>
        <v/>
      </c>
      <c r="D32" s="51">
        <f>SUM(Revenue_Build!O373:Z373)</f>
        <v/>
      </c>
      <c r="E32" s="51">
        <f>SUM(Revenue_Build!AA373:AL373)</f>
        <v/>
      </c>
      <c r="F32" s="51">
        <f>SUM(Revenue_Build!AM373:AX373)</f>
        <v/>
      </c>
      <c r="G32" s="51">
        <f>SUM(Revenue_Build!AY373:BJ373)</f>
        <v/>
      </c>
    </row>
    <row r="33">
      <c r="A33" s="4" t="inlineStr">
        <is>
          <t>New customers: Agencies</t>
        </is>
      </c>
      <c r="B33" s="17" t="inlineStr">
        <is>
          <t>workspaces</t>
        </is>
      </c>
      <c r="C33" s="51">
        <f>SUM(Revenue_Build!C377:N377)</f>
        <v/>
      </c>
      <c r="D33" s="51">
        <f>SUM(Revenue_Build!O377:Z377)</f>
        <v/>
      </c>
      <c r="E33" s="51">
        <f>SUM(Revenue_Build!AA377:AL377)</f>
        <v/>
      </c>
      <c r="F33" s="51">
        <f>SUM(Revenue_Build!AM377:AX377)</f>
        <v/>
      </c>
      <c r="G33" s="51">
        <f>SUM(Revenue_Build!AY377:BJ377)</f>
        <v/>
      </c>
    </row>
    <row r="34">
      <c r="A34" s="4" t="inlineStr">
        <is>
          <t>New customers: Corporate</t>
        </is>
      </c>
      <c r="B34" s="17" t="inlineStr">
        <is>
          <t>workspaces</t>
        </is>
      </c>
      <c r="C34" s="51">
        <f>SUM(Revenue_Build!C381:N381)</f>
        <v/>
      </c>
      <c r="D34" s="51">
        <f>SUM(Revenue_Build!O381:Z381)</f>
        <v/>
      </c>
      <c r="E34" s="51">
        <f>SUM(Revenue_Build!AA381:AL381)</f>
        <v/>
      </c>
      <c r="F34" s="51">
        <f>SUM(Revenue_Build!AM381:AX381)</f>
        <v/>
      </c>
      <c r="G34" s="51">
        <f>SUM(Revenue_Build!AY381:BJ381)</f>
        <v/>
      </c>
    </row>
    <row r="35">
      <c r="A35" s="4" t="inlineStr">
        <is>
          <t>New customers: Enterprise</t>
        </is>
      </c>
      <c r="B35" s="17" t="inlineStr">
        <is>
          <t>workspaces</t>
        </is>
      </c>
      <c r="C35" s="51">
        <f>SUM(Revenue_Build!C385:N385)</f>
        <v/>
      </c>
      <c r="D35" s="51">
        <f>SUM(Revenue_Build!O385:Z385)</f>
        <v/>
      </c>
      <c r="E35" s="51">
        <f>SUM(Revenue_Build!AA385:AL385)</f>
        <v/>
      </c>
      <c r="F35" s="51">
        <f>SUM(Revenue_Build!AM385:AX385)</f>
        <v/>
      </c>
      <c r="G35" s="51">
        <f>SUM(Revenue_Build!AY385:BJ385)</f>
        <v/>
      </c>
    </row>
    <row r="36">
      <c r="A36" s="3" t="inlineStr">
        <is>
          <t>CAC: Solo</t>
        </is>
      </c>
      <c r="B36" s="17" t="inlineStr">
        <is>
          <t>R</t>
        </is>
      </c>
      <c r="C36" s="48">
        <f>IF(C31=0,0,C26/C31)</f>
        <v/>
      </c>
      <c r="D36" s="48">
        <f>IF(D31=0,0,D26/D31)</f>
        <v/>
      </c>
      <c r="E36" s="48">
        <f>IF(E31=0,0,E26/E31)</f>
        <v/>
      </c>
      <c r="F36" s="48">
        <f>IF(F31=0,0,F26/F31)</f>
        <v/>
      </c>
      <c r="G36" s="48">
        <f>IF(G31=0,0,G26/G31)</f>
        <v/>
      </c>
    </row>
    <row r="37">
      <c r="A37" s="3" t="inlineStr">
        <is>
          <t>CAC: SMEs</t>
        </is>
      </c>
      <c r="B37" s="17" t="inlineStr">
        <is>
          <t>R</t>
        </is>
      </c>
      <c r="C37" s="48">
        <f>IF(C32=0,0,C27/C32)</f>
        <v/>
      </c>
      <c r="D37" s="48">
        <f>IF(D32=0,0,D27/D32)</f>
        <v/>
      </c>
      <c r="E37" s="48">
        <f>IF(E32=0,0,E27/E32)</f>
        <v/>
      </c>
      <c r="F37" s="48">
        <f>IF(F32=0,0,F27/F32)</f>
        <v/>
      </c>
      <c r="G37" s="48">
        <f>IF(G32=0,0,G27/G32)</f>
        <v/>
      </c>
    </row>
    <row r="38">
      <c r="A38" s="3" t="inlineStr">
        <is>
          <t>CAC: Agencies</t>
        </is>
      </c>
      <c r="B38" s="17" t="inlineStr">
        <is>
          <t>R</t>
        </is>
      </c>
      <c r="C38" s="48">
        <f>IF(C33=0,0,C28/C33)</f>
        <v/>
      </c>
      <c r="D38" s="48">
        <f>IF(D33=0,0,D28/D33)</f>
        <v/>
      </c>
      <c r="E38" s="48">
        <f>IF(E33=0,0,E28/E33)</f>
        <v/>
      </c>
      <c r="F38" s="48">
        <f>IF(F33=0,0,F28/F33)</f>
        <v/>
      </c>
      <c r="G38" s="48">
        <f>IF(G33=0,0,G28/G33)</f>
        <v/>
      </c>
    </row>
    <row r="39">
      <c r="A39" s="3" t="inlineStr">
        <is>
          <t>CAC: Corporate</t>
        </is>
      </c>
      <c r="B39" s="17" t="inlineStr">
        <is>
          <t>R</t>
        </is>
      </c>
      <c r="C39" s="48">
        <f>IF(C34=0,0,C29/C34)</f>
        <v/>
      </c>
      <c r="D39" s="48">
        <f>IF(D34=0,0,D29/D34)</f>
        <v/>
      </c>
      <c r="E39" s="48">
        <f>IF(E34=0,0,E29/E34)</f>
        <v/>
      </c>
      <c r="F39" s="48">
        <f>IF(F34=0,0,F29/F34)</f>
        <v/>
      </c>
      <c r="G39" s="48">
        <f>IF(G34=0,0,G29/G34)</f>
        <v/>
      </c>
    </row>
    <row r="40">
      <c r="A40" s="3" t="inlineStr">
        <is>
          <t>CAC: Enterprise</t>
        </is>
      </c>
      <c r="B40" s="17" t="inlineStr">
        <is>
          <t>R</t>
        </is>
      </c>
      <c r="C40" s="48">
        <f>IF(C35=0,0,C30/C35)</f>
        <v/>
      </c>
      <c r="D40" s="48">
        <f>IF(D35=0,0,D30/D35)</f>
        <v/>
      </c>
      <c r="E40" s="48">
        <f>IF(E35=0,0,E30/E35)</f>
        <v/>
      </c>
      <c r="F40" s="48">
        <f>IF(F35=0,0,F30/F35)</f>
        <v/>
      </c>
      <c r="G40" s="48">
        <f>IF(G35=0,0,G30/G35)</f>
        <v/>
      </c>
    </row>
    <row r="41">
      <c r="A41" s="4" t="inlineStr">
        <is>
          <t>LTV:CAC: Solo</t>
        </is>
      </c>
      <c r="B41" s="17" t="inlineStr">
        <is>
          <t>x</t>
        </is>
      </c>
      <c r="C41" s="55">
        <f>IF(C36=0,0,C19/C36)</f>
        <v/>
      </c>
      <c r="D41" s="55">
        <f>IF(D36=0,0,D19/D36)</f>
        <v/>
      </c>
      <c r="E41" s="55">
        <f>IF(E36=0,0,E19/E36)</f>
        <v/>
      </c>
      <c r="F41" s="55">
        <f>IF(F36=0,0,F19/F36)</f>
        <v/>
      </c>
      <c r="G41" s="55">
        <f>IF(G36=0,0,G19/G36)</f>
        <v/>
      </c>
    </row>
    <row r="42">
      <c r="A42" s="4" t="inlineStr">
        <is>
          <t>LTV:CAC: SMEs</t>
        </is>
      </c>
      <c r="B42" s="17" t="inlineStr">
        <is>
          <t>x</t>
        </is>
      </c>
      <c r="C42" s="55">
        <f>IF(C37=0,0,C20/C37)</f>
        <v/>
      </c>
      <c r="D42" s="55">
        <f>IF(D37=0,0,D20/D37)</f>
        <v/>
      </c>
      <c r="E42" s="55">
        <f>IF(E37=0,0,E20/E37)</f>
        <v/>
      </c>
      <c r="F42" s="55">
        <f>IF(F37=0,0,F20/F37)</f>
        <v/>
      </c>
      <c r="G42" s="55">
        <f>IF(G37=0,0,G20/G37)</f>
        <v/>
      </c>
    </row>
    <row r="43">
      <c r="A43" s="4" t="inlineStr">
        <is>
          <t>LTV:CAC: Agencies</t>
        </is>
      </c>
      <c r="B43" s="17" t="inlineStr">
        <is>
          <t>x</t>
        </is>
      </c>
      <c r="C43" s="55">
        <f>IF(C38=0,0,C21/C38)</f>
        <v/>
      </c>
      <c r="D43" s="55">
        <f>IF(D38=0,0,D21/D38)</f>
        <v/>
      </c>
      <c r="E43" s="55">
        <f>IF(E38=0,0,E21/E38)</f>
        <v/>
      </c>
      <c r="F43" s="55">
        <f>IF(F38=0,0,F21/F38)</f>
        <v/>
      </c>
      <c r="G43" s="55">
        <f>IF(G38=0,0,G21/G38)</f>
        <v/>
      </c>
    </row>
    <row r="44">
      <c r="A44" s="4" t="inlineStr">
        <is>
          <t>LTV:CAC: Corporate</t>
        </is>
      </c>
      <c r="B44" s="17" t="inlineStr">
        <is>
          <t>x</t>
        </is>
      </c>
      <c r="C44" s="55">
        <f>IF(C39=0,0,C22/C39)</f>
        <v/>
      </c>
      <c r="D44" s="55">
        <f>IF(D39=0,0,D22/D39)</f>
        <v/>
      </c>
      <c r="E44" s="55">
        <f>IF(E39=0,0,E22/E39)</f>
        <v/>
      </c>
      <c r="F44" s="55">
        <f>IF(F39=0,0,F22/F39)</f>
        <v/>
      </c>
      <c r="G44" s="55">
        <f>IF(G39=0,0,G22/G39)</f>
        <v/>
      </c>
    </row>
    <row r="45">
      <c r="A45" s="4" t="inlineStr">
        <is>
          <t>LTV:CAC: Enterprise</t>
        </is>
      </c>
      <c r="B45" s="17" t="inlineStr">
        <is>
          <t>x</t>
        </is>
      </c>
      <c r="C45" s="55">
        <f>IF(C40=0,0,C23/C40)</f>
        <v/>
      </c>
      <c r="D45" s="55">
        <f>IF(D40=0,0,D23/D40)</f>
        <v/>
      </c>
      <c r="E45" s="55">
        <f>IF(E40=0,0,E23/E40)</f>
        <v/>
      </c>
      <c r="F45" s="55">
        <f>IF(F40=0,0,F23/F40)</f>
        <v/>
      </c>
      <c r="G45" s="55">
        <f>IF(G40=0,0,G23/G40)</f>
        <v/>
      </c>
    </row>
    <row r="46">
      <c r="A46" s="4" t="inlineStr">
        <is>
          <t>CAC payback: Solo</t>
        </is>
      </c>
      <c r="B46" s="17" t="inlineStr">
        <is>
          <t>months</t>
        </is>
      </c>
      <c r="C46" s="56">
        <f>IF((C8*C13)=0,0,C36/(C8*C13))</f>
        <v/>
      </c>
      <c r="D46" s="56">
        <f>IF((D8*D13)=0,0,D36/(D8*D13))</f>
        <v/>
      </c>
      <c r="E46" s="56">
        <f>IF((E8*E13)=0,0,E36/(E8*E13))</f>
        <v/>
      </c>
      <c r="F46" s="56">
        <f>IF((F8*F13)=0,0,F36/(F8*F13))</f>
        <v/>
      </c>
      <c r="G46" s="56">
        <f>IF((G8*G13)=0,0,G36/(G8*G13))</f>
        <v/>
      </c>
    </row>
    <row r="47">
      <c r="A47" s="4" t="inlineStr">
        <is>
          <t>CAC payback: SMEs</t>
        </is>
      </c>
      <c r="B47" s="17" t="inlineStr">
        <is>
          <t>months</t>
        </is>
      </c>
      <c r="C47" s="56">
        <f>IF((C9*C13)=0,0,C37/(C9*C13))</f>
        <v/>
      </c>
      <c r="D47" s="56">
        <f>IF((D9*D13)=0,0,D37/(D9*D13))</f>
        <v/>
      </c>
      <c r="E47" s="56">
        <f>IF((E9*E13)=0,0,E37/(E9*E13))</f>
        <v/>
      </c>
      <c r="F47" s="56">
        <f>IF((F9*F13)=0,0,F37/(F9*F13))</f>
        <v/>
      </c>
      <c r="G47" s="56">
        <f>IF((G9*G13)=0,0,G37/(G9*G13))</f>
        <v/>
      </c>
    </row>
    <row r="48">
      <c r="A48" s="4" t="inlineStr">
        <is>
          <t>CAC payback: Agencies</t>
        </is>
      </c>
      <c r="B48" s="17" t="inlineStr">
        <is>
          <t>months</t>
        </is>
      </c>
      <c r="C48" s="56">
        <f>IF((C10*C13)=0,0,C38/(C10*C13))</f>
        <v/>
      </c>
      <c r="D48" s="56">
        <f>IF((D10*D13)=0,0,D38/(D10*D13))</f>
        <v/>
      </c>
      <c r="E48" s="56">
        <f>IF((E10*E13)=0,0,E38/(E10*E13))</f>
        <v/>
      </c>
      <c r="F48" s="56">
        <f>IF((F10*F13)=0,0,F38/(F10*F13))</f>
        <v/>
      </c>
      <c r="G48" s="56">
        <f>IF((G10*G13)=0,0,G38/(G10*G13))</f>
        <v/>
      </c>
    </row>
    <row r="49">
      <c r="A49" s="4" t="inlineStr">
        <is>
          <t>CAC payback: Corporate</t>
        </is>
      </c>
      <c r="B49" s="17" t="inlineStr">
        <is>
          <t>months</t>
        </is>
      </c>
      <c r="C49" s="56">
        <f>IF((C11*C13)=0,0,C39/(C11*C13))</f>
        <v/>
      </c>
      <c r="D49" s="56">
        <f>IF((D11*D13)=0,0,D39/(D11*D13))</f>
        <v/>
      </c>
      <c r="E49" s="56">
        <f>IF((E11*E13)=0,0,E39/(E11*E13))</f>
        <v/>
      </c>
      <c r="F49" s="56">
        <f>IF((F11*F13)=0,0,F39/(F11*F13))</f>
        <v/>
      </c>
      <c r="G49" s="56">
        <f>IF((G11*G13)=0,0,G39/(G11*G13))</f>
        <v/>
      </c>
    </row>
    <row r="50">
      <c r="A50" s="4" t="inlineStr">
        <is>
          <t>CAC payback: Enterprise</t>
        </is>
      </c>
      <c r="B50" s="17" t="inlineStr">
        <is>
          <t>months</t>
        </is>
      </c>
      <c r="C50" s="56">
        <f>IF((C12*C13)=0,0,C40/(C12*C13))</f>
        <v/>
      </c>
      <c r="D50" s="56">
        <f>IF((D12*D13)=0,0,D40/(D12*D13))</f>
        <v/>
      </c>
      <c r="E50" s="56">
        <f>IF((E12*E13)=0,0,E40/(E12*E13))</f>
        <v/>
      </c>
      <c r="F50" s="56">
        <f>IF((F12*F13)=0,0,F40/(F12*F13))</f>
        <v/>
      </c>
      <c r="G50" s="56">
        <f>IF((G12*G13)=0,0,G40/(G12*G13))</f>
        <v/>
      </c>
    </row>
    <row r="51"/>
    <row r="52">
      <c r="A52" s="19" t="inlineStr">
        <is>
          <t>Memo by tier: ARPA, churn, LTV</t>
        </is>
      </c>
      <c r="B52" s="19" t="n"/>
      <c r="C52" s="19" t="n"/>
      <c r="D52" s="19" t="n"/>
      <c r="E52" s="19" t="n"/>
      <c r="F52" s="19" t="n"/>
      <c r="G52" s="19" t="n"/>
    </row>
    <row r="53">
      <c r="A53" s="4" t="inlineStr">
        <is>
          <t>ARPA: Nano</t>
        </is>
      </c>
      <c r="B53" s="17" t="inlineStr">
        <is>
          <t>R / month</t>
        </is>
      </c>
      <c r="C53" s="47">
        <f>IF(SUM(Revenue_Build!C387:N387)=0,0,SUM(Revenue_Build!C471:N471)/SUM(Revenue_Build!C387:N387))</f>
        <v/>
      </c>
      <c r="D53" s="47">
        <f>IF(SUM(Revenue_Build!O387:Z387)=0,0,SUM(Revenue_Build!O471:Z471)/SUM(Revenue_Build!O387:Z387))</f>
        <v/>
      </c>
      <c r="E53" s="47">
        <f>IF(SUM(Revenue_Build!AA387:AL387)=0,0,SUM(Revenue_Build!AA471:AL471)/SUM(Revenue_Build!AA387:AL387))</f>
        <v/>
      </c>
      <c r="F53" s="47">
        <f>IF(SUM(Revenue_Build!AM387:AX387)=0,0,SUM(Revenue_Build!AM471:AX471)/SUM(Revenue_Build!AM387:AX387))</f>
        <v/>
      </c>
      <c r="G53" s="47">
        <f>IF(SUM(Revenue_Build!AY387:BJ387)=0,0,SUM(Revenue_Build!AY471:BJ471)/SUM(Revenue_Build!AY387:BJ387))</f>
        <v/>
      </c>
    </row>
    <row r="54">
      <c r="A54" s="4" t="inlineStr">
        <is>
          <t>ARPA: Micro</t>
        </is>
      </c>
      <c r="B54" s="17" t="inlineStr">
        <is>
          <t>R / month</t>
        </is>
      </c>
      <c r="C54" s="47">
        <f>IF(SUM(Revenue_Build!C390:N390)=0,0,SUM(Revenue_Build!C472:N472)/SUM(Revenue_Build!C390:N390))</f>
        <v/>
      </c>
      <c r="D54" s="47">
        <f>IF(SUM(Revenue_Build!O390:Z390)=0,0,SUM(Revenue_Build!O472:Z472)/SUM(Revenue_Build!O390:Z390))</f>
        <v/>
      </c>
      <c r="E54" s="47">
        <f>IF(SUM(Revenue_Build!AA390:AL390)=0,0,SUM(Revenue_Build!AA472:AL472)/SUM(Revenue_Build!AA390:AL390))</f>
        <v/>
      </c>
      <c r="F54" s="47">
        <f>IF(SUM(Revenue_Build!AM390:AX390)=0,0,SUM(Revenue_Build!AM472:AX472)/SUM(Revenue_Build!AM390:AX390))</f>
        <v/>
      </c>
      <c r="G54" s="47">
        <f>IF(SUM(Revenue_Build!AY390:BJ390)=0,0,SUM(Revenue_Build!AY472:BJ472)/SUM(Revenue_Build!AY390:BJ390))</f>
        <v/>
      </c>
    </row>
    <row r="55">
      <c r="A55" s="4" t="inlineStr">
        <is>
          <t>ARPA: Starter</t>
        </is>
      </c>
      <c r="B55" s="17" t="inlineStr">
        <is>
          <t>R / month</t>
        </is>
      </c>
      <c r="C55" s="47">
        <f>IF(SUM(Revenue_Build!C393:N393)=0,0,SUM(Revenue_Build!C473:N473)/SUM(Revenue_Build!C393:N393))</f>
        <v/>
      </c>
      <c r="D55" s="47">
        <f>IF(SUM(Revenue_Build!O393:Z393)=0,0,SUM(Revenue_Build!O473:Z473)/SUM(Revenue_Build!O393:Z393))</f>
        <v/>
      </c>
      <c r="E55" s="47">
        <f>IF(SUM(Revenue_Build!AA393:AL393)=0,0,SUM(Revenue_Build!AA473:AL473)/SUM(Revenue_Build!AA393:AL393))</f>
        <v/>
      </c>
      <c r="F55" s="47">
        <f>IF(SUM(Revenue_Build!AM393:AX393)=0,0,SUM(Revenue_Build!AM473:AX473)/SUM(Revenue_Build!AM393:AX393))</f>
        <v/>
      </c>
      <c r="G55" s="47">
        <f>IF(SUM(Revenue_Build!AY393:BJ393)=0,0,SUM(Revenue_Build!AY473:BJ473)/SUM(Revenue_Build!AY393:BJ393))</f>
        <v/>
      </c>
    </row>
    <row r="56">
      <c r="A56" s="4" t="inlineStr">
        <is>
          <t>ARPA: Growth</t>
        </is>
      </c>
      <c r="B56" s="17" t="inlineStr">
        <is>
          <t>R / month</t>
        </is>
      </c>
      <c r="C56" s="47">
        <f>IF(SUM(Revenue_Build!C396:N396)=0,0,SUM(Revenue_Build!C474:N474)/SUM(Revenue_Build!C396:N396))</f>
        <v/>
      </c>
      <c r="D56" s="47">
        <f>IF(SUM(Revenue_Build!O396:Z396)=0,0,SUM(Revenue_Build!O474:Z474)/SUM(Revenue_Build!O396:Z396))</f>
        <v/>
      </c>
      <c r="E56" s="47">
        <f>IF(SUM(Revenue_Build!AA396:AL396)=0,0,SUM(Revenue_Build!AA474:AL474)/SUM(Revenue_Build!AA396:AL396))</f>
        <v/>
      </c>
      <c r="F56" s="47">
        <f>IF(SUM(Revenue_Build!AM396:AX396)=0,0,SUM(Revenue_Build!AM474:AX474)/SUM(Revenue_Build!AM396:AX396))</f>
        <v/>
      </c>
      <c r="G56" s="47">
        <f>IF(SUM(Revenue_Build!AY396:BJ396)=0,0,SUM(Revenue_Build!AY474:BJ474)/SUM(Revenue_Build!AY396:BJ396))</f>
        <v/>
      </c>
    </row>
    <row r="57">
      <c r="A57" s="4" t="inlineStr">
        <is>
          <t>ARPA: Scale</t>
        </is>
      </c>
      <c r="B57" s="17" t="inlineStr">
        <is>
          <t>R / month</t>
        </is>
      </c>
      <c r="C57" s="47">
        <f>IF(SUM(Revenue_Build!C399:N399)=0,0,SUM(Revenue_Build!C475:N475)/SUM(Revenue_Build!C399:N399))</f>
        <v/>
      </c>
      <c r="D57" s="47">
        <f>IF(SUM(Revenue_Build!O399:Z399)=0,0,SUM(Revenue_Build!O475:Z475)/SUM(Revenue_Build!O399:Z399))</f>
        <v/>
      </c>
      <c r="E57" s="47">
        <f>IF(SUM(Revenue_Build!AA399:AL399)=0,0,SUM(Revenue_Build!AA475:AL475)/SUM(Revenue_Build!AA399:AL399))</f>
        <v/>
      </c>
      <c r="F57" s="47">
        <f>IF(SUM(Revenue_Build!AM399:AX399)=0,0,SUM(Revenue_Build!AM475:AX475)/SUM(Revenue_Build!AM399:AX399))</f>
        <v/>
      </c>
      <c r="G57" s="47">
        <f>IF(SUM(Revenue_Build!AY399:BJ399)=0,0,SUM(Revenue_Build!AY475:BJ475)/SUM(Revenue_Build!AY399:BJ399))</f>
        <v/>
      </c>
    </row>
    <row r="58">
      <c r="A58" s="4" t="inlineStr">
        <is>
          <t>ARPA: Corporate</t>
        </is>
      </c>
      <c r="B58" s="17" t="inlineStr">
        <is>
          <t>R / month</t>
        </is>
      </c>
      <c r="C58" s="47">
        <f>IF(SUM(Revenue_Build!C402:N402)=0,0,SUM(Revenue_Build!C476:N476)/SUM(Revenue_Build!C402:N402))</f>
        <v/>
      </c>
      <c r="D58" s="47">
        <f>IF(SUM(Revenue_Build!O402:Z402)=0,0,SUM(Revenue_Build!O476:Z476)/SUM(Revenue_Build!O402:Z402))</f>
        <v/>
      </c>
      <c r="E58" s="47">
        <f>IF(SUM(Revenue_Build!AA402:AL402)=0,0,SUM(Revenue_Build!AA476:AL476)/SUM(Revenue_Build!AA402:AL402))</f>
        <v/>
      </c>
      <c r="F58" s="47">
        <f>IF(SUM(Revenue_Build!AM402:AX402)=0,0,SUM(Revenue_Build!AM476:AX476)/SUM(Revenue_Build!AM402:AX402))</f>
        <v/>
      </c>
      <c r="G58" s="47">
        <f>IF(SUM(Revenue_Build!AY402:BJ402)=0,0,SUM(Revenue_Build!AY476:BJ476)/SUM(Revenue_Build!AY402:BJ402))</f>
        <v/>
      </c>
    </row>
    <row r="59">
      <c r="A59" s="4" t="inlineStr">
        <is>
          <t>ARPA: Agency</t>
        </is>
      </c>
      <c r="B59" s="17" t="inlineStr">
        <is>
          <t>R / month</t>
        </is>
      </c>
      <c r="C59" s="47">
        <f>IF(SUM(Revenue_Build!C405:N405)=0,0,SUM(Revenue_Build!C477:N477)/SUM(Revenue_Build!C405:N405))</f>
        <v/>
      </c>
      <c r="D59" s="47">
        <f>IF(SUM(Revenue_Build!O405:Z405)=0,0,SUM(Revenue_Build!O477:Z477)/SUM(Revenue_Build!O405:Z405))</f>
        <v/>
      </c>
      <c r="E59" s="47">
        <f>IF(SUM(Revenue_Build!AA405:AL405)=0,0,SUM(Revenue_Build!AA477:AL477)/SUM(Revenue_Build!AA405:AL405))</f>
        <v/>
      </c>
      <c r="F59" s="47">
        <f>IF(SUM(Revenue_Build!AM405:AX405)=0,0,SUM(Revenue_Build!AM477:AX477)/SUM(Revenue_Build!AM405:AX405))</f>
        <v/>
      </c>
      <c r="G59" s="47">
        <f>IF(SUM(Revenue_Build!AY405:BJ405)=0,0,SUM(Revenue_Build!AY477:BJ477)/SUM(Revenue_Build!AY405:BJ405))</f>
        <v/>
      </c>
    </row>
    <row r="60">
      <c r="A60" s="4" t="inlineStr">
        <is>
          <t>ARPA: Custom</t>
        </is>
      </c>
      <c r="B60" s="17" t="inlineStr">
        <is>
          <t>R / month</t>
        </is>
      </c>
      <c r="C60" s="47">
        <f>IF(SUM(Revenue_Build!C408:N408)=0,0,SUM(Revenue_Build!C478:N478)/SUM(Revenue_Build!C408:N408))</f>
        <v/>
      </c>
      <c r="D60" s="47">
        <f>IF(SUM(Revenue_Build!O408:Z408)=0,0,SUM(Revenue_Build!O478:Z478)/SUM(Revenue_Build!O408:Z408))</f>
        <v/>
      </c>
      <c r="E60" s="47">
        <f>IF(SUM(Revenue_Build!AA408:AL408)=0,0,SUM(Revenue_Build!AA478:AL478)/SUM(Revenue_Build!AA408:AL408))</f>
        <v/>
      </c>
      <c r="F60" s="47">
        <f>IF(SUM(Revenue_Build!AM408:AX408)=0,0,SUM(Revenue_Build!AM478:AX478)/SUM(Revenue_Build!AM408:AX408))</f>
        <v/>
      </c>
      <c r="G60" s="47">
        <f>IF(SUM(Revenue_Build!AY408:BJ408)=0,0,SUM(Revenue_Build!AY478:BJ478)/SUM(Revenue_Build!AY408:BJ408))</f>
        <v/>
      </c>
    </row>
    <row r="61">
      <c r="A61" s="4" t="inlineStr">
        <is>
          <t>Monthly churn: Nano</t>
        </is>
      </c>
      <c r="B61" s="17" t="inlineStr">
        <is>
          <t>%</t>
        </is>
      </c>
      <c r="C61" s="50">
        <f>IF(SUM(Revenue_Build!C386:N386)=0,0,SUM(Revenue_Build!C388:N388)/SUM(Revenue_Build!C386:N386))</f>
        <v/>
      </c>
      <c r="D61" s="50">
        <f>IF(SUM(Revenue_Build!O386:Z386)=0,0,SUM(Revenue_Build!O388:Z388)/SUM(Revenue_Build!O386:Z386))</f>
        <v/>
      </c>
      <c r="E61" s="50">
        <f>IF(SUM(Revenue_Build!AA386:AL386)=0,0,SUM(Revenue_Build!AA388:AL388)/SUM(Revenue_Build!AA386:AL386))</f>
        <v/>
      </c>
      <c r="F61" s="50">
        <f>IF(SUM(Revenue_Build!AM386:AX386)=0,0,SUM(Revenue_Build!AM388:AX388)/SUM(Revenue_Build!AM386:AX386))</f>
        <v/>
      </c>
      <c r="G61" s="50">
        <f>IF(SUM(Revenue_Build!AY386:BJ386)=0,0,SUM(Revenue_Build!AY388:BJ388)/SUM(Revenue_Build!AY386:BJ386))</f>
        <v/>
      </c>
    </row>
    <row r="62">
      <c r="A62" s="4" t="inlineStr">
        <is>
          <t>Monthly churn: Micro</t>
        </is>
      </c>
      <c r="B62" s="17" t="inlineStr">
        <is>
          <t>%</t>
        </is>
      </c>
      <c r="C62" s="50">
        <f>IF(SUM(Revenue_Build!C389:N389)=0,0,SUM(Revenue_Build!C391:N391)/SUM(Revenue_Build!C389:N389))</f>
        <v/>
      </c>
      <c r="D62" s="50">
        <f>IF(SUM(Revenue_Build!O389:Z389)=0,0,SUM(Revenue_Build!O391:Z391)/SUM(Revenue_Build!O389:Z389))</f>
        <v/>
      </c>
      <c r="E62" s="50">
        <f>IF(SUM(Revenue_Build!AA389:AL389)=0,0,SUM(Revenue_Build!AA391:AL391)/SUM(Revenue_Build!AA389:AL389))</f>
        <v/>
      </c>
      <c r="F62" s="50">
        <f>IF(SUM(Revenue_Build!AM389:AX389)=0,0,SUM(Revenue_Build!AM391:AX391)/SUM(Revenue_Build!AM389:AX389))</f>
        <v/>
      </c>
      <c r="G62" s="50">
        <f>IF(SUM(Revenue_Build!AY389:BJ389)=0,0,SUM(Revenue_Build!AY391:BJ391)/SUM(Revenue_Build!AY389:BJ389))</f>
        <v/>
      </c>
    </row>
    <row r="63">
      <c r="A63" s="4" t="inlineStr">
        <is>
          <t>Monthly churn: Starter</t>
        </is>
      </c>
      <c r="B63" s="17" t="inlineStr">
        <is>
          <t>%</t>
        </is>
      </c>
      <c r="C63" s="50">
        <f>IF(SUM(Revenue_Build!C392:N392)=0,0,SUM(Revenue_Build!C394:N394)/SUM(Revenue_Build!C392:N392))</f>
        <v/>
      </c>
      <c r="D63" s="50">
        <f>IF(SUM(Revenue_Build!O392:Z392)=0,0,SUM(Revenue_Build!O394:Z394)/SUM(Revenue_Build!O392:Z392))</f>
        <v/>
      </c>
      <c r="E63" s="50">
        <f>IF(SUM(Revenue_Build!AA392:AL392)=0,0,SUM(Revenue_Build!AA394:AL394)/SUM(Revenue_Build!AA392:AL392))</f>
        <v/>
      </c>
      <c r="F63" s="50">
        <f>IF(SUM(Revenue_Build!AM392:AX392)=0,0,SUM(Revenue_Build!AM394:AX394)/SUM(Revenue_Build!AM392:AX392))</f>
        <v/>
      </c>
      <c r="G63" s="50">
        <f>IF(SUM(Revenue_Build!AY392:BJ392)=0,0,SUM(Revenue_Build!AY394:BJ394)/SUM(Revenue_Build!AY392:BJ392))</f>
        <v/>
      </c>
    </row>
    <row r="64">
      <c r="A64" s="4" t="inlineStr">
        <is>
          <t>Monthly churn: Growth</t>
        </is>
      </c>
      <c r="B64" s="17" t="inlineStr">
        <is>
          <t>%</t>
        </is>
      </c>
      <c r="C64" s="50">
        <f>IF(SUM(Revenue_Build!C395:N395)=0,0,SUM(Revenue_Build!C397:N397)/SUM(Revenue_Build!C395:N395))</f>
        <v/>
      </c>
      <c r="D64" s="50">
        <f>IF(SUM(Revenue_Build!O395:Z395)=0,0,SUM(Revenue_Build!O397:Z397)/SUM(Revenue_Build!O395:Z395))</f>
        <v/>
      </c>
      <c r="E64" s="50">
        <f>IF(SUM(Revenue_Build!AA395:AL395)=0,0,SUM(Revenue_Build!AA397:AL397)/SUM(Revenue_Build!AA395:AL395))</f>
        <v/>
      </c>
      <c r="F64" s="50">
        <f>IF(SUM(Revenue_Build!AM395:AX395)=0,0,SUM(Revenue_Build!AM397:AX397)/SUM(Revenue_Build!AM395:AX395))</f>
        <v/>
      </c>
      <c r="G64" s="50">
        <f>IF(SUM(Revenue_Build!AY395:BJ395)=0,0,SUM(Revenue_Build!AY397:BJ397)/SUM(Revenue_Build!AY395:BJ395))</f>
        <v/>
      </c>
    </row>
    <row r="65">
      <c r="A65" s="4" t="inlineStr">
        <is>
          <t>Monthly churn: Scale</t>
        </is>
      </c>
      <c r="B65" s="17" t="inlineStr">
        <is>
          <t>%</t>
        </is>
      </c>
      <c r="C65" s="50">
        <f>IF(SUM(Revenue_Build!C398:N398)=0,0,SUM(Revenue_Build!C400:N400)/SUM(Revenue_Build!C398:N398))</f>
        <v/>
      </c>
      <c r="D65" s="50">
        <f>IF(SUM(Revenue_Build!O398:Z398)=0,0,SUM(Revenue_Build!O400:Z400)/SUM(Revenue_Build!O398:Z398))</f>
        <v/>
      </c>
      <c r="E65" s="50">
        <f>IF(SUM(Revenue_Build!AA398:AL398)=0,0,SUM(Revenue_Build!AA400:AL400)/SUM(Revenue_Build!AA398:AL398))</f>
        <v/>
      </c>
      <c r="F65" s="50">
        <f>IF(SUM(Revenue_Build!AM398:AX398)=0,0,SUM(Revenue_Build!AM400:AX400)/SUM(Revenue_Build!AM398:AX398))</f>
        <v/>
      </c>
      <c r="G65" s="50">
        <f>IF(SUM(Revenue_Build!AY398:BJ398)=0,0,SUM(Revenue_Build!AY400:BJ400)/SUM(Revenue_Build!AY398:BJ398))</f>
        <v/>
      </c>
    </row>
    <row r="66">
      <c r="A66" s="4" t="inlineStr">
        <is>
          <t>Monthly churn: Corporate</t>
        </is>
      </c>
      <c r="B66" s="17" t="inlineStr">
        <is>
          <t>%</t>
        </is>
      </c>
      <c r="C66" s="50">
        <f>IF(SUM(Revenue_Build!C401:N401)=0,0,SUM(Revenue_Build!C403:N403)/SUM(Revenue_Build!C401:N401))</f>
        <v/>
      </c>
      <c r="D66" s="50">
        <f>IF(SUM(Revenue_Build!O401:Z401)=0,0,SUM(Revenue_Build!O403:Z403)/SUM(Revenue_Build!O401:Z401))</f>
        <v/>
      </c>
      <c r="E66" s="50">
        <f>IF(SUM(Revenue_Build!AA401:AL401)=0,0,SUM(Revenue_Build!AA403:AL403)/SUM(Revenue_Build!AA401:AL401))</f>
        <v/>
      </c>
      <c r="F66" s="50">
        <f>IF(SUM(Revenue_Build!AM401:AX401)=0,0,SUM(Revenue_Build!AM403:AX403)/SUM(Revenue_Build!AM401:AX401))</f>
        <v/>
      </c>
      <c r="G66" s="50">
        <f>IF(SUM(Revenue_Build!AY401:BJ401)=0,0,SUM(Revenue_Build!AY403:BJ403)/SUM(Revenue_Build!AY401:BJ401))</f>
        <v/>
      </c>
    </row>
    <row r="67">
      <c r="A67" s="4" t="inlineStr">
        <is>
          <t>Monthly churn: Agency</t>
        </is>
      </c>
      <c r="B67" s="17" t="inlineStr">
        <is>
          <t>%</t>
        </is>
      </c>
      <c r="C67" s="50">
        <f>IF(SUM(Revenue_Build!C404:N404)=0,0,SUM(Revenue_Build!C406:N406)/SUM(Revenue_Build!C404:N404))</f>
        <v/>
      </c>
      <c r="D67" s="50">
        <f>IF(SUM(Revenue_Build!O404:Z404)=0,0,SUM(Revenue_Build!O406:Z406)/SUM(Revenue_Build!O404:Z404))</f>
        <v/>
      </c>
      <c r="E67" s="50">
        <f>IF(SUM(Revenue_Build!AA404:AL404)=0,0,SUM(Revenue_Build!AA406:AL406)/SUM(Revenue_Build!AA404:AL404))</f>
        <v/>
      </c>
      <c r="F67" s="50">
        <f>IF(SUM(Revenue_Build!AM404:AX404)=0,0,SUM(Revenue_Build!AM406:AX406)/SUM(Revenue_Build!AM404:AX404))</f>
        <v/>
      </c>
      <c r="G67" s="50">
        <f>IF(SUM(Revenue_Build!AY404:BJ404)=0,0,SUM(Revenue_Build!AY406:BJ406)/SUM(Revenue_Build!AY404:BJ404))</f>
        <v/>
      </c>
    </row>
    <row r="68">
      <c r="A68" s="4" t="inlineStr">
        <is>
          <t>Monthly churn: Custom</t>
        </is>
      </c>
      <c r="B68" s="17" t="inlineStr">
        <is>
          <t>%</t>
        </is>
      </c>
      <c r="C68" s="50">
        <f>IF(SUM(Revenue_Build!C407:N407)=0,0,SUM(Revenue_Build!C409:N409)/SUM(Revenue_Build!C407:N407))</f>
        <v/>
      </c>
      <c r="D68" s="50">
        <f>IF(SUM(Revenue_Build!O407:Z407)=0,0,SUM(Revenue_Build!O409:Z409)/SUM(Revenue_Build!O407:Z407))</f>
        <v/>
      </c>
      <c r="E68" s="50">
        <f>IF(SUM(Revenue_Build!AA407:AL407)=0,0,SUM(Revenue_Build!AA409:AL409)/SUM(Revenue_Build!AA407:AL407))</f>
        <v/>
      </c>
      <c r="F68" s="50">
        <f>IF(SUM(Revenue_Build!AM407:AX407)=0,0,SUM(Revenue_Build!AM409:AX409)/SUM(Revenue_Build!AM407:AX407))</f>
        <v/>
      </c>
      <c r="G68" s="50">
        <f>IF(SUM(Revenue_Build!AY407:BJ407)=0,0,SUM(Revenue_Build!AY409:BJ409)/SUM(Revenue_Build!AY407:BJ407))</f>
        <v/>
      </c>
    </row>
    <row r="69">
      <c r="A69" s="4" t="inlineStr">
        <is>
          <t>LTV: Nano</t>
        </is>
      </c>
      <c r="B69" s="17" t="inlineStr">
        <is>
          <t>R</t>
        </is>
      </c>
      <c r="C69" s="47">
        <f>IF(C61=0,0,C53*C13/C61)</f>
        <v/>
      </c>
      <c r="D69" s="47">
        <f>IF(D61=0,0,D53*D13/D61)</f>
        <v/>
      </c>
      <c r="E69" s="47">
        <f>IF(E61=0,0,E53*E13/E61)</f>
        <v/>
      </c>
      <c r="F69" s="47">
        <f>IF(F61=0,0,F53*F13/F61)</f>
        <v/>
      </c>
      <c r="G69" s="47">
        <f>IF(G61=0,0,G53*G13/G61)</f>
        <v/>
      </c>
    </row>
    <row r="70">
      <c r="A70" s="4" t="inlineStr">
        <is>
          <t>LTV: Micro</t>
        </is>
      </c>
      <c r="B70" s="17" t="inlineStr">
        <is>
          <t>R</t>
        </is>
      </c>
      <c r="C70" s="47">
        <f>IF(C62=0,0,C54*C13/C62)</f>
        <v/>
      </c>
      <c r="D70" s="47">
        <f>IF(D62=0,0,D54*D13/D62)</f>
        <v/>
      </c>
      <c r="E70" s="47">
        <f>IF(E62=0,0,E54*E13/E62)</f>
        <v/>
      </c>
      <c r="F70" s="47">
        <f>IF(F62=0,0,F54*F13/F62)</f>
        <v/>
      </c>
      <c r="G70" s="47">
        <f>IF(G62=0,0,G54*G13/G62)</f>
        <v/>
      </c>
    </row>
    <row r="71">
      <c r="A71" s="4" t="inlineStr">
        <is>
          <t>LTV: Starter</t>
        </is>
      </c>
      <c r="B71" s="17" t="inlineStr">
        <is>
          <t>R</t>
        </is>
      </c>
      <c r="C71" s="47">
        <f>IF(C63=0,0,C55*C13/C63)</f>
        <v/>
      </c>
      <c r="D71" s="47">
        <f>IF(D63=0,0,D55*D13/D63)</f>
        <v/>
      </c>
      <c r="E71" s="47">
        <f>IF(E63=0,0,E55*E13/E63)</f>
        <v/>
      </c>
      <c r="F71" s="47">
        <f>IF(F63=0,0,F55*F13/F63)</f>
        <v/>
      </c>
      <c r="G71" s="47">
        <f>IF(G63=0,0,G55*G13/G63)</f>
        <v/>
      </c>
    </row>
    <row r="72">
      <c r="A72" s="4" t="inlineStr">
        <is>
          <t>LTV: Growth</t>
        </is>
      </c>
      <c r="B72" s="17" t="inlineStr">
        <is>
          <t>R</t>
        </is>
      </c>
      <c r="C72" s="47">
        <f>IF(C64=0,0,C56*C13/C64)</f>
        <v/>
      </c>
      <c r="D72" s="47">
        <f>IF(D64=0,0,D56*D13/D64)</f>
        <v/>
      </c>
      <c r="E72" s="47">
        <f>IF(E64=0,0,E56*E13/E64)</f>
        <v/>
      </c>
      <c r="F72" s="47">
        <f>IF(F64=0,0,F56*F13/F64)</f>
        <v/>
      </c>
      <c r="G72" s="47">
        <f>IF(G64=0,0,G56*G13/G64)</f>
        <v/>
      </c>
    </row>
    <row r="73">
      <c r="A73" s="4" t="inlineStr">
        <is>
          <t>LTV: Scale</t>
        </is>
      </c>
      <c r="B73" s="17" t="inlineStr">
        <is>
          <t>R</t>
        </is>
      </c>
      <c r="C73" s="47">
        <f>IF(C65=0,0,C57*C13/C65)</f>
        <v/>
      </c>
      <c r="D73" s="47">
        <f>IF(D65=0,0,D57*D13/D65)</f>
        <v/>
      </c>
      <c r="E73" s="47">
        <f>IF(E65=0,0,E57*E13/E65)</f>
        <v/>
      </c>
      <c r="F73" s="47">
        <f>IF(F65=0,0,F57*F13/F65)</f>
        <v/>
      </c>
      <c r="G73" s="47">
        <f>IF(G65=0,0,G57*G13/G65)</f>
        <v/>
      </c>
    </row>
    <row r="74">
      <c r="A74" s="4" t="inlineStr">
        <is>
          <t>LTV: Corporate</t>
        </is>
      </c>
      <c r="B74" s="17" t="inlineStr">
        <is>
          <t>R</t>
        </is>
      </c>
      <c r="C74" s="47">
        <f>IF(C66=0,0,C58*C13/C66)</f>
        <v/>
      </c>
      <c r="D74" s="47">
        <f>IF(D66=0,0,D58*D13/D66)</f>
        <v/>
      </c>
      <c r="E74" s="47">
        <f>IF(E66=0,0,E58*E13/E66)</f>
        <v/>
      </c>
      <c r="F74" s="47">
        <f>IF(F66=0,0,F58*F13/F66)</f>
        <v/>
      </c>
      <c r="G74" s="47">
        <f>IF(G66=0,0,G58*G13/G66)</f>
        <v/>
      </c>
    </row>
    <row r="75">
      <c r="A75" s="4" t="inlineStr">
        <is>
          <t>LTV: Agency</t>
        </is>
      </c>
      <c r="B75" s="17" t="inlineStr">
        <is>
          <t>R</t>
        </is>
      </c>
      <c r="C75" s="47">
        <f>IF(C67=0,0,C59*C13/C67)</f>
        <v/>
      </c>
      <c r="D75" s="47">
        <f>IF(D67=0,0,D59*D13/D67)</f>
        <v/>
      </c>
      <c r="E75" s="47">
        <f>IF(E67=0,0,E59*E13/E67)</f>
        <v/>
      </c>
      <c r="F75" s="47">
        <f>IF(F67=0,0,F59*F13/F67)</f>
        <v/>
      </c>
      <c r="G75" s="47">
        <f>IF(G67=0,0,G59*G13/G67)</f>
        <v/>
      </c>
    </row>
    <row r="76">
      <c r="A76" s="4" t="inlineStr">
        <is>
          <t>LTV: Custom</t>
        </is>
      </c>
      <c r="B76" s="17" t="inlineStr">
        <is>
          <t>R</t>
        </is>
      </c>
      <c r="C76" s="47">
        <f>IF(C68=0,0,C60*C13/C68)</f>
        <v/>
      </c>
      <c r="D76" s="47">
        <f>IF(D68=0,0,D60*D13/D68)</f>
        <v/>
      </c>
      <c r="E76" s="47">
        <f>IF(E68=0,0,E60*E13/E68)</f>
        <v/>
      </c>
      <c r="F76" s="47">
        <f>IF(F68=0,0,F60*F13/F68)</f>
        <v/>
      </c>
      <c r="G76" s="47">
        <f>IF(G68=0,0,G60*G13/G68)</f>
        <v/>
      </c>
    </row>
    <row r="77"/>
    <row r="78">
      <c r="A78" s="19" t="inlineStr">
        <is>
          <t>Blended</t>
        </is>
      </c>
      <c r="B78" s="19" t="n"/>
      <c r="C78" s="19" t="n"/>
      <c r="D78" s="19" t="n"/>
      <c r="E78" s="19" t="n"/>
      <c r="F78" s="19" t="n"/>
      <c r="G78" s="19" t="n"/>
    </row>
    <row r="79">
      <c r="A79" s="4" t="inlineStr">
        <is>
          <t>Total sales &amp; marketing (programmes + marketing &amp; sales payroll)</t>
        </is>
      </c>
      <c r="B79" s="17" t="inlineStr">
        <is>
          <t>R</t>
        </is>
      </c>
      <c r="C79" s="47">
        <f>SUM('P&amp;L'!C55:N55)</f>
        <v/>
      </c>
      <c r="D79" s="47">
        <f>SUM('P&amp;L'!O55:Z55)</f>
        <v/>
      </c>
      <c r="E79" s="47">
        <f>SUM('P&amp;L'!AA55:AL55)</f>
        <v/>
      </c>
      <c r="F79" s="47">
        <f>SUM('P&amp;L'!AM55:AX55)</f>
        <v/>
      </c>
      <c r="G79" s="47">
        <f>SUM('P&amp;L'!AY55:BJ55)</f>
        <v/>
      </c>
    </row>
    <row r="80">
      <c r="A80" s="4" t="inlineStr">
        <is>
          <t>Total new paying workspaces</t>
        </is>
      </c>
      <c r="B80" s="17" t="inlineStr">
        <is>
          <t>workspaces</t>
        </is>
      </c>
      <c r="C80" s="51">
        <f>SUM(Revenue_Build!C413:N413)</f>
        <v/>
      </c>
      <c r="D80" s="51">
        <f>SUM(Revenue_Build!O413:Z413)</f>
        <v/>
      </c>
      <c r="E80" s="51">
        <f>SUM(Revenue_Build!AA413:AL413)</f>
        <v/>
      </c>
      <c r="F80" s="51">
        <f>SUM(Revenue_Build!AM413:AX413)</f>
        <v/>
      </c>
      <c r="G80" s="51">
        <f>SUM(Revenue_Build!AY413:BJ413)</f>
        <v/>
      </c>
    </row>
    <row r="81">
      <c r="A81" s="3" t="inlineStr">
        <is>
          <t>Blended CAC</t>
        </is>
      </c>
      <c r="B81" s="17" t="inlineStr">
        <is>
          <t>R</t>
        </is>
      </c>
      <c r="C81" s="48">
        <f>IF(C80=0,0,C79/C80)</f>
        <v/>
      </c>
      <c r="D81" s="48">
        <f>IF(D80=0,0,D79/D80)</f>
        <v/>
      </c>
      <c r="E81" s="48">
        <f>IF(E80=0,0,E79/E80)</f>
        <v/>
      </c>
      <c r="F81" s="48">
        <f>IF(F80=0,0,F79/F80)</f>
        <v/>
      </c>
      <c r="G81" s="48">
        <f>IF(G80=0,0,G79/G80)</f>
        <v/>
      </c>
    </row>
    <row r="82">
      <c r="A82" s="4" t="inlineStr">
        <is>
          <t>Blended subscription ARPA (net)</t>
        </is>
      </c>
      <c r="B82" s="17" t="inlineStr">
        <is>
          <t>R / month</t>
        </is>
      </c>
      <c r="C82" s="47">
        <f>Annual_Summary!C108</f>
        <v/>
      </c>
      <c r="D82" s="47">
        <f>Annual_Summary!D108</f>
        <v/>
      </c>
      <c r="E82" s="47">
        <f>Annual_Summary!E108</f>
        <v/>
      </c>
      <c r="F82" s="47">
        <f>Annual_Summary!F108</f>
        <v/>
      </c>
      <c r="G82" s="47">
        <f>Annual_Summary!G108</f>
        <v/>
      </c>
    </row>
    <row r="83">
      <c r="A83" s="4" t="inlineStr">
        <is>
          <t>Blended monthly logo churn (churned / opening)</t>
        </is>
      </c>
      <c r="B83" s="17" t="inlineStr">
        <is>
          <t>%</t>
        </is>
      </c>
      <c r="C83" s="50">
        <f>IF(SUM(Revenue_Build!C410:N410)=0,0,SUM(Revenue_Build!C412:N412)/SUM(Revenue_Build!C410:N410))</f>
        <v/>
      </c>
      <c r="D83" s="50">
        <f>IF(SUM(Revenue_Build!O410:Z410)=0,0,SUM(Revenue_Build!O412:Z412)/SUM(Revenue_Build!O410:Z410))</f>
        <v/>
      </c>
      <c r="E83" s="50">
        <f>IF(SUM(Revenue_Build!AA410:AL410)=0,0,SUM(Revenue_Build!AA412:AL412)/SUM(Revenue_Build!AA410:AL410))</f>
        <v/>
      </c>
      <c r="F83" s="50">
        <f>IF(SUM(Revenue_Build!AM410:AX410)=0,0,SUM(Revenue_Build!AM412:AX412)/SUM(Revenue_Build!AM410:AX410))</f>
        <v/>
      </c>
      <c r="G83" s="50">
        <f>IF(SUM(Revenue_Build!AY410:BJ410)=0,0,SUM(Revenue_Build!AY412:BJ412)/SUM(Revenue_Build!AY410:BJ410))</f>
        <v/>
      </c>
    </row>
    <row r="84">
      <c r="A84" s="3" t="inlineStr">
        <is>
          <t>Blended LTV</t>
        </is>
      </c>
      <c r="B84" s="17" t="inlineStr">
        <is>
          <t>R</t>
        </is>
      </c>
      <c r="C84" s="48">
        <f>IF(C83=0,0,C82*C13/C83)</f>
        <v/>
      </c>
      <c r="D84" s="48">
        <f>IF(D83=0,0,D82*D13/D83)</f>
        <v/>
      </c>
      <c r="E84" s="48">
        <f>IF(E83=0,0,E82*E13/E83)</f>
        <v/>
      </c>
      <c r="F84" s="48">
        <f>IF(F83=0,0,F82*F13/F83)</f>
        <v/>
      </c>
      <c r="G84" s="48">
        <f>IF(G83=0,0,G82*G13/G83)</f>
        <v/>
      </c>
    </row>
    <row r="85">
      <c r="A85" s="3" t="inlineStr">
        <is>
          <t>Blended LTV:CAC</t>
        </is>
      </c>
      <c r="B85" s="17" t="inlineStr">
        <is>
          <t>x</t>
        </is>
      </c>
      <c r="C85" s="57">
        <f>IF(C81=0,0,C84/C81)</f>
        <v/>
      </c>
      <c r="D85" s="57">
        <f>IF(D81=0,0,D84/D81)</f>
        <v/>
      </c>
      <c r="E85" s="57">
        <f>IF(E81=0,0,E84/E81)</f>
        <v/>
      </c>
      <c r="F85" s="57">
        <f>IF(F81=0,0,F84/F81)</f>
        <v/>
      </c>
      <c r="G85" s="57">
        <f>IF(G81=0,0,G84/G81)</f>
        <v/>
      </c>
    </row>
    <row r="86">
      <c r="A86" s="4" t="inlineStr">
        <is>
          <t>Blended CAC payback</t>
        </is>
      </c>
      <c r="B86" s="17" t="inlineStr">
        <is>
          <t>months</t>
        </is>
      </c>
      <c r="C86" s="56">
        <f>IF((C82*C13)=0,0,C81/(C82*C13))</f>
        <v/>
      </c>
      <c r="D86" s="56">
        <f>IF((D82*D13)=0,0,D81/(D82*D13))</f>
        <v/>
      </c>
      <c r="E86" s="56">
        <f>IF((E82*E13)=0,0,E81/(E82*E13))</f>
        <v/>
      </c>
      <c r="F86" s="56">
        <f>IF((F82*F13)=0,0,F81/(F82*F13))</f>
        <v/>
      </c>
      <c r="G86" s="56">
        <f>IF((G82*G13)=0,0,G81/(G82*G13))</f>
        <v/>
      </c>
    </row>
    <row r="87"/>
    <row r="88">
      <c r="A88" s="19" t="inlineStr">
        <is>
          <t>Efficiency</t>
        </is>
      </c>
      <c r="B88" s="19" t="n"/>
      <c r="C88" s="19" t="n"/>
      <c r="D88" s="19" t="n"/>
      <c r="E88" s="19" t="n"/>
      <c r="F88" s="19" t="n"/>
      <c r="G88" s="19" t="n"/>
    </row>
    <row r="89">
      <c r="A89" s="4" t="inlineStr">
        <is>
          <t>Net new subscription ARR</t>
        </is>
      </c>
      <c r="B89" s="17" t="inlineStr">
        <is>
          <t>R</t>
        </is>
      </c>
      <c r="C89" s="47">
        <f>Annual_Summary!C106</f>
        <v/>
      </c>
      <c r="D89" s="47">
        <f>Annual_Summary!D106-Annual_Summary!C106</f>
        <v/>
      </c>
      <c r="E89" s="47">
        <f>Annual_Summary!E106-Annual_Summary!D106</f>
        <v/>
      </c>
      <c r="F89" s="47">
        <f>Annual_Summary!F106-Annual_Summary!E106</f>
        <v/>
      </c>
      <c r="G89" s="47">
        <f>Annual_Summary!G106-Annual_Summary!F106</f>
        <v/>
      </c>
    </row>
    <row r="90">
      <c r="A90" s="4" t="inlineStr">
        <is>
          <t>Magic number (net new ARR / S&amp;M)</t>
        </is>
      </c>
      <c r="B90" s="17" t="inlineStr">
        <is>
          <t>x</t>
        </is>
      </c>
      <c r="C90" s="58">
        <f>IF(C79=0,0,C89/C79)</f>
        <v/>
      </c>
      <c r="D90" s="58">
        <f>IF(D79=0,0,D89/D79)</f>
        <v/>
      </c>
      <c r="E90" s="58">
        <f>IF(E79=0,0,E89/E79)</f>
        <v/>
      </c>
      <c r="F90" s="58">
        <f>IF(F79=0,0,F89/F79)</f>
        <v/>
      </c>
      <c r="G90" s="58">
        <f>IF(G79=0,0,G89/G79)</f>
        <v/>
      </c>
    </row>
    <row r="91">
      <c r="A91" s="4" t="inlineStr">
        <is>
          <t>Net burn (negative operating cash flow)</t>
        </is>
      </c>
      <c r="B91" s="17" t="inlineStr">
        <is>
          <t>R</t>
        </is>
      </c>
      <c r="C91" s="47">
        <f>MAX(0,-Annual_Summary!C58)</f>
        <v/>
      </c>
      <c r="D91" s="47">
        <f>MAX(0,-Annual_Summary!D58)</f>
        <v/>
      </c>
      <c r="E91" s="47">
        <f>MAX(0,-Annual_Summary!E58)</f>
        <v/>
      </c>
      <c r="F91" s="47">
        <f>MAX(0,-Annual_Summary!F58)</f>
        <v/>
      </c>
      <c r="G91" s="47">
        <f>MAX(0,-Annual_Summary!G58)</f>
        <v/>
      </c>
    </row>
    <row r="92">
      <c r="A92" s="4" t="inlineStr">
        <is>
          <t>Burn multiple (net burn / net new ARR)</t>
        </is>
      </c>
      <c r="B92" s="17" t="inlineStr">
        <is>
          <t>x</t>
        </is>
      </c>
      <c r="C92" s="58">
        <f>IF(C89&lt;=0,"n/a",C91/C89)</f>
        <v/>
      </c>
      <c r="D92" s="58">
        <f>IF(D89&lt;=0,"n/a",D91/D89)</f>
        <v/>
      </c>
      <c r="E92" s="58">
        <f>IF(E89&lt;=0,"n/a",E91/E89)</f>
        <v/>
      </c>
      <c r="F92" s="58">
        <f>IF(F89&lt;=0,"n/a",F91/F89)</f>
        <v/>
      </c>
      <c r="G92" s="58">
        <f>IF(G89&lt;=0,"n/a",G91/G89)</f>
        <v/>
      </c>
    </row>
    <row r="93">
      <c r="A93" s="4" t="inlineStr">
        <is>
          <t>Rule of 40 (revenue growth % + EBITDA margin %)</t>
        </is>
      </c>
      <c r="B93" s="17" t="inlineStr">
        <is>
          <t>%</t>
        </is>
      </c>
      <c r="C93" s="50">
        <f>"n/a"</f>
        <v/>
      </c>
      <c r="D93" s="50">
        <f>Annual_Summary!D18+Annual_Summary!D52</f>
        <v/>
      </c>
      <c r="E93" s="50">
        <f>Annual_Summary!E18+Annual_Summary!E52</f>
        <v/>
      </c>
      <c r="F93" s="50">
        <f>Annual_Summary!F18+Annual_Summary!F52</f>
        <v/>
      </c>
      <c r="G93" s="50">
        <f>Annual_Summary!G18+Annual_Summary!G52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>
      <c r="A1" s="16" t="inlineStr">
        <is>
          <t>Use of Funds</t>
        </is>
      </c>
    </row>
    <row r="2">
      <c r="A2" s="17" t="inlineStr">
        <is>
          <t>Seed R25M split (facts file §7). Percentages are inputs; amounts are formulas on the seed amount.</t>
        </is>
      </c>
    </row>
    <row r="3"/>
    <row r="4">
      <c r="A4" s="6" t="inlineStr">
        <is>
          <t>Category</t>
        </is>
      </c>
      <c r="B4" s="6" t="inlineStr">
        <is>
          <t>Share</t>
        </is>
      </c>
      <c r="C4" s="6" t="inlineStr">
        <is>
          <t>Amount (R)</t>
        </is>
      </c>
      <c r="D4" s="6" t="inlineStr">
        <is>
          <t>≈ US$</t>
        </is>
      </c>
      <c r="E4" s="6" t="inlineStr">
        <is>
          <t>What it buys (hires &amp; milestones)</t>
        </is>
      </c>
    </row>
    <row r="5" ht="58" customHeight="1">
      <c r="A5" s="3" t="inlineStr">
        <is>
          <t>Product &amp; engineering</t>
        </is>
      </c>
      <c r="B5" s="21" t="n">
        <v>0.4</v>
      </c>
      <c r="C5" s="8">
        <f>Assumptions!$B$13*B5</f>
        <v/>
      </c>
      <c r="D5" s="30">
        <f>C5/Assumptions!$B$10</f>
        <v/>
      </c>
      <c r="E5" s="13" t="inlineStr">
        <is>
          <t>Senior full-stack x2, AI/ML, designer, full-stack x2, DevOps/QA, integrations x2, PM, security; founders' salaries; hosting &amp; AI inference; Instagram/Threads/LinkedIn/TikTok adapters, commerce/CRM integrations, AI cost optimisation.</t>
        </is>
      </c>
    </row>
    <row r="6" ht="58" customHeight="1">
      <c r="A6" s="3" t="inlineStr">
        <is>
          <t>Sales &amp; marketing / partner programme</t>
        </is>
      </c>
      <c r="B6" s="21" t="n">
        <v>0.3</v>
      </c>
      <c r="C6" s="8">
        <f>Assumptions!$B$13*B6</f>
        <v/>
      </c>
      <c r="D6" s="30">
        <f>C6/Assumptions!$B$10</f>
        <v/>
      </c>
      <c r="E6" s="13" t="inlineStr">
        <is>
          <t>Head of Growth, performance &amp; multilingual content marketers, partnerships managers, SME onboarding; paid acquisition (capped at a % of MRR and a CAC-payback test), brand &amp; community, Flux_Partner programme.</t>
        </is>
      </c>
    </row>
    <row r="7" ht="58" customHeight="1">
      <c r="A7" s="3" t="inlineStr">
        <is>
          <t>Market expansion (NG, KE, GH) &amp; payments compliance</t>
        </is>
      </c>
      <c r="B7" s="21" t="n">
        <v>0.15</v>
      </c>
      <c r="C7" s="8">
        <f>Assumptions!$B$13*B7</f>
        <v/>
      </c>
      <c r="D7" s="30">
        <f>C7/Assumptions!$B$10</f>
        <v/>
      </c>
      <c r="E7" s="13" t="inlineStr">
        <is>
          <t>Country leads and local sales/CS in Nigeria, Kenya and Ghana; NDPR/KDPA/Ghana DPC registrations, local counsel, launch campaigns, POPIA/Meta compliance base, Rest-of-Africa digital-services tax registrations where required.</t>
        </is>
      </c>
    </row>
    <row r="8" ht="58" customHeight="1">
      <c r="A8" s="3" t="inlineStr">
        <is>
          <t>Operations &amp; working capital</t>
        </is>
      </c>
      <c r="B8" s="21" t="n">
        <v>0.15</v>
      </c>
      <c r="C8" s="8">
        <f>Assumptions!$B$13*B8</f>
        <v/>
      </c>
      <c r="D8" s="30">
        <f>C8/Assumptions!$B$10</f>
        <v/>
      </c>
      <c r="E8" s="13" t="inlineStr">
        <is>
          <t>Customer success team, finance &amp; compliance, operations, G&amp;A, tooling, travel, payment processing, support, WhatsApp pass-through costs, and the working-capital float that protects the R3.0M cash buffer.</t>
        </is>
      </c>
    </row>
    <row r="9">
      <c r="A9" s="59" t="inlineStr">
        <is>
          <t>Total</t>
        </is>
      </c>
      <c r="B9" s="60">
        <f>SUM(B5:B8)</f>
        <v/>
      </c>
      <c r="C9" s="42">
        <f>SUM(C5:C8)</f>
        <v/>
      </c>
      <c r="D9" s="61">
        <f>SUM(D5:D8)</f>
        <v/>
      </c>
      <c r="E9" s="59">
        <f>IF(ABS(B9-1)&lt;0.0001,"Check: shares sum to 100%","CHECK: shares do not sum to 100%")</f>
        <v/>
      </c>
    </row>
    <row r="10"/>
    <row r="11">
      <c r="A11" s="19" t="inlineStr">
        <is>
          <t>Reconciliation: modelled gross spend in the 18 months after close (months 5-22: Feb 2027 - Jul 2028; window fixed at build time from the seed month)</t>
        </is>
      </c>
      <c r="B11" s="19" t="n"/>
      <c r="C11" s="19" t="n"/>
      <c r="D11" s="19" t="n"/>
      <c r="E11" s="19" t="n"/>
    </row>
    <row r="12">
      <c r="A12" s="6" t="inlineStr">
        <is>
          <t>Category</t>
        </is>
      </c>
      <c r="B12" s="6" t="inlineStr">
        <is>
          <t>Allocation share</t>
        </is>
      </c>
      <c r="C12" s="6" t="inlineStr">
        <is>
          <t>Modelled spend (R)</t>
        </is>
      </c>
      <c r="D12" s="6" t="inlineStr">
        <is>
          <t>Share of modelled spend</t>
        </is>
      </c>
      <c r="E12" s="6" t="inlineStr">
        <is>
          <t>Gap vs allocation (share of spend - allocation, pp)</t>
        </is>
      </c>
    </row>
    <row r="13">
      <c r="A13" s="4" t="inlineStr">
        <is>
          <t>Product &amp; engineering</t>
        </is>
      </c>
      <c r="B13" s="9">
        <f>B5</f>
        <v/>
      </c>
      <c r="C13" s="8">
        <f>SUM(Costs!G145:X145)+SUM(Costs!G144:X144)+SUM(Costs!G161:X161)+SUM(Costs!G160:X160)+SUM(Costs!G187:X187)</f>
        <v/>
      </c>
      <c r="D13" s="9">
        <f>IF(SUM($C$13:$C$16)=0,0,C13/SUM($C$13:$C$16))</f>
        <v/>
      </c>
      <c r="E13" s="9">
        <f>D13-B13</f>
        <v/>
      </c>
    </row>
    <row r="14">
      <c r="A14" s="4" t="inlineStr">
        <is>
          <t>Sales &amp; marketing / partner programme</t>
        </is>
      </c>
      <c r="B14" s="9">
        <f>B6</f>
        <v/>
      </c>
      <c r="C14" s="8">
        <f>SUM('P&amp;L'!G37:X37)+SUM(Costs!G146:X146)+SUM(Costs!G147:X147)-SUM(Costs!G173:X173)-SUM(Costs!G174:X174)</f>
        <v/>
      </c>
      <c r="D14" s="9">
        <f>IF(SUM($C$13:$C$16)=0,0,C14/SUM($C$13:$C$16))</f>
        <v/>
      </c>
      <c r="E14" s="9">
        <f>D14-B14</f>
        <v/>
      </c>
    </row>
    <row r="15">
      <c r="A15" s="4" t="inlineStr">
        <is>
          <t>Market expansion (NG, KE, GH) &amp; payments compliance</t>
        </is>
      </c>
      <c r="B15" s="9">
        <f>B7</f>
        <v/>
      </c>
      <c r="C15" s="8">
        <f>SUM(Costs!G150:X150)+SUM(Costs!G186:X186)+SUM(Costs!G173:X173)+SUM(Costs!G174:X174)</f>
        <v/>
      </c>
      <c r="D15" s="9">
        <f>IF(SUM($C$13:$C$16)=0,0,C15/SUM($C$13:$C$16))</f>
        <v/>
      </c>
      <c r="E15" s="9">
        <f>D15-B15</f>
        <v/>
      </c>
    </row>
    <row r="16">
      <c r="A16" s="4" t="inlineStr">
        <is>
          <t>Operations &amp; working capital</t>
        </is>
      </c>
      <c r="B16" s="9">
        <f>B8</f>
        <v/>
      </c>
      <c r="C16" s="8">
        <f>SUM(Costs!G148:X148)+SUM(Costs!G149:X149)+SUM(Costs!G185:X185)+SUM(Costs!G188:X188)+SUM(Costs!G166:X166)+SUM(Costs!G165:X165)+SUM(Costs!G162:X162)+SUM('P&amp;L'!G48:X48)+SUM(Cash_Flow!G13:X13)-SUM(Cash_Flow!G11:X11)</f>
        <v/>
      </c>
      <c r="D16" s="9">
        <f>IF(SUM($C$13:$C$16)=0,0,C16/SUM($C$13:$C$16))</f>
        <v/>
      </c>
      <c r="E16" s="9">
        <f>D16-B16</f>
        <v/>
      </c>
    </row>
    <row r="17">
      <c r="A17" s="59" t="inlineStr">
        <is>
          <t>Total gross spend (COGS + opex + tax + working capital)</t>
        </is>
      </c>
      <c r="C17" s="42">
        <f>SUM(C13:C16)</f>
        <v/>
      </c>
    </row>
    <row r="18">
      <c r="A18" s="4" t="inlineStr">
        <is>
          <t>less: revenue collected in the window</t>
        </is>
      </c>
      <c r="C18" s="8">
        <f>SUM('P&amp;L'!G16:X16)</f>
        <v/>
      </c>
    </row>
    <row r="19">
      <c r="A19" s="3" t="inlineStr">
        <is>
          <t>Net cash consumed (funded by the seed)</t>
        </is>
      </c>
      <c r="C19" s="11">
        <f>C17-C18</f>
        <v/>
      </c>
    </row>
    <row r="20">
      <c r="A20" s="4" t="inlineStr">
        <is>
          <t>Seed remaining unspent at the end of the window (seed - net cash consumed)</t>
        </is>
      </c>
      <c r="C20" s="8">
        <f>Assumptions!$B$13-C19</f>
        <v/>
      </c>
    </row>
    <row r="21"/>
    <row r="22">
      <c r="A22" s="19" t="inlineStr">
        <is>
          <t>Reconciliation: modelled gross spend in the 24 months after close (months 5-28: Feb 2027 - Jan 2029; window fixed at build time from the seed month)</t>
        </is>
      </c>
      <c r="B22" s="19" t="n"/>
      <c r="C22" s="19" t="n"/>
      <c r="D22" s="19" t="n"/>
      <c r="E22" s="19" t="n"/>
    </row>
    <row r="23">
      <c r="A23" s="6" t="inlineStr">
        <is>
          <t>Category</t>
        </is>
      </c>
      <c r="B23" s="6" t="inlineStr">
        <is>
          <t>Allocation share</t>
        </is>
      </c>
      <c r="C23" s="6" t="inlineStr">
        <is>
          <t>Modelled spend (R)</t>
        </is>
      </c>
      <c r="D23" s="6" t="inlineStr">
        <is>
          <t>Share of modelled spend</t>
        </is>
      </c>
      <c r="E23" s="6" t="inlineStr">
        <is>
          <t>Gap vs allocation (share of spend - allocation, pp)</t>
        </is>
      </c>
    </row>
    <row r="24">
      <c r="A24" s="4" t="inlineStr">
        <is>
          <t>Product &amp; engineering</t>
        </is>
      </c>
      <c r="B24" s="9">
        <f>B5</f>
        <v/>
      </c>
      <c r="C24" s="8">
        <f>SUM(Costs!G145:AD145)+SUM(Costs!G144:AD144)+SUM(Costs!G161:AD161)+SUM(Costs!G160:AD160)+SUM(Costs!G187:AD187)</f>
        <v/>
      </c>
      <c r="D24" s="9">
        <f>IF(SUM($C$24:$C$27)=0,0,C24/SUM($C$24:$C$27))</f>
        <v/>
      </c>
      <c r="E24" s="9">
        <f>D24-B24</f>
        <v/>
      </c>
    </row>
    <row r="25">
      <c r="A25" s="4" t="inlineStr">
        <is>
          <t>Sales &amp; marketing / partner programme</t>
        </is>
      </c>
      <c r="B25" s="9">
        <f>B6</f>
        <v/>
      </c>
      <c r="C25" s="8">
        <f>SUM('P&amp;L'!G37:AD37)+SUM(Costs!G146:AD146)+SUM(Costs!G147:AD147)-SUM(Costs!G173:AD173)-SUM(Costs!G174:AD174)</f>
        <v/>
      </c>
      <c r="D25" s="9">
        <f>IF(SUM($C$24:$C$27)=0,0,C25/SUM($C$24:$C$27))</f>
        <v/>
      </c>
      <c r="E25" s="9">
        <f>D25-B25</f>
        <v/>
      </c>
    </row>
    <row r="26">
      <c r="A26" s="4" t="inlineStr">
        <is>
          <t>Market expansion (NG, KE, GH) &amp; payments compliance</t>
        </is>
      </c>
      <c r="B26" s="9">
        <f>B7</f>
        <v/>
      </c>
      <c r="C26" s="8">
        <f>SUM(Costs!G150:AD150)+SUM(Costs!G186:AD186)+SUM(Costs!G173:AD173)+SUM(Costs!G174:AD174)</f>
        <v/>
      </c>
      <c r="D26" s="9">
        <f>IF(SUM($C$24:$C$27)=0,0,C26/SUM($C$24:$C$27))</f>
        <v/>
      </c>
      <c r="E26" s="9">
        <f>D26-B26</f>
        <v/>
      </c>
    </row>
    <row r="27">
      <c r="A27" s="4" t="inlineStr">
        <is>
          <t>Operations &amp; working capital</t>
        </is>
      </c>
      <c r="B27" s="9">
        <f>B8</f>
        <v/>
      </c>
      <c r="C27" s="8">
        <f>SUM(Costs!G148:AD148)+SUM(Costs!G149:AD149)+SUM(Costs!G185:AD185)+SUM(Costs!G188:AD188)+SUM(Costs!G166:AD166)+SUM(Costs!G165:AD165)+SUM(Costs!G162:AD162)+SUM('P&amp;L'!G48:AD48)+SUM(Cash_Flow!G13:AD13)-SUM(Cash_Flow!G11:AD11)</f>
        <v/>
      </c>
      <c r="D27" s="9">
        <f>IF(SUM($C$24:$C$27)=0,0,C27/SUM($C$24:$C$27))</f>
        <v/>
      </c>
      <c r="E27" s="9">
        <f>D27-B27</f>
        <v/>
      </c>
    </row>
    <row r="28">
      <c r="A28" s="59" t="inlineStr">
        <is>
          <t>Total gross spend (COGS + opex + tax + working capital)</t>
        </is>
      </c>
      <c r="C28" s="42">
        <f>SUM(C24:C27)</f>
        <v/>
      </c>
    </row>
    <row r="29">
      <c r="A29" s="4" t="inlineStr">
        <is>
          <t>less: revenue collected in the window</t>
        </is>
      </c>
      <c r="C29" s="8">
        <f>SUM('P&amp;L'!G16:AD16)</f>
        <v/>
      </c>
    </row>
    <row r="30">
      <c r="A30" s="3" t="inlineStr">
        <is>
          <t>Net cash consumed (funded by the seed)</t>
        </is>
      </c>
      <c r="C30" s="11">
        <f>C28-C29</f>
        <v/>
      </c>
    </row>
    <row r="31">
      <c r="A31" s="4" t="inlineStr">
        <is>
          <t>Seed remaining unspent at the end of the window (seed - net cash consumed)</t>
        </is>
      </c>
      <c r="C31" s="8">
        <f>Assumptions!$B$13-C30</f>
        <v/>
      </c>
    </row>
    <row r="32"/>
    <row r="33">
      <c r="A33" s="17" t="inlineStr">
        <is>
          <t>Reading: the seed funds net burn, not gross spend, so category shares of gross spend are compared with the allocation shares. Revenue funds the balance. A positive gap means the category takes more of the modelled spend than its allocation.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6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6" t="inlineStr">
        <is>
          <t>Sensitivity</t>
        </is>
      </c>
    </row>
    <row r="2">
      <c r="A2" s="17" t="inlineStr">
        <is>
          <t>VALUES COMPUTED AT BUILD TIME by the Python mirror of this workbook (grey). They do not recalculate; rerun _build/financial_model.py.</t>
        </is>
      </c>
    </row>
    <row r="3"/>
    <row r="4">
      <c r="A4" s="6" t="inlineStr">
        <is>
          <t>Scenario comparison (seed only; Series A off)</t>
        </is>
      </c>
      <c r="B4" s="6" t="n"/>
      <c r="C4" s="6" t="n"/>
      <c r="D4" s="6" t="n"/>
    </row>
    <row r="5" ht="30" customHeight="1">
      <c r="A5" s="62" t="inlineStr">
        <is>
          <t>Output</t>
        </is>
      </c>
      <c r="B5" s="63" t="inlineStr">
        <is>
          <t>Conservative</t>
        </is>
      </c>
      <c r="C5" s="63" t="inlineStr">
        <is>
          <t>Base</t>
        </is>
      </c>
      <c r="D5" s="63" t="inlineStr">
        <is>
          <t>Upside</t>
        </is>
      </c>
    </row>
    <row r="6">
      <c r="A6" s="4" t="inlineStr">
        <is>
          <t>FY1 total revenue (R)</t>
        </is>
      </c>
      <c r="B6" s="64" t="n">
        <v>1593012.88449999</v>
      </c>
      <c r="C6" s="64" t="n">
        <v>1867459.052640948</v>
      </c>
      <c r="D6" s="64" t="n">
        <v>2235408.741375507</v>
      </c>
    </row>
    <row r="7">
      <c r="A7" s="4" t="inlineStr">
        <is>
          <t>FY1 EBITDA (R)</t>
        </is>
      </c>
      <c r="B7" s="64" t="n">
        <v>-6378667.201002141</v>
      </c>
      <c r="C7" s="64" t="n">
        <v>-6964357.323528578</v>
      </c>
      <c r="D7" s="64" t="n">
        <v>-7482770.084221972</v>
      </c>
    </row>
    <row r="8">
      <c r="A8" s="4" t="inlineStr">
        <is>
          <t>FY3 total revenue (R)</t>
        </is>
      </c>
      <c r="B8" s="64" t="n">
        <v>14539542.24749052</v>
      </c>
      <c r="C8" s="64" t="n">
        <v>25491731.1300714</v>
      </c>
      <c r="D8" s="64" t="n">
        <v>44796694.04846206</v>
      </c>
    </row>
    <row r="9">
      <c r="A9" s="4" t="inlineStr">
        <is>
          <t>FY3 EBITDA (R)</t>
        </is>
      </c>
      <c r="B9" s="64" t="n">
        <v>-9740733.385795232</v>
      </c>
      <c r="C9" s="64" t="n">
        <v>-16926122.12819225</v>
      </c>
      <c r="D9" s="64" t="n">
        <v>-15182206.18793128</v>
      </c>
    </row>
    <row r="10">
      <c r="A10" s="4" t="inlineStr">
        <is>
          <t>FY5 total revenue (R)</t>
        </is>
      </c>
      <c r="B10" s="64" t="n">
        <v>43372850.33921749</v>
      </c>
      <c r="C10" s="64" t="n">
        <v>93518450.22232889</v>
      </c>
      <c r="D10" s="64" t="n">
        <v>179558310.5795776</v>
      </c>
    </row>
    <row r="11">
      <c r="A11" s="4" t="inlineStr">
        <is>
          <t>FY5 EBITDA (R)</t>
        </is>
      </c>
      <c r="B11" s="64" t="n">
        <v>-9205638.816722393</v>
      </c>
      <c r="C11" s="64" t="n">
        <v>4498316.621620081</v>
      </c>
      <c r="D11" s="64" t="n">
        <v>19360377.41247679</v>
      </c>
    </row>
    <row r="12">
      <c r="A12" s="4" t="inlineStr">
        <is>
          <t>FY5 EBITDA margin</t>
        </is>
      </c>
      <c r="B12" s="65" t="n">
        <v>-0.2122442667411855</v>
      </c>
      <c r="C12" s="65" t="n">
        <v>0.04810084652735235</v>
      </c>
      <c r="D12" s="65" t="n">
        <v>0.1078222297257389</v>
      </c>
    </row>
    <row r="13">
      <c r="A13" s="4" t="inlineStr">
        <is>
          <t>FY5 paying workspaces (end)</t>
        </is>
      </c>
      <c r="B13" s="66" t="n">
        <v>1906.060403429978</v>
      </c>
      <c r="C13" s="66" t="n">
        <v>4627.493229108191</v>
      </c>
      <c r="D13" s="66" t="n">
        <v>9847.061840901773</v>
      </c>
    </row>
    <row r="14">
      <c r="A14" s="4" t="inlineStr">
        <is>
          <t>FY5 subscription ARR (R)</t>
        </is>
      </c>
      <c r="B14" s="64" t="n">
        <v>45533426.31635153</v>
      </c>
      <c r="C14" s="64" t="n">
        <v>99906282.23096019</v>
      </c>
      <c r="D14" s="64" t="n">
        <v>196922565.287326</v>
      </c>
    </row>
    <row r="15">
      <c r="A15" s="4" t="inlineStr">
        <is>
          <t>FY5 headcount</t>
        </is>
      </c>
      <c r="B15" s="66" t="n">
        <v>48</v>
      </c>
      <c r="C15" s="66" t="n">
        <v>70</v>
      </c>
      <c r="D15" s="66" t="n">
        <v>135</v>
      </c>
    </row>
    <row r="16">
      <c r="A16" s="4" t="inlineStr">
        <is>
          <t>EBITDA break-even (first / sustained)</t>
        </is>
      </c>
      <c r="B16" s="67" t="inlineStr">
        <is>
          <t>Not within horizon (to Sep 2031) / Not within horizon (to Sep 2031)</t>
        </is>
      </c>
      <c r="C16" s="67" t="inlineStr">
        <is>
          <t>Jan 2031 / Jan 2031</t>
        </is>
      </c>
      <c r="D16" s="67" t="inlineStr">
        <is>
          <t>Mar 2030 / Jul 2030</t>
        </is>
      </c>
    </row>
    <row r="17">
      <c r="A17" s="4" t="inlineStr">
        <is>
          <t>Operating cash flow positive (first / sustained)</t>
        </is>
      </c>
      <c r="B17" s="67" t="inlineStr">
        <is>
          <t>Not within horizon (to Sep 2031) / Not within horizon (to Sep 2031)</t>
        </is>
      </c>
      <c r="C17" s="67" t="inlineStr">
        <is>
          <t>Dec 2030 / Dec 2030</t>
        </is>
      </c>
      <c r="D17" s="67" t="inlineStr">
        <is>
          <t>Jan 2030 / Jan 2030</t>
        </is>
      </c>
    </row>
    <row r="18">
      <c r="A18" s="4" t="inlineStr">
        <is>
          <t>Minimum post-seed cash (R)</t>
        </is>
      </c>
      <c r="B18" s="64" t="n">
        <v>-20468040.09169522</v>
      </c>
      <c r="C18" s="64" t="n">
        <v>-17002808.09669401</v>
      </c>
      <c r="D18" s="64" t="n">
        <v>-10838956.96015888</v>
      </c>
    </row>
    <row r="19">
      <c r="A19" s="4" t="inlineStr">
        <is>
          <t>Month of minimum post-seed cash</t>
        </is>
      </c>
      <c r="B19" s="67" t="inlineStr">
        <is>
          <t>Sep 2031</t>
        </is>
      </c>
      <c r="C19" s="67" t="inlineStr">
        <is>
          <t>Nov 2030</t>
        </is>
      </c>
      <c r="D19" s="67" t="inlineStr">
        <is>
          <t>Dec 2029</t>
        </is>
      </c>
    </row>
    <row r="20">
      <c r="A20" s="4" t="inlineStr">
        <is>
          <t>Shortfall vs R3.0M buffer (R)</t>
        </is>
      </c>
      <c r="B20" s="64" t="n">
        <v>23468040.09169522</v>
      </c>
      <c r="C20" s="64" t="n">
        <v>20002808.09669401</v>
      </c>
      <c r="D20" s="64" t="n">
        <v>13838956.96015888</v>
      </c>
    </row>
    <row r="21">
      <c r="A21" s="4" t="inlineStr">
        <is>
          <t>Pre-seed bridge required (R)</t>
        </is>
      </c>
      <c r="B21" s="64" t="n">
        <v>74925.73191049769</v>
      </c>
      <c r="C21" s="64" t="n">
        <v>66279.17116556068</v>
      </c>
      <c r="D21" s="64" t="n">
        <v>54894.93757283619</v>
      </c>
    </row>
    <row r="22">
      <c r="A22" s="4" t="inlineStr">
        <is>
          <t>Launches NG / KE / GH / Rest</t>
        </is>
      </c>
      <c r="B22" s="67" t="inlineStr">
        <is>
          <t>Nov 2029 / Apr 2030 / Sep 2030 / Sep 2031</t>
        </is>
      </c>
      <c r="C22" s="67" t="inlineStr">
        <is>
          <t>Oct 2028 / Jan 2029 / Apr 2029 / Nov 2029</t>
        </is>
      </c>
      <c r="D22" s="67" t="inlineStr">
        <is>
          <t>Apr 2028 / Jul 2028 / Sep 2028 / Mar 2029</t>
        </is>
      </c>
    </row>
    <row r="23">
      <c r="A23" s="4" t="inlineStr">
        <is>
          <t>FY5 closing cash (R)</t>
        </is>
      </c>
      <c r="B23" s="64" t="n">
        <v>-20468040.09169522</v>
      </c>
      <c r="C23" s="64" t="n">
        <v>-9711159.722267166</v>
      </c>
      <c r="D23" s="64" t="n">
        <v>19388115.05417025</v>
      </c>
    </row>
    <row r="24">
      <c r="A24" s="4" t="inlineStr">
        <is>
          <t>Profitable on the R25M seed alone?</t>
        </is>
      </c>
      <c r="B24" s="67" t="inlineStr">
        <is>
          <t>No</t>
        </is>
      </c>
      <c r="C24" s="67" t="inlineStr">
        <is>
          <t>No</t>
        </is>
      </c>
      <c r="D24" s="67" t="inlineStr">
        <is>
          <t>No</t>
        </is>
      </c>
    </row>
    <row r="25"/>
    <row r="26">
      <c r="A26" s="6" t="inlineStr">
        <is>
          <t>FX shock (Base): ZAR 15% stronger vs NGN/KES/GHS/USD from Apr 2029, after the NG/KE/GH plan months</t>
        </is>
      </c>
      <c r="B26" s="6" t="n"/>
      <c r="C26" s="6" t="n"/>
      <c r="D26" s="6" t="n"/>
    </row>
    <row r="27" ht="30" customHeight="1">
      <c r="A27" s="62" t="inlineStr">
        <is>
          <t>Output</t>
        </is>
      </c>
      <c r="B27" s="63" t="inlineStr">
        <is>
          <t>Base</t>
        </is>
      </c>
      <c r="C27" s="63" t="inlineStr">
        <is>
          <t>ZAR 15% stronger (repricing on)</t>
        </is>
      </c>
      <c r="D27" s="63" t="inlineStr">
        <is>
          <t>ZAR 15% stronger (no repricing)</t>
        </is>
      </c>
    </row>
    <row r="28">
      <c r="A28" s="4" t="inlineStr">
        <is>
          <t>FY3 total revenue (R)</t>
        </is>
      </c>
      <c r="B28" s="64" t="n">
        <v>25491731.1300714</v>
      </c>
      <c r="C28" s="64" t="n">
        <v>25438557.50843335</v>
      </c>
      <c r="D28" s="64" t="n">
        <v>24979345.97220883</v>
      </c>
    </row>
    <row r="29">
      <c r="A29" s="4" t="inlineStr">
        <is>
          <t>FY5 total revenue (R)</t>
        </is>
      </c>
      <c r="B29" s="64" t="n">
        <v>93518450.22232889</v>
      </c>
      <c r="C29" s="64" t="n">
        <v>93655275.47781183</v>
      </c>
      <c r="D29" s="64" t="n">
        <v>86119927.37549752</v>
      </c>
    </row>
    <row r="30">
      <c r="A30" s="4" t="inlineStr">
        <is>
          <t>FY3 EBITDA (R)</t>
        </is>
      </c>
      <c r="B30" s="64" t="n">
        <v>-16926122.12819225</v>
      </c>
      <c r="C30" s="64" t="n">
        <v>-16974838.40484539</v>
      </c>
      <c r="D30" s="64" t="n">
        <v>-17278096.71590218</v>
      </c>
    </row>
    <row r="31">
      <c r="A31" s="4" t="inlineStr">
        <is>
          <t>FY5 EBITDA (R)</t>
        </is>
      </c>
      <c r="B31" s="64" t="n">
        <v>4498316.621620081</v>
      </c>
      <c r="C31" s="64" t="n">
        <v>4467557.303389356</v>
      </c>
      <c r="D31" s="64" t="n">
        <v>-881764.9747016132</v>
      </c>
    </row>
    <row r="32">
      <c r="A32" s="4" t="inlineStr">
        <is>
          <t>Minimum post-seed cash (R)</t>
        </is>
      </c>
      <c r="B32" s="64" t="n">
        <v>-17002808.09669401</v>
      </c>
      <c r="C32" s="64" t="n">
        <v>-16474277.47765037</v>
      </c>
      <c r="D32" s="64" t="n">
        <v>-20082133.82936678</v>
      </c>
    </row>
    <row r="33">
      <c r="A33" s="4" t="inlineStr">
        <is>
          <t>Profitable on the R25M seed alone?</t>
        </is>
      </c>
      <c r="B33" s="67" t="inlineStr">
        <is>
          <t>No</t>
        </is>
      </c>
      <c r="C33" s="67" t="inlineStr">
        <is>
          <t>No</t>
        </is>
      </c>
      <c r="D33" s="67" t="inlineStr">
        <is>
          <t>No</t>
        </is>
      </c>
    </row>
    <row r="34">
      <c r="A34" s="17" t="inlineStr">
        <is>
          <t>Repricing on = the quarterly policy restores ZAR value one quarter after drift exceeds 10%.</t>
        </is>
      </c>
    </row>
    <row r="35"/>
    <row r="36">
      <c r="A36" s="6" t="inlineStr">
        <is>
          <t>Founding Member (Base): live offer vs no offer</t>
        </is>
      </c>
      <c r="B36" s="6" t="n"/>
      <c r="C36" s="6" t="n"/>
    </row>
    <row r="37" ht="30" customHeight="1">
      <c r="A37" s="62" t="inlineStr">
        <is>
          <t>Output</t>
        </is>
      </c>
      <c r="B37" s="63" t="inlineStr">
        <is>
          <t>Founding Member (default)</t>
        </is>
      </c>
      <c r="C37" s="63" t="inlineStr">
        <is>
          <t>None</t>
        </is>
      </c>
    </row>
    <row r="38">
      <c r="A38" s="4" t="inlineStr">
        <is>
          <t>FY1 total revenue (R)</t>
        </is>
      </c>
      <c r="B38" s="64" t="n">
        <v>1867459.052640948</v>
      </c>
      <c r="C38" s="64" t="n">
        <v>1831601.575179161</v>
      </c>
    </row>
    <row r="39">
      <c r="A39" s="4" t="inlineStr">
        <is>
          <t>FY2 total revenue (R)</t>
        </is>
      </c>
      <c r="B39" s="64" t="n">
        <v>9474226.166657872</v>
      </c>
      <c r="C39" s="64" t="n">
        <v>9395161.438191956</v>
      </c>
    </row>
    <row r="40">
      <c r="A40" s="4" t="inlineStr">
        <is>
          <t>Launch-offer discount cost FY1 (R)</t>
        </is>
      </c>
      <c r="B40" s="64" t="n">
        <v>32143.11324607652</v>
      </c>
      <c r="C40" s="64" t="n">
        <v>0</v>
      </c>
    </row>
    <row r="41">
      <c r="A41" s="4" t="inlineStr">
        <is>
          <t>Launch-offer discount cost FY1-FY3 (R)</t>
        </is>
      </c>
      <c r="B41" s="64" t="n">
        <v>32143.11324607652</v>
      </c>
      <c r="C41" s="64" t="n">
        <v>0</v>
      </c>
    </row>
    <row r="42">
      <c r="A42" s="4" t="inlineStr">
        <is>
          <t>FY5 EBITDA (R)</t>
        </is>
      </c>
      <c r="B42" s="64" t="n">
        <v>4498316.621620081</v>
      </c>
      <c r="C42" s="64" t="n">
        <v>4468435.653727777</v>
      </c>
    </row>
    <row r="43">
      <c r="A43" s="4" t="inlineStr">
        <is>
          <t>Minimum post-seed cash (R)</t>
        </is>
      </c>
      <c r="B43" s="64" t="n">
        <v>-17002808.09669401</v>
      </c>
      <c r="C43" s="64" t="n">
        <v>-17051970.95911879</v>
      </c>
    </row>
    <row r="44">
      <c r="A44" s="4" t="inlineStr">
        <is>
          <t>Profitable on the R25M seed alone?</t>
        </is>
      </c>
      <c r="B44" s="67" t="inlineStr">
        <is>
          <t>No</t>
        </is>
      </c>
      <c r="C44" s="67" t="inlineStr">
        <is>
          <t>No</t>
        </is>
      </c>
    </row>
    <row r="45">
      <c r="A45" s="17" t="inlineStr">
        <is>
          <t>None also removes the +20% sign-up uplift assumed while the offer runs.</t>
        </is>
      </c>
    </row>
    <row r="46"/>
    <row r="47">
      <c r="A47" s="6" t="inlineStr">
        <is>
          <t>Free-to-paid conversion of active Free users (Base)</t>
        </is>
      </c>
      <c r="B47" s="6" t="n"/>
      <c r="C47" s="6" t="n"/>
      <c r="D47" s="6" t="n"/>
    </row>
    <row r="48" ht="30" customHeight="1">
      <c r="A48" s="62" t="inlineStr">
        <is>
          <t>Output</t>
        </is>
      </c>
      <c r="B48" s="63" t="inlineStr">
        <is>
          <t>0.25% a month</t>
        </is>
      </c>
      <c r="C48" s="63" t="inlineStr">
        <is>
          <t>0.5% a month (default)</t>
        </is>
      </c>
      <c r="D48" s="63" t="inlineStr">
        <is>
          <t>1.0% a month</t>
        </is>
      </c>
    </row>
    <row r="49">
      <c r="A49" s="4" t="inlineStr">
        <is>
          <t>FY1 Free users upgrading to paid</t>
        </is>
      </c>
      <c r="B49" s="66" t="n">
        <v>26.98474513934306</v>
      </c>
      <c r="C49" s="66" t="n">
        <v>53.63037897515537</v>
      </c>
      <c r="D49" s="66" t="n">
        <v>105.9240795690291</v>
      </c>
    </row>
    <row r="50">
      <c r="A50" s="4" t="inlineStr">
        <is>
          <t>FY3 Free users upgrading to paid</t>
        </is>
      </c>
      <c r="B50" s="66" t="n">
        <v>244.2102732675071</v>
      </c>
      <c r="C50" s="66" t="n">
        <v>510.8110280534494</v>
      </c>
      <c r="D50" s="66" t="n">
        <v>1052.408329089867</v>
      </c>
    </row>
    <row r="51">
      <c r="A51" s="4" t="inlineStr">
        <is>
          <t>FY1 total revenue (R)</t>
        </is>
      </c>
      <c r="B51" s="64" t="n">
        <v>1786166.659515047</v>
      </c>
      <c r="C51" s="64" t="n">
        <v>1867459.052640948</v>
      </c>
      <c r="D51" s="64" t="n">
        <v>2027536.789868625</v>
      </c>
    </row>
    <row r="52">
      <c r="A52" s="4" t="inlineStr">
        <is>
          <t>FY3 total revenue (R)</t>
        </is>
      </c>
      <c r="B52" s="64" t="n">
        <v>22303271.84800724</v>
      </c>
      <c r="C52" s="64" t="n">
        <v>25491731.1300714</v>
      </c>
      <c r="D52" s="64" t="n">
        <v>31050737.67788919</v>
      </c>
    </row>
    <row r="53">
      <c r="A53" s="4" t="inlineStr">
        <is>
          <t>FY5 EBITDA (R)</t>
        </is>
      </c>
      <c r="B53" s="64" t="n">
        <v>-2270426.267051339</v>
      </c>
      <c r="C53" s="64" t="n">
        <v>4498316.621620081</v>
      </c>
      <c r="D53" s="64" t="n">
        <v>15159074.95522137</v>
      </c>
    </row>
    <row r="54">
      <c r="A54" s="4" t="inlineStr">
        <is>
          <t>Pre-seed bridge required (R)</t>
        </is>
      </c>
      <c r="B54" s="64" t="n">
        <v>69629.18876184369</v>
      </c>
      <c r="C54" s="64" t="n">
        <v>66279.17116556068</v>
      </c>
      <c r="D54" s="64" t="n">
        <v>59608.42742990697</v>
      </c>
    </row>
    <row r="55">
      <c r="A55" s="4" t="inlineStr">
        <is>
          <t>Minimum post-seed cash (R)</t>
        </is>
      </c>
      <c r="B55" s="64" t="n">
        <v>-21724487.98869076</v>
      </c>
      <c r="C55" s="64" t="n">
        <v>-17002808.09669401</v>
      </c>
      <c r="D55" s="64" t="n">
        <v>-10238018.69285952</v>
      </c>
    </row>
    <row r="56">
      <c r="A56" s="4" t="inlineStr">
        <is>
          <t>Profitable on the R25M seed alone?</t>
        </is>
      </c>
      <c r="B56" s="67" t="inlineStr">
        <is>
          <t>No</t>
        </is>
      </c>
      <c r="C56" s="67" t="inlineStr">
        <is>
          <t>No</t>
        </is>
      </c>
      <c r="D56" s="67" t="inlineStr">
        <is>
          <t>No</t>
        </is>
      </c>
    </row>
    <row r="57"/>
    <row r="58">
      <c r="A58" s="6" t="inlineStr">
        <is>
          <t>Conservative: constraint check and the smallest cost cut that fixes it</t>
        </is>
      </c>
      <c r="B58" s="6" t="n"/>
      <c r="C58" s="6" t="n"/>
    </row>
    <row r="59" ht="30" customHeight="1">
      <c r="A59" s="62" t="inlineStr">
        <is>
          <t>Output</t>
        </is>
      </c>
      <c r="B59" s="63" t="inlineStr">
        <is>
          <t>Conservative as modelled</t>
        </is>
      </c>
      <c r="C59" s="63" t="inlineStr">
        <is>
          <t>Conservative with Base gates (1.00x)</t>
        </is>
      </c>
    </row>
    <row r="60">
      <c r="A60" s="4" t="inlineStr">
        <is>
          <t>Minimum post-seed cash (R)</t>
        </is>
      </c>
      <c r="B60" s="64" t="n">
        <v>-20468040.09169522</v>
      </c>
      <c r="C60" s="64" t="n">
        <v>-33830191.06699475</v>
      </c>
    </row>
    <row r="61">
      <c r="A61" s="4" t="inlineStr">
        <is>
          <t>Month of minimum post-seed cash</t>
        </is>
      </c>
      <c r="B61" s="67" t="inlineStr">
        <is>
          <t>Sep 2031</t>
        </is>
      </c>
      <c r="C61" s="67" t="inlineStr">
        <is>
          <t>Sep 2031</t>
        </is>
      </c>
    </row>
    <row r="62">
      <c r="A62" s="4" t="inlineStr">
        <is>
          <t>Shortfall vs R3.0M buffer (R)</t>
        </is>
      </c>
      <c r="B62" s="64" t="n">
        <v>23468040.09169522</v>
      </c>
      <c r="C62" s="64" t="n">
        <v>36830191.06699475</v>
      </c>
    </row>
    <row r="63">
      <c r="A63" s="4" t="inlineStr">
        <is>
          <t>EBITDA break-even (sustained)</t>
        </is>
      </c>
      <c r="B63" s="67" t="inlineStr">
        <is>
          <t>Not within horizon (to Sep 2031)</t>
        </is>
      </c>
      <c r="C63" s="67" t="inlineStr">
        <is>
          <t>Not within horizon (to Sep 2031)</t>
        </is>
      </c>
    </row>
    <row r="64">
      <c r="A64" s="4" t="inlineStr">
        <is>
          <t>FY5 EBITDA (R)</t>
        </is>
      </c>
      <c r="B64" s="64" t="n">
        <v>-9205638.816722393</v>
      </c>
      <c r="C64" s="64" t="n">
        <v>-12096376.13241012</v>
      </c>
    </row>
    <row r="65">
      <c r="A65" s="4" t="inlineStr">
        <is>
          <t>FY5 headcount</t>
        </is>
      </c>
      <c r="B65" s="66" t="n">
        <v>48</v>
      </c>
      <c r="C65" s="66" t="n">
        <v>59</v>
      </c>
    </row>
    <row r="66">
      <c r="A66" s="4" t="inlineStr">
        <is>
          <t>Profitable on the R25M seed alone?</t>
        </is>
      </c>
      <c r="B66" s="67" t="inlineStr">
        <is>
          <t>No</t>
        </is>
      </c>
      <c r="C66" s="67" t="inlineStr">
        <is>
          <t>No</t>
        </is>
      </c>
    </row>
    <row r="67">
      <c r="A67" s="17" t="inlineStr">
        <is>
          <t>Smallest fix from 'Conservative as modelled': raise the hiring &amp; launch MRR-gate multiplier to 2.75x, or cut all non-founder salaries by 35%.</t>
        </is>
      </c>
    </row>
    <row r="68"/>
    <row r="69">
      <c r="A69" s="6" t="inlineStr">
        <is>
          <t>Base: FY3 total revenue (R) (computed at build time)</t>
        </is>
      </c>
      <c r="B69" s="6" t="n"/>
      <c r="C69" s="6" t="n"/>
      <c r="D69" s="6" t="n"/>
      <c r="E69" s="6" t="n"/>
      <c r="F69" s="6" t="n"/>
      <c r="G69" s="6" t="n"/>
    </row>
    <row r="70">
      <c r="A70" s="3" t="inlineStr">
        <is>
          <t>Churn multiplier ↓  /  New-customer volume multiplier →</t>
        </is>
      </c>
      <c r="C70" s="68" t="n">
        <v>0.7</v>
      </c>
      <c r="D70" s="68" t="n">
        <v>0.85</v>
      </c>
      <c r="E70" s="68" t="n">
        <v>1</v>
      </c>
      <c r="F70" s="68" t="n">
        <v>1.15</v>
      </c>
      <c r="G70" s="68" t="n">
        <v>1.3</v>
      </c>
    </row>
    <row r="71">
      <c r="A71" s="4" t="inlineStr">
        <is>
          <t>0.70x churn (Solo Starter 4.2%/mo)</t>
        </is>
      </c>
      <c r="B71" s="69" t="n">
        <v>0.7</v>
      </c>
      <c r="C71" s="70" t="n">
        <v>20462917.82037342</v>
      </c>
      <c r="D71" s="70" t="n">
        <v>24068642.86686373</v>
      </c>
      <c r="E71" s="70" t="n">
        <v>27741898.62242726</v>
      </c>
      <c r="F71" s="70" t="n">
        <v>31872505.87364737</v>
      </c>
      <c r="G71" s="70" t="n">
        <v>35971973.86633171</v>
      </c>
    </row>
    <row r="72">
      <c r="A72" s="4" t="inlineStr">
        <is>
          <t>0.85x churn (Solo Starter 5.1%/mo)</t>
        </is>
      </c>
      <c r="B72" s="69" t="n">
        <v>0.85</v>
      </c>
      <c r="C72" s="70" t="n">
        <v>19431629.5565364</v>
      </c>
      <c r="D72" s="70" t="n">
        <v>22760839.65222736</v>
      </c>
      <c r="E72" s="70" t="n">
        <v>26466742.03796275</v>
      </c>
      <c r="F72" s="70" t="n">
        <v>30183359.34164396</v>
      </c>
      <c r="G72" s="70" t="n">
        <v>33909572.82686198</v>
      </c>
    </row>
    <row r="73">
      <c r="A73" s="4" t="inlineStr">
        <is>
          <t>1.00x churn (Solo Starter 6.0%/mo)</t>
        </is>
      </c>
      <c r="B73" s="69" t="n">
        <v>1</v>
      </c>
      <c r="C73" s="70" t="n">
        <v>18709246.59795677</v>
      </c>
      <c r="D73" s="70" t="n">
        <v>21917370.65510011</v>
      </c>
      <c r="E73" s="71" t="n">
        <v>25491731.1300714</v>
      </c>
      <c r="F73" s="70" t="n">
        <v>28641616.2380053</v>
      </c>
      <c r="G73" s="70" t="n">
        <v>32505304.67788672</v>
      </c>
    </row>
    <row r="74">
      <c r="A74" s="4" t="inlineStr">
        <is>
          <t>1.15x churn (Solo Starter 6.9%/mo)</t>
        </is>
      </c>
      <c r="B74" s="69" t="n">
        <v>1.15</v>
      </c>
      <c r="C74" s="70" t="n">
        <v>17660634.83372916</v>
      </c>
      <c r="D74" s="70" t="n">
        <v>20661360.5901451</v>
      </c>
      <c r="E74" s="70" t="n">
        <v>24105768.88538563</v>
      </c>
      <c r="F74" s="70" t="n">
        <v>27613973.23824067</v>
      </c>
      <c r="G74" s="70" t="n">
        <v>30992981.04431963</v>
      </c>
    </row>
    <row r="75">
      <c r="A75" s="4" t="inlineStr">
        <is>
          <t>1.30x churn (Solo Starter 7.8%/mo)</t>
        </is>
      </c>
      <c r="B75" s="69" t="n">
        <v>1.3</v>
      </c>
      <c r="C75" s="70" t="n">
        <v>17020016.17651111</v>
      </c>
      <c r="D75" s="70" t="n">
        <v>19933072.03673148</v>
      </c>
      <c r="E75" s="70" t="n">
        <v>23138430.94378447</v>
      </c>
      <c r="F75" s="70" t="n">
        <v>26274890.67639318</v>
      </c>
      <c r="G75" s="70" t="n">
        <v>29555256.07869153</v>
      </c>
    </row>
    <row r="76"/>
    <row r="77">
      <c r="A77" s="6" t="inlineStr">
        <is>
          <t>Base: FY5 total revenue (R) (computed at build time)</t>
        </is>
      </c>
      <c r="B77" s="6" t="n"/>
      <c r="C77" s="6" t="n"/>
      <c r="D77" s="6" t="n"/>
      <c r="E77" s="6" t="n"/>
      <c r="F77" s="6" t="n"/>
      <c r="G77" s="6" t="n"/>
    </row>
    <row r="78">
      <c r="A78" s="3" t="inlineStr">
        <is>
          <t>Churn multiplier ↓  /  New-customer volume multiplier →</t>
        </is>
      </c>
      <c r="C78" s="68" t="n">
        <v>0.7</v>
      </c>
      <c r="D78" s="68" t="n">
        <v>0.85</v>
      </c>
      <c r="E78" s="68" t="n">
        <v>1</v>
      </c>
      <c r="F78" s="68" t="n">
        <v>1.15</v>
      </c>
      <c r="G78" s="68" t="n">
        <v>1.3</v>
      </c>
    </row>
    <row r="79">
      <c r="A79" s="4" t="inlineStr">
        <is>
          <t>0.70x churn (Solo Starter 4.2%/mo)</t>
        </is>
      </c>
      <c r="B79" s="69" t="n">
        <v>0.7</v>
      </c>
      <c r="C79" s="70" t="n">
        <v>77407500.82634717</v>
      </c>
      <c r="D79" s="70" t="n">
        <v>92131180.95243646</v>
      </c>
      <c r="E79" s="70" t="n">
        <v>106323836.5383464</v>
      </c>
      <c r="F79" s="70" t="n">
        <v>122150777.8587598</v>
      </c>
      <c r="G79" s="70" t="n">
        <v>138069086.6337491</v>
      </c>
    </row>
    <row r="80">
      <c r="A80" s="4" t="inlineStr">
        <is>
          <t>0.85x churn (Solo Starter 5.1%/mo)</t>
        </is>
      </c>
      <c r="B80" s="69" t="n">
        <v>0.85</v>
      </c>
      <c r="C80" s="70" t="n">
        <v>72028414.35406955</v>
      </c>
      <c r="D80" s="70" t="n">
        <v>85123374.14099444</v>
      </c>
      <c r="E80" s="70" t="n">
        <v>99141694.48320666</v>
      </c>
      <c r="F80" s="70" t="n">
        <v>113179618.1491836</v>
      </c>
      <c r="G80" s="70" t="n">
        <v>127410688.945976</v>
      </c>
    </row>
    <row r="81">
      <c r="A81" s="4" t="inlineStr">
        <is>
          <t>1.00x churn (Solo Starter 6.0%/mo)</t>
        </is>
      </c>
      <c r="B81" s="69" t="n">
        <v>1</v>
      </c>
      <c r="C81" s="70" t="n">
        <v>67669237.15218979</v>
      </c>
      <c r="D81" s="70" t="n">
        <v>80094823.0967897</v>
      </c>
      <c r="E81" s="71" t="n">
        <v>93518450.22232889</v>
      </c>
      <c r="F81" s="70" t="n">
        <v>105377382.2848925</v>
      </c>
      <c r="G81" s="70" t="n">
        <v>119102581.3219219</v>
      </c>
    </row>
    <row r="82">
      <c r="A82" s="4" t="inlineStr">
        <is>
          <t>1.15x churn (Solo Starter 6.9%/mo)</t>
        </is>
      </c>
      <c r="B82" s="69" t="n">
        <v>1.15</v>
      </c>
      <c r="C82" s="70" t="n">
        <v>62679868.97668981</v>
      </c>
      <c r="D82" s="70" t="n">
        <v>74558223.98999937</v>
      </c>
      <c r="E82" s="70" t="n">
        <v>86857176.06613027</v>
      </c>
      <c r="F82" s="70" t="n">
        <v>99322314.97189912</v>
      </c>
      <c r="G82" s="70" t="n">
        <v>111570809.9839127</v>
      </c>
    </row>
    <row r="83">
      <c r="A83" s="4" t="inlineStr">
        <is>
          <t>1.30x churn (Solo Starter 7.8%/mo)</t>
        </is>
      </c>
      <c r="B83" s="69" t="n">
        <v>1.3</v>
      </c>
      <c r="C83" s="70" t="n">
        <v>59290561.44818212</v>
      </c>
      <c r="D83" s="70" t="n">
        <v>70354699.13622138</v>
      </c>
      <c r="E83" s="70" t="n">
        <v>81878907.400647</v>
      </c>
      <c r="F83" s="70" t="n">
        <v>93028296.20027409</v>
      </c>
      <c r="G83" s="70" t="n">
        <v>104411865.5553361</v>
      </c>
    </row>
    <row r="84"/>
    <row r="85">
      <c r="A85" s="6" t="inlineStr">
        <is>
          <t>Base: FY3 EBITDA (R) (computed at build time)</t>
        </is>
      </c>
      <c r="B85" s="6" t="n"/>
      <c r="C85" s="6" t="n"/>
      <c r="D85" s="6" t="n"/>
      <c r="E85" s="6" t="n"/>
      <c r="F85" s="6" t="n"/>
      <c r="G85" s="6" t="n"/>
    </row>
    <row r="86">
      <c r="A86" s="3" t="inlineStr">
        <is>
          <t>Churn multiplier ↓  /  New-customer volume multiplier →</t>
        </is>
      </c>
      <c r="C86" s="68" t="n">
        <v>0.7</v>
      </c>
      <c r="D86" s="68" t="n">
        <v>0.85</v>
      </c>
      <c r="E86" s="68" t="n">
        <v>1</v>
      </c>
      <c r="F86" s="68" t="n">
        <v>1.15</v>
      </c>
      <c r="G86" s="68" t="n">
        <v>1.3</v>
      </c>
    </row>
    <row r="87">
      <c r="A87" s="4" t="inlineStr">
        <is>
          <t>0.70x churn (Solo Starter 4.2%/mo)</t>
        </is>
      </c>
      <c r="B87" s="69" t="n">
        <v>0.7</v>
      </c>
      <c r="C87" s="70" t="n">
        <v>-16395609.33004698</v>
      </c>
      <c r="D87" s="70" t="n">
        <v>-16377397.10652775</v>
      </c>
      <c r="E87" s="70" t="n">
        <v>-15903154.05417137</v>
      </c>
      <c r="F87" s="70" t="n">
        <v>-15077629.55996419</v>
      </c>
      <c r="G87" s="70" t="n">
        <v>-14288079.8728864</v>
      </c>
    </row>
    <row r="88">
      <c r="A88" s="4" t="inlineStr">
        <is>
          <t>0.85x churn (Solo Starter 5.1%/mo)</t>
        </is>
      </c>
      <c r="B88" s="69" t="n">
        <v>0.85</v>
      </c>
      <c r="C88" s="70" t="n">
        <v>-16150508.71941673</v>
      </c>
      <c r="D88" s="70" t="n">
        <v>-16245654.37162593</v>
      </c>
      <c r="E88" s="70" t="n">
        <v>-16308864.2902377</v>
      </c>
      <c r="F88" s="70" t="n">
        <v>-15563232.82318873</v>
      </c>
      <c r="G88" s="70" t="n">
        <v>-14461749.91706048</v>
      </c>
    </row>
    <row r="89">
      <c r="A89" s="4" t="inlineStr">
        <is>
          <t>1.00x churn (Solo Starter 6.0%/mo)</t>
        </is>
      </c>
      <c r="B89" s="69" t="n">
        <v>1</v>
      </c>
      <c r="C89" s="70" t="n">
        <v>-16490637.19585045</v>
      </c>
      <c r="D89" s="70" t="n">
        <v>-16832167.44467117</v>
      </c>
      <c r="E89" s="71" t="n">
        <v>-16926122.12819225</v>
      </c>
      <c r="F89" s="70" t="n">
        <v>-15638813.65116016</v>
      </c>
      <c r="G89" s="70" t="n">
        <v>-15176667.88174084</v>
      </c>
    </row>
    <row r="90">
      <c r="A90" s="4" t="inlineStr">
        <is>
          <t>1.15x churn (Solo Starter 6.9%/mo)</t>
        </is>
      </c>
      <c r="B90" s="69" t="n">
        <v>1.15</v>
      </c>
      <c r="C90" s="70" t="n">
        <v>-16140533.80522279</v>
      </c>
      <c r="D90" s="70" t="n">
        <v>-16752172.02681446</v>
      </c>
      <c r="E90" s="70" t="n">
        <v>-16846571.13302488</v>
      </c>
      <c r="F90" s="70" t="n">
        <v>-16250933.67074634</v>
      </c>
      <c r="G90" s="70" t="n">
        <v>-15825305.99530584</v>
      </c>
    </row>
    <row r="91">
      <c r="A91" s="4" t="inlineStr">
        <is>
          <t>1.30x churn (Solo Starter 7.8%/mo)</t>
        </is>
      </c>
      <c r="B91" s="69" t="n">
        <v>1.3</v>
      </c>
      <c r="C91" s="70" t="n">
        <v>-15732227.04471303</v>
      </c>
      <c r="D91" s="70" t="n">
        <v>-16980396.53053941</v>
      </c>
      <c r="E91" s="70" t="n">
        <v>-17368645.07081905</v>
      </c>
      <c r="F91" s="70" t="n">
        <v>-16849175.16873502</v>
      </c>
      <c r="G91" s="70" t="n">
        <v>-16524068.32588034</v>
      </c>
    </row>
    <row r="92"/>
    <row r="93">
      <c r="A93" s="6" t="inlineStr">
        <is>
          <t>Base: FY5 EBITDA (R) (computed at build time)</t>
        </is>
      </c>
      <c r="B93" s="6" t="n"/>
      <c r="C93" s="6" t="n"/>
      <c r="D93" s="6" t="n"/>
      <c r="E93" s="6" t="n"/>
      <c r="F93" s="6" t="n"/>
      <c r="G93" s="6" t="n"/>
    </row>
    <row r="94">
      <c r="A94" s="3" t="inlineStr">
        <is>
          <t>Churn multiplier ↓  /  New-customer volume multiplier →</t>
        </is>
      </c>
      <c r="C94" s="68" t="n">
        <v>0.7</v>
      </c>
      <c r="D94" s="68" t="n">
        <v>0.85</v>
      </c>
      <c r="E94" s="68" t="n">
        <v>1</v>
      </c>
      <c r="F94" s="68" t="n">
        <v>1.15</v>
      </c>
      <c r="G94" s="68" t="n">
        <v>1.3</v>
      </c>
    </row>
    <row r="95">
      <c r="A95" s="4" t="inlineStr">
        <is>
          <t>0.70x churn (Solo Starter 4.2%/mo)</t>
        </is>
      </c>
      <c r="B95" s="69" t="n">
        <v>0.7</v>
      </c>
      <c r="C95" s="70" t="n">
        <v>-2014905.703525484</v>
      </c>
      <c r="D95" s="70" t="n">
        <v>4413240.603449054</v>
      </c>
      <c r="E95" s="70" t="n">
        <v>10833316.10018131</v>
      </c>
      <c r="F95" s="70" t="n">
        <v>15713417.66329233</v>
      </c>
      <c r="G95" s="70" t="n">
        <v>21996098.13553685</v>
      </c>
    </row>
    <row r="96">
      <c r="A96" s="4" t="inlineStr">
        <is>
          <t>0.85x churn (Solo Starter 5.1%/mo)</t>
        </is>
      </c>
      <c r="B96" s="69" t="n">
        <v>0.85</v>
      </c>
      <c r="C96" s="70" t="n">
        <v>-4561998.916104876</v>
      </c>
      <c r="D96" s="70" t="n">
        <v>834455.4300118834</v>
      </c>
      <c r="E96" s="70" t="n">
        <v>7700843.271150276</v>
      </c>
      <c r="F96" s="70" t="n">
        <v>13357940.2378847</v>
      </c>
      <c r="G96" s="70" t="n">
        <v>16984912.66936044</v>
      </c>
    </row>
    <row r="97">
      <c r="A97" s="4" t="inlineStr">
        <is>
          <t>1.00x churn (Solo Starter 6.0%/mo)</t>
        </is>
      </c>
      <c r="B97" s="69" t="n">
        <v>1</v>
      </c>
      <c r="C97" s="70" t="n">
        <v>-7090171.366745763</v>
      </c>
      <c r="D97" s="70" t="n">
        <v>-1831173.174944952</v>
      </c>
      <c r="E97" s="71" t="n">
        <v>4498316.621620081</v>
      </c>
      <c r="F97" s="70" t="n">
        <v>9601629.595866099</v>
      </c>
      <c r="G97" s="70" t="n">
        <v>13842807.15791008</v>
      </c>
    </row>
    <row r="98">
      <c r="A98" s="4" t="inlineStr">
        <is>
          <t>1.15x churn (Solo Starter 6.9%/mo)</t>
        </is>
      </c>
      <c r="B98" s="69" t="n">
        <v>1.15</v>
      </c>
      <c r="C98" s="70" t="n">
        <v>-8204168.819249175</v>
      </c>
      <c r="D98" s="70" t="n">
        <v>-4451873.240398943</v>
      </c>
      <c r="E98" s="70" t="n">
        <v>860111.9569356516</v>
      </c>
      <c r="F98" s="70" t="n">
        <v>6762620.392221279</v>
      </c>
      <c r="G98" s="70" t="n">
        <v>11243331.35650449</v>
      </c>
    </row>
    <row r="99">
      <c r="A99" s="4" t="inlineStr">
        <is>
          <t>1.30x churn (Solo Starter 7.8%/mo)</t>
        </is>
      </c>
      <c r="B99" s="69" t="n">
        <v>1.3</v>
      </c>
      <c r="C99" s="70" t="n">
        <v>-10036087.59175635</v>
      </c>
      <c r="D99" s="70" t="n">
        <v>-6862623.671762586</v>
      </c>
      <c r="E99" s="70" t="n">
        <v>-2491576.530436262</v>
      </c>
      <c r="F99" s="70" t="n">
        <v>3114991.68229381</v>
      </c>
      <c r="G99" s="70" t="n">
        <v>8521210.572165743</v>
      </c>
    </row>
    <row r="100"/>
    <row r="101">
      <c r="A101" s="6" t="inlineStr">
        <is>
          <t>Base: Minimum post-seed cash (R; buffer R3.0M) (computed at build time)</t>
        </is>
      </c>
      <c r="B101" s="6" t="n"/>
      <c r="C101" s="6" t="n"/>
      <c r="D101" s="6" t="n"/>
      <c r="E101" s="6" t="n"/>
      <c r="F101" s="6" t="n"/>
      <c r="G101" s="6" t="n"/>
    </row>
    <row r="102">
      <c r="A102" s="3" t="inlineStr">
        <is>
          <t>Churn multiplier ↓  /  New-customer volume multiplier →</t>
        </is>
      </c>
      <c r="C102" s="68" t="n">
        <v>0.7</v>
      </c>
      <c r="D102" s="68" t="n">
        <v>0.85</v>
      </c>
      <c r="E102" s="68" t="n">
        <v>1</v>
      </c>
      <c r="F102" s="68" t="n">
        <v>1.15</v>
      </c>
      <c r="G102" s="68" t="n">
        <v>1.3</v>
      </c>
    </row>
    <row r="103">
      <c r="A103" s="4" t="inlineStr">
        <is>
          <t>0.70x churn (Solo Starter 4.2%/mo)</t>
        </is>
      </c>
      <c r="B103" s="69" t="n">
        <v>0.7</v>
      </c>
      <c r="C103" s="70" t="n">
        <v>-19741589.49802455</v>
      </c>
      <c r="D103" s="70" t="n">
        <v>-15783099.39722568</v>
      </c>
      <c r="E103" s="70" t="n">
        <v>-13024816.10190029</v>
      </c>
      <c r="F103" s="70" t="n">
        <v>-11043942.23576484</v>
      </c>
      <c r="G103" s="70" t="n">
        <v>-8752655.418202236</v>
      </c>
    </row>
    <row r="104">
      <c r="A104" s="4" t="inlineStr">
        <is>
          <t>0.85x churn (Solo Starter 5.1%/mo)</t>
        </is>
      </c>
      <c r="B104" s="69" t="n">
        <v>0.85</v>
      </c>
      <c r="C104" s="70" t="n">
        <v>-21808188.6324859</v>
      </c>
      <c r="D104" s="70" t="n">
        <v>-17514851.55451693</v>
      </c>
      <c r="E104" s="70" t="n">
        <v>-14892748.8436534</v>
      </c>
      <c r="F104" s="70" t="n">
        <v>-12296717.83066551</v>
      </c>
      <c r="G104" s="70" t="n">
        <v>-10411340.64656682</v>
      </c>
    </row>
    <row r="105">
      <c r="A105" s="4" t="inlineStr">
        <is>
          <t>1.00x churn (Solo Starter 6.0%/mo)</t>
        </is>
      </c>
      <c r="B105" s="69" t="n">
        <v>1</v>
      </c>
      <c r="C105" s="70" t="n">
        <v>-25124485.03864158</v>
      </c>
      <c r="D105" s="70" t="n">
        <v>-20199766.08288649</v>
      </c>
      <c r="E105" s="71" t="n">
        <v>-17002808.09669401</v>
      </c>
      <c r="F105" s="70" t="n">
        <v>-14168605.39255773</v>
      </c>
      <c r="G105" s="70" t="n">
        <v>-12084969.56197144</v>
      </c>
    </row>
    <row r="106">
      <c r="A106" s="4" t="inlineStr">
        <is>
          <t>1.15x churn (Solo Starter 6.9%/mo)</t>
        </is>
      </c>
      <c r="B106" s="69" t="n">
        <v>1.15</v>
      </c>
      <c r="C106" s="70" t="n">
        <v>-26704964.26342721</v>
      </c>
      <c r="D106" s="70" t="n">
        <v>-22419274.64279023</v>
      </c>
      <c r="E106" s="70" t="n">
        <v>-18050673.25619131</v>
      </c>
      <c r="F106" s="70" t="n">
        <v>-15819795.95167869</v>
      </c>
      <c r="G106" s="70" t="n">
        <v>-14100870.75387194</v>
      </c>
    </row>
    <row r="107">
      <c r="A107" s="4" t="inlineStr">
        <is>
          <t>1.30x churn (Solo Starter 7.8%/mo)</t>
        </is>
      </c>
      <c r="B107" s="69" t="n">
        <v>1.3</v>
      </c>
      <c r="C107" s="70" t="n">
        <v>-29615662.10869271</v>
      </c>
      <c r="D107" s="70" t="n">
        <v>-25516723.46040475</v>
      </c>
      <c r="E107" s="70" t="n">
        <v>-21383142.35407498</v>
      </c>
      <c r="F107" s="70" t="n">
        <v>-17574615.79142143</v>
      </c>
      <c r="G107" s="70" t="n">
        <v>-15452731.0078148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90" customWidth="1" min="1" max="1"/>
    <col width="22" customWidth="1" min="2" max="2"/>
    <col width="14" customWidth="1" min="3" max="3"/>
    <col width="50" customWidth="1" min="4" max="4"/>
  </cols>
  <sheetData>
    <row r="1">
      <c r="A1" s="16" t="inlineStr">
        <is>
          <t>Market Sizing</t>
        </is>
      </c>
    </row>
    <row r="2">
      <c r="A2" s="17" t="inlineStr">
        <is>
          <t>TAM / SAM / SOM from facts file §5. All figures are estimates (ASSUMPTION): cite and verify before external use.</t>
        </is>
      </c>
    </row>
    <row r="3"/>
    <row r="4">
      <c r="A4" s="6" t="inlineStr">
        <is>
          <t>Measure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Source / basis</t>
        </is>
      </c>
    </row>
    <row r="5">
      <c r="A5" s="4" t="inlineStr">
        <is>
          <t>TAM: MSMEs in Sub-Saharan Africa</t>
        </is>
      </c>
      <c r="B5" s="31" t="n">
        <v>44000000</v>
      </c>
      <c r="C5" s="4" t="inlineStr">
        <is>
          <t>businesses</t>
        </is>
      </c>
      <c r="D5" s="17" t="inlineStr">
        <is>
          <t>IFC / World Bank est. (~44M MSMEs)</t>
        </is>
      </c>
    </row>
    <row r="6">
      <c r="A6" s="4" t="inlineStr">
        <is>
          <t>SAM: digitally active SMBs in the 23 rail-covered countries selling via social/WhatsApp, able to pay &gt;= US$25/mo</t>
        </is>
      </c>
      <c r="B6" s="31" t="n">
        <v>3500000</v>
      </c>
      <c r="C6" s="4" t="inlineStr">
        <is>
          <t>businesses</t>
        </is>
      </c>
      <c r="D6" s="17" t="inlineStr">
        <is>
          <t>Planning estimate (facts file §5)</t>
        </is>
      </c>
    </row>
    <row r="7">
      <c r="A7" s="4" t="inlineStr">
        <is>
          <t>SOM share of SAM (5-year)</t>
        </is>
      </c>
      <c r="B7" s="21" t="n">
        <v>0.005</v>
      </c>
      <c r="C7" s="4" t="inlineStr">
        <is>
          <t>%</t>
        </is>
      </c>
      <c r="D7" s="17" t="inlineStr">
        <is>
          <t>Planning estimate: ~0.5% of SAM</t>
        </is>
      </c>
    </row>
    <row r="8">
      <c r="A8" s="3" t="inlineStr">
        <is>
          <t>SOM: paying workspaces by FY5</t>
        </is>
      </c>
      <c r="B8" s="10">
        <f>B6*B7</f>
        <v/>
      </c>
      <c r="C8" s="4" t="inlineStr">
        <is>
          <t>workspaces</t>
        </is>
      </c>
      <c r="D8" s="17" t="inlineStr">
        <is>
          <t>Formula: SAM x SOM share</t>
        </is>
      </c>
    </row>
    <row r="9">
      <c r="A9" s="4" t="inlineStr">
        <is>
          <t>Minimum price point used for SAM value</t>
        </is>
      </c>
      <c r="B9" s="35" t="n">
        <v>25</v>
      </c>
      <c r="C9" s="4" t="inlineStr">
        <is>
          <t>US$ / month</t>
        </is>
      </c>
      <c r="D9" s="17" t="inlineStr">
        <is>
          <t>SAM definition: can pay &gt;= US$25/mo</t>
        </is>
      </c>
    </row>
    <row r="10">
      <c r="A10" s="3" t="inlineStr">
        <is>
          <t>TAM value at US$25/mo (illustrative ceiling)</t>
        </is>
      </c>
      <c r="B10" s="8">
        <f>B5*B9*12*Assumptions!$B$10</f>
        <v/>
      </c>
      <c r="C10" s="4" t="inlineStr">
        <is>
          <t>R / year</t>
        </is>
      </c>
      <c r="D10" s="17" t="inlineStr">
        <is>
          <t>Overstates: most informal MSMEs will not pay</t>
        </is>
      </c>
    </row>
    <row r="11">
      <c r="A11" s="3" t="inlineStr">
        <is>
          <t>SAM value at US$25/mo</t>
        </is>
      </c>
      <c r="B11" s="8">
        <f>B6*B9*12*Assumptions!$B$10</f>
        <v/>
      </c>
      <c r="C11" s="4" t="inlineStr">
        <is>
          <t>R / year</t>
        </is>
      </c>
      <c r="D11" s="17" t="inlineStr"/>
    </row>
    <row r="12">
      <c r="A12" s="3" t="inlineStr">
        <is>
          <t>SOM value at modelled FY5 blended subscription ARPA</t>
        </is>
      </c>
      <c r="B12" s="8">
        <f>B8*Annual_Summary!$G$108*12</f>
        <v/>
      </c>
      <c r="C12" s="4" t="inlineStr">
        <is>
          <t>R / year</t>
        </is>
      </c>
      <c r="D12" s="17" t="inlineStr">
        <is>
          <t>Links to Annual_Summary FY5 ARPA</t>
        </is>
      </c>
    </row>
    <row r="13">
      <c r="A13" s="3" t="inlineStr">
        <is>
          <t>Model: paying workspaces at end of FY5 (selected scenario)</t>
        </is>
      </c>
      <c r="B13" s="10">
        <f>Annual_Summary!$G$87</f>
        <v/>
      </c>
      <c r="C13" s="4" t="inlineStr">
        <is>
          <t>workspaces</t>
        </is>
      </c>
      <c r="D13" s="17" t="inlineStr">
        <is>
          <t>Links to Annual_Summary</t>
        </is>
      </c>
    </row>
    <row r="14">
      <c r="A14" s="3" t="inlineStr">
        <is>
          <t>Model FY5 workspaces as % of SOM</t>
        </is>
      </c>
      <c r="B14" s="9">
        <f>IF(B8=0,0,B13/B8)</f>
        <v/>
      </c>
      <c r="C14" s="4" t="inlineStr">
        <is>
          <t>%</t>
        </is>
      </c>
      <c r="D14" s="17" t="inlineStr"/>
    </row>
    <row r="15">
      <c r="A15" s="3" t="inlineStr">
        <is>
          <t>Model FY5 workspaces as % of SAM</t>
        </is>
      </c>
      <c r="B15" s="27">
        <f>IF(B6=0,0,B13/B6)</f>
        <v/>
      </c>
      <c r="C15" s="4" t="inlineStr">
        <is>
          <t>%</t>
        </is>
      </c>
      <c r="D15" s="17" t="inlineStr"/>
    </row>
    <row r="16"/>
    <row r="17"/>
    <row r="18">
      <c r="A18" s="19" t="inlineStr">
        <is>
          <t>Country context (estimates, for narrative only). Gated countries (no rail) are zero in every scenario.</t>
        </is>
      </c>
      <c r="B18" s="19" t="n"/>
      <c r="C18" s="19" t="n"/>
      <c r="D18" s="19" t="n"/>
    </row>
    <row r="19">
      <c r="A19" s="4" t="inlineStr">
        <is>
          <t>South Africa SMMEs</t>
        </is>
      </c>
      <c r="B19" s="4" t="inlineStr">
        <is>
          <t>2.5-3 million</t>
        </is>
      </c>
      <c r="D19" s="17" t="inlineStr">
        <is>
          <t>SEDA / Stats SA</t>
        </is>
      </c>
    </row>
    <row r="20">
      <c r="A20" s="4" t="inlineStr">
        <is>
          <t>Nigeria MSMEs</t>
        </is>
      </c>
      <c r="B20" s="4" t="inlineStr">
        <is>
          <t>~39 million</t>
        </is>
      </c>
      <c r="D20" s="17" t="inlineStr">
        <is>
          <t>SMEDAN</t>
        </is>
      </c>
    </row>
    <row r="21">
      <c r="A21" s="4" t="inlineStr">
        <is>
          <t>Kenya MSMEs</t>
        </is>
      </c>
      <c r="B21" s="4" t="inlineStr">
        <is>
          <t>~7.4 million</t>
        </is>
      </c>
      <c r="D21" s="17" t="inlineStr">
        <is>
          <t>KNBS</t>
        </is>
      </c>
    </row>
    <row r="22">
      <c r="A22" s="4" t="inlineStr">
        <is>
          <t>WhatsApp reach</t>
        </is>
      </c>
      <c r="B22" s="4" t="inlineStr">
        <is>
          <t>&gt;90% of internet users in SA and NG</t>
        </is>
      </c>
      <c r="D22" s="17" t="inlineStr">
        <is>
          <t>DataReportal 2025</t>
        </is>
      </c>
    </row>
    <row r="23">
      <c r="A23" s="4" t="inlineStr">
        <is>
          <t>Mobile money</t>
        </is>
      </c>
      <c r="B23" s="4" t="inlineStr">
        <is>
          <t>SSA ~70% of global mobile money value; &gt;US$1 trillion processed / year</t>
        </is>
      </c>
      <c r="D23" s="17" t="inlineStr">
        <is>
          <t>GSMA State of the Industry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2026-10-05T15:43:07Z</dcterms:created>
  <dcterms:modified xmlns:dcterms="http://purl.org/dc/terms/" xmlns:xsi="http://www.w3.org/2001/XMLSchema-instance" xsi:type="dcterms:W3CDTF">2026-10-05T15:43:10Z</dcterms:modified>
</cp:coreProperties>
</file>